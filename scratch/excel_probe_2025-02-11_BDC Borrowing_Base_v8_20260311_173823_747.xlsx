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Apps/BorrowingBaseWorkbench/scratch/"/>
    </mc:Choice>
  </mc:AlternateContent>
  <xr:revisionPtr revIDLastSave="3" documentId="8_{728216CD-0535-40AE-BBA3-1EE4D34659AC}" xr6:coauthVersionLast="47" xr6:coauthVersionMax="47" xr10:uidLastSave="{C216053A-BF78-4B58-B5C5-B88B14490F87}"/>
  <bookViews>
    <workbookView xWindow="-51720" yWindow="5265" windowWidth="51840" windowHeight="21120" tabRatio="872" firstSheet="5" activeTab="13"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14" l="1"/>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N50" i="9"/>
  <c r="M50" i="9"/>
  <c r="BI44" i="8" s="1"/>
  <c r="D50" i="9"/>
  <c r="M44" i="8" s="1"/>
  <c r="V49" i="9"/>
  <c r="V48" i="9"/>
  <c r="V47" i="9"/>
  <c r="V46" i="9"/>
  <c r="V45" i="9"/>
  <c r="V44" i="9"/>
  <c r="V43" i="9"/>
  <c r="AA42" i="9"/>
  <c r="V42" i="9"/>
  <c r="N42" i="9"/>
  <c r="M42" i="9"/>
  <c r="M149" i="9" s="1"/>
  <c r="D42" i="9"/>
  <c r="AA41" i="9"/>
  <c r="V41" i="9"/>
  <c r="D41" i="9" s="1"/>
  <c r="N41" i="9"/>
  <c r="BJ38" i="8" s="1"/>
  <c r="M41" i="9"/>
  <c r="M148" i="9" s="1"/>
  <c r="AA40" i="9"/>
  <c r="V40" i="9"/>
  <c r="D40" i="9" s="1"/>
  <c r="N40" i="9"/>
  <c r="BJ43" i="8" s="1"/>
  <c r="M40" i="9"/>
  <c r="AA39" i="9"/>
  <c r="V39" i="9"/>
  <c r="D39" i="9" s="1"/>
  <c r="N39" i="9"/>
  <c r="M39" i="9"/>
  <c r="BI42" i="8" s="1"/>
  <c r="AA38" i="9"/>
  <c r="V38" i="9"/>
  <c r="D38" i="9" s="1"/>
  <c r="M26" i="8" s="1"/>
  <c r="N38" i="9"/>
  <c r="M38" i="9"/>
  <c r="M145" i="9" s="1"/>
  <c r="AA37" i="9"/>
  <c r="V37" i="9"/>
  <c r="D37" i="9" s="1"/>
  <c r="N37" i="9"/>
  <c r="BJ36" i="8" s="1"/>
  <c r="M37" i="9"/>
  <c r="M144" i="9" s="1"/>
  <c r="AA36" i="9"/>
  <c r="V36" i="9"/>
  <c r="D36" i="9" s="1"/>
  <c r="N36" i="9"/>
  <c r="M36" i="9"/>
  <c r="AA35" i="9"/>
  <c r="V35" i="9"/>
  <c r="D35" i="9" s="1"/>
  <c r="E35" i="9" s="1"/>
  <c r="S21" i="8" s="1"/>
  <c r="N35" i="9"/>
  <c r="BJ21" i="8" s="1"/>
  <c r="M35" i="9"/>
  <c r="AA34" i="9"/>
  <c r="V34" i="9"/>
  <c r="N34" i="9"/>
  <c r="M34" i="9"/>
  <c r="M141" i="9" s="1"/>
  <c r="D34" i="9"/>
  <c r="E34" i="9" s="1"/>
  <c r="S13" i="8" s="1"/>
  <c r="AA33" i="9"/>
  <c r="V33" i="9"/>
  <c r="D33" i="9" s="1"/>
  <c r="N33" i="9"/>
  <c r="BJ27" i="8" s="1"/>
  <c r="M33" i="9"/>
  <c r="M140" i="9" s="1"/>
  <c r="AA32" i="9"/>
  <c r="V32" i="9"/>
  <c r="D32" i="9" s="1"/>
  <c r="N32" i="9"/>
  <c r="BJ25" i="8" s="1"/>
  <c r="M32" i="9"/>
  <c r="AA31" i="9"/>
  <c r="V31" i="9"/>
  <c r="D31" i="9" s="1"/>
  <c r="N31" i="9"/>
  <c r="M31" i="9"/>
  <c r="AA30" i="9"/>
  <c r="V30" i="9"/>
  <c r="N30" i="9"/>
  <c r="BJ23" i="8" s="1"/>
  <c r="M30" i="9"/>
  <c r="M137" i="9" s="1"/>
  <c r="D30" i="9"/>
  <c r="M23" i="8" s="1"/>
  <c r="AA29" i="9"/>
  <c r="V29" i="9"/>
  <c r="D29" i="9" s="1"/>
  <c r="N29" i="9"/>
  <c r="M29" i="9"/>
  <c r="M136" i="9" s="1"/>
  <c r="AA28" i="9"/>
  <c r="V28" i="9"/>
  <c r="D28" i="9" s="1"/>
  <c r="M28" i="9"/>
  <c r="BC41" i="8" s="1"/>
  <c r="BD41" i="8" s="1"/>
  <c r="AA27" i="9"/>
  <c r="V27" i="9"/>
  <c r="D27" i="9" s="1"/>
  <c r="N27" i="9"/>
  <c r="BJ37" i="8" s="1"/>
  <c r="M27" i="9"/>
  <c r="AA26" i="9"/>
  <c r="V26" i="9"/>
  <c r="D26" i="9" s="1"/>
  <c r="N26" i="9"/>
  <c r="BJ22" i="8" s="1"/>
  <c r="M26" i="9"/>
  <c r="M133" i="9" s="1"/>
  <c r="AA25" i="9"/>
  <c r="V25" i="9"/>
  <c r="N25" i="9"/>
  <c r="M25" i="9"/>
  <c r="M132" i="9" s="1"/>
  <c r="D25" i="9"/>
  <c r="M31" i="8" s="1"/>
  <c r="AA24" i="9"/>
  <c r="V24" i="9"/>
  <c r="N24" i="9"/>
  <c r="D24" i="9"/>
  <c r="E24" i="9" s="1"/>
  <c r="S17" i="8" s="1"/>
  <c r="AA23" i="9"/>
  <c r="V23" i="9"/>
  <c r="D23" i="9" s="1"/>
  <c r="N23" i="9"/>
  <c r="BJ7" i="8" s="1"/>
  <c r="M23" i="9"/>
  <c r="AA22" i="9"/>
  <c r="V22" i="9"/>
  <c r="D22" i="9" s="1"/>
  <c r="N22" i="9"/>
  <c r="BJ14" i="8" s="1"/>
  <c r="M22" i="9"/>
  <c r="M129" i="9" s="1"/>
  <c r="AA21" i="9"/>
  <c r="V21" i="9"/>
  <c r="D21" i="9" s="1"/>
  <c r="N21" i="9"/>
  <c r="M21" i="9"/>
  <c r="M128" i="9" s="1"/>
  <c r="AA20" i="9"/>
  <c r="V20" i="9"/>
  <c r="D20" i="9" s="1"/>
  <c r="M8" i="8" s="1"/>
  <c r="N20" i="9"/>
  <c r="M20" i="9"/>
  <c r="M127" i="9" s="1"/>
  <c r="AA19" i="9"/>
  <c r="V19" i="9"/>
  <c r="D19" i="9" s="1"/>
  <c r="N19" i="9"/>
  <c r="M19" i="9"/>
  <c r="AA18" i="9"/>
  <c r="V18" i="9"/>
  <c r="D18" i="9" s="1"/>
  <c r="N18" i="9"/>
  <c r="BJ24" i="8" s="1"/>
  <c r="M18" i="9"/>
  <c r="M125" i="9" s="1"/>
  <c r="AA17" i="9"/>
  <c r="V17" i="9"/>
  <c r="D17" i="9" s="1"/>
  <c r="M17" i="9"/>
  <c r="AA16" i="9"/>
  <c r="V16" i="9"/>
  <c r="D16" i="9" s="1"/>
  <c r="N16" i="9"/>
  <c r="M16" i="9"/>
  <c r="M123" i="9" s="1"/>
  <c r="AA15" i="9"/>
  <c r="V15" i="9"/>
  <c r="D15" i="9" s="1"/>
  <c r="M35" i="8" s="1"/>
  <c r="N15" i="9"/>
  <c r="M15" i="9"/>
  <c r="M122" i="9" s="1"/>
  <c r="AA14" i="9"/>
  <c r="V14" i="9"/>
  <c r="D14" i="9" s="1"/>
  <c r="N14" i="9"/>
  <c r="BJ34" i="8" s="1"/>
  <c r="M14" i="9"/>
  <c r="M121" i="9" s="1"/>
  <c r="AA13" i="9"/>
  <c r="V13" i="9"/>
  <c r="D13" i="9" s="1"/>
  <c r="N13" i="9"/>
  <c r="M13" i="9"/>
  <c r="AA12" i="9"/>
  <c r="V12" i="9"/>
  <c r="D12" i="9" s="1"/>
  <c r="E12" i="9" s="1"/>
  <c r="S28" i="8" s="1"/>
  <c r="N12" i="9"/>
  <c r="BJ28" i="8" s="1"/>
  <c r="M12" i="9"/>
  <c r="AA11" i="9"/>
  <c r="V11" i="9"/>
  <c r="N11" i="9"/>
  <c r="M11" i="9"/>
  <c r="BC39" i="8" s="1"/>
  <c r="BD39" i="8" s="1"/>
  <c r="D11" i="9"/>
  <c r="E11" i="9" s="1"/>
  <c r="S39" i="8" s="1"/>
  <c r="AA10" i="9"/>
  <c r="V10" i="9"/>
  <c r="D10" i="9" s="1"/>
  <c r="N10" i="9"/>
  <c r="BJ11" i="8" s="1"/>
  <c r="M10" i="9"/>
  <c r="M117" i="9" s="1"/>
  <c r="AA9" i="9"/>
  <c r="U9" i="9"/>
  <c r="N9" i="9"/>
  <c r="BJ12" i="8" s="1"/>
  <c r="M9" i="9"/>
  <c r="AA8" i="9"/>
  <c r="V8" i="9"/>
  <c r="D8" i="9" s="1"/>
  <c r="N8" i="9"/>
  <c r="AA7" i="9"/>
  <c r="V7" i="9"/>
  <c r="D7" i="9" s="1"/>
  <c r="N7" i="9"/>
  <c r="BJ30" i="8" s="1"/>
  <c r="M7" i="9"/>
  <c r="BC30" i="8" s="1"/>
  <c r="BD30" i="8" s="1"/>
  <c r="AA6" i="9"/>
  <c r="V6" i="9"/>
  <c r="D6" i="9" s="1"/>
  <c r="N6" i="9"/>
  <c r="M6" i="9"/>
  <c r="M113" i="9" s="1"/>
  <c r="AA5" i="9"/>
  <c r="V5" i="9"/>
  <c r="N5" i="9"/>
  <c r="M5" i="9"/>
  <c r="M112" i="9" s="1"/>
  <c r="D5" i="9"/>
  <c r="AA4" i="9"/>
  <c r="V4" i="9"/>
  <c r="D4" i="9" s="1"/>
  <c r="N4" i="9"/>
  <c r="M4" i="9"/>
  <c r="AA3" i="9"/>
  <c r="V3" i="9"/>
  <c r="D3" i="9" s="1"/>
  <c r="M29" i="8" s="1"/>
  <c r="N3" i="9"/>
  <c r="M3" i="9"/>
  <c r="BJ45" i="8"/>
  <c r="BI45" i="8"/>
  <c r="BF45" i="8"/>
  <c r="BC45" i="8"/>
  <c r="BD45" i="8" s="1"/>
  <c r="AZ45" i="8"/>
  <c r="BA45" i="8" s="1"/>
  <c r="AY45" i="8"/>
  <c r="AW45" i="8"/>
  <c r="BJ44" i="8"/>
  <c r="BF44" i="8"/>
  <c r="BC44" i="8"/>
  <c r="BD44" i="8" s="1"/>
  <c r="AZ44" i="8"/>
  <c r="BA44" i="8" s="1"/>
  <c r="AY44" i="8"/>
  <c r="AW44" i="8"/>
  <c r="BI43" i="8"/>
  <c r="BF43" i="8"/>
  <c r="BC43" i="8"/>
  <c r="BD43" i="8" s="1"/>
  <c r="AZ43" i="8"/>
  <c r="BA43" i="8" s="1"/>
  <c r="AY43" i="8"/>
  <c r="AW43" i="8"/>
  <c r="BJ42" i="8"/>
  <c r="BF42" i="8"/>
  <c r="AZ42" i="8"/>
  <c r="BA42" i="8" s="1"/>
  <c r="AY42" i="8"/>
  <c r="AW42" i="8"/>
  <c r="BJ41" i="8"/>
  <c r="BI41" i="8"/>
  <c r="BF41" i="8"/>
  <c r="AZ41" i="8"/>
  <c r="BA41" i="8" s="1"/>
  <c r="AY41" i="8"/>
  <c r="AW41" i="8"/>
  <c r="BJ40" i="8"/>
  <c r="BI40" i="8"/>
  <c r="BF40" i="8"/>
  <c r="BC40" i="8"/>
  <c r="BD40" i="8" s="1"/>
  <c r="AZ40" i="8"/>
  <c r="BA40" i="8" s="1"/>
  <c r="AY40" i="8"/>
  <c r="AW40" i="8"/>
  <c r="BJ39" i="8"/>
  <c r="BI39" i="8"/>
  <c r="BF39" i="8"/>
  <c r="AZ39" i="8"/>
  <c r="BA39" i="8" s="1"/>
  <c r="AY39" i="8"/>
  <c r="AW39" i="8"/>
  <c r="BF38" i="8"/>
  <c r="AZ38" i="8"/>
  <c r="BA38" i="8" s="1"/>
  <c r="AY38" i="8"/>
  <c r="AW38" i="8"/>
  <c r="BI37" i="8"/>
  <c r="BF37" i="8"/>
  <c r="BC37" i="8"/>
  <c r="BD37" i="8" s="1"/>
  <c r="AZ37" i="8"/>
  <c r="BA37" i="8" s="1"/>
  <c r="AY37" i="8"/>
  <c r="AW37" i="8"/>
  <c r="BF36" i="8"/>
  <c r="BC36" i="8"/>
  <c r="BD36" i="8" s="1"/>
  <c r="AZ36" i="8"/>
  <c r="BA36" i="8" s="1"/>
  <c r="AY36" i="8"/>
  <c r="AW36" i="8"/>
  <c r="BJ35" i="8"/>
  <c r="BF35" i="8"/>
  <c r="AZ35" i="8"/>
  <c r="BA35" i="8" s="1"/>
  <c r="AY35" i="8"/>
  <c r="AW35" i="8"/>
  <c r="BI34" i="8"/>
  <c r="BF34" i="8"/>
  <c r="AZ34" i="8"/>
  <c r="BA34" i="8" s="1"/>
  <c r="AY34" i="8"/>
  <c r="AW34" i="8"/>
  <c r="BJ33" i="8"/>
  <c r="BI33" i="8"/>
  <c r="BF33" i="8"/>
  <c r="BC33" i="8"/>
  <c r="BD33" i="8" s="1"/>
  <c r="AZ33" i="8"/>
  <c r="BA33" i="8" s="1"/>
  <c r="AY33" i="8"/>
  <c r="AW33" i="8"/>
  <c r="BJ32" i="8"/>
  <c r="BI32" i="8"/>
  <c r="BF32" i="8"/>
  <c r="BC32" i="8"/>
  <c r="BD32" i="8" s="1"/>
  <c r="AZ32" i="8"/>
  <c r="BA32" i="8" s="1"/>
  <c r="AY32" i="8"/>
  <c r="AW32" i="8"/>
  <c r="BJ31" i="8"/>
  <c r="BF31" i="8"/>
  <c r="AZ31" i="8"/>
  <c r="BA31" i="8" s="1"/>
  <c r="AY31" i="8"/>
  <c r="AW31" i="8"/>
  <c r="BI30" i="8"/>
  <c r="BF30" i="8"/>
  <c r="AZ30" i="8"/>
  <c r="BA30" i="8" s="1"/>
  <c r="AY30" i="8"/>
  <c r="AW30" i="8"/>
  <c r="BJ29" i="8"/>
  <c r="BI29" i="8"/>
  <c r="BF29" i="8"/>
  <c r="BC29" i="8"/>
  <c r="BD29" i="8" s="1"/>
  <c r="AZ29" i="8"/>
  <c r="BA29" i="8" s="1"/>
  <c r="AY29" i="8"/>
  <c r="AW29" i="8"/>
  <c r="BI28" i="8"/>
  <c r="BF28" i="8"/>
  <c r="BC28" i="8"/>
  <c r="BD28" i="8" s="1"/>
  <c r="AZ28" i="8"/>
  <c r="BA28" i="8" s="1"/>
  <c r="I5" i="7" s="1"/>
  <c r="K5" i="7" s="1"/>
  <c r="AY28" i="8"/>
  <c r="AW28" i="8"/>
  <c r="BI27" i="8"/>
  <c r="BF27" i="8"/>
  <c r="BC27" i="8"/>
  <c r="BD27" i="8" s="1"/>
  <c r="AZ27" i="8"/>
  <c r="BA27" i="8" s="1"/>
  <c r="AY27" i="8"/>
  <c r="AW27" i="8"/>
  <c r="BJ26" i="8"/>
  <c r="BF26" i="8"/>
  <c r="AZ26" i="8"/>
  <c r="BA26" i="8" s="1"/>
  <c r="AY26" i="8"/>
  <c r="AW26" i="8"/>
  <c r="BI25" i="8"/>
  <c r="BF25" i="8"/>
  <c r="BC25" i="8"/>
  <c r="BD25" i="8" s="1"/>
  <c r="AZ25" i="8"/>
  <c r="BA25" i="8" s="1"/>
  <c r="AY25" i="8"/>
  <c r="AW25" i="8"/>
  <c r="BI24" i="8"/>
  <c r="BF24" i="8"/>
  <c r="BC24" i="8"/>
  <c r="BD24" i="8" s="1"/>
  <c r="AZ24" i="8"/>
  <c r="BA24" i="8" s="1"/>
  <c r="AY24" i="8"/>
  <c r="AW24" i="8"/>
  <c r="BF23" i="8"/>
  <c r="AZ23" i="8"/>
  <c r="BA23" i="8" s="1"/>
  <c r="AY23" i="8"/>
  <c r="AW23" i="8"/>
  <c r="BI22" i="8"/>
  <c r="BF22" i="8"/>
  <c r="BC22" i="8"/>
  <c r="BD22" i="8" s="1"/>
  <c r="AZ22" i="8"/>
  <c r="BA22" i="8" s="1"/>
  <c r="AY22" i="8"/>
  <c r="AW22" i="8"/>
  <c r="BI21" i="8"/>
  <c r="BF21" i="8"/>
  <c r="BC21" i="8"/>
  <c r="BD21" i="8" s="1"/>
  <c r="AZ21" i="8"/>
  <c r="BA21" i="8" s="1"/>
  <c r="AY21" i="8"/>
  <c r="AW21" i="8"/>
  <c r="BJ20" i="8"/>
  <c r="BI20" i="8"/>
  <c r="BF20" i="8"/>
  <c r="AZ20" i="8"/>
  <c r="BA20" i="8" s="1"/>
  <c r="AY20" i="8"/>
  <c r="AW20" i="8"/>
  <c r="BJ19" i="8"/>
  <c r="BF19" i="8"/>
  <c r="BC19" i="8"/>
  <c r="BD19" i="8" s="1"/>
  <c r="AZ19" i="8"/>
  <c r="BA19" i="8" s="1"/>
  <c r="AY19" i="8"/>
  <c r="AW19" i="8"/>
  <c r="M19" i="8"/>
  <c r="BJ18" i="8"/>
  <c r="BI18" i="8"/>
  <c r="BF18" i="8"/>
  <c r="BC18" i="8"/>
  <c r="BD18" i="8" s="1"/>
  <c r="AZ18" i="8"/>
  <c r="BA18" i="8" s="1"/>
  <c r="AY18" i="8"/>
  <c r="AW18" i="8"/>
  <c r="BJ17" i="8"/>
  <c r="BI17" i="8"/>
  <c r="BF17" i="8"/>
  <c r="BC17" i="8"/>
  <c r="BD17" i="8" s="1"/>
  <c r="AZ17" i="8"/>
  <c r="BA17" i="8" s="1"/>
  <c r="AY17" i="8"/>
  <c r="AW17" i="8"/>
  <c r="BJ16" i="8"/>
  <c r="BF16" i="8"/>
  <c r="AZ16" i="8"/>
  <c r="BA16" i="8" s="1"/>
  <c r="AY16" i="8"/>
  <c r="AW16" i="8"/>
  <c r="BJ15" i="8"/>
  <c r="BI15" i="8"/>
  <c r="BF15" i="8"/>
  <c r="BC15" i="8"/>
  <c r="BD15" i="8" s="1"/>
  <c r="AZ15" i="8"/>
  <c r="BA15" i="8" s="1"/>
  <c r="AY15" i="8"/>
  <c r="AW15" i="8"/>
  <c r="BF14" i="8"/>
  <c r="AZ14" i="8"/>
  <c r="BA14" i="8" s="1"/>
  <c r="AY14" i="8"/>
  <c r="AW14" i="8"/>
  <c r="BJ13" i="8"/>
  <c r="BI13" i="8"/>
  <c r="BF13" i="8"/>
  <c r="BC13" i="8"/>
  <c r="BD13" i="8" s="1"/>
  <c r="AZ13" i="8"/>
  <c r="BA13" i="8" s="1"/>
  <c r="AY13" i="8"/>
  <c r="AW13" i="8"/>
  <c r="BI12" i="8"/>
  <c r="BF12" i="8"/>
  <c r="BC12" i="8"/>
  <c r="BD12" i="8" s="1"/>
  <c r="AZ12" i="8"/>
  <c r="BA12" i="8" s="1"/>
  <c r="AY12" i="8"/>
  <c r="AW12" i="8"/>
  <c r="BI11" i="8"/>
  <c r="BF11" i="8"/>
  <c r="BC11" i="8"/>
  <c r="BD11" i="8" s="1"/>
  <c r="AZ11" i="8"/>
  <c r="BA11" i="8" s="1"/>
  <c r="AY11" i="8"/>
  <c r="AW11" i="8"/>
  <c r="BJ10" i="8"/>
  <c r="BI10" i="8"/>
  <c r="BF10" i="8"/>
  <c r="AZ10" i="8"/>
  <c r="BA10" i="8" s="1"/>
  <c r="AY10" i="8"/>
  <c r="AW10" i="8"/>
  <c r="BJ9" i="8"/>
  <c r="BI9" i="8"/>
  <c r="BF9" i="8"/>
  <c r="BC9" i="8"/>
  <c r="BD9" i="8" s="1"/>
  <c r="AZ9" i="8"/>
  <c r="BA9" i="8" s="1"/>
  <c r="AY9" i="8"/>
  <c r="AW9" i="8"/>
  <c r="BJ8" i="8"/>
  <c r="BF8" i="8"/>
  <c r="AZ8" i="8"/>
  <c r="BA8" i="8" s="1"/>
  <c r="AY8" i="8"/>
  <c r="AW8" i="8"/>
  <c r="BI7" i="8"/>
  <c r="BF7" i="8"/>
  <c r="BC7" i="8"/>
  <c r="BD7" i="8" s="1"/>
  <c r="AZ7" i="8"/>
  <c r="BA7" i="8" s="1"/>
  <c r="AY7" i="8"/>
  <c r="AW7" i="8"/>
  <c r="BJ6"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E6" i="8"/>
  <c r="E7" i="8" s="1"/>
  <c r="A6" i="8"/>
  <c r="BJ5" i="8"/>
  <c r="BI5" i="8"/>
  <c r="BF5" i="8"/>
  <c r="BC5" i="8"/>
  <c r="BD5" i="8" s="1"/>
  <c r="AZ5" i="8"/>
  <c r="BA5" i="8" s="1"/>
  <c r="CU9" i="2" s="1"/>
  <c r="AY5" i="8"/>
  <c r="AW5" i="8"/>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5" i="8"/>
  <c r="A2" i="8"/>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P6" i="7"/>
  <c r="L6" i="7"/>
  <c r="I6" i="7"/>
  <c r="K6" i="7" s="1"/>
  <c r="P5" i="7"/>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L30" i="6"/>
  <c r="N30" i="6" s="1"/>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s="1"/>
  <c r="F27" i="4" s="1"/>
  <c r="O24" i="4"/>
  <c r="N24" i="4"/>
  <c r="AB23" i="4"/>
  <c r="U23" i="4"/>
  <c r="P23" i="4"/>
  <c r="F23" i="4" s="1"/>
  <c r="AB22" i="4"/>
  <c r="U22" i="4"/>
  <c r="P22" i="4"/>
  <c r="F22" i="4" s="1"/>
  <c r="AB21" i="4"/>
  <c r="U21" i="4"/>
  <c r="P21" i="4"/>
  <c r="F21" i="4" s="1"/>
  <c r="AB20" i="4"/>
  <c r="U20" i="4"/>
  <c r="P20" i="4"/>
  <c r="F20" i="4" s="1"/>
  <c r="K20" i="4"/>
  <c r="AB19" i="4"/>
  <c r="U19" i="4"/>
  <c r="P19" i="4"/>
  <c r="F19" i="4" s="1"/>
  <c r="AB18" i="4"/>
  <c r="U18" i="4"/>
  <c r="P18" i="4"/>
  <c r="F18" i="4" s="1"/>
  <c r="AB17" i="4"/>
  <c r="U17" i="4"/>
  <c r="P17" i="4"/>
  <c r="F17" i="4" s="1"/>
  <c r="AB16" i="4"/>
  <c r="U16" i="4"/>
  <c r="P16" i="4"/>
  <c r="F16" i="4"/>
  <c r="AB15" i="4"/>
  <c r="U15" i="4"/>
  <c r="P15" i="4"/>
  <c r="F15" i="4" s="1"/>
  <c r="AB14" i="4"/>
  <c r="U14" i="4"/>
  <c r="P14" i="4"/>
  <c r="F14" i="4" s="1"/>
  <c r="AB13" i="4"/>
  <c r="U13" i="4"/>
  <c r="P13" i="4"/>
  <c r="F13" i="4" s="1"/>
  <c r="AB12" i="4"/>
  <c r="U12" i="4"/>
  <c r="P12" i="4"/>
  <c r="F12" i="4" s="1"/>
  <c r="AB11" i="4"/>
  <c r="U11" i="4"/>
  <c r="P11" i="4"/>
  <c r="F11" i="4" s="1"/>
  <c r="AB10" i="4"/>
  <c r="U10" i="4"/>
  <c r="P10" i="4"/>
  <c r="F10" i="4"/>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Q9" i="2"/>
  <c r="DO9" i="2"/>
  <c r="DM9" i="2"/>
  <c r="DL9" i="2"/>
  <c r="DI9" i="2"/>
  <c r="DE9" i="2"/>
  <c r="DD9" i="2"/>
  <c r="CL9" i="2"/>
  <c r="CK9" i="2"/>
  <c r="CS9" i="2" s="1"/>
  <c r="CT9" i="2" s="1"/>
  <c r="CV9" i="2" s="1"/>
  <c r="CJ9" i="2"/>
  <c r="CF9" i="2"/>
  <c r="CE9" i="2"/>
  <c r="CC9" i="2"/>
  <c r="CB9" i="2"/>
  <c r="BY9" i="2"/>
  <c r="GH9" i="2" s="1"/>
  <c r="BU9" i="2"/>
  <c r="BT9" i="2"/>
  <c r="BS9" i="2"/>
  <c r="BR9" i="2"/>
  <c r="BM9" i="2"/>
  <c r="BL9" i="2"/>
  <c r="BK9" i="2"/>
  <c r="AC9" i="2"/>
  <c r="N9" i="2"/>
  <c r="M9" i="2"/>
  <c r="L9" i="2"/>
  <c r="K9" i="2"/>
  <c r="J9" i="2"/>
  <c r="I9" i="2"/>
  <c r="H9" i="2"/>
  <c r="F9" i="2"/>
  <c r="D9" i="2"/>
  <c r="C9" i="2"/>
  <c r="B9" i="2"/>
  <c r="L54" i="1"/>
  <c r="Q40" i="1"/>
  <c r="P36" i="1" s="1"/>
  <c r="R36" i="1" s="1"/>
  <c r="P37" i="1"/>
  <c r="R37" i="1" s="1"/>
  <c r="P35" i="1"/>
  <c r="R35" i="1" s="1"/>
  <c r="P34" i="1"/>
  <c r="R34" i="1" s="1"/>
  <c r="P33" i="1"/>
  <c r="R33" i="1" s="1"/>
  <c r="P32" i="1"/>
  <c r="L22" i="1"/>
  <c r="P38" i="1" l="1"/>
  <c r="P39" i="1"/>
  <c r="BC14" i="8"/>
  <c r="BD14" i="8" s="1"/>
  <c r="E42" i="9"/>
  <c r="S45" i="8" s="1"/>
  <c r="M111" i="9"/>
  <c r="BI14" i="8"/>
  <c r="BC38" i="8"/>
  <c r="BD38" i="8" s="1"/>
  <c r="BC16" i="8"/>
  <c r="BD16" i="8" s="1"/>
  <c r="BI38" i="8"/>
  <c r="BC42" i="8"/>
  <c r="BD42" i="8" s="1"/>
  <c r="BI16" i="8"/>
  <c r="M126" i="9"/>
  <c r="E13" i="9"/>
  <c r="S9" i="8" s="1"/>
  <c r="M9" i="8"/>
  <c r="E17" i="9"/>
  <c r="S40" i="8" s="1"/>
  <c r="M40" i="8"/>
  <c r="E19" i="9"/>
  <c r="S20" i="8" s="1"/>
  <c r="M20" i="8"/>
  <c r="E21" i="9"/>
  <c r="S33" i="8" s="1"/>
  <c r="M33" i="8"/>
  <c r="E23" i="9"/>
  <c r="S7" i="8" s="1"/>
  <c r="M7" i="8"/>
  <c r="E29" i="9"/>
  <c r="S6" i="8" s="1"/>
  <c r="M6" i="8"/>
  <c r="E40" i="9"/>
  <c r="S43" i="8" s="1"/>
  <c r="M43" i="8"/>
  <c r="E6" i="9"/>
  <c r="S15" i="8" s="1"/>
  <c r="M15" i="8"/>
  <c r="E18" i="9"/>
  <c r="S24" i="8" s="1"/>
  <c r="M24" i="8"/>
  <c r="E37" i="9"/>
  <c r="S36" i="8" s="1"/>
  <c r="M36" i="8"/>
  <c r="E8" i="9"/>
  <c r="S5" i="8" s="1"/>
  <c r="AE9" i="2" s="1"/>
  <c r="M5" i="8"/>
  <c r="E31" i="9"/>
  <c r="S18" i="8" s="1"/>
  <c r="M18" i="8"/>
  <c r="F24" i="4"/>
  <c r="E16" i="9"/>
  <c r="S16" i="8" s="1"/>
  <c r="M16" i="8"/>
  <c r="E22" i="9"/>
  <c r="S14" i="8" s="1"/>
  <c r="M14" i="8"/>
  <c r="E28" i="9"/>
  <c r="S41" i="8" s="1"/>
  <c r="M41" i="8"/>
  <c r="E39" i="9"/>
  <c r="S42" i="8" s="1"/>
  <c r="M42" i="8"/>
  <c r="AQ42" i="8" s="1"/>
  <c r="E41" i="9"/>
  <c r="S38" i="8" s="1"/>
  <c r="M38" i="8"/>
  <c r="N38" i="8" s="1"/>
  <c r="AR38" i="8" s="1"/>
  <c r="E7" i="9"/>
  <c r="S30" i="8" s="1"/>
  <c r="M30" i="8"/>
  <c r="E36" i="9"/>
  <c r="S32" i="8" s="1"/>
  <c r="M32" i="8"/>
  <c r="E4" i="9"/>
  <c r="S10" i="8" s="1"/>
  <c r="M10" i="8"/>
  <c r="AQ10" i="8" s="1"/>
  <c r="E10" i="9"/>
  <c r="S11" i="8" s="1"/>
  <c r="M11" i="8"/>
  <c r="E27" i="9"/>
  <c r="S37" i="8" s="1"/>
  <c r="M37" i="8"/>
  <c r="E33" i="9"/>
  <c r="S27" i="8" s="1"/>
  <c r="M27" i="8"/>
  <c r="E14" i="9"/>
  <c r="S34" i="8" s="1"/>
  <c r="M34" i="8"/>
  <c r="N34" i="8" s="1"/>
  <c r="AR34" i="8" s="1"/>
  <c r="E26" i="9"/>
  <c r="S22" i="8" s="1"/>
  <c r="M22" i="8"/>
  <c r="N22" i="8" s="1"/>
  <c r="AR22" i="8" s="1"/>
  <c r="E32" i="9"/>
  <c r="S25" i="8" s="1"/>
  <c r="M25" i="8"/>
  <c r="HK61" i="2"/>
  <c r="BC31" i="8"/>
  <c r="BD31" i="8" s="1"/>
  <c r="R38" i="1"/>
  <c r="HL61" i="2"/>
  <c r="BC23" i="8"/>
  <c r="BD23" i="8" s="1"/>
  <c r="M28" i="8"/>
  <c r="M45" i="8"/>
  <c r="M118" i="9"/>
  <c r="R39" i="1"/>
  <c r="P24" i="4"/>
  <c r="BC6" i="8"/>
  <c r="BD6" i="8" s="1"/>
  <c r="DM10" i="2" s="1"/>
  <c r="M13" i="8"/>
  <c r="M21" i="8"/>
  <c r="BI31" i="8"/>
  <c r="M138" i="9"/>
  <c r="M146" i="9"/>
  <c r="BI23" i="8"/>
  <c r="BC34" i="8"/>
  <c r="BD34" i="8" s="1"/>
  <c r="M39" i="8"/>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BC20" i="8"/>
  <c r="BD20" i="8" s="1"/>
  <c r="BI26" i="8"/>
  <c r="BI35" i="8"/>
  <c r="M119" i="9"/>
  <c r="M142" i="9"/>
  <c r="CY9" i="2"/>
  <c r="FA9" i="2" s="1"/>
  <c r="HJ61" i="2"/>
  <c r="BI19" i="8"/>
  <c r="BI36" i="8"/>
  <c r="M114" i="9"/>
  <c r="M124" i="9"/>
  <c r="M134" i="9"/>
  <c r="M139" i="9"/>
  <c r="M147" i="9"/>
  <c r="P40" i="1"/>
  <c r="R32" i="1"/>
  <c r="R40" i="1" s="1"/>
  <c r="L59" i="1"/>
  <c r="AG9" i="2"/>
  <c r="HM9" i="2"/>
  <c r="EV9" i="2"/>
  <c r="EW9" i="2" s="1"/>
  <c r="ER9" i="2"/>
  <c r="EM9" i="2"/>
  <c r="EN9" i="2" s="1"/>
  <c r="EJ9" i="2" a="1"/>
  <c r="EJ9" i="2" s="1"/>
  <c r="EI9" i="2" a="1"/>
  <c r="EI9" i="2" s="1"/>
  <c r="T9" i="2" s="1" a="1"/>
  <c r="T9" i="2" s="1"/>
  <c r="BI9" i="2"/>
  <c r="AF9" i="2" a="1"/>
  <c r="AF9" i="2" s="1"/>
  <c r="G9" i="2"/>
  <c r="E9" i="2"/>
  <c r="GL9" i="2"/>
  <c r="GM9" i="2" s="1"/>
  <c r="GQ9" i="2"/>
  <c r="GR9" i="2" s="1"/>
  <c r="HB61" i="2"/>
  <c r="L70" i="3" s="1"/>
  <c r="A11" i="2"/>
  <c r="DQ10" i="2"/>
  <c r="DO10" i="2"/>
  <c r="DL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E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P29" i="4" s="1"/>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AQ5" i="8"/>
  <c r="N5" i="8"/>
  <c r="AR5" i="8" s="1"/>
  <c r="E8" i="8"/>
  <c r="A7" i="8"/>
  <c r="AQ6" i="8"/>
  <c r="N6" i="8"/>
  <c r="AR6" i="8" s="1"/>
  <c r="AQ7" i="8"/>
  <c r="N7" i="8"/>
  <c r="AR7" i="8" s="1"/>
  <c r="AQ8" i="8"/>
  <c r="N8" i="8"/>
  <c r="AR8" i="8" s="1"/>
  <c r="AQ9" i="8"/>
  <c r="N9" i="8"/>
  <c r="AR9" i="8" s="1"/>
  <c r="AQ11" i="8"/>
  <c r="N11" i="8"/>
  <c r="AR11" i="8" s="1"/>
  <c r="AQ13" i="8"/>
  <c r="N13" i="8"/>
  <c r="AR13" i="8" s="1"/>
  <c r="AQ14" i="8"/>
  <c r="N14" i="8"/>
  <c r="AR14" i="8" s="1"/>
  <c r="AQ15" i="8"/>
  <c r="N15" i="8"/>
  <c r="AR15" i="8" s="1"/>
  <c r="AQ16" i="8"/>
  <c r="N16" i="8"/>
  <c r="AR16" i="8" s="1"/>
  <c r="AQ17" i="8"/>
  <c r="N17" i="8"/>
  <c r="AR17" i="8" s="1"/>
  <c r="AQ18" i="8"/>
  <c r="N18" i="8"/>
  <c r="AR18" i="8" s="1"/>
  <c r="AQ19" i="8"/>
  <c r="N19" i="8"/>
  <c r="AR19" i="8" s="1"/>
  <c r="AQ20" i="8"/>
  <c r="N20" i="8"/>
  <c r="AR20" i="8" s="1"/>
  <c r="AQ21" i="8"/>
  <c r="N21" i="8"/>
  <c r="AR21" i="8" s="1"/>
  <c r="AQ23" i="8"/>
  <c r="N23" i="8"/>
  <c r="AR23" i="8" s="1"/>
  <c r="AQ24" i="8"/>
  <c r="N24" i="8"/>
  <c r="AR24" i="8" s="1"/>
  <c r="AQ25" i="8"/>
  <c r="N25" i="8"/>
  <c r="AR25" i="8" s="1"/>
  <c r="AQ26" i="8"/>
  <c r="N26" i="8"/>
  <c r="AR26" i="8" s="1"/>
  <c r="AQ27" i="8"/>
  <c r="N27" i="8"/>
  <c r="AR27" i="8" s="1"/>
  <c r="AQ28" i="8"/>
  <c r="N28" i="8"/>
  <c r="AR28" i="8" s="1"/>
  <c r="AQ29" i="8"/>
  <c r="N29" i="8"/>
  <c r="AR29" i="8" s="1"/>
  <c r="AQ30" i="8"/>
  <c r="N30" i="8"/>
  <c r="AR30" i="8" s="1"/>
  <c r="AQ31" i="8"/>
  <c r="N31" i="8"/>
  <c r="AR31" i="8" s="1"/>
  <c r="AQ32" i="8"/>
  <c r="N32" i="8"/>
  <c r="AR32" i="8" s="1"/>
  <c r="AQ33" i="8"/>
  <c r="N33" i="8"/>
  <c r="AR33" i="8" s="1"/>
  <c r="AQ34" i="8"/>
  <c r="AQ35" i="8"/>
  <c r="N35" i="8"/>
  <c r="AR35" i="8" s="1"/>
  <c r="AQ36" i="8"/>
  <c r="N36" i="8"/>
  <c r="AR36" i="8" s="1"/>
  <c r="AQ37" i="8"/>
  <c r="N37" i="8"/>
  <c r="AR37" i="8" s="1"/>
  <c r="AQ38" i="8"/>
  <c r="AQ39" i="8"/>
  <c r="N39" i="8"/>
  <c r="AR39" i="8" s="1"/>
  <c r="AQ40" i="8"/>
  <c r="N40" i="8"/>
  <c r="AR40" i="8" s="1"/>
  <c r="AQ41" i="8"/>
  <c r="N41" i="8"/>
  <c r="AR41" i="8" s="1"/>
  <c r="AQ43" i="8"/>
  <c r="N43" i="8"/>
  <c r="AR43" i="8" s="1"/>
  <c r="AQ44" i="8"/>
  <c r="N44" i="8"/>
  <c r="AR44" i="8" s="1"/>
  <c r="AQ45" i="8"/>
  <c r="N45" i="8"/>
  <c r="AR45" i="8" s="1"/>
  <c r="C67" i="9"/>
  <c r="E3" i="9"/>
  <c r="M110" i="9"/>
  <c r="U64" i="9"/>
  <c r="V9" i="9"/>
  <c r="K116" i="9"/>
  <c r="M73" i="9"/>
  <c r="M116" i="9" s="1"/>
  <c r="I30" i="10"/>
  <c r="I32" i="10" s="1"/>
  <c r="I17" i="10"/>
  <c r="AQ22" i="8" l="1"/>
  <c r="P9" i="2"/>
  <c r="N10" i="8"/>
  <c r="AR10" i="8" s="1"/>
  <c r="N42" i="8"/>
  <c r="AR42" i="8" s="1"/>
  <c r="CY10" i="2"/>
  <c r="FA10" i="2" s="1"/>
  <c r="D9" i="9"/>
  <c r="V64" i="9"/>
  <c r="S29" i="8"/>
  <c r="E9" i="8"/>
  <c r="A8" i="8"/>
  <c r="U27" i="4"/>
  <c r="AG10" i="2"/>
  <c r="HM10" i="2"/>
  <c r="EV10" i="2"/>
  <c r="EW10" i="2" s="1"/>
  <c r="ER10" i="2"/>
  <c r="EM10" i="2"/>
  <c r="EN10" i="2" s="1"/>
  <c r="EJ10" i="2" a="1"/>
  <c r="EJ10" i="2" s="1"/>
  <c r="EI10" i="2" a="1"/>
  <c r="EI10" i="2" s="1"/>
  <c r="T10" i="2" s="1" a="1"/>
  <c r="T10" i="2" s="1"/>
  <c r="U10" i="2" s="1"/>
  <c r="BI10" i="2"/>
  <c r="AF10" i="2" a="1"/>
  <c r="AF10" i="2" s="1"/>
  <c r="G10" i="2"/>
  <c r="E10" i="2"/>
  <c r="M10" i="2"/>
  <c r="GL10" i="2"/>
  <c r="GM10" i="2" s="1"/>
  <c r="GQ10" i="2"/>
  <c r="GR10" i="2" s="1"/>
  <c r="A12" i="2"/>
  <c r="DQ11" i="2"/>
  <c r="DO11" i="2"/>
  <c r="DM11" i="2"/>
  <c r="DL11" i="2"/>
  <c r="DI11" i="2"/>
  <c r="DE11" i="2"/>
  <c r="H11" i="2" s="1"/>
  <c r="DD11" i="2"/>
  <c r="CU11" i="2"/>
  <c r="CL11" i="2"/>
  <c r="CK11" i="2"/>
  <c r="CS11" i="2" s="1"/>
  <c r="CT11" i="2" s="1"/>
  <c r="CV11" i="2" s="1"/>
  <c r="CY11" i="2" s="1"/>
  <c r="FA11" i="2" s="1"/>
  <c r="FB11" i="2" s="1"/>
  <c r="CJ11" i="2"/>
  <c r="CF11" i="2"/>
  <c r="CE11" i="2"/>
  <c r="CC11" i="2"/>
  <c r="CB11" i="2"/>
  <c r="BY11" i="2"/>
  <c r="GH11" i="2" s="1"/>
  <c r="BU11" i="2"/>
  <c r="BT11" i="2"/>
  <c r="BS11" i="2"/>
  <c r="L11" i="2" s="1"/>
  <c r="BR11" i="2"/>
  <c r="BM11" i="2"/>
  <c r="BL11" i="2"/>
  <c r="BK11" i="2"/>
  <c r="AE11" i="2"/>
  <c r="AC11" i="2"/>
  <c r="K11" i="2"/>
  <c r="J11" i="2"/>
  <c r="I11" i="2"/>
  <c r="D11" i="2"/>
  <c r="C11" i="2"/>
  <c r="B11" i="2"/>
  <c r="D89" i="14"/>
  <c r="AL9" i="2"/>
  <c r="R9" i="2"/>
  <c r="BD9" i="2"/>
  <c r="BA9" i="2"/>
  <c r="AV9" i="2"/>
  <c r="AU9" i="2"/>
  <c r="AO9" i="2"/>
  <c r="U9" i="2"/>
  <c r="AJ9" i="2"/>
  <c r="AI9" i="2" s="1" a="1"/>
  <c r="AI9" i="2" s="1"/>
  <c r="AH9" i="2" l="1" a="1"/>
  <c r="AH9" i="2" s="1"/>
  <c r="DS9" i="2"/>
  <c r="DT9" i="2" s="1"/>
  <c r="DP9" i="2" a="1"/>
  <c r="DP9" i="2" s="1"/>
  <c r="DU9" i="2" s="1"/>
  <c r="DK9" i="2" a="1"/>
  <c r="DK9" i="2" s="1"/>
  <c r="DW9" i="2" s="1" a="1"/>
  <c r="DW9" i="2" s="1"/>
  <c r="DJ9" i="2" a="1"/>
  <c r="DJ9" i="2" s="1"/>
  <c r="DV9" i="2" s="1"/>
  <c r="AK9" i="2" a="1"/>
  <c r="AK9" i="2" s="1"/>
  <c r="AQ9" i="2"/>
  <c r="AW9" i="2"/>
  <c r="AG11" i="2"/>
  <c r="HM11" i="2"/>
  <c r="EV11" i="2"/>
  <c r="EW11" i="2" s="1"/>
  <c r="ER11" i="2"/>
  <c r="EM11" i="2"/>
  <c r="EN11" i="2" s="1"/>
  <c r="EJ11" i="2" a="1"/>
  <c r="EJ11" i="2" s="1"/>
  <c r="EI11" i="2" a="1"/>
  <c r="EI11" i="2" s="1"/>
  <c r="T11" i="2" s="1" a="1"/>
  <c r="T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CY12" i="2" l="1"/>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EI12" i="2" a="1"/>
  <c r="EI12" i="2" s="1"/>
  <c r="T12" i="2" s="1" a="1"/>
  <c r="T12" i="2" s="1"/>
  <c r="U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U11" i="2"/>
  <c r="AJ11" i="2"/>
  <c r="AI11" i="2" s="1" a="1"/>
  <c r="AI11" i="2" s="1"/>
  <c r="HG9" i="2"/>
  <c r="HE9" i="2"/>
  <c r="V9" i="2"/>
  <c r="DR9" i="2"/>
  <c r="AH11" i="2" l="1"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W11" i="2" s="1"/>
  <c r="HG11" i="2" s="1"/>
  <c r="AO11" i="2"/>
  <c r="AG13" i="2"/>
  <c r="HM13" i="2"/>
  <c r="EV13" i="2"/>
  <c r="EW13" i="2" s="1"/>
  <c r="ER13" i="2"/>
  <c r="EM13" i="2"/>
  <c r="EN13" i="2" s="1"/>
  <c r="EJ13" i="2" a="1"/>
  <c r="EJ13" i="2" s="1"/>
  <c r="EI13" i="2" a="1"/>
  <c r="EI13" i="2" s="1"/>
  <c r="T13" i="2" s="1" a="1"/>
  <c r="T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CY14" i="2" l="1"/>
  <c r="FA14" i="2" s="1"/>
  <c r="D70" i="9"/>
  <c r="E13" i="8"/>
  <c r="A12" i="8"/>
  <c r="HE10" i="2"/>
  <c r="V10" i="2"/>
  <c r="HG10" i="2"/>
  <c r="DR12" i="2"/>
  <c r="R12" i="2"/>
  <c r="AL12" i="2"/>
  <c r="BD12" i="2"/>
  <c r="BA12" i="2"/>
  <c r="AV12" i="2"/>
  <c r="AU12" i="2"/>
  <c r="AP12" i="2"/>
  <c r="AG14" i="2"/>
  <c r="HM14" i="2"/>
  <c r="EV14" i="2"/>
  <c r="EW14" i="2" s="1"/>
  <c r="ER14" i="2"/>
  <c r="EM14" i="2"/>
  <c r="EN14" i="2" s="1"/>
  <c r="EJ14" i="2" a="1"/>
  <c r="EJ14" i="2" s="1"/>
  <c r="EI14" i="2" a="1"/>
  <c r="EI14" i="2" s="1"/>
  <c r="T14" i="2" s="1" a="1"/>
  <c r="T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U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CY15" i="2" l="1"/>
  <c r="FA15" i="2" s="1"/>
  <c r="FB15" i="2" s="1"/>
  <c r="HE11" i="2"/>
  <c r="V11" i="2"/>
  <c r="DR13" i="2"/>
  <c r="R13" i="2"/>
  <c r="AL13" i="2"/>
  <c r="BD13" i="2"/>
  <c r="BA13" i="2"/>
  <c r="AV13" i="2"/>
  <c r="AU13" i="2"/>
  <c r="AP13" i="2"/>
  <c r="AG15" i="2"/>
  <c r="HM15" i="2"/>
  <c r="EV15" i="2"/>
  <c r="EW15" i="2" s="1"/>
  <c r="ER15" i="2"/>
  <c r="EM15" i="2"/>
  <c r="EN15" i="2" s="1"/>
  <c r="EJ15" i="2" a="1"/>
  <c r="EJ15" i="2" s="1"/>
  <c r="EI15" i="2" a="1"/>
  <c r="EI15" i="2" s="1"/>
  <c r="T15" i="2" s="1" a="1"/>
  <c r="T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Y16" i="2" s="1"/>
  <c r="FA16" i="2" s="1"/>
  <c r="FB16" i="2" s="1"/>
  <c r="CJ16" i="2"/>
  <c r="CF16" i="2"/>
  <c r="CE16" i="2"/>
  <c r="CC16" i="2"/>
  <c r="CB16" i="2"/>
  <c r="BY16" i="2"/>
  <c r="GH16" i="2" s="1"/>
  <c r="BU16" i="2"/>
  <c r="BT16" i="2"/>
  <c r="BS16" i="2"/>
  <c r="L16" i="2" s="1"/>
  <c r="BR16" i="2"/>
  <c r="BM16" i="2"/>
  <c r="BL16" i="2"/>
  <c r="BK16" i="2"/>
  <c r="AE16" i="2"/>
  <c r="AC16" i="2"/>
  <c r="K16" i="2"/>
  <c r="J16" i="2"/>
  <c r="I16" i="2"/>
  <c r="D16" i="2"/>
  <c r="C16" i="2"/>
  <c r="B16" i="2"/>
  <c r="P14" i="2"/>
  <c r="U14" i="2"/>
  <c r="AJ14" i="2"/>
  <c r="AI14" i="2" s="1" a="1"/>
  <c r="AI14" i="2" s="1"/>
  <c r="AW12" i="2"/>
  <c r="EK10" i="2"/>
  <c r="A29" i="9"/>
  <c r="E14" i="8"/>
  <c r="A13" i="8"/>
  <c r="AH14" i="2" l="1" a="1"/>
  <c r="AH14" i="2" s="1"/>
  <c r="AW13" i="2"/>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T16" i="2" s="1" a="1"/>
  <c r="T16" i="2" s="1"/>
  <c r="U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U15" i="2"/>
  <c r="AJ15" i="2"/>
  <c r="AI15" i="2" s="1" a="1"/>
  <c r="AI15" i="2" s="1"/>
  <c r="EK11" i="2"/>
  <c r="A23" i="9"/>
  <c r="AH15" i="2" l="1"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T17" i="2" s="1" a="1"/>
  <c r="T17" i="2" s="1"/>
  <c r="BI17" i="2"/>
  <c r="AF17" i="2" a="1"/>
  <c r="AF17" i="2" s="1"/>
  <c r="G17" i="2"/>
  <c r="E17" i="2"/>
  <c r="M17" i="2"/>
  <c r="GL17" i="2"/>
  <c r="GM17" i="2" s="1"/>
  <c r="GQ17" i="2"/>
  <c r="GR17" i="2" s="1"/>
  <c r="A19" i="2"/>
  <c r="DQ18" i="2"/>
  <c r="DO18" i="2"/>
  <c r="DM18" i="2"/>
  <c r="DL18" i="2"/>
  <c r="DI18" i="2"/>
  <c r="DE18" i="2"/>
  <c r="H18" i="2" s="1"/>
  <c r="DD18" i="2"/>
  <c r="CU18" i="2"/>
  <c r="CL18" i="2"/>
  <c r="CK18" i="2"/>
  <c r="CS18" i="2" s="1"/>
  <c r="CT18" i="2" s="1"/>
  <c r="CV18" i="2" s="1"/>
  <c r="CY18" i="2" s="1"/>
  <c r="FA18" i="2" s="1"/>
  <c r="FB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AW15" i="2" l="1"/>
  <c r="HG15" i="2" s="1"/>
  <c r="E17" i="8"/>
  <c r="A16" i="8"/>
  <c r="HE14" i="2"/>
  <c r="V14" i="2"/>
  <c r="HG14" i="2"/>
  <c r="DR16" i="2"/>
  <c r="R16" i="2"/>
  <c r="AL16" i="2"/>
  <c r="BD16" i="2"/>
  <c r="BA16" i="2"/>
  <c r="AV16" i="2"/>
  <c r="AP16" i="2"/>
  <c r="AO16" i="2"/>
  <c r="AG18" i="2"/>
  <c r="HM18" i="2"/>
  <c r="EV18" i="2"/>
  <c r="EW18" i="2" s="1"/>
  <c r="ER18" i="2"/>
  <c r="EM18" i="2"/>
  <c r="EN18" i="2" s="1"/>
  <c r="EJ18" i="2" a="1"/>
  <c r="EJ18" i="2" s="1"/>
  <c r="EI18" i="2" a="1"/>
  <c r="EI18" i="2" s="1"/>
  <c r="BI18" i="2"/>
  <c r="AF18" i="2" a="1"/>
  <c r="AF18" i="2" s="1"/>
  <c r="T18" i="2" a="1"/>
  <c r="T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U17" i="2"/>
  <c r="AJ17" i="2"/>
  <c r="AH17" i="2" s="1" a="1"/>
  <c r="AH17" i="2" s="1"/>
  <c r="DR15" i="2"/>
  <c r="AI17" i="2" l="1" a="1"/>
  <c r="AI17" i="2" s="1"/>
  <c r="DS17" i="2"/>
  <c r="DT17" i="2" s="1"/>
  <c r="DP17" i="2" a="1"/>
  <c r="DP17" i="2" s="1"/>
  <c r="DU17" i="2" s="1"/>
  <c r="DK17" i="2" a="1"/>
  <c r="DK17" i="2" s="1"/>
  <c r="DW17" i="2" s="1" a="1"/>
  <c r="DW17" i="2" s="1"/>
  <c r="DJ17" i="2" a="1"/>
  <c r="DJ17" i="2" s="1"/>
  <c r="DV17" i="2" s="1"/>
  <c r="AK17" i="2" a="1"/>
  <c r="AK17" i="2" s="1"/>
  <c r="R17" i="2"/>
  <c r="AL17" i="2"/>
  <c r="BD17" i="2"/>
  <c r="BA17" i="2"/>
  <c r="AV17" i="2"/>
  <c r="AP17" i="2"/>
  <c r="AO17" i="2"/>
  <c r="AG19" i="2"/>
  <c r="HM19" i="2"/>
  <c r="EV19" i="2"/>
  <c r="EW19" i="2" s="1"/>
  <c r="ER19" i="2"/>
  <c r="EM19" i="2"/>
  <c r="EN19" i="2" s="1"/>
  <c r="EJ19" i="2" a="1"/>
  <c r="EJ19" i="2" s="1"/>
  <c r="EI19" i="2" a="1"/>
  <c r="EI19" i="2" s="1"/>
  <c r="T19" i="2" s="1" a="1"/>
  <c r="T19" i="2" s="1"/>
  <c r="BI19" i="2"/>
  <c r="AF19" i="2" a="1"/>
  <c r="AF19" i="2" s="1"/>
  <c r="G19" i="2"/>
  <c r="E19" i="2"/>
  <c r="M19" i="2"/>
  <c r="GL19" i="2"/>
  <c r="GM19" i="2" s="1"/>
  <c r="GQ19" i="2"/>
  <c r="GR19" i="2" s="1"/>
  <c r="A21" i="2"/>
  <c r="DQ20" i="2"/>
  <c r="DO20" i="2"/>
  <c r="DM20" i="2"/>
  <c r="DL20" i="2"/>
  <c r="DI20" i="2"/>
  <c r="DE20" i="2"/>
  <c r="H20" i="2" s="1"/>
  <c r="DD20" i="2"/>
  <c r="CU20" i="2"/>
  <c r="CL20" i="2"/>
  <c r="CK20" i="2"/>
  <c r="CS20" i="2" s="1"/>
  <c r="CT20" i="2" s="1"/>
  <c r="CV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CY20" i="2" l="1"/>
  <c r="FA20" i="2" s="1"/>
  <c r="FB20" i="2" s="1"/>
  <c r="E19" i="8"/>
  <c r="A18" i="8"/>
  <c r="HE16" i="2"/>
  <c r="DR18" i="2"/>
  <c r="R18" i="2"/>
  <c r="AL18" i="2"/>
  <c r="BD18" i="2"/>
  <c r="BA18" i="2"/>
  <c r="AV18" i="2"/>
  <c r="AU18" i="2"/>
  <c r="AP18" i="2"/>
  <c r="AG20" i="2"/>
  <c r="HM20" i="2"/>
  <c r="EV20" i="2"/>
  <c r="ER20" i="2"/>
  <c r="EM20" i="2"/>
  <c r="EJ20" i="2" a="1"/>
  <c r="EJ20" i="2" s="1"/>
  <c r="EI20" i="2" a="1"/>
  <c r="EI20" i="2" s="1"/>
  <c r="BI20" i="2"/>
  <c r="AF20" i="2" a="1"/>
  <c r="AF20" i="2" s="1"/>
  <c r="T20" i="2" a="1"/>
  <c r="T20" i="2" s="1"/>
  <c r="G20" i="2"/>
  <c r="E20" i="2"/>
  <c r="M20" i="2"/>
  <c r="GL20" i="2"/>
  <c r="GM20" i="2" s="1"/>
  <c r="GQ20" i="2"/>
  <c r="GR20" i="2" s="1"/>
  <c r="A22" i="2"/>
  <c r="DQ21" i="2"/>
  <c r="DO21" i="2"/>
  <c r="DM21" i="2"/>
  <c r="DL21" i="2"/>
  <c r="DI21" i="2"/>
  <c r="DE21" i="2"/>
  <c r="H21" i="2" s="1"/>
  <c r="DD21" i="2"/>
  <c r="CU21" i="2"/>
  <c r="CL21" i="2"/>
  <c r="CK21" i="2"/>
  <c r="CS21" i="2" s="1"/>
  <c r="CT21" i="2" s="1"/>
  <c r="CV21" i="2" s="1"/>
  <c r="CY21" i="2" s="1"/>
  <c r="FA21" i="2" s="1"/>
  <c r="CJ21" i="2"/>
  <c r="CF21" i="2"/>
  <c r="CE21" i="2"/>
  <c r="CC21" i="2"/>
  <c r="CB21" i="2"/>
  <c r="BY21" i="2"/>
  <c r="GH21" i="2" s="1"/>
  <c r="BU21" i="2"/>
  <c r="BT21" i="2"/>
  <c r="BS21" i="2"/>
  <c r="L21" i="2" s="1"/>
  <c r="BR21" i="2"/>
  <c r="BM21" i="2"/>
  <c r="BL21" i="2"/>
  <c r="BK21" i="2"/>
  <c r="AE21" i="2"/>
  <c r="AC21" i="2"/>
  <c r="K21" i="2"/>
  <c r="J21" i="2"/>
  <c r="I21" i="2"/>
  <c r="D21" i="2"/>
  <c r="C21" i="2"/>
  <c r="B21" i="2"/>
  <c r="P19" i="2"/>
  <c r="U19" i="2"/>
  <c r="AJ19" i="2"/>
  <c r="AI19" i="2" a="1"/>
  <c r="AI19" i="2" s="1"/>
  <c r="AH19" i="2" a="1"/>
  <c r="AH19" i="2" s="1"/>
  <c r="AQ17" i="2"/>
  <c r="DR17" i="2"/>
  <c r="AW18" i="2" l="1"/>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BI21" i="2"/>
  <c r="AF21" i="2" a="1"/>
  <c r="AF21" i="2" s="1"/>
  <c r="T21" i="2" a="1"/>
  <c r="T21" i="2" s="1"/>
  <c r="G21" i="2"/>
  <c r="E21" i="2"/>
  <c r="M21" i="2"/>
  <c r="GL21" i="2"/>
  <c r="GQ21" i="2"/>
  <c r="GR21" i="2" s="1"/>
  <c r="A23" i="2"/>
  <c r="DQ22" i="2"/>
  <c r="DO22" i="2"/>
  <c r="DM22" i="2"/>
  <c r="DL22" i="2"/>
  <c r="DI22" i="2"/>
  <c r="DE22" i="2"/>
  <c r="H22" i="2" s="1"/>
  <c r="DD22" i="2"/>
  <c r="CU22" i="2"/>
  <c r="CL22" i="2"/>
  <c r="CK22" i="2"/>
  <c r="CS22" i="2" s="1"/>
  <c r="CT22" i="2" s="1"/>
  <c r="CV22" i="2" s="1"/>
  <c r="CY22" i="2" s="1"/>
  <c r="FA22" i="2" s="1"/>
  <c r="FB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AH20" i="2" l="1"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EI22" i="2" a="1"/>
  <c r="EI22" i="2" s="1"/>
  <c r="T22" i="2" s="1" a="1"/>
  <c r="T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AH21" i="2" l="1"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W21" i="2" s="1"/>
  <c r="HG21" i="2" s="1"/>
  <c r="AO21" i="2"/>
  <c r="AG23" i="2"/>
  <c r="HM23" i="2"/>
  <c r="EV23" i="2"/>
  <c r="EW23" i="2" s="1"/>
  <c r="ER23" i="2"/>
  <c r="EM23" i="2"/>
  <c r="EN23" i="2" s="1"/>
  <c r="EJ23" i="2" a="1"/>
  <c r="EJ23" i="2" s="1"/>
  <c r="EI23" i="2" a="1"/>
  <c r="EI23" i="2" s="1"/>
  <c r="T23" i="2" s="1" a="1"/>
  <c r="T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U22" i="2"/>
  <c r="AJ22" i="2"/>
  <c r="AI22" i="2" s="1" a="1"/>
  <c r="AI22" i="2" s="1"/>
  <c r="AQ20" i="2"/>
  <c r="DR20" i="2"/>
  <c r="E22" i="8"/>
  <c r="A21" i="8"/>
  <c r="AH22" i="2" l="1"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T24" i="2" s="1" a="1"/>
  <c r="T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CY25" i="2" l="1"/>
  <c r="FA25" i="2" s="1"/>
  <c r="FB25" i="2" s="1"/>
  <c r="AW22" i="2"/>
  <c r="HG22" i="2" s="1"/>
  <c r="HE21" i="2"/>
  <c r="V21" i="2"/>
  <c r="DR23" i="2"/>
  <c r="R23" i="2"/>
  <c r="AL23" i="2"/>
  <c r="BD23" i="2"/>
  <c r="BA23" i="2"/>
  <c r="AV23" i="2"/>
  <c r="AU23" i="2"/>
  <c r="AO23" i="2"/>
  <c r="AG25" i="2"/>
  <c r="HM25" i="2"/>
  <c r="EV25" i="2"/>
  <c r="EW25" i="2" s="1"/>
  <c r="ER25" i="2"/>
  <c r="EM25" i="2"/>
  <c r="EN25" i="2" s="1"/>
  <c r="EJ25" i="2" a="1"/>
  <c r="EJ25" i="2" s="1"/>
  <c r="EI25" i="2" a="1"/>
  <c r="EI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Y26" i="2" s="1"/>
  <c r="FA26" i="2" s="1"/>
  <c r="FB26" i="2" s="1"/>
  <c r="CJ26" i="2"/>
  <c r="CF26" i="2"/>
  <c r="CE26" i="2"/>
  <c r="CC26" i="2"/>
  <c r="CB26" i="2"/>
  <c r="BY26" i="2"/>
  <c r="GH26" i="2" s="1"/>
  <c r="BU26" i="2"/>
  <c r="BT26" i="2"/>
  <c r="BS26" i="2"/>
  <c r="L26" i="2" s="1"/>
  <c r="BR26" i="2"/>
  <c r="BM26" i="2"/>
  <c r="BL26" i="2"/>
  <c r="BK26" i="2"/>
  <c r="AE26" i="2"/>
  <c r="AC26" i="2"/>
  <c r="K26" i="2"/>
  <c r="J26" i="2"/>
  <c r="I26" i="2"/>
  <c r="D26" i="2"/>
  <c r="C26" i="2"/>
  <c r="B26" i="2"/>
  <c r="P24" i="2"/>
  <c r="U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T25" i="2" l="1" a="1"/>
  <c r="T25" i="2" s="1"/>
  <c r="AW23" i="2"/>
  <c r="HG23" i="2" s="1"/>
  <c r="E25" i="8"/>
  <c r="A24" i="8"/>
  <c r="DR24" i="2"/>
  <c r="R24" i="2"/>
  <c r="AL24" i="2"/>
  <c r="BD24" i="2"/>
  <c r="BA24" i="2"/>
  <c r="AV24" i="2"/>
  <c r="AP24" i="2"/>
  <c r="AO24" i="2"/>
  <c r="AG26" i="2"/>
  <c r="HM26" i="2"/>
  <c r="EV26" i="2"/>
  <c r="EW26" i="2" s="1"/>
  <c r="ER26" i="2"/>
  <c r="EM26" i="2"/>
  <c r="EN26" i="2" s="1"/>
  <c r="EJ26" i="2" a="1"/>
  <c r="EJ26" i="2" s="1"/>
  <c r="EI26" i="2" a="1"/>
  <c r="EI26" i="2" s="1"/>
  <c r="T26" i="2" s="1" a="1"/>
  <c r="T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Y27" i="2" s="1"/>
  <c r="FA27" i="2" s="1"/>
  <c r="FB27" i="2" s="1"/>
  <c r="CJ27" i="2"/>
  <c r="CF27" i="2"/>
  <c r="CE27" i="2"/>
  <c r="CC27" i="2"/>
  <c r="CB27" i="2"/>
  <c r="BY27" i="2"/>
  <c r="GH27" i="2" s="1"/>
  <c r="BU27" i="2"/>
  <c r="BT27" i="2"/>
  <c r="BS27" i="2"/>
  <c r="L27" i="2" s="1"/>
  <c r="BR27" i="2"/>
  <c r="BM27" i="2"/>
  <c r="BL27" i="2"/>
  <c r="BK27" i="2"/>
  <c r="AE27" i="2"/>
  <c r="AC27" i="2"/>
  <c r="K27" i="2"/>
  <c r="J27" i="2"/>
  <c r="I27" i="2"/>
  <c r="D27" i="2"/>
  <c r="C27" i="2"/>
  <c r="B27" i="2"/>
  <c r="P25" i="2"/>
  <c r="U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HE23" i="2" l="1"/>
  <c r="V23" i="2"/>
  <c r="DR25" i="2"/>
  <c r="R25" i="2"/>
  <c r="AL25" i="2"/>
  <c r="BD25" i="2"/>
  <c r="BA25" i="2"/>
  <c r="AV25" i="2"/>
  <c r="AU25" i="2"/>
  <c r="AP25" i="2"/>
  <c r="AG27" i="2"/>
  <c r="HM27" i="2"/>
  <c r="EV27" i="2"/>
  <c r="EW27" i="2" s="1"/>
  <c r="ER27" i="2"/>
  <c r="EM27" i="2"/>
  <c r="EN27" i="2" s="1"/>
  <c r="EJ27" i="2" a="1"/>
  <c r="EJ27" i="2" s="1"/>
  <c r="T27" i="2" s="1" a="1"/>
  <c r="T27" i="2" s="1"/>
  <c r="EI27" i="2" a="1"/>
  <c r="EI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U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CY28" i="2" l="1"/>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T28" i="2" a="1"/>
  <c r="T28" i="2" s="1"/>
  <c r="G28" i="2"/>
  <c r="E28" i="2"/>
  <c r="M28" i="2"/>
  <c r="GL28" i="2"/>
  <c r="GM28" i="2" s="1"/>
  <c r="GQ28" i="2"/>
  <c r="GR28" i="2" s="1"/>
  <c r="A30" i="2"/>
  <c r="DQ29" i="2"/>
  <c r="DO29" i="2"/>
  <c r="DM29" i="2"/>
  <c r="DL29" i="2"/>
  <c r="DI29" i="2"/>
  <c r="DE29" i="2"/>
  <c r="H29" i="2" s="1"/>
  <c r="DD29" i="2"/>
  <c r="CU29" i="2"/>
  <c r="CL29" i="2"/>
  <c r="CK29" i="2"/>
  <c r="CS29" i="2" s="1"/>
  <c r="CT29" i="2" s="1"/>
  <c r="CV29" i="2" s="1"/>
  <c r="CY29" i="2" s="1"/>
  <c r="FA29" i="2" s="1"/>
  <c r="CJ29" i="2"/>
  <c r="CF29" i="2"/>
  <c r="CE29" i="2"/>
  <c r="CC29" i="2"/>
  <c r="CB29" i="2"/>
  <c r="BY29" i="2"/>
  <c r="GH29" i="2" s="1"/>
  <c r="BU29" i="2"/>
  <c r="BT29" i="2"/>
  <c r="BS29" i="2"/>
  <c r="L29" i="2" s="1"/>
  <c r="BR29" i="2"/>
  <c r="BM29" i="2"/>
  <c r="BL29" i="2"/>
  <c r="BK29" i="2"/>
  <c r="AE29" i="2"/>
  <c r="AC29" i="2"/>
  <c r="K29" i="2"/>
  <c r="J29" i="2"/>
  <c r="I29" i="2"/>
  <c r="D29" i="2"/>
  <c r="C29" i="2"/>
  <c r="B29" i="2"/>
  <c r="P27" i="2"/>
  <c r="U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DR27" i="2" l="1"/>
  <c r="R27" i="2"/>
  <c r="AL27" i="2"/>
  <c r="BD27" i="2"/>
  <c r="BA27" i="2"/>
  <c r="AV27" i="2"/>
  <c r="AU27" i="2"/>
  <c r="AW27" i="2" s="1"/>
  <c r="HG27" i="2" s="1"/>
  <c r="AO27" i="2"/>
  <c r="AG29" i="2"/>
  <c r="HM29" i="2"/>
  <c r="EV29" i="2"/>
  <c r="EW29" i="2" s="1"/>
  <c r="ER29" i="2"/>
  <c r="EM29" i="2"/>
  <c r="EN29" i="2" s="1"/>
  <c r="EJ29" i="2" a="1"/>
  <c r="EJ29" i="2" s="1"/>
  <c r="EI29" i="2" a="1"/>
  <c r="EI29" i="2" s="1"/>
  <c r="T29" i="2" s="1" a="1"/>
  <c r="T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U28" i="2"/>
  <c r="AJ28" i="2"/>
  <c r="AI28" i="2" s="1" a="1"/>
  <c r="AI28" i="2" s="1"/>
  <c r="AQ26" i="2"/>
  <c r="E28" i="8"/>
  <c r="A27" i="8"/>
  <c r="AH28" i="2" l="1"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T30" i="2" s="1" a="1"/>
  <c r="T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U29" i="2"/>
  <c r="AJ29" i="2"/>
  <c r="AI29" i="2" s="1" a="1"/>
  <c r="AI29" i="2" s="1"/>
  <c r="AQ27" i="2"/>
  <c r="AH29" i="2" l="1"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W29" i="2" s="1"/>
  <c r="HG29" i="2" s="1"/>
  <c r="AO29" i="2"/>
  <c r="AG31" i="2"/>
  <c r="HM31" i="2"/>
  <c r="EV31" i="2"/>
  <c r="EW31" i="2" s="1"/>
  <c r="ER31" i="2"/>
  <c r="EM31" i="2"/>
  <c r="EN31" i="2" s="1"/>
  <c r="EJ31" i="2" a="1"/>
  <c r="EJ31" i="2" s="1"/>
  <c r="EI31" i="2" a="1"/>
  <c r="EI31" i="2" s="1"/>
  <c r="T31" i="2" s="1" a="1"/>
  <c r="T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CY32" i="2" l="1"/>
  <c r="FA32" i="2" s="1"/>
  <c r="FB32" i="2" s="1"/>
  <c r="E31" i="8"/>
  <c r="A30" i="8"/>
  <c r="HE28" i="2"/>
  <c r="DR30" i="2"/>
  <c r="R30" i="2"/>
  <c r="AL30" i="2"/>
  <c r="BD30" i="2"/>
  <c r="BA30" i="2"/>
  <c r="AV30" i="2"/>
  <c r="AP30" i="2"/>
  <c r="AO30" i="2"/>
  <c r="AG32" i="2"/>
  <c r="HM32" i="2"/>
  <c r="EV32" i="2"/>
  <c r="EW32" i="2" s="1"/>
  <c r="ER32" i="2"/>
  <c r="EM32" i="2"/>
  <c r="EN32" i="2" s="1"/>
  <c r="EJ32" i="2" a="1"/>
  <c r="EJ32" i="2" s="1"/>
  <c r="EI32" i="2" a="1"/>
  <c r="EI32" i="2" s="1"/>
  <c r="T32" i="2" s="1" a="1"/>
  <c r="T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U31" i="2"/>
  <c r="AJ31" i="2"/>
  <c r="AH31" i="2" s="1" a="1"/>
  <c r="AH31" i="2" s="1"/>
  <c r="AQ29" i="2"/>
  <c r="DR29" i="2"/>
  <c r="EK27" i="2"/>
  <c r="A30" i="9"/>
  <c r="CY33" i="2" l="1"/>
  <c r="FA33" i="2" s="1"/>
  <c r="FB33" i="2" s="1"/>
  <c r="AI31" i="2" a="1"/>
  <c r="AI31" i="2" s="1"/>
  <c r="HE29" i="2"/>
  <c r="V29" i="2"/>
  <c r="DS31" i="2"/>
  <c r="DT31" i="2" s="1"/>
  <c r="DP31" i="2" a="1"/>
  <c r="DP31" i="2" s="1"/>
  <c r="DU31" i="2" s="1"/>
  <c r="DK31" i="2" a="1"/>
  <c r="DK31" i="2" s="1"/>
  <c r="DW31" i="2" s="1" a="1"/>
  <c r="DW31" i="2" s="1"/>
  <c r="DJ31" i="2" a="1"/>
  <c r="DJ31" i="2" s="1"/>
  <c r="DV31" i="2" s="1"/>
  <c r="AK31" i="2" a="1"/>
  <c r="AK31" i="2" s="1"/>
  <c r="AL31" i="2" s="1"/>
  <c r="R31" i="2"/>
  <c r="BD31" i="2"/>
  <c r="BA31" i="2"/>
  <c r="AV31" i="2"/>
  <c r="AU31" i="2"/>
  <c r="AP31" i="2"/>
  <c r="AG33" i="2"/>
  <c r="HM33" i="2"/>
  <c r="EV33" i="2"/>
  <c r="EW33" i="2" s="1"/>
  <c r="ER33" i="2"/>
  <c r="EM33" i="2"/>
  <c r="EN33" i="2" s="1"/>
  <c r="EJ33" i="2" a="1"/>
  <c r="EJ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U32" i="2"/>
  <c r="AJ32" i="2"/>
  <c r="AI32" i="2" s="1" a="1"/>
  <c r="AI32" i="2" s="1"/>
  <c r="AQ30" i="2"/>
  <c r="E32" i="8"/>
  <c r="A31" i="8"/>
  <c r="EI33" i="2" l="1" a="1"/>
  <c r="EI33" i="2" s="1"/>
  <c r="T33" i="2" s="1" a="1"/>
  <c r="T33" i="2" s="1"/>
  <c r="AW31" i="2"/>
  <c r="HG31" i="2" s="1"/>
  <c r="AH32" i="2"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EI34" i="2" a="1"/>
  <c r="EI34" i="2" s="1"/>
  <c r="T34" i="2" s="1" a="1"/>
  <c r="T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U33" i="2"/>
  <c r="AJ33" i="2"/>
  <c r="AI33" i="2" s="1" a="1"/>
  <c r="AI33" i="2" s="1"/>
  <c r="DR31" i="2"/>
  <c r="EK29" i="2"/>
  <c r="A32" i="9"/>
  <c r="AW32" i="2" l="1"/>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EI35" i="2" a="1"/>
  <c r="EI35" i="2" s="1"/>
  <c r="T35" i="2" s="1" a="1"/>
  <c r="T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U34" i="2"/>
  <c r="AJ34" i="2"/>
  <c r="AI34" i="2" s="1" a="1"/>
  <c r="AI34" i="2" s="1"/>
  <c r="DR32" i="2"/>
  <c r="E34" i="8"/>
  <c r="A33" i="8"/>
  <c r="AH34" i="2" l="1" a="1"/>
  <c r="AH34" i="2" s="1"/>
  <c r="AW33" i="2"/>
  <c r="HG33" i="2" s="1"/>
  <c r="CY36" i="2"/>
  <c r="FA36" i="2" s="1"/>
  <c r="E35" i="8"/>
  <c r="A34" i="8"/>
  <c r="DS34" i="2"/>
  <c r="DT34" i="2" s="1"/>
  <c r="DP34" i="2" a="1"/>
  <c r="DP34" i="2" s="1"/>
  <c r="DU34" i="2" s="1"/>
  <c r="DK34" i="2" a="1"/>
  <c r="DK34" i="2" s="1"/>
  <c r="DW34" i="2" s="1" a="1"/>
  <c r="DW34" i="2" s="1"/>
  <c r="DJ34" i="2" a="1"/>
  <c r="DJ34" i="2" s="1"/>
  <c r="DV34" i="2" s="1"/>
  <c r="AK34" i="2" a="1"/>
  <c r="AK34" i="2" s="1"/>
  <c r="AL34" i="2" s="1"/>
  <c r="R34" i="2"/>
  <c r="BD34" i="2"/>
  <c r="BA34" i="2"/>
  <c r="AV34" i="2"/>
  <c r="AU34" i="2"/>
  <c r="AP34" i="2"/>
  <c r="AG36" i="2"/>
  <c r="HM36" i="2"/>
  <c r="EV36" i="2"/>
  <c r="EW36" i="2" s="1"/>
  <c r="ER36" i="2"/>
  <c r="EM36" i="2"/>
  <c r="EN36" i="2" s="1"/>
  <c r="EJ36" i="2" a="1"/>
  <c r="EJ36" i="2" s="1"/>
  <c r="EI36" i="2" a="1"/>
  <c r="EI36" i="2" s="1"/>
  <c r="T36" i="2" s="1" a="1"/>
  <c r="T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AW34" i="2" l="1"/>
  <c r="HG34" i="2" s="1"/>
  <c r="AH35" i="2"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EI37" i="2" a="1"/>
  <c r="EI37" i="2" s="1"/>
  <c r="T37" i="2" s="1" a="1"/>
  <c r="T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AW35" i="2" l="1"/>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EI38" i="2" a="1"/>
  <c r="EI38" i="2" s="1"/>
  <c r="T38" i="2" s="1" a="1"/>
  <c r="T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J39" i="2"/>
  <c r="CF39" i="2"/>
  <c r="CE39" i="2"/>
  <c r="CC39" i="2"/>
  <c r="CB39" i="2"/>
  <c r="BY39" i="2"/>
  <c r="GH39" i="2" s="1"/>
  <c r="BU39" i="2"/>
  <c r="BT39" i="2"/>
  <c r="BS39" i="2"/>
  <c r="L39" i="2" s="1"/>
  <c r="BR39" i="2"/>
  <c r="BM39" i="2"/>
  <c r="BL39" i="2"/>
  <c r="BK39" i="2"/>
  <c r="AE39" i="2"/>
  <c r="AC39" i="2"/>
  <c r="K39" i="2"/>
  <c r="J39" i="2"/>
  <c r="I39" i="2"/>
  <c r="D39" i="2"/>
  <c r="C39" i="2"/>
  <c r="B39" i="2"/>
  <c r="P37" i="2"/>
  <c r="U37" i="2"/>
  <c r="AJ37" i="2"/>
  <c r="AI37" i="2" s="1" a="1"/>
  <c r="AI37" i="2" s="1"/>
  <c r="DR35" i="2"/>
  <c r="EK33" i="2"/>
  <c r="A3" i="9"/>
  <c r="CY39" i="2" l="1"/>
  <c r="FA39" i="2" s="1"/>
  <c r="FB39" i="2" s="1"/>
  <c r="AH37" i="2"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EI39" i="2" a="1"/>
  <c r="EI39" i="2" s="1"/>
  <c r="BI39" i="2"/>
  <c r="AF39" i="2" a="1"/>
  <c r="AF39" i="2" s="1"/>
  <c r="T39" i="2" a="1"/>
  <c r="T39" i="2" s="1"/>
  <c r="G39" i="2"/>
  <c r="E39" i="2"/>
  <c r="M39" i="2"/>
  <c r="GL39" i="2"/>
  <c r="GM39" i="2" s="1"/>
  <c r="GQ39" i="2"/>
  <c r="GR39" i="2" s="1"/>
  <c r="A41" i="2"/>
  <c r="DQ40" i="2"/>
  <c r="DO40" i="2"/>
  <c r="DM40" i="2"/>
  <c r="DL40" i="2"/>
  <c r="DI40" i="2"/>
  <c r="DE40" i="2"/>
  <c r="H40" i="2" s="1"/>
  <c r="DD40" i="2"/>
  <c r="CU40" i="2"/>
  <c r="CL40" i="2"/>
  <c r="CK40" i="2"/>
  <c r="CS40" i="2" s="1"/>
  <c r="CT40" i="2" s="1"/>
  <c r="CV40" i="2" s="1"/>
  <c r="CY40" i="2" s="1"/>
  <c r="FA40" i="2" s="1"/>
  <c r="FB40" i="2" s="1"/>
  <c r="CJ40" i="2"/>
  <c r="CF40" i="2"/>
  <c r="CE40" i="2"/>
  <c r="CC40" i="2"/>
  <c r="CB40" i="2"/>
  <c r="BY40" i="2"/>
  <c r="GH40" i="2" s="1"/>
  <c r="BU40" i="2"/>
  <c r="BT40" i="2"/>
  <c r="BS40" i="2"/>
  <c r="L40" i="2" s="1"/>
  <c r="BR40" i="2"/>
  <c r="BM40" i="2"/>
  <c r="BL40" i="2"/>
  <c r="BK40" i="2"/>
  <c r="AE40" i="2"/>
  <c r="AC40" i="2"/>
  <c r="K40" i="2"/>
  <c r="J40" i="2"/>
  <c r="I40" i="2"/>
  <c r="D40" i="2"/>
  <c r="C40" i="2"/>
  <c r="B40" i="2"/>
  <c r="P38" i="2"/>
  <c r="U38" i="2"/>
  <c r="AJ38" i="2"/>
  <c r="AH38" i="2" s="1" a="1"/>
  <c r="AH38" i="2" s="1"/>
  <c r="AQ36" i="2"/>
  <c r="DR36" i="2"/>
  <c r="E38" i="8"/>
  <c r="A37" i="8"/>
  <c r="AI38" i="2" l="1" a="1"/>
  <c r="AI38" i="2" s="1"/>
  <c r="AW37" i="2"/>
  <c r="HG37" i="2" s="1"/>
  <c r="E39" i="8"/>
  <c r="A38" i="8"/>
  <c r="HE36" i="2"/>
  <c r="DS38" i="2"/>
  <c r="DT38" i="2" s="1"/>
  <c r="DP38" i="2" a="1"/>
  <c r="DP38" i="2" s="1"/>
  <c r="DU38" i="2" s="1"/>
  <c r="DK38" i="2" a="1"/>
  <c r="DK38" i="2" s="1"/>
  <c r="DW38" i="2" s="1" a="1"/>
  <c r="DW38" i="2" s="1"/>
  <c r="DJ38" i="2" a="1"/>
  <c r="DJ38" i="2" s="1"/>
  <c r="DV38" i="2" s="1"/>
  <c r="AK38" i="2" a="1"/>
  <c r="AK38" i="2" s="1"/>
  <c r="R38" i="2"/>
  <c r="AL38" i="2"/>
  <c r="BD38" i="2"/>
  <c r="BA38" i="2"/>
  <c r="AV38" i="2"/>
  <c r="AU38" i="2"/>
  <c r="AW38" i="2" s="1"/>
  <c r="HG38" i="2" s="1"/>
  <c r="AP38" i="2"/>
  <c r="AG40" i="2"/>
  <c r="HM40" i="2"/>
  <c r="EV40" i="2"/>
  <c r="ER40" i="2"/>
  <c r="EM40" i="2"/>
  <c r="EN40" i="2" s="1"/>
  <c r="EJ40" i="2" a="1"/>
  <c r="EJ40" i="2" s="1"/>
  <c r="EI40" i="2" a="1"/>
  <c r="EI40" i="2" s="1"/>
  <c r="T40" i="2" s="1" a="1"/>
  <c r="T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U39" i="2"/>
  <c r="AJ39" i="2"/>
  <c r="AI39" i="2" s="1" a="1"/>
  <c r="AI39" i="2" s="1"/>
  <c r="AQ37" i="2"/>
  <c r="DR37" i="2"/>
  <c r="AH39" i="2" l="1"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T41" i="2" s="1" a="1"/>
  <c r="T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AW39" i="2" l="1"/>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T42" i="2" s="1" a="1"/>
  <c r="T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U41" i="2"/>
  <c r="AJ41" i="2"/>
  <c r="AI41" i="2" a="1"/>
  <c r="AI41" i="2" s="1"/>
  <c r="AH41" i="2" a="1"/>
  <c r="AH41" i="2" s="1"/>
  <c r="Q6" i="7"/>
  <c r="DR39" i="2"/>
  <c r="EK37" i="2"/>
  <c r="A21" i="9"/>
  <c r="CY43" i="2" l="1"/>
  <c r="FA43" i="2" s="1"/>
  <c r="FB43" i="2" s="1"/>
  <c r="DS41" i="2"/>
  <c r="DT41" i="2" s="1"/>
  <c r="DP41" i="2" a="1"/>
  <c r="DP41" i="2" s="1"/>
  <c r="DU41" i="2" s="1"/>
  <c r="DK41" i="2" a="1"/>
  <c r="DK41" i="2" s="1"/>
  <c r="DW41" i="2" s="1" a="1"/>
  <c r="DW41" i="2" s="1"/>
  <c r="DJ41" i="2" a="1"/>
  <c r="DJ41" i="2" s="1"/>
  <c r="DV41" i="2" s="1"/>
  <c r="AK41" i="2" a="1"/>
  <c r="AK41" i="2" s="1"/>
  <c r="R41" i="2"/>
  <c r="AL41" i="2"/>
  <c r="BD41" i="2"/>
  <c r="BA41" i="2"/>
  <c r="AV41" i="2"/>
  <c r="AP41" i="2"/>
  <c r="AO41" i="2"/>
  <c r="AG43" i="2"/>
  <c r="HM43" i="2"/>
  <c r="EV43" i="2"/>
  <c r="ER43" i="2"/>
  <c r="EM43" i="2"/>
  <c r="EN43" i="2" s="1"/>
  <c r="EJ43" i="2" a="1"/>
  <c r="EJ43" i="2" s="1"/>
  <c r="EI43" i="2" a="1"/>
  <c r="EI43" i="2" s="1"/>
  <c r="BI43" i="2"/>
  <c r="AF43" i="2" a="1"/>
  <c r="AF43" i="2" s="1"/>
  <c r="T43" i="2" a="1"/>
  <c r="T43" i="2" s="1"/>
  <c r="G43" i="2"/>
  <c r="E43" i="2"/>
  <c r="M43" i="2"/>
  <c r="GL43" i="2"/>
  <c r="GM43" i="2" s="1"/>
  <c r="GQ43" i="2"/>
  <c r="GR43" i="2" s="1"/>
  <c r="A45" i="2"/>
  <c r="DQ44" i="2"/>
  <c r="DO44" i="2"/>
  <c r="DM44" i="2"/>
  <c r="DL44" i="2"/>
  <c r="DI44" i="2"/>
  <c r="DE44" i="2"/>
  <c r="H44" i="2" s="1"/>
  <c r="DD44" i="2"/>
  <c r="CU44" i="2"/>
  <c r="CL44" i="2"/>
  <c r="CK44" i="2"/>
  <c r="CS44" i="2" s="1"/>
  <c r="CT44" i="2" s="1"/>
  <c r="CV44" i="2" s="1"/>
  <c r="CY44" i="2" s="1"/>
  <c r="FA44" i="2" s="1"/>
  <c r="FB44" i="2" s="1"/>
  <c r="CJ44" i="2"/>
  <c r="CF44" i="2"/>
  <c r="CE44" i="2"/>
  <c r="CC44" i="2"/>
  <c r="CB44" i="2"/>
  <c r="BY44" i="2"/>
  <c r="GH44" i="2" s="1"/>
  <c r="BU44" i="2"/>
  <c r="BT44" i="2"/>
  <c r="BS44" i="2"/>
  <c r="L44" i="2" s="1"/>
  <c r="BR44" i="2"/>
  <c r="BM44" i="2"/>
  <c r="BL44" i="2"/>
  <c r="BK44" i="2"/>
  <c r="AE44" i="2"/>
  <c r="AC44" i="2"/>
  <c r="K44" i="2"/>
  <c r="J44" i="2"/>
  <c r="I44" i="2"/>
  <c r="D44" i="2"/>
  <c r="C44" i="2"/>
  <c r="B44" i="2"/>
  <c r="P42" i="2"/>
  <c r="U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E43" i="8" l="1"/>
  <c r="A42" i="8"/>
  <c r="HE40" i="2"/>
  <c r="DR42" i="2"/>
  <c r="R42" i="2"/>
  <c r="AL42" i="2"/>
  <c r="BD42" i="2"/>
  <c r="BA42" i="2"/>
  <c r="AV42" i="2"/>
  <c r="AP42" i="2"/>
  <c r="AO42" i="2"/>
  <c r="AG44" i="2"/>
  <c r="HM44" i="2"/>
  <c r="EV44" i="2"/>
  <c r="ER44" i="2"/>
  <c r="EM44" i="2"/>
  <c r="EN44" i="2" s="1"/>
  <c r="EJ44" i="2" a="1"/>
  <c r="EJ44" i="2" s="1"/>
  <c r="EI44" i="2" a="1"/>
  <c r="EI44" i="2" s="1"/>
  <c r="BI44" i="2"/>
  <c r="AF44" i="2" a="1"/>
  <c r="AF44" i="2" s="1"/>
  <c r="T44" i="2" a="1"/>
  <c r="T44" i="2" s="1"/>
  <c r="G44" i="2"/>
  <c r="E44" i="2"/>
  <c r="M44" i="2"/>
  <c r="GL44" i="2"/>
  <c r="GM44" i="2" s="1"/>
  <c r="GQ44" i="2"/>
  <c r="GR44" i="2" s="1"/>
  <c r="A46" i="2"/>
  <c r="DQ45" i="2"/>
  <c r="DO45" i="2"/>
  <c r="DM45" i="2"/>
  <c r="DL45" i="2"/>
  <c r="DI45" i="2"/>
  <c r="DE45" i="2"/>
  <c r="H45" i="2" s="1"/>
  <c r="DD45" i="2"/>
  <c r="CU45" i="2"/>
  <c r="CL45" i="2"/>
  <c r="CK45" i="2"/>
  <c r="CS45" i="2" s="1"/>
  <c r="CT45" i="2" s="1"/>
  <c r="CV45" i="2" s="1"/>
  <c r="CY45" i="2" s="1"/>
  <c r="FA45" i="2" s="1"/>
  <c r="FB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HE41" i="2" l="1"/>
  <c r="DR43" i="2"/>
  <c r="R43" i="2"/>
  <c r="AL43" i="2"/>
  <c r="BD43" i="2"/>
  <c r="BA43" i="2"/>
  <c r="AV43" i="2"/>
  <c r="AP43" i="2"/>
  <c r="AO43" i="2"/>
  <c r="AG45" i="2"/>
  <c r="HM45" i="2"/>
  <c r="EV45" i="2"/>
  <c r="EW45" i="2" s="1"/>
  <c r="ER45" i="2"/>
  <c r="EM45" i="2"/>
  <c r="EN45" i="2" s="1"/>
  <c r="EJ45" i="2" a="1"/>
  <c r="EJ45" i="2" s="1"/>
  <c r="EI45" i="2" a="1"/>
  <c r="EI45" i="2" s="1"/>
  <c r="T45" i="2" s="1" a="1"/>
  <c r="T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J46" i="2"/>
  <c r="CF46" i="2"/>
  <c r="CE46" i="2"/>
  <c r="CC46" i="2"/>
  <c r="CB46" i="2"/>
  <c r="BY46" i="2"/>
  <c r="GH46" i="2" s="1"/>
  <c r="BU46" i="2"/>
  <c r="BT46" i="2"/>
  <c r="BS46" i="2"/>
  <c r="L46" i="2" s="1"/>
  <c r="BR46" i="2"/>
  <c r="BM46" i="2"/>
  <c r="BL46" i="2"/>
  <c r="BK46" i="2"/>
  <c r="AE46" i="2"/>
  <c r="AC46" i="2"/>
  <c r="K46" i="2"/>
  <c r="J46" i="2"/>
  <c r="I46" i="2"/>
  <c r="D46" i="2"/>
  <c r="C46" i="2"/>
  <c r="B46" i="2"/>
  <c r="P44" i="2"/>
  <c r="U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CY46" i="2" l="1"/>
  <c r="FA46" i="2" s="1"/>
  <c r="FB46" i="2" s="1"/>
  <c r="E45" i="8"/>
  <c r="A44" i="8"/>
  <c r="W9" i="2"/>
  <c r="Z9" i="2"/>
  <c r="AA9" i="2" s="1"/>
  <c r="Z11" i="2"/>
  <c r="AA11" i="2" s="1"/>
  <c r="W11" i="2"/>
  <c r="Z12" i="2"/>
  <c r="AA12" i="2" s="1"/>
  <c r="W12" i="2"/>
  <c r="Y12" i="2" s="1"/>
  <c r="AO12" i="2" s="1"/>
  <c r="Z13" i="2"/>
  <c r="AA13" i="2" s="1"/>
  <c r="W13" i="2"/>
  <c r="Y13" i="2" s="1"/>
  <c r="AO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EI46" i="2" a="1"/>
  <c r="EI46" i="2" s="1"/>
  <c r="T46" i="2" s="1" a="1"/>
  <c r="T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U45" i="2"/>
  <c r="DS45" i="2"/>
  <c r="DT45" i="2" s="1"/>
  <c r="DP45" i="2" a="1"/>
  <c r="DP45" i="2" s="1"/>
  <c r="DU45" i="2" s="1"/>
  <c r="DK45" i="2" a="1"/>
  <c r="DK45" i="2" s="1"/>
  <c r="DW45" i="2" s="1" a="1"/>
  <c r="DW45" i="2" s="1"/>
  <c r="DJ45" i="2" a="1"/>
  <c r="DJ45" i="2" s="1"/>
  <c r="DV45" i="2" s="1"/>
  <c r="AK45" i="2" a="1"/>
  <c r="AK45" i="2" s="1"/>
  <c r="AJ45" i="2"/>
  <c r="AI45" i="2" a="1"/>
  <c r="AI45" i="2" s="1"/>
  <c r="AH45" i="2" a="1"/>
  <c r="AH45" i="2" s="1"/>
  <c r="AQ43" i="2"/>
  <c r="BJ43" i="2" l="1"/>
  <c r="AW44" i="2"/>
  <c r="BJ44" i="2"/>
  <c r="CY47" i="2"/>
  <c r="FA47" i="2" s="1"/>
  <c r="FB47" i="2" s="1"/>
  <c r="HE43" i="2"/>
  <c r="V43" i="2"/>
  <c r="DR45" i="2"/>
  <c r="R45" i="2"/>
  <c r="AL45" i="2"/>
  <c r="BD45" i="2"/>
  <c r="BA45" i="2"/>
  <c r="AV45" i="2"/>
  <c r="AU45" i="2"/>
  <c r="AP45" i="2"/>
  <c r="AO45" i="2"/>
  <c r="AG47" i="2"/>
  <c r="HM47" i="2"/>
  <c r="EV47" i="2"/>
  <c r="EW47" i="2" s="1"/>
  <c r="ER47" i="2"/>
  <c r="EM47" i="2"/>
  <c r="EN47" i="2" s="1"/>
  <c r="EJ47" i="2" a="1"/>
  <c r="EJ47" i="2" s="1"/>
  <c r="EI47" i="2" a="1"/>
  <c r="EI47" i="2" s="1"/>
  <c r="T47" i="2" s="1" a="1"/>
  <c r="T47" i="2" s="1"/>
  <c r="BI47" i="2"/>
  <c r="AF47" i="2" a="1"/>
  <c r="AF47" i="2" s="1"/>
  <c r="G47" i="2"/>
  <c r="E47" i="2"/>
  <c r="AB47" i="2"/>
  <c r="M47" i="2"/>
  <c r="GL47" i="2"/>
  <c r="GM47" i="2" s="1"/>
  <c r="GQ47" i="2"/>
  <c r="GR47" i="2" s="1"/>
  <c r="A49" i="2"/>
  <c r="DQ48" i="2"/>
  <c r="DO48" i="2"/>
  <c r="DM48" i="2"/>
  <c r="DL48" i="2"/>
  <c r="DI48" i="2"/>
  <c r="DE48" i="2"/>
  <c r="H48" i="2" s="1"/>
  <c r="DD48" i="2"/>
  <c r="CU48" i="2"/>
  <c r="CL48" i="2"/>
  <c r="CK48" i="2"/>
  <c r="CS48" i="2" s="1"/>
  <c r="CT48" i="2" s="1"/>
  <c r="CV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U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B37" i="2" s="1"/>
  <c r="AP37" i="2"/>
  <c r="AW36" i="2"/>
  <c r="BJ36" i="2"/>
  <c r="AB36" i="2"/>
  <c r="BJ35" i="2"/>
  <c r="AQ35" i="2"/>
  <c r="AB35" i="2"/>
  <c r="BJ34" i="2"/>
  <c r="AQ34" i="2"/>
  <c r="AB34" i="2"/>
  <c r="Y33" i="2"/>
  <c r="AP33" i="2"/>
  <c r="AB33" i="2"/>
  <c r="BJ32" i="2"/>
  <c r="AQ32" i="2"/>
  <c r="AB32" i="2"/>
  <c r="BJ31" i="2"/>
  <c r="AQ31" i="2"/>
  <c r="AB31" i="2"/>
  <c r="AW30" i="2"/>
  <c r="BJ30" i="2"/>
  <c r="AB30" i="2"/>
  <c r="Y29" i="2"/>
  <c r="AB29" i="2" s="1"/>
  <c r="AP29" i="2"/>
  <c r="AW28" i="2"/>
  <c r="BJ28" i="2"/>
  <c r="AB28" i="2"/>
  <c r="Y27" i="2"/>
  <c r="AP27" i="2"/>
  <c r="AB27" i="2"/>
  <c r="AW26" i="2"/>
  <c r="BJ26" i="2"/>
  <c r="AB26" i="2"/>
  <c r="BJ25" i="2"/>
  <c r="AQ25" i="2"/>
  <c r="AB25" i="2"/>
  <c r="AW24" i="2"/>
  <c r="BJ24" i="2"/>
  <c r="AB24" i="2"/>
  <c r="Y23" i="2"/>
  <c r="AB23" i="2" s="1"/>
  <c r="AP23" i="2"/>
  <c r="BJ22" i="2"/>
  <c r="AQ22" i="2"/>
  <c r="AB22" i="2"/>
  <c r="Y21" i="2"/>
  <c r="AB21" i="2" s="1"/>
  <c r="AP21" i="2"/>
  <c r="BJ21" i="2" s="1"/>
  <c r="AW20" i="2"/>
  <c r="BJ20" i="2"/>
  <c r="AB20" i="2"/>
  <c r="Y19" i="2"/>
  <c r="AP19" i="2"/>
  <c r="AB19" i="2"/>
  <c r="BJ18" i="2"/>
  <c r="AQ18" i="2"/>
  <c r="AB18" i="2"/>
  <c r="AW17" i="2"/>
  <c r="BJ17" i="2"/>
  <c r="AB17" i="2"/>
  <c r="AW16" i="2"/>
  <c r="BJ16" i="2"/>
  <c r="AB16" i="2"/>
  <c r="BJ15" i="2"/>
  <c r="AQ15" i="2"/>
  <c r="AB15" i="2"/>
  <c r="Y14" i="2"/>
  <c r="AP14" i="2"/>
  <c r="BJ14" i="2" s="1"/>
  <c r="AB14" i="2"/>
  <c r="BJ13" i="2"/>
  <c r="AQ13" i="2"/>
  <c r="AB13" i="2"/>
  <c r="BJ12" i="2"/>
  <c r="AQ12" i="2"/>
  <c r="AB12" i="2"/>
  <c r="Y11" i="2"/>
  <c r="AP11" i="2"/>
  <c r="AB11" i="2"/>
  <c r="Y9" i="2"/>
  <c r="AP9" i="2"/>
  <c r="A45" i="8"/>
  <c r="W10" i="2"/>
  <c r="Z10" i="2"/>
  <c r="AA10" i="2" s="1"/>
  <c r="CY48" i="2" l="1"/>
  <c r="FA48" i="2" s="1"/>
  <c r="FB48" i="2" s="1"/>
  <c r="BJ29" i="2"/>
  <c r="BJ37" i="2"/>
  <c r="BJ19" i="2"/>
  <c r="BJ27" i="2"/>
  <c r="BJ45" i="2"/>
  <c r="BJ33" i="2"/>
  <c r="AW45" i="2"/>
  <c r="HG45" i="2" s="1"/>
  <c r="BJ23" i="2"/>
  <c r="Y10" i="2"/>
  <c r="AB10" i="2" s="1"/>
  <c r="AP10" i="2"/>
  <c r="BJ10" i="2" s="1"/>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BM49" i="2"/>
  <c r="BL49" i="2"/>
  <c r="BK49" i="2"/>
  <c r="AE49" i="2"/>
  <c r="AC49" i="2"/>
  <c r="Z49" i="2"/>
  <c r="AA49" i="2" s="1"/>
  <c r="W49" i="2"/>
  <c r="K49" i="2"/>
  <c r="J49" i="2"/>
  <c r="I49" i="2"/>
  <c r="D49" i="2"/>
  <c r="C49" i="2"/>
  <c r="B49" i="2"/>
  <c r="P47" i="2"/>
  <c r="U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F91" i="3"/>
  <c r="EI48" i="2" l="1" a="1"/>
  <c r="EI48" i="2" s="1"/>
  <c r="T48" i="2" s="1" a="1"/>
  <c r="T48" i="2" s="1"/>
  <c r="CY49" i="2"/>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T49" i="2" s="1" a="1"/>
  <c r="T49" i="2" s="1"/>
  <c r="BI49" i="2"/>
  <c r="BI61" i="2" s="1"/>
  <c r="AF49" i="2" a="1"/>
  <c r="AF49" i="2" s="1"/>
  <c r="G49" i="2"/>
  <c r="E49" i="2"/>
  <c r="Y49" i="2"/>
  <c r="Y61" i="2" s="1"/>
  <c r="L31" i="1" s="1"/>
  <c r="W61" i="2"/>
  <c r="AB49"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U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F137" i="3"/>
  <c r="EK13" i="2"/>
  <c r="A13" i="9"/>
  <c r="EK12" i="2"/>
  <c r="A20" i="9"/>
  <c r="F150" i="3"/>
  <c r="I25" i="3" l="1"/>
  <c r="I9" i="3"/>
  <c r="I8" i="3"/>
  <c r="I24" i="3"/>
  <c r="I21" i="3"/>
  <c r="I5" i="3"/>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U49" i="2"/>
  <c r="U61" i="2" s="1"/>
  <c r="I30" i="3"/>
  <c r="K29" i="3"/>
  <c r="I29" i="3"/>
  <c r="H29" i="3"/>
  <c r="I27" i="3"/>
  <c r="K26" i="3"/>
  <c r="I26" i="3"/>
  <c r="H25" i="3"/>
  <c r="I23" i="3"/>
  <c r="K22" i="3"/>
  <c r="I22" i="3"/>
  <c r="H21" i="3"/>
  <c r="I19" i="3"/>
  <c r="K18" i="3"/>
  <c r="I18" i="3"/>
  <c r="H17" i="3"/>
  <c r="I15" i="3"/>
  <c r="K14" i="3"/>
  <c r="I14" i="3"/>
  <c r="H13" i="3"/>
  <c r="I11" i="3"/>
  <c r="K10" i="3"/>
  <c r="I10" i="3"/>
  <c r="H9" i="3"/>
  <c r="I7" i="3"/>
  <c r="K6" i="3"/>
  <c r="I6" i="3"/>
  <c r="H5" i="3"/>
  <c r="H32" i="3" s="1"/>
  <c r="I28" i="3"/>
  <c r="I12"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V47" i="2" l="1"/>
  <c r="DR49" i="2"/>
  <c r="R49" i="2"/>
  <c r="AL49" i="2"/>
  <c r="AL61" i="2" s="1"/>
  <c r="BD49" i="2"/>
  <c r="BA49" i="2"/>
  <c r="BA61" i="2" s="1"/>
  <c r="AV49" i="2"/>
  <c r="I20" i="3" s="1"/>
  <c r="AU49" i="2"/>
  <c r="AU61" i="2" s="1"/>
  <c r="AP49" i="2"/>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AP61" i="2"/>
  <c r="I16" i="3"/>
  <c r="AW48" i="2"/>
  <c r="AV61" i="2"/>
  <c r="BD61" i="2"/>
  <c r="AQ48" i="2"/>
  <c r="L37" i="1" a="1"/>
  <c r="L37" i="1" s="1"/>
  <c r="EK46" i="2"/>
  <c r="A39" i="9"/>
  <c r="GD34" i="2"/>
  <c r="FY34" i="2"/>
  <c r="FZ34" i="2" s="1"/>
  <c r="FT34" i="2"/>
  <c r="FU34" i="2" s="1"/>
  <c r="EN61" i="2"/>
  <c r="L49" i="3" s="1"/>
  <c r="BJ49" i="2" l="1"/>
  <c r="V48" i="2"/>
  <c r="HG48" i="2"/>
  <c r="FU9" i="2"/>
  <c r="FZ9" i="2"/>
  <c r="AW49" i="2"/>
  <c r="I17" i="3"/>
  <c r="AQ49" i="2"/>
  <c r="EK47" i="2"/>
  <c r="A40" i="9"/>
  <c r="F146" i="3"/>
  <c r="HE49" i="2" l="1"/>
  <c r="V49" i="2"/>
  <c r="V64" i="2" s="1"/>
  <c r="B14" i="13" s="1"/>
  <c r="AQ61" i="2"/>
  <c r="I32" i="3"/>
  <c r="AW61" i="2"/>
  <c r="EK48" i="2"/>
  <c r="A50" i="9"/>
  <c r="F94" i="3"/>
  <c r="V61" i="2" l="1"/>
  <c r="M43" i="3" s="1"/>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L33" i="1" l="1"/>
  <c r="H89" i="3"/>
  <c r="H150" i="3"/>
  <c r="H137" i="3"/>
  <c r="H116" i="3"/>
  <c r="H128" i="3"/>
  <c r="H135" i="3"/>
  <c r="H92" i="3"/>
  <c r="H151" i="3"/>
  <c r="H109" i="3"/>
  <c r="H112" i="3"/>
  <c r="H147" i="3"/>
  <c r="H114" i="3"/>
  <c r="H101" i="3"/>
  <c r="F157" i="3"/>
  <c r="H91" i="3"/>
  <c r="H123" i="3"/>
  <c r="H146" i="3"/>
  <c r="H94" i="3"/>
  <c r="EK61" i="2"/>
  <c r="J32" i="3"/>
  <c r="M63" i="3"/>
  <c r="J63" i="3"/>
  <c r="M62" i="3"/>
  <c r="J62" i="3"/>
  <c r="M56" i="3"/>
  <c r="J56" i="3"/>
  <c r="M55" i="3"/>
  <c r="J55" i="3"/>
  <c r="M54" i="3"/>
  <c r="J54" i="3"/>
  <c r="M53" i="3"/>
  <c r="J53" i="3"/>
  <c r="J49" i="3"/>
  <c r="J50" i="3"/>
  <c r="J51" i="3"/>
  <c r="J52" i="3"/>
  <c r="J57" i="3"/>
  <c r="J58" i="3"/>
  <c r="J59" i="3"/>
  <c r="J61" i="3"/>
  <c r="J64" i="3"/>
  <c r="J67" i="3"/>
  <c r="J68" i="3"/>
  <c r="J69" i="3"/>
  <c r="J70" i="3"/>
  <c r="M70" i="3"/>
  <c r="M50" i="3"/>
  <c r="M68" i="3"/>
  <c r="M49" i="3"/>
  <c r="C89" i="14" l="1"/>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GS61" i="2" l="1"/>
  <c r="K68" i="3" s="1"/>
  <c r="E87" i="14" s="1"/>
  <c r="HC61" i="2"/>
  <c r="K70" i="3" s="1"/>
  <c r="E89" i="14" s="1"/>
  <c r="FU12" i="2"/>
  <c r="FZ12" i="2"/>
  <c r="G157" i="3"/>
  <c r="EO61" i="2"/>
  <c r="K49" i="3" s="1"/>
  <c r="EP9" i="2"/>
  <c r="ES10" i="2" s="1"/>
  <c r="ET10" i="2" s="1"/>
  <c r="EY10" i="2" s="1"/>
  <c r="ES9" i="2"/>
  <c r="ES14" i="2"/>
  <c r="ET14" i="2" s="1"/>
  <c r="EY14" i="2" s="1"/>
  <c r="ES16" i="2"/>
  <c r="ET16" i="2" s="1"/>
  <c r="EY16" i="2" s="1"/>
  <c r="FD16" i="2" s="1"/>
  <c r="ES17" i="2"/>
  <c r="ET17" i="2" s="1"/>
  <c r="ES20" i="2"/>
  <c r="ET20" i="2" s="1"/>
  <c r="ES24" i="2"/>
  <c r="ET24" i="2" s="1"/>
  <c r="EY24" i="2" s="1"/>
  <c r="FD24" i="2" s="1"/>
  <c r="ES26" i="2"/>
  <c r="ET26" i="2" s="1"/>
  <c r="EY26" i="2" s="1"/>
  <c r="FD26" i="2" s="1"/>
  <c r="ES28" i="2"/>
  <c r="ET28" i="2" s="1"/>
  <c r="EY28" i="2" s="1"/>
  <c r="FD28" i="2" s="1"/>
  <c r="ES30" i="2"/>
  <c r="ET30" i="2" s="1"/>
  <c r="EY30" i="2" s="1"/>
  <c r="FD30" i="2" s="1"/>
  <c r="ES32" i="2"/>
  <c r="ET32" i="2" s="1"/>
  <c r="EY32" i="2" s="1"/>
  <c r="FD32" i="2" s="1"/>
  <c r="ES33" i="2"/>
  <c r="ET33" i="2" s="1"/>
  <c r="EY33" i="2" s="1"/>
  <c r="FD33" i="2" s="1"/>
  <c r="ES36" i="2"/>
  <c r="ET36" i="2" s="1"/>
  <c r="EY36" i="2" s="1"/>
  <c r="ES40" i="2"/>
  <c r="ET40" i="2" s="1"/>
  <c r="ES41" i="2"/>
  <c r="ET41" i="2" s="1"/>
  <c r="EY41" i="2" s="1"/>
  <c r="FD41" i="2" s="1"/>
  <c r="ES42" i="2"/>
  <c r="ET42" i="2" s="1"/>
  <c r="EY42" i="2" s="1"/>
  <c r="FD42" i="2" s="1"/>
  <c r="ES43" i="2"/>
  <c r="ET43" i="2" s="1"/>
  <c r="ES44" i="2"/>
  <c r="ET44" i="2" s="1"/>
  <c r="ES48" i="2"/>
  <c r="ET48" i="2" s="1"/>
  <c r="EY48" i="2" s="1"/>
  <c r="FD48" i="2" s="1"/>
  <c r="ES49" i="2"/>
  <c r="ET49" i="2" s="1"/>
  <c r="EY49" i="2" s="1"/>
  <c r="FD49" i="2" s="1"/>
  <c r="ES25" i="2" l="1"/>
  <c r="ET25" i="2" s="1"/>
  <c r="EY25" i="2" s="1"/>
  <c r="FD25" i="2" s="1"/>
  <c r="ES13" i="2"/>
  <c r="ET13" i="2" s="1"/>
  <c r="EY13" i="2" s="1"/>
  <c r="FD13" i="2" s="1"/>
  <c r="ES31" i="2"/>
  <c r="ET31" i="2" s="1"/>
  <c r="EY31" i="2" s="1"/>
  <c r="FD31" i="2" s="1"/>
  <c r="ES46" i="2"/>
  <c r="ET46" i="2" s="1"/>
  <c r="EY46" i="2" s="1"/>
  <c r="FD46" i="2" s="1"/>
  <c r="ES12" i="2"/>
  <c r="ET12" i="2" s="1"/>
  <c r="EY12" i="2" s="1"/>
  <c r="FD12" i="2" s="1"/>
  <c r="ES39" i="2"/>
  <c r="ET39" i="2" s="1"/>
  <c r="EY39" i="2" s="1"/>
  <c r="FD39" i="2" s="1"/>
  <c r="FI39" i="2" s="1"/>
  <c r="FJ39" i="2" s="1"/>
  <c r="ES15" i="2"/>
  <c r="ET15" i="2" s="1"/>
  <c r="EY15" i="2" s="1"/>
  <c r="FD15" i="2" s="1"/>
  <c r="ES38" i="2"/>
  <c r="ET38" i="2" s="1"/>
  <c r="EY38" i="2" s="1"/>
  <c r="FD38" i="2" s="1"/>
  <c r="FI38" i="2" s="1"/>
  <c r="FJ38" i="2" s="1"/>
  <c r="ES22" i="2"/>
  <c r="ET22" i="2" s="1"/>
  <c r="EY22" i="2" s="1"/>
  <c r="FD22" i="2" s="1"/>
  <c r="ES45" i="2"/>
  <c r="ET45" i="2" s="1"/>
  <c r="EY45" i="2" s="1"/>
  <c r="FD45" i="2" s="1"/>
  <c r="ES29" i="2"/>
  <c r="ET29" i="2" s="1"/>
  <c r="EY29" i="2" s="1"/>
  <c r="ES35" i="2"/>
  <c r="ET35" i="2" s="1"/>
  <c r="EY35" i="2" s="1"/>
  <c r="FD35" i="2" s="1"/>
  <c r="ES27" i="2"/>
  <c r="ET27" i="2" s="1"/>
  <c r="EY27" i="2" s="1"/>
  <c r="FD27" i="2" s="1"/>
  <c r="FI27" i="2" s="1"/>
  <c r="FJ27" i="2" s="1"/>
  <c r="FL27" i="2" s="1"/>
  <c r="FK27" i="2" s="1"/>
  <c r="ES19" i="2"/>
  <c r="ET19" i="2" s="1"/>
  <c r="EY19" i="2" s="1"/>
  <c r="ES11" i="2"/>
  <c r="ET11" i="2" s="1"/>
  <c r="EY11" i="2" s="1"/>
  <c r="FD11" i="2" s="1"/>
  <c r="FI11" i="2" s="1"/>
  <c r="FJ11" i="2" s="1"/>
  <c r="FL11" i="2" s="1"/>
  <c r="FK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49" i="2"/>
  <c r="FJ49" i="2" s="1"/>
  <c r="FI48" i="2"/>
  <c r="FJ48" i="2" s="1"/>
  <c r="FI46" i="2"/>
  <c r="FJ46" i="2" s="1"/>
  <c r="FI45" i="2"/>
  <c r="FJ45" i="2" s="1"/>
  <c r="FI42" i="2"/>
  <c r="FJ42" i="2" s="1"/>
  <c r="FI41" i="2"/>
  <c r="FJ41" i="2" s="1"/>
  <c r="FI35" i="2"/>
  <c r="FJ35" i="2" s="1"/>
  <c r="FI33" i="2"/>
  <c r="FJ33" i="2" s="1"/>
  <c r="FL33" i="2" s="1"/>
  <c r="FK33" i="2" s="1"/>
  <c r="FI32" i="2"/>
  <c r="FJ32" i="2" s="1"/>
  <c r="FI31" i="2"/>
  <c r="FJ31" i="2" s="1"/>
  <c r="FI30" i="2"/>
  <c r="FJ30" i="2" s="1"/>
  <c r="FI28" i="2"/>
  <c r="FJ28" i="2" s="1"/>
  <c r="FL28" i="2" s="1"/>
  <c r="FK28" i="2" s="1"/>
  <c r="FI26" i="2"/>
  <c r="FJ26" i="2" s="1"/>
  <c r="FI25" i="2"/>
  <c r="FJ25" i="2" s="1"/>
  <c r="FI24" i="2"/>
  <c r="FJ24" i="2" s="1"/>
  <c r="FI22" i="2"/>
  <c r="FJ22" i="2" s="1"/>
  <c r="FI18" i="2"/>
  <c r="FJ18" i="2" s="1"/>
  <c r="EW17" i="2"/>
  <c r="EW20" i="2"/>
  <c r="EX20" i="2" s="1"/>
  <c r="EY20" i="2" s="1"/>
  <c r="FD20" i="2" s="1"/>
  <c r="EW40" i="2"/>
  <c r="EX40" i="2" s="1"/>
  <c r="EY40" i="2" s="1"/>
  <c r="FD40" i="2" s="1"/>
  <c r="EW43" i="2"/>
  <c r="EX43" i="2" s="1"/>
  <c r="EY43" i="2" s="1"/>
  <c r="FD43" i="2" s="1"/>
  <c r="EW44" i="2"/>
  <c r="EX44" i="2" s="1"/>
  <c r="EY44" i="2" s="1"/>
  <c r="FD44" i="2" s="1"/>
  <c r="FI16" i="2"/>
  <c r="FJ16" i="2" s="1"/>
  <c r="FI15" i="2"/>
  <c r="FJ15" i="2" s="1"/>
  <c r="FI13" i="2"/>
  <c r="FJ13" i="2" s="1"/>
  <c r="FI12" i="2"/>
  <c r="FJ12" i="2" s="1"/>
  <c r="ET9" i="2"/>
  <c r="ES61" i="2" l="1"/>
  <c r="K50" i="3" s="1"/>
  <c r="ET61" i="2"/>
  <c r="EY9" i="2"/>
  <c r="FP11" i="2"/>
  <c r="FO11" i="2"/>
  <c r="FN11" i="2"/>
  <c r="FM11" i="2"/>
  <c r="FQ11" i="2" s="1"/>
  <c r="FI44" i="2"/>
  <c r="FJ44" i="2" s="1"/>
  <c r="FI43" i="2"/>
  <c r="FJ43" i="2" s="1"/>
  <c r="FI40" i="2"/>
  <c r="FJ40" i="2" s="1"/>
  <c r="FI20" i="2"/>
  <c r="FJ20" i="2" s="1"/>
  <c r="EX17" i="2"/>
  <c r="EW61" i="2"/>
  <c r="L51" i="3" s="1"/>
  <c r="M51" i="3" s="1"/>
  <c r="FP27" i="2"/>
  <c r="FO27" i="2"/>
  <c r="FN27" i="2"/>
  <c r="FM27" i="2"/>
  <c r="FQ27" i="2" s="1"/>
  <c r="FP28" i="2"/>
  <c r="FO28" i="2"/>
  <c r="FN28" i="2"/>
  <c r="FM28" i="2"/>
  <c r="FP33" i="2"/>
  <c r="FO33" i="2"/>
  <c r="FN33" i="2"/>
  <c r="FM33" i="2"/>
  <c r="FQ33" i="2" s="1"/>
  <c r="FQ28" i="2" l="1"/>
  <c r="FV28" i="2" s="1"/>
  <c r="GA28" i="2" s="1"/>
  <c r="FV33" i="2"/>
  <c r="FS33" i="2"/>
  <c r="GE28" i="2"/>
  <c r="GF28" i="2" s="1"/>
  <c r="EX61" i="2"/>
  <c r="K51" i="3" s="1"/>
  <c r="EY17" i="2"/>
  <c r="FD17" i="2" s="1"/>
  <c r="FV11" i="2"/>
  <c r="FS11" i="2"/>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EY61" i="2" l="1"/>
  <c r="FI37" i="2"/>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Q14" i="2" s="1"/>
  <c r="FP19" i="2"/>
  <c r="FO19" i="2"/>
  <c r="FN19" i="2"/>
  <c r="FM19" i="2"/>
  <c r="FP21" i="2"/>
  <c r="FO21" i="2"/>
  <c r="FN21" i="2"/>
  <c r="FM21" i="2"/>
  <c r="FQ21" i="2" s="1"/>
  <c r="FP23" i="2"/>
  <c r="FO23" i="2"/>
  <c r="FN23" i="2"/>
  <c r="FM23" i="2"/>
  <c r="FP29" i="2"/>
  <c r="FO29" i="2"/>
  <c r="FN29" i="2"/>
  <c r="FM29" i="2"/>
  <c r="FQ29" i="2" s="1"/>
  <c r="FP34" i="2"/>
  <c r="FO34" i="2"/>
  <c r="FN34" i="2"/>
  <c r="FM34" i="2"/>
  <c r="FP36" i="2"/>
  <c r="FO36" i="2"/>
  <c r="FN36" i="2"/>
  <c r="FM36" i="2"/>
  <c r="FQ36" i="2" s="1"/>
  <c r="FP37" i="2"/>
  <c r="FO37" i="2"/>
  <c r="FN37" i="2"/>
  <c r="FM37" i="2"/>
  <c r="FQ37" i="2" l="1"/>
  <c r="FV37" i="2" s="1"/>
  <c r="FQ34" i="2"/>
  <c r="FV34" i="2" s="1"/>
  <c r="FQ23" i="2"/>
  <c r="FV23" i="2" s="1"/>
  <c r="FQ19" i="2"/>
  <c r="FV19" i="2" s="1"/>
  <c r="GA19" i="2" s="1"/>
  <c r="FQ10" i="2"/>
  <c r="FV10" i="2" s="1"/>
  <c r="FV36" i="2"/>
  <c r="FS34" i="2"/>
  <c r="FV29" i="2"/>
  <c r="FS29" i="2"/>
  <c r="FV21" i="2"/>
  <c r="FS21" i="2"/>
  <c r="GE19" i="2"/>
  <c r="GF19" i="2" s="1"/>
  <c r="FV14" i="2"/>
  <c r="FS10" i="2"/>
  <c r="FD61" i="2"/>
  <c r="FI9" i="2"/>
  <c r="K53" i="3"/>
  <c r="K52" i="3"/>
  <c r="FS37" i="2" l="1"/>
  <c r="FI61" i="2"/>
  <c r="FJ9" i="2"/>
  <c r="GA10" i="2"/>
  <c r="FX10" i="2"/>
  <c r="GA14"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K49" i="2" s="1"/>
  <c r="FL20" i="2"/>
  <c r="FK20" i="2" s="1"/>
  <c r="FL40" i="2"/>
  <c r="FK40" i="2" s="1"/>
  <c r="FL43" i="2"/>
  <c r="FK43" i="2" s="1"/>
  <c r="FL44" i="2"/>
  <c r="FK44" i="2" s="1"/>
  <c r="FL17" i="2"/>
  <c r="FK17" i="2" s="1"/>
  <c r="FP17" i="2" l="1"/>
  <c r="FO17" i="2"/>
  <c r="FN17" i="2"/>
  <c r="FM17" i="2"/>
  <c r="FQ17" i="2" s="1"/>
  <c r="FP44" i="2"/>
  <c r="FO44" i="2"/>
  <c r="FN44" i="2"/>
  <c r="FM44" i="2"/>
  <c r="FQ44" i="2" s="1"/>
  <c r="FV44" i="2" s="1"/>
  <c r="FP43" i="2"/>
  <c r="FO43" i="2"/>
  <c r="FN43" i="2"/>
  <c r="FM43" i="2"/>
  <c r="FP40" i="2"/>
  <c r="FO40" i="2"/>
  <c r="FN40" i="2"/>
  <c r="FM40" i="2"/>
  <c r="FQ40" i="2" s="1"/>
  <c r="FP20" i="2"/>
  <c r="FO20" i="2"/>
  <c r="FN20" i="2"/>
  <c r="FM20" i="2"/>
  <c r="FP49" i="2"/>
  <c r="FO49" i="2"/>
  <c r="FN49" i="2"/>
  <c r="FM49" i="2"/>
  <c r="FQ49" i="2" s="1"/>
  <c r="FP48" i="2"/>
  <c r="FO48" i="2"/>
  <c r="FN48" i="2"/>
  <c r="FM48" i="2"/>
  <c r="FP47" i="2"/>
  <c r="FO47" i="2"/>
  <c r="FN47" i="2"/>
  <c r="FM47" i="2"/>
  <c r="FQ47" i="2" s="1"/>
  <c r="FP46" i="2"/>
  <c r="FO46" i="2"/>
  <c r="FN46" i="2"/>
  <c r="FM46" i="2"/>
  <c r="FP45" i="2"/>
  <c r="FO45" i="2"/>
  <c r="FN45" i="2"/>
  <c r="FM45" i="2"/>
  <c r="FQ45" i="2" s="1"/>
  <c r="FP42" i="2"/>
  <c r="FO42" i="2"/>
  <c r="FN42" i="2"/>
  <c r="FM42" i="2"/>
  <c r="FP41" i="2"/>
  <c r="FO41" i="2"/>
  <c r="FN41" i="2"/>
  <c r="FM41" i="2"/>
  <c r="FQ41" i="2" s="1"/>
  <c r="FV41" i="2" s="1"/>
  <c r="GA41" i="2" s="1"/>
  <c r="FP39" i="2"/>
  <c r="FO39" i="2"/>
  <c r="FN39" i="2"/>
  <c r="FM39" i="2"/>
  <c r="FP38" i="2"/>
  <c r="FO38" i="2"/>
  <c r="FN38" i="2"/>
  <c r="FM38" i="2"/>
  <c r="FQ38" i="2" s="1"/>
  <c r="FP35" i="2"/>
  <c r="FO35" i="2"/>
  <c r="FN35" i="2"/>
  <c r="FM35" i="2"/>
  <c r="FP32" i="2"/>
  <c r="FO32" i="2"/>
  <c r="FN32" i="2"/>
  <c r="FM32" i="2"/>
  <c r="FQ32" i="2" s="1"/>
  <c r="FP31" i="2"/>
  <c r="FO31" i="2"/>
  <c r="FN31" i="2"/>
  <c r="FM31" i="2"/>
  <c r="FP30" i="2"/>
  <c r="FO30" i="2"/>
  <c r="FN30" i="2"/>
  <c r="FM30" i="2"/>
  <c r="FQ30" i="2" s="1"/>
  <c r="FV30" i="2" s="1"/>
  <c r="FP26" i="2"/>
  <c r="FO26" i="2"/>
  <c r="FN26" i="2"/>
  <c r="FM26" i="2"/>
  <c r="FP25" i="2"/>
  <c r="FO25" i="2"/>
  <c r="FN25" i="2"/>
  <c r="FM25" i="2"/>
  <c r="FQ25" i="2" s="1"/>
  <c r="FP24" i="2"/>
  <c r="FO24" i="2"/>
  <c r="FN24" i="2"/>
  <c r="FM24" i="2"/>
  <c r="FP22" i="2"/>
  <c r="FO22" i="2"/>
  <c r="FN22" i="2"/>
  <c r="FM22" i="2"/>
  <c r="FQ22" i="2" s="1"/>
  <c r="FP18" i="2"/>
  <c r="FO18" i="2"/>
  <c r="FN18" i="2"/>
  <c r="FM18" i="2"/>
  <c r="FP16" i="2"/>
  <c r="FO16" i="2"/>
  <c r="FN16" i="2"/>
  <c r="FM16" i="2"/>
  <c r="FQ16" i="2" s="1"/>
  <c r="FP15" i="2"/>
  <c r="FO15" i="2"/>
  <c r="FN15" i="2"/>
  <c r="FM15" i="2"/>
  <c r="FP13" i="2"/>
  <c r="FO13" i="2"/>
  <c r="FN13" i="2"/>
  <c r="FM13" i="2"/>
  <c r="FQ13" i="2" s="1"/>
  <c r="FP12" i="2"/>
  <c r="FO12" i="2"/>
  <c r="FN12" i="2"/>
  <c r="FM12" i="2"/>
  <c r="FP9" i="2"/>
  <c r="FO9" i="2"/>
  <c r="FO61" i="2" s="1"/>
  <c r="K56" i="3" s="1"/>
  <c r="FN9" i="2"/>
  <c r="FN61" i="2" s="1"/>
  <c r="K55" i="3" s="1"/>
  <c r="FM9" i="2"/>
  <c r="GH23" i="2"/>
  <c r="FQ18" i="2" l="1"/>
  <c r="FQ26" i="2"/>
  <c r="FV26" i="2" s="1"/>
  <c r="GA26" i="2" s="1"/>
  <c r="FQ39" i="2"/>
  <c r="FS14" i="2" s="1"/>
  <c r="FQ42" i="2"/>
  <c r="FV42" i="2" s="1"/>
  <c r="GA42" i="2" s="1"/>
  <c r="FQ48" i="2"/>
  <c r="FQ43" i="2"/>
  <c r="FV43" i="2" s="1"/>
  <c r="FP61" i="2"/>
  <c r="K57" i="3" s="1"/>
  <c r="L57" i="3" s="1"/>
  <c r="M57" i="3" s="1"/>
  <c r="FQ12" i="2"/>
  <c r="FV12" i="2" s="1"/>
  <c r="FQ15" i="2"/>
  <c r="FQ24" i="2"/>
  <c r="FV24" i="2" s="1"/>
  <c r="FQ31" i="2"/>
  <c r="FV31" i="2" s="1"/>
  <c r="FQ35" i="2"/>
  <c r="FV35" i="2" s="1"/>
  <c r="GA35" i="2" s="1"/>
  <c r="FQ46" i="2"/>
  <c r="FS27" i="2" s="1"/>
  <c r="FU27" i="2" s="1"/>
  <c r="FV27" i="2" s="1"/>
  <c r="GA27" i="2" s="1"/>
  <c r="FQ20" i="2"/>
  <c r="FV20" i="2" s="1"/>
  <c r="GH61" i="2"/>
  <c r="L64" i="3" s="1"/>
  <c r="M64" i="3" s="1"/>
  <c r="FM61" i="2"/>
  <c r="K54" i="3" s="1"/>
  <c r="FQ9" i="2"/>
  <c r="FS13" i="2"/>
  <c r="FS18" i="2"/>
  <c r="FU18" i="2" s="1"/>
  <c r="FV18" i="2" s="1"/>
  <c r="GA18" i="2" s="1"/>
  <c r="FS48" i="2"/>
  <c r="FU48" i="2" s="1"/>
  <c r="FV15" i="2"/>
  <c r="FS15" i="2"/>
  <c r="FS24" i="2"/>
  <c r="FS30" i="2"/>
  <c r="FS44" i="2"/>
  <c r="FV16" i="2"/>
  <c r="FS16" i="2"/>
  <c r="FV22" i="2"/>
  <c r="FS22" i="2"/>
  <c r="FS42" i="2"/>
  <c r="FV25" i="2"/>
  <c r="FS25" i="2"/>
  <c r="FS31" i="2"/>
  <c r="FV32" i="2"/>
  <c r="FS32" i="2"/>
  <c r="FV38" i="2"/>
  <c r="FS23" i="2"/>
  <c r="FS38" i="2"/>
  <c r="FV39" i="2"/>
  <c r="FS28" i="2"/>
  <c r="FS39" i="2"/>
  <c r="FS41" i="2"/>
  <c r="FV45" i="2"/>
  <c r="FS45" i="2"/>
  <c r="FV47" i="2"/>
  <c r="FS36" i="2"/>
  <c r="FS47" i="2"/>
  <c r="FV49" i="2"/>
  <c r="FS49" i="2"/>
  <c r="FS20" i="2"/>
  <c r="FV17" i="2"/>
  <c r="FS17" i="2"/>
  <c r="FS26" i="2"/>
  <c r="FV48" i="2" l="1"/>
  <c r="GA48" i="2" s="1"/>
  <c r="FS35" i="2"/>
  <c r="FS19" i="2"/>
  <c r="FS12" i="2"/>
  <c r="FS43" i="2"/>
  <c r="FS46" i="2"/>
  <c r="FU46" i="2" s="1"/>
  <c r="FV46" i="2" s="1"/>
  <c r="GA46" i="2" s="1"/>
  <c r="GE46" i="2" s="1"/>
  <c r="GF46" i="2" s="1"/>
  <c r="FS40" i="2"/>
  <c r="FU40" i="2" s="1"/>
  <c r="FV40" i="2" s="1"/>
  <c r="GA40" i="2" s="1"/>
  <c r="GE40" i="2" s="1"/>
  <c r="GF40" i="2" s="1"/>
  <c r="GA17" i="2"/>
  <c r="FX17" i="2"/>
  <c r="FX26" i="2"/>
  <c r="GA43" i="2"/>
  <c r="FX43" i="2"/>
  <c r="GA20" i="2"/>
  <c r="FX20" i="2"/>
  <c r="GA49" i="2"/>
  <c r="FX49" i="2"/>
  <c r="GE48" i="2"/>
  <c r="GF48" i="2" s="1"/>
  <c r="GA47" i="2"/>
  <c r="FX36" i="2"/>
  <c r="FX47" i="2"/>
  <c r="GA45" i="2"/>
  <c r="FX45" i="2"/>
  <c r="GA39" i="2"/>
  <c r="FX14" i="2"/>
  <c r="FX28" i="2"/>
  <c r="FX39" i="2"/>
  <c r="FX41" i="2"/>
  <c r="GA38" i="2"/>
  <c r="FX23" i="2"/>
  <c r="FX38" i="2"/>
  <c r="GA32" i="2"/>
  <c r="FX32" i="2"/>
  <c r="GA31" i="2"/>
  <c r="FX31" i="2"/>
  <c r="GA25" i="2"/>
  <c r="FX25" i="2"/>
  <c r="GA22" i="2"/>
  <c r="FX22" i="2"/>
  <c r="FX42" i="2"/>
  <c r="GE18" i="2"/>
  <c r="GF18" i="2" s="1"/>
  <c r="GA16" i="2"/>
  <c r="FX16" i="2"/>
  <c r="FX15" i="2"/>
  <c r="FX24" i="2"/>
  <c r="FZ24" i="2" s="1"/>
  <c r="GA24" i="2" s="1"/>
  <c r="FX30" i="2"/>
  <c r="FZ30" i="2" s="1"/>
  <c r="GA30" i="2" s="1"/>
  <c r="FX44" i="2"/>
  <c r="FZ44" i="2" s="1"/>
  <c r="GA44" i="2" s="1"/>
  <c r="GE27" i="2"/>
  <c r="GF27" i="2" s="1"/>
  <c r="FS61" i="2"/>
  <c r="L58" i="3" s="1"/>
  <c r="M58" i="3" s="1"/>
  <c r="FU13" i="2"/>
  <c r="GA12" i="2"/>
  <c r="FX12" i="2"/>
  <c r="FX19" i="2"/>
  <c r="FX35" i="2"/>
  <c r="FQ61" i="2"/>
  <c r="FV9" i="2"/>
  <c r="FS9" i="2"/>
  <c r="GA9" i="2" l="1"/>
  <c r="FX9" i="2"/>
  <c r="GC12" i="2"/>
  <c r="GC19" i="2"/>
  <c r="GC35" i="2"/>
  <c r="GE35" i="2" s="1"/>
  <c r="GF35" i="2" s="1"/>
  <c r="FU61" i="2"/>
  <c r="K58" i="3" s="1"/>
  <c r="FV13" i="2"/>
  <c r="GE44" i="2"/>
  <c r="GF44" i="2" s="1"/>
  <c r="GE30" i="2"/>
  <c r="GF30" i="2" s="1"/>
  <c r="GE24" i="2"/>
  <c r="GF24" i="2" s="1"/>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14" i="2"/>
  <c r="GC28" i="2"/>
  <c r="GC39" i="2"/>
  <c r="GE39" i="2" s="1"/>
  <c r="GF39" i="2" s="1"/>
  <c r="GC41" i="2"/>
  <c r="GE41" i="2" s="1"/>
  <c r="GF41" i="2" s="1"/>
  <c r="GI40" i="2" s="1"/>
  <c r="GJ40" i="2" s="1"/>
  <c r="GO40" i="2" s="1"/>
  <c r="GT40" i="2" s="1"/>
  <c r="GY40" i="2" s="1"/>
  <c r="HD40" i="2" s="1"/>
  <c r="HG40" i="2" s="1"/>
  <c r="GC45" i="2"/>
  <c r="GE45" i="2" s="1"/>
  <c r="GF45" i="2" s="1"/>
  <c r="GC36" i="2"/>
  <c r="GC47" i="2"/>
  <c r="GE47" i="2" s="1"/>
  <c r="GF47" i="2" s="1"/>
  <c r="GC49" i="2"/>
  <c r="GE49" i="2" s="1"/>
  <c r="GF49" i="2" s="1"/>
  <c r="GC20" i="2"/>
  <c r="GE20" i="2" s="1"/>
  <c r="GF20" i="2" s="1"/>
  <c r="GC43" i="2"/>
  <c r="GE43" i="2" s="1"/>
  <c r="GF43" i="2" s="1"/>
  <c r="GC17" i="2"/>
  <c r="GE17" i="2" s="1"/>
  <c r="GF17" i="2" s="1"/>
  <c r="GC26" i="2"/>
  <c r="GE26" i="2" s="1"/>
  <c r="GF26" i="2" s="1"/>
  <c r="GI26" i="2" l="1"/>
  <c r="GJ26" i="2" s="1"/>
  <c r="GO26" i="2" s="1"/>
  <c r="GT26" i="2" s="1"/>
  <c r="GY26" i="2" s="1"/>
  <c r="HD26" i="2" s="1"/>
  <c r="HG26" i="2" s="1"/>
  <c r="HN26" i="2" s="1"/>
  <c r="GI17" i="2"/>
  <c r="GJ17" i="2" s="1"/>
  <c r="GO17" i="2" s="1"/>
  <c r="GT17" i="2" s="1"/>
  <c r="GY17" i="2" s="1"/>
  <c r="HD17" i="2" s="1"/>
  <c r="HG17" i="2" s="1"/>
  <c r="GI43" i="2"/>
  <c r="GJ43" i="2" s="1"/>
  <c r="GO43" i="2" s="1"/>
  <c r="GT43" i="2" s="1"/>
  <c r="GY43" i="2" s="1"/>
  <c r="HD43" i="2" s="1"/>
  <c r="HG43" i="2" s="1"/>
  <c r="HN43" i="2" s="1"/>
  <c r="HN40" i="2"/>
  <c r="GI20" i="2"/>
  <c r="GJ20" i="2" s="1"/>
  <c r="GO20" i="2" s="1"/>
  <c r="GT20" i="2" s="1"/>
  <c r="GY20" i="2" s="1"/>
  <c r="HD20" i="2" s="1"/>
  <c r="HG20" i="2" s="1"/>
  <c r="HN20" i="2" s="1"/>
  <c r="GI49" i="2"/>
  <c r="GJ49" i="2" s="1"/>
  <c r="GO49" i="2" s="1"/>
  <c r="GT49" i="2" s="1"/>
  <c r="GY49" i="2" s="1"/>
  <c r="HD49" i="2" s="1"/>
  <c r="HG49" i="2" s="1"/>
  <c r="HN49" i="2" s="1"/>
  <c r="GI41" i="2"/>
  <c r="GJ41" i="2" s="1"/>
  <c r="GO41" i="2" s="1"/>
  <c r="GT41" i="2" s="1"/>
  <c r="GY41" i="2" s="1"/>
  <c r="HD41" i="2" s="1"/>
  <c r="HG41" i="2" s="1"/>
  <c r="GI42" i="2"/>
  <c r="GJ42" i="2" s="1"/>
  <c r="GO42" i="2" s="1"/>
  <c r="GT42" i="2" s="1"/>
  <c r="GY42" i="2" s="1"/>
  <c r="HD42" i="2" s="1"/>
  <c r="HG42" i="2" s="1"/>
  <c r="HN42" i="2" s="1"/>
  <c r="GI16" i="2"/>
  <c r="GJ16" i="2" s="1"/>
  <c r="GO16" i="2" s="1"/>
  <c r="GT16" i="2" s="1"/>
  <c r="GI28" i="2"/>
  <c r="GJ28" i="2" s="1"/>
  <c r="GO28" i="2" s="1"/>
  <c r="GT28" i="2" s="1"/>
  <c r="GY28" i="2" s="1"/>
  <c r="HD28" i="2" s="1"/>
  <c r="HN28" i="2" s="1"/>
  <c r="GI36" i="2"/>
  <c r="GJ36" i="2" s="1"/>
  <c r="GO36" i="2" s="1"/>
  <c r="GT36" i="2" s="1"/>
  <c r="FZ61" i="2"/>
  <c r="K59" i="3" s="1"/>
  <c r="GA15" i="2"/>
  <c r="GI24" i="2"/>
  <c r="GJ24" i="2" s="1"/>
  <c r="GO24" i="2" s="1"/>
  <c r="GT24" i="2" s="1"/>
  <c r="GY24" i="2" s="1"/>
  <c r="HD24" i="2" s="1"/>
  <c r="HG24" i="2" s="1"/>
  <c r="HN24" i="2" s="1"/>
  <c r="GI30" i="2"/>
  <c r="GJ30" i="2" s="1"/>
  <c r="GO30" i="2" s="1"/>
  <c r="GT30" i="2" s="1"/>
  <c r="GY30" i="2" s="1"/>
  <c r="HD30" i="2" s="1"/>
  <c r="HG30" i="2" s="1"/>
  <c r="HN30" i="2" s="1"/>
  <c r="GI44" i="2"/>
  <c r="GJ44" i="2" s="1"/>
  <c r="GO44" i="2" s="1"/>
  <c r="GT44" i="2" s="1"/>
  <c r="GY44" i="2" s="1"/>
  <c r="HD44" i="2" s="1"/>
  <c r="HG44" i="2" s="1"/>
  <c r="HN44" i="2" s="1"/>
  <c r="GA13" i="2"/>
  <c r="FX13" i="2"/>
  <c r="FX18" i="2"/>
  <c r="FX27" i="2"/>
  <c r="FX40" i="2"/>
  <c r="FX46" i="2"/>
  <c r="FX48" i="2"/>
  <c r="FV61" i="2"/>
  <c r="GC61" i="2"/>
  <c r="GE12" i="2"/>
  <c r="GF12" i="2" s="1"/>
  <c r="GE9" i="2"/>
  <c r="GC9" i="2"/>
  <c r="GA61" i="2" l="1"/>
  <c r="GF9" i="2"/>
  <c r="GE13" i="2"/>
  <c r="GC13" i="2"/>
  <c r="GC18" i="2"/>
  <c r="GC27" i="2"/>
  <c r="GC40" i="2"/>
  <c r="GC46" i="2"/>
  <c r="GC48" i="2"/>
  <c r="GE15" i="2"/>
  <c r="GF15" i="2" s="1"/>
  <c r="GC15" i="2"/>
  <c r="GC24" i="2"/>
  <c r="GC30" i="2"/>
  <c r="GC44" i="2"/>
  <c r="HN41" i="2"/>
  <c r="K21" i="3"/>
  <c r="K25" i="3"/>
  <c r="HN17" i="2"/>
  <c r="GI15" i="2" l="1"/>
  <c r="GJ15" i="2" s="1"/>
  <c r="GO15" i="2" s="1"/>
  <c r="GT15" i="2" s="1"/>
  <c r="GY15" i="2" s="1"/>
  <c r="HD15" i="2" s="1"/>
  <c r="HE15" i="2" s="1"/>
  <c r="GI18" i="2"/>
  <c r="GJ18" i="2" s="1"/>
  <c r="GO18" i="2" s="1"/>
  <c r="GT18" i="2" s="1"/>
  <c r="GY18" i="2" s="1"/>
  <c r="HD18" i="2" s="1"/>
  <c r="HE18" i="2" s="1"/>
  <c r="HN18" i="2" s="1"/>
  <c r="GI45" i="2"/>
  <c r="GJ45" i="2" s="1"/>
  <c r="GO45" i="2" s="1"/>
  <c r="GT45" i="2" s="1"/>
  <c r="GY45" i="2" s="1"/>
  <c r="HD45" i="2" s="1"/>
  <c r="HE45" i="2" s="1"/>
  <c r="HN45" i="2" s="1"/>
  <c r="GI39" i="2"/>
  <c r="GJ39" i="2" s="1"/>
  <c r="GO39" i="2" s="1"/>
  <c r="GT39" i="2" s="1"/>
  <c r="GY39" i="2" s="1"/>
  <c r="HD39" i="2" s="1"/>
  <c r="HE39" i="2" s="1"/>
  <c r="HN39" i="2" s="1"/>
  <c r="GI32" i="2"/>
  <c r="GJ32" i="2" s="1"/>
  <c r="GI31" i="2"/>
  <c r="GJ31" i="2" s="1"/>
  <c r="GO31" i="2" s="1"/>
  <c r="GT31" i="2" s="1"/>
  <c r="GY31" i="2" s="1"/>
  <c r="HD31" i="2" s="1"/>
  <c r="HE31" i="2" s="1"/>
  <c r="HN31" i="2" s="1"/>
  <c r="GI25" i="2"/>
  <c r="GJ25" i="2" s="1"/>
  <c r="GO25" i="2" s="1"/>
  <c r="GT25" i="2" s="1"/>
  <c r="GY25" i="2" s="1"/>
  <c r="HD25" i="2" s="1"/>
  <c r="HE25" i="2" s="1"/>
  <c r="HN25" i="2" s="1"/>
  <c r="GI22" i="2"/>
  <c r="GJ22" i="2" s="1"/>
  <c r="GO22" i="2" s="1"/>
  <c r="GT22" i="2" s="1"/>
  <c r="GY22" i="2" s="1"/>
  <c r="HD22" i="2" s="1"/>
  <c r="HE22" i="2" s="1"/>
  <c r="HN22" i="2" s="1"/>
  <c r="GE61" i="2"/>
  <c r="K61" i="3" s="1"/>
  <c r="GF13" i="2"/>
  <c r="GF61" i="2"/>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HN35" i="2" l="1"/>
  <c r="K5" i="3"/>
  <c r="GM21" i="2"/>
  <c r="GM32" i="2"/>
  <c r="GN32" i="2" s="1"/>
  <c r="GO32" i="2" s="1"/>
  <c r="GT32" i="2" s="1"/>
  <c r="GY32" i="2" s="1"/>
  <c r="HD32" i="2" s="1"/>
  <c r="HE32" i="2" s="1"/>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HN32" i="2" l="1"/>
  <c r="K9" i="3"/>
  <c r="GJ11" i="2"/>
  <c r="GO11" i="2" s="1"/>
  <c r="GT11" i="2" s="1"/>
  <c r="GY11" i="2" s="1"/>
  <c r="HD11" i="2" s="1"/>
  <c r="HN11" i="2" s="1"/>
  <c r="GI61" i="2"/>
  <c r="K64" i="3" s="1"/>
  <c r="HN12" i="2"/>
  <c r="HE61" i="2"/>
  <c r="K13" i="3"/>
  <c r="GJ61" i="2"/>
  <c r="GO9" i="2"/>
  <c r="K17" i="3"/>
  <c r="HG61" i="2"/>
  <c r="HN16" i="2"/>
  <c r="GX10" i="2"/>
  <c r="GW61" i="2"/>
  <c r="L69" i="3" s="1"/>
  <c r="GN21" i="2"/>
  <c r="GM61" i="2"/>
  <c r="L67" i="3" s="1"/>
  <c r="M67" i="3" s="1"/>
  <c r="K32" i="3" l="1"/>
  <c r="L5" i="3" s="1"/>
  <c r="L26" i="3"/>
  <c r="L29" i="3"/>
  <c r="L25" i="3"/>
  <c r="GN61" i="2"/>
  <c r="K67" i="3" s="1"/>
  <c r="GO21" i="2"/>
  <c r="GT21" i="2" s="1"/>
  <c r="GY21" i="2" s="1"/>
  <c r="HD21" i="2" s="1"/>
  <c r="HN21" i="2" s="1"/>
  <c r="D88" i="14"/>
  <c r="M69" i="3"/>
  <c r="GX61" i="2"/>
  <c r="K69" i="3" s="1"/>
  <c r="E88" i="14" s="1"/>
  <c r="GY10" i="2"/>
  <c r="HD10" i="2" s="1"/>
  <c r="HN10" i="2" s="1"/>
  <c r="GT9" i="2"/>
  <c r="M44" i="3" l="1"/>
  <c r="L13" i="3"/>
  <c r="L22" i="3"/>
  <c r="L18" i="3"/>
  <c r="L14" i="3"/>
  <c r="L9" i="3"/>
  <c r="L10" i="3"/>
  <c r="L17" i="3"/>
  <c r="L21" i="3"/>
  <c r="L6" i="3"/>
  <c r="GO61" i="2"/>
  <c r="L34" i="1"/>
  <c r="L35" i="1" s="1"/>
  <c r="M45" i="3"/>
  <c r="GT61" i="2"/>
  <c r="GY9" i="2"/>
  <c r="L32" i="3"/>
  <c r="G38" i="3"/>
  <c r="G174" i="3" l="1"/>
  <c r="G175" i="3" s="1"/>
  <c r="L48" i="1"/>
  <c r="L23" i="1" s="1"/>
  <c r="L26" i="1" s="1"/>
  <c r="GY61" i="2"/>
  <c r="HD9" i="2"/>
  <c r="B54" i="14" l="1"/>
  <c r="B12" i="13"/>
  <c r="L62" i="1"/>
  <c r="L56" i="1"/>
  <c r="L28" i="1"/>
  <c r="L29" i="1" s="1"/>
  <c r="L58" i="1"/>
  <c r="L42" i="1"/>
  <c r="HD61" i="2"/>
  <c r="HN9" i="2"/>
  <c r="AJ24" i="4"/>
  <c r="AF24" i="4"/>
  <c r="AE24" i="4"/>
  <c r="AD24" i="4"/>
  <c r="AC24" i="4"/>
  <c r="AC29" i="4" s="1"/>
  <c r="AB24" i="4"/>
  <c r="AB29" i="4" s="1"/>
  <c r="AA24" i="4"/>
  <c r="AA29" i="4" s="1"/>
  <c r="Z24" i="4"/>
  <c r="Z29" i="4" s="1"/>
  <c r="Y24" i="4"/>
  <c r="Y29" i="4" s="1"/>
  <c r="X24" i="4"/>
  <c r="T24" i="4"/>
  <c r="T29" i="4" s="1"/>
  <c r="U29" i="4" s="1"/>
  <c r="S24" i="4"/>
  <c r="U24" i="4"/>
  <c r="R24" i="4"/>
  <c r="R29" i="4" s="1"/>
  <c r="Q24" i="4"/>
  <c r="Q29" i="4" s="1"/>
  <c r="K24" i="4"/>
  <c r="K29" i="4" s="1"/>
  <c r="S29" i="4"/>
  <c r="X29" i="4"/>
  <c r="AD29" i="4"/>
  <c r="AE29" i="4"/>
  <c r="AF29" i="4"/>
  <c r="AJ2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<sst xmlns="http://schemas.openxmlformats.org/spreadsheetml/2006/main" count="5734" uniqueCount="2604">
  <si>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</si>
  <si>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</si>
  <si>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</si>
  <si>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</si>
  <si>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</si>
  <si>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</si>
  <si>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</si>
  <si>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</si>
  <si>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</si>
  <si>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</si>
  <si>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</si>
  <si>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</si>
  <si>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</si>
  <si>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</si>
  <si>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</si>
  <si>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</si>
  <si>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</si>
  <si>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</si>
  <si>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</si>
  <si>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</si>
  <si>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</si>
  <si>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</si>
  <si>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</si>
  <si>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</si>
  <si>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</si>
  <si>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</si>
  <si>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</si>
  <si>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</si>
  <si>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</si>
  <si>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</si>
  <si>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</si>
  <si>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</si>
  <si>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</si>
  <si>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</si>
  <si>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</si>
  <si>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</si>
  <si>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</si>
  <si>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</si>
  <si>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</si>
  <si>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</si>
  <si>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</si>
  <si>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</si>
  <si>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</si>
  <si>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</si>
  <si>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</si>
  <si>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</si>
  <si>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</si>
  <si>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</si>
  <si>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</si>
  <si>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</si>
  <si>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</si>
  <si>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</si>
  <si>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</si>
  <si>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</si>
  <si>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</si>
  <si>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</si>
  <si>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</si>
  <si>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</si>
  <si>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</si>
  <si>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</si>
  <si>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</si>
  <si>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</si>
  <si>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</si>
  <si>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</si>
  <si>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</si>
  <si>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</si>
  <si>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</si>
  <si>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</si>
  <si>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</si>
  <si>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</si>
  <si>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</si>
  <si>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</si>
  <si>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</si>
  <si>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</si>
  <si>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</si>
  <si>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</si>
  <si>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</si>
  <si>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</si>
  <si>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</si>
  <si>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</si>
  <si>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</si>
  <si>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</si>
  <si>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</si>
  <si>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</si>
  <si>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</si>
  <si>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</si>
  <si>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</si>
  <si>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</si>
  <si>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</si>
  <si>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</si>
  <si>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</si>
  <si>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</si>
  <si>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</si>
  <si>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</si>
  <si>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</si>
  <si>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</si>
  <si>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</si>
  <si>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</si>
  <si>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</si>
  <si>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</si>
  <si>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</si>
  <si>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</si>
  <si>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</si>
  <si>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</si>
  <si>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</si>
  <si>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</si>
  <si>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</si>
  <si>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</si>
  <si>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</si>
  <si>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</si>
  <si>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</si>
  <si>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</si>
  <si>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</si>
  <si>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</si>
  <si>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</si>
  <si>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</si>
  <si>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</si>
  <si>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</si>
  <si>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</si>
  <si>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</si>
  <si>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</si>
  <si>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</si>
  <si>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</si>
  <si>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</si>
  <si>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</si>
  <si>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</si>
  <si>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</si>
  <si>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</si>
  <si>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</si>
  <si>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</si>
  <si>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</si>
  <si>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</si>
  <si>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</si>
  <si>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</si>
  <si>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</si>
  <si>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</si>
  <si>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</si>
  <si>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</si>
  <si>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</si>
  <si>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</si>
  <si>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</si>
  <si>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</si>
  <si>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</si>
  <si>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</si>
  <si>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</si>
  <si>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</si>
  <si>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</si>
  <si>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</si>
  <si>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</si>
  <si>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</si>
  <si>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</si>
  <si>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</si>
  <si>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</si>
  <si>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</si>
  <si>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</si>
  <si>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</si>
  <si>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</si>
  <si>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</si>
  <si>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</si>
  <si>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</si>
  <si>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</si>
  <si>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</si>
  <si>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</si>
  <si>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</si>
  <si>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</si>
  <si>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</si>
  <si>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</si>
  <si>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</si>
  <si>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</si>
  <si>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</si>
  <si>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</si>
  <si>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</si>
  <si>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</si>
  <si>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</si>
  <si>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</si>
  <si>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</si>
  <si>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</si>
  <si>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</si>
  <si>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</si>
  <si>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</si>
  <si>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</si>
  <si>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</si>
  <si>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</si>
  <si>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</si>
  <si>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</si>
  <si>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</si>
  <si>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</si>
  <si>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</si>
  <si>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</si>
  <si>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</si>
  <si>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</si>
  <si>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</si>
  <si>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</si>
  <si>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</si>
  <si>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</si>
  <si>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</si>
  <si>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</si>
  <si>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</si>
  <si>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</si>
  <si>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</si>
  <si>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</si>
  <si>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</si>
  <si>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</si>
  <si>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</si>
  <si>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</si>
  <si>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</si>
  <si>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</si>
  <si>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</si>
  <si>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</si>
  <si>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</si>
  <si>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</si>
  <si>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</si>
  <si>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</si>
  <si>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</si>
  <si>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</si>
  <si>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</si>
  <si>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</si>
  <si>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</si>
  <si>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</si>
  <si>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</si>
  <si>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</si>
  <si>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</si>
  <si>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</si>
  <si>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</si>
  <si>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</si>
  <si>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</si>
  <si>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</si>
  <si>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</si>
  <si>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</si>
  <si>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</si>
  <si>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</si>
  <si>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</si>
  <si>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</si>
  <si>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</si>
  <si>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</si>
  <si>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</si>
  <si>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</si>
  <si>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</si>
  <si>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</si>
  <si>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</si>
  <si>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</si>
  <si>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</si>
  <si>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</si>
  <si>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</si>
  <si>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</si>
  <si>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</si>
  <si>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</si>
  <si>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</si>
  <si>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</si>
  <si>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</si>
  <si>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</si>
  <si>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</si>
  <si>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</si>
  <si>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</si>
  <si>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</si>
  <si>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</si>
  <si>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</si>
  <si>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</si>
  <si>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</si>
  <si>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</si>
  <si>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</si>
  <si>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</si>
  <si>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</si>
  <si>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</si>
  <si>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</si>
  <si>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</si>
  <si>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</si>
  <si>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</si>
  <si>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</si>
  <si>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</si>
  <si>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</si>
  <si>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</si>
  <si>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</si>
  <si>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</si>
  <si>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</si>
  <si>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</si>
  <si>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</si>
  <si>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</si>
  <si>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</si>
  <si>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</si>
  <si>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</si>
  <si>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</si>
  <si>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</si>
  <si>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</si>
  <si>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</si>
  <si>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</si>
  <si>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</si>
  <si>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</si>
  <si>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</si>
  <si>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</si>
  <si>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</si>
  <si>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</si>
  <si>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</si>
  <si>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</si>
  <si>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</si>
  <si>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</si>
  <si>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</si>
  <si>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</si>
  <si>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</si>
  <si>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</si>
  <si>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</si>
  <si>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</si>
  <si>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</si>
  <si>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</si>
  <si>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</si>
  <si>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</si>
  <si>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</si>
  <si>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</si>
  <si>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</si>
  <si>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</si>
  <si>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</si>
  <si>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</si>
  <si>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</si>
  <si>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</si>
  <si>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</si>
  <si>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</si>
  <si>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</si>
  <si>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</si>
  <si>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</si>
  <si>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</si>
  <si>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</si>
  <si>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</si>
  <si>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</si>
  <si>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</si>
  <si>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</si>
  <si>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</si>
  <si>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</si>
  <si>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</si>
  <si>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</si>
  <si>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</si>
  <si>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</si>
  <si>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</si>
  <si>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</si>
  <si>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</si>
  <si>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</si>
  <si>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</si>
  <si>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</si>
  <si>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</si>
  <si>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</si>
  <si>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</si>
  <si>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</si>
  <si>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</si>
  <si>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</si>
  <si>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</si>
  <si>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</si>
  <si>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</si>
  <si>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</si>
  <si>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</si>
  <si>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</si>
  <si>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</si>
  <si>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</si>
  <si>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</si>
  <si>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</si>
  <si>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</si>
  <si>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</si>
  <si>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</si>
  <si>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</si>
  <si>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</si>
  <si>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</si>
  <si>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</si>
  <si>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</si>
  <si>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</si>
  <si>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</si>
  <si>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</si>
  <si>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</si>
  <si>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</si>
  <si>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</si>
  <si>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</si>
  <si>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</si>
  <si>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</si>
  <si>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</si>
  <si>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</si>
  <si>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</si>
  <si>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</si>
  <si>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</si>
  <si>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</si>
  <si>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</si>
  <si>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</si>
  <si>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</si>
  <si>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</si>
  <si>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</si>
  <si>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</si>
  <si>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</si>
  <si>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</si>
  <si>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</si>
  <si>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</si>
  <si>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</si>
  <si>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</si>
  <si>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</si>
  <si>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</si>
  <si>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</si>
  <si>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</si>
  <si>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</si>
  <si>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</si>
  <si>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</si>
  <si>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</si>
  <si>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</si>
  <si>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</si>
  <si>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</si>
  <si>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</si>
  <si>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</si>
  <si>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</si>
  <si>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</si>
  <si>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</si>
  <si>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</si>
  <si>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</si>
  <si>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</si>
  <si>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</si>
  <si>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</si>
  <si>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</si>
  <si>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</si>
  <si>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</si>
  <si>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</si>
  <si>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</si>
  <si>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</si>
  <si>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</si>
  <si>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</si>
  <si>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</si>
  <si>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</si>
  <si>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</si>
  <si>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</si>
  <si>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</si>
  <si>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</si>
  <si>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</si>
  <si>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</si>
  <si>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</si>
  <si>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</si>
  <si>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</si>
  <si>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</si>
  <si>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</si>
  <si>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</si>
  <si>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</si>
  <si>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</si>
  <si>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</si>
  <si>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</si>
  <si>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</si>
  <si>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</si>
  <si>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</si>
  <si>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</si>
  <si>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</si>
  <si>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</si>
  <si>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</si>
  <si>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</si>
  <si>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</si>
  <si>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</si>
  <si>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</si>
  <si>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</si>
  <si>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</si>
  <si>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</si>
  <si>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</si>
  <si>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</si>
  <si>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</si>
  <si>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</si>
  <si>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</si>
  <si>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</si>
  <si>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</si>
  <si>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</si>
  <si>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</si>
  <si>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</si>
  <si>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</si>
  <si>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</si>
  <si>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</si>
  <si>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</si>
  <si>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</si>
  <si>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</si>
  <si>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</si>
  <si>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</si>
  <si>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</si>
  <si>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</si>
  <si>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</si>
  <si>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</si>
  <si>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</si>
  <si>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</si>
  <si>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</si>
  <si>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</si>
  <si>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</si>
  <si>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</si>
  <si>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</si>
  <si>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</si>
  <si>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</si>
  <si>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</si>
  <si>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</si>
  <si>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</si>
  <si>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</si>
  <si>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</si>
  <si>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</si>
  <si>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</si>
  <si>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</si>
  <si>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</si>
  <si>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</si>
  <si>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</si>
  <si>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</si>
  <si>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</si>
  <si>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</si>
  <si>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</si>
  <si>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</si>
  <si>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</si>
  <si>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</si>
  <si>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</si>
  <si>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</si>
  <si>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</si>
  <si>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</si>
  <si>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</si>
  <si>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</si>
  <si>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</si>
  <si>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</si>
  <si>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</si>
  <si>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</si>
  <si>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</si>
  <si>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</si>
  <si>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</si>
  <si>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</si>
  <si>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</si>
  <si>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</si>
  <si>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</si>
  <si>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</si>
  <si>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</si>
  <si>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</si>
  <si>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</si>
  <si>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</si>
  <si>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</si>
  <si>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</si>
  <si>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</si>
  <si>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</si>
  <si>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</si>
  <si>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</si>
  <si>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</si>
  <si>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</si>
  <si>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</si>
  <si>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</si>
  <si>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</si>
  <si>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</si>
  <si>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</si>
  <si>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</si>
  <si>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</si>
  <si>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</si>
  <si>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</si>
  <si>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</si>
  <si>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</si>
  <si>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</si>
  <si>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</si>
  <si>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</si>
  <si>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</si>
  <si>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</si>
  <si>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</si>
  <si>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</si>
  <si>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</si>
  <si>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</si>
  <si>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</si>
  <si>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</si>
  <si>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</si>
  <si>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</si>
  <si>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</si>
  <si>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</si>
  <si>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</si>
  <si>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</si>
  <si>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</si>
  <si>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</si>
  <si>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</si>
  <si>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</si>
  <si>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</si>
  <si>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</si>
  <si>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</si>
  <si>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</si>
  <si>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</si>
  <si>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</si>
  <si>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</si>
  <si>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</si>
  <si>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</si>
  <si>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</si>
  <si>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</si>
  <si>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</si>
  <si>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</si>
  <si>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</si>
  <si>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</si>
  <si>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</si>
  <si>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</si>
  <si>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</si>
  <si>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</si>
  <si>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</si>
  <si>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</si>
  <si>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</si>
  <si>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</si>
  <si>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</si>
  <si>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</si>
  <si>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</si>
  <si>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</si>
  <si>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</si>
  <si>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</si>
  <si>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</si>
  <si>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</si>
  <si>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</si>
  <si>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</si>
  <si>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</si>
  <si>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</si>
  <si>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</si>
  <si>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</si>
  <si>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</si>
  <si>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</si>
  <si>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</si>
  <si>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</si>
  <si>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</si>
  <si>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</si>
  <si>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</si>
  <si>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</si>
  <si>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</si>
  <si>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</si>
  <si>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</si>
  <si>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</si>
  <si>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</si>
  <si>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</si>
  <si>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</si>
  <si>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</si>
  <si>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</si>
  <si>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</si>
  <si>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</si>
  <si>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</si>
  <si>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</si>
  <si>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</si>
  <si>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</si>
  <si>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</si>
  <si>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</si>
  <si>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</si>
  <si>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</si>
  <si>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</si>
  <si>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</si>
  <si>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</si>
  <si>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</si>
  <si>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</si>
  <si>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</si>
  <si>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</si>
  <si>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</si>
  <si>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</si>
  <si>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</si>
  <si>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</si>
  <si>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</si>
  <si>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</si>
  <si>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</si>
  <si>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</si>
  <si>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</si>
  <si>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</si>
  <si>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</si>
  <si>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</si>
  <si>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</si>
  <si>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</si>
  <si>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</si>
  <si>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</si>
  <si>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</si>
  <si>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</si>
  <si>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</si>
  <si>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</si>
  <si>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</si>
  <si>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</si>
  <si>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</si>
  <si>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</si>
  <si>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</si>
  <si>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</si>
  <si>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</si>
  <si>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</si>
  <si>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</si>
  <si>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</si>
  <si>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</si>
  <si>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</si>
  <si>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</si>
  <si>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</si>
  <si>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</si>
  <si>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</si>
  <si>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</si>
  <si>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</si>
  <si>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</si>
  <si>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</si>
  <si>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</si>
  <si>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</si>
  <si>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</si>
  <si>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</si>
  <si>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</si>
  <si>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</si>
  <si>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</si>
  <si>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</si>
  <si>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</si>
  <si>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</si>
  <si>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</si>
  <si>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</si>
  <si>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</si>
  <si>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</si>
  <si>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</si>
  <si>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</si>
  <si>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</si>
  <si>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</si>
  <si>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</si>
  <si>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</si>
  <si>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</si>
  <si>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</si>
  <si>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</si>
  <si>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</si>
  <si>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</si>
  <si>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</si>
  <si>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</si>
  <si>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</si>
  <si>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</si>
  <si>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</si>
  <si>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</si>
  <si>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</si>
  <si>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</si>
  <si>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</si>
  <si>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</si>
  <si>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</si>
  <si>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</si>
  <si>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</si>
  <si>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</si>
  <si>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</si>
  <si>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</si>
  <si>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</si>
  <si>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</si>
  <si>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</si>
  <si>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</si>
  <si>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</si>
  <si>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</si>
  <si>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</si>
  <si>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</si>
  <si>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</si>
  <si>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</si>
  <si>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</si>
  <si>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</si>
  <si>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</si>
  <si>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</si>
  <si>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</si>
  <si>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</si>
  <si>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</si>
  <si>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</si>
  <si>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</si>
  <si>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</si>
  <si>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</si>
  <si>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</si>
  <si>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</si>
  <si>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</si>
  <si>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</si>
  <si>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</si>
  <si>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</si>
  <si>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</si>
  <si>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</si>
  <si>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</si>
  <si>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</si>
  <si>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</si>
  <si>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</si>
  <si>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</si>
  <si>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</si>
  <si>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</si>
  <si>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</si>
  <si>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</si>
  <si>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</si>
  <si>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</si>
  <si>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</si>
  <si>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</si>
  <si>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</si>
  <si>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</si>
  <si>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</si>
  <si>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</si>
  <si>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</si>
  <si>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</si>
  <si>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</si>
  <si>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</si>
  <si>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</si>
  <si>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</si>
  <si>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</si>
  <si>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</si>
  <si>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</si>
  <si>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</si>
  <si>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</si>
  <si>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</si>
  <si>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</si>
  <si>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</si>
  <si>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</si>
  <si>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</si>
  <si>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</si>
  <si>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</si>
  <si>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</si>
  <si>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</si>
  <si>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</si>
  <si>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</si>
  <si>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</si>
  <si>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</si>
  <si>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</si>
  <si>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</si>
  <si>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</si>
  <si>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</si>
  <si>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</si>
  <si>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</si>
  <si>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</si>
  <si>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</si>
  <si>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</si>
  <si>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</si>
  <si>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</si>
  <si>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</si>
  <si>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</si>
  <si>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</si>
  <si>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</si>
  <si>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</si>
  <si>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</si>
  <si>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</si>
  <si>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</si>
  <si>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</si>
  <si>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</si>
  <si>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</si>
  <si>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</si>
  <si>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</si>
  <si>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</si>
  <si>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</si>
  <si>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</si>
  <si>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</si>
  <si>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</si>
  <si>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</si>
  <si>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</si>
  <si>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</si>
  <si>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</si>
  <si>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</si>
  <si>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</si>
  <si>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</si>
  <si>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</si>
  <si>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</si>
  <si>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</si>
  <si>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</si>
  <si>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</si>
  <si>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</si>
  <si>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</si>
  <si>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</si>
  <si>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</si>
  <si>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</si>
  <si>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</si>
  <si>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</si>
  <si>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</si>
  <si>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</si>
  <si>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</si>
  <si>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</si>
  <si>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</si>
  <si>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</si>
  <si>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</si>
  <si>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</si>
  <si>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</si>
  <si>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</si>
  <si>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</si>
  <si>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</si>
  <si>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</si>
  <si>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</si>
  <si>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</si>
  <si>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</si>
  <si>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</si>
  <si>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</si>
  <si>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</si>
  <si>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</si>
  <si>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</si>
  <si>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</si>
  <si>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</si>
  <si>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</si>
  <si>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</si>
  <si>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</si>
  <si>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</si>
  <si>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</si>
  <si>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</si>
  <si>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</si>
  <si>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</si>
  <si>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</si>
  <si>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</si>
  <si>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</si>
  <si>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</si>
  <si>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</si>
  <si>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</si>
  <si>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</si>
  <si>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</si>
  <si>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</si>
  <si>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</si>
  <si>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</si>
  <si>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</si>
  <si>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</si>
  <si>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</si>
  <si>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</si>
  <si>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</si>
  <si>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</si>
  <si>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</si>
  <si>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</si>
  <si>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</si>
  <si>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</si>
  <si>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</si>
  <si>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</si>
  <si>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</si>
  <si>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</si>
  <si>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</si>
  <si>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</si>
  <si>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</si>
  <si>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</si>
  <si>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</si>
  <si>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</si>
  <si>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</si>
  <si>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</si>
  <si>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</si>
  <si>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</si>
  <si>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</si>
  <si>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</si>
  <si>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</si>
  <si>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</si>
  <si>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</si>
  <si>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</si>
  <si>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</si>
  <si>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</si>
  <si>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</si>
  <si>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</si>
  <si>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</si>
  <si>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</si>
  <si>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</si>
  <si>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</si>
  <si>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</si>
  <si>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</si>
  <si>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</si>
  <si>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</si>
  <si>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</si>
  <si>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</si>
  <si>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</si>
  <si>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</si>
  <si>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</si>
  <si>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</si>
  <si>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</si>
  <si>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</si>
  <si>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</si>
  <si>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</si>
  <si>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</si>
  <si>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</si>
  <si>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</si>
  <si>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</si>
  <si>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</si>
  <si>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</si>
  <si>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</si>
  <si>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</si>
  <si>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</si>
  <si>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</si>
  <si>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</si>
  <si>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</si>
  <si>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</si>
  <si>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</si>
  <si>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</si>
  <si>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</si>
  <si>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</si>
  <si>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</si>
  <si>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</si>
  <si>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</si>
  <si>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</si>
  <si>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</si>
  <si>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</si>
  <si>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</si>
  <si>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</si>
  <si>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</si>
  <si>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</si>
  <si>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</si>
  <si>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</si>
  <si>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</si>
  <si>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</si>
  <si>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</si>
  <si>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</si>
  <si>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</si>
  <si>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</si>
  <si>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</si>
  <si>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</si>
  <si>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</si>
  <si>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</si>
  <si>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</si>
  <si>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</si>
  <si>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</si>
  <si>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</si>
  <si>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</si>
  <si>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</si>
  <si>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</si>
  <si>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</si>
  <si>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</si>
  <si>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</si>
  <si>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</si>
  <si>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</si>
  <si>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</si>
  <si>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</si>
  <si>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</si>
  <si>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</si>
  <si>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</si>
  <si>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</si>
  <si>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</si>
  <si>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</si>
  <si>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</si>
  <si>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</si>
  <si>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</si>
  <si>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</si>
  <si>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</si>
  <si>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</si>
  <si>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</si>
  <si>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</si>
  <si>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</si>
  <si>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</si>
  <si>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</si>
  <si>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</si>
  <si>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</si>
  <si>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</si>
  <si>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</si>
  <si>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</si>
  <si>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</si>
  <si>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</si>
  <si>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</si>
  <si>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</si>
  <si>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</si>
  <si>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</si>
  <si>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</si>
  <si>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</si>
  <si>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</si>
  <si>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</si>
  <si>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</si>
  <si>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</si>
  <si>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</si>
  <si>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</si>
  <si>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</si>
  <si>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</si>
  <si>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</si>
  <si>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</si>
  <si>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</si>
  <si>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</si>
  <si>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</si>
  <si>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</si>
  <si>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</si>
  <si>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</si>
  <si>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</si>
  <si>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</si>
  <si>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</si>
  <si>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</si>
  <si>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</si>
  <si>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</si>
  <si>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</si>
  <si>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</si>
  <si>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</si>
  <si>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</si>
  <si>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</si>
  <si>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</si>
  <si>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</si>
  <si>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</si>
  <si>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</si>
  <si>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</si>
  <si>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</si>
  <si>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</si>
  <si>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</si>
  <si>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</si>
  <si>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</si>
  <si>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</si>
  <si>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</si>
  <si>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</si>
  <si>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</si>
  <si>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</si>
  <si>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</si>
  <si>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</si>
  <si>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</si>
  <si>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</si>
  <si>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</si>
  <si>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</si>
  <si>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</si>
  <si>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</si>
  <si>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</si>
  <si>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</si>
  <si>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</si>
  <si>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</si>
  <si>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</si>
  <si>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</si>
  <si>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</si>
  <si>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</si>
  <si>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</si>
  <si>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</si>
  <si>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</si>
  <si>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</si>
  <si>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</si>
  <si>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</si>
  <si>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</si>
  <si>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</si>
  <si>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</si>
  <si>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</si>
  <si>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</si>
  <si>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</si>
  <si>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</si>
  <si>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</si>
  <si>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</si>
  <si>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</si>
  <si>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</si>
  <si>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</si>
  <si>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</si>
  <si>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</si>
  <si>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</si>
  <si>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</si>
  <si>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</si>
  <si>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</si>
  <si>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</si>
  <si>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</si>
  <si>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</si>
  <si>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</si>
  <si>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</si>
  <si>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</si>
  <si>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</si>
  <si>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</si>
  <si>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</si>
  <si>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</si>
  <si>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</si>
  <si>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</si>
  <si>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</si>
  <si>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</si>
  <si>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</si>
  <si>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</si>
  <si>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</si>
  <si>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</si>
  <si>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</si>
  <si>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</si>
  <si>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</si>
  <si>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</si>
  <si>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</si>
  <si>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</si>
  <si>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</si>
  <si>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</si>
  <si>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</si>
  <si>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</si>
  <si>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</si>
  <si>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</si>
  <si>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</si>
  <si>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</si>
  <si>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</si>
  <si>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</si>
  <si>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</si>
  <si>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</si>
  <si>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</si>
  <si>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</si>
  <si>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</si>
  <si>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</si>
  <si>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</si>
  <si>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</si>
  <si>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</si>
  <si>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</si>
  <si>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</si>
  <si>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</si>
  <si>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</si>
  <si>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</si>
  <si>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</si>
  <si>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</si>
  <si>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</si>
  <si>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</si>
  <si>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</si>
  <si>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</si>
  <si>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</si>
  <si>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</si>
  <si>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</si>
  <si>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</si>
  <si>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</si>
  <si>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</si>
  <si>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</si>
  <si>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</si>
  <si>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</si>
  <si>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</si>
  <si>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</si>
  <si>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</si>
  <si>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</si>
  <si>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</si>
  <si>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</si>
  <si>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</si>
  <si>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</si>
  <si>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</si>
  <si>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</si>
  <si>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</si>
  <si>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</si>
  <si>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</si>
  <si>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</si>
  <si>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</si>
  <si>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</si>
  <si>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</si>
  <si>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</si>
  <si>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</si>
  <si>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</si>
  <si>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</si>
  <si>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</si>
  <si>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</si>
  <si>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</si>
  <si>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</si>
  <si>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</si>
  <si>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</si>
  <si>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</si>
  <si>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</si>
  <si>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</si>
  <si>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</si>
  <si>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</si>
  <si>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</si>
  <si>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</si>
  <si>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</si>
  <si>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</si>
  <si>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</si>
  <si>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</si>
  <si>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</si>
  <si>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</si>
  <si>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</si>
  <si>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</si>
  <si>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</si>
  <si>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</si>
  <si>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</si>
  <si>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</si>
  <si>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</si>
  <si>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</si>
  <si>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</si>
  <si>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</si>
  <si>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</si>
  <si>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</si>
  <si>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</si>
  <si>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</si>
  <si>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</si>
  <si>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</si>
  <si>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</si>
  <si>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</si>
  <si>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</si>
  <si>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</si>
  <si>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</si>
  <si>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</si>
  <si>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</si>
  <si>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</si>
  <si>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</si>
  <si>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</si>
  <si>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</si>
  <si>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</si>
  <si>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</si>
  <si>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</si>
  <si>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</si>
  <si>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</si>
  <si>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</si>
  <si>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</si>
  <si>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</si>
  <si>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</si>
  <si>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</si>
  <si>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</si>
  <si>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</si>
  <si>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</si>
  <si>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</si>
  <si>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</si>
  <si>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</si>
  <si>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</si>
  <si>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</si>
  <si>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</si>
  <si>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</si>
  <si>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</si>
  <si>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</si>
  <si>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</si>
  <si>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</si>
  <si>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</si>
  <si>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</si>
  <si>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</si>
  <si>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</si>
  <si>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</si>
  <si>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</si>
  <si>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</si>
  <si>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</si>
  <si>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</si>
  <si>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</si>
  <si>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</si>
  <si>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</si>
  <si>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</si>
  <si>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</si>
  <si>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</si>
  <si>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</si>
  <si>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</si>
  <si>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</si>
  <si>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</si>
  <si>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</si>
  <si>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</si>
  <si>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</si>
  <si>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</si>
  <si>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</si>
  <si>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</si>
  <si>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</si>
  <si>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</si>
  <si>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</si>
  <si>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</si>
  <si>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</si>
  <si>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</si>
  <si>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</si>
  <si>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</si>
  <si>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</si>
  <si>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</si>
  <si>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</si>
  <si>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</si>
  <si>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</si>
  <si>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</si>
  <si>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</si>
  <si>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</si>
  <si>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</si>
  <si>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</si>
  <si>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</si>
  <si>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</si>
  <si>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</si>
  <si>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</si>
  <si>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</si>
  <si>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</si>
  <si>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</si>
  <si>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</si>
  <si>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</si>
  <si>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</si>
  <si>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</si>
  <si>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</si>
  <si>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</si>
  <si>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</si>
  <si>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</si>
  <si>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</si>
  <si>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</si>
  <si>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</si>
  <si>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</si>
  <si>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</si>
  <si>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</si>
  <si>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</si>
  <si>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</si>
  <si>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</si>
  <si>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</si>
  <si>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</si>
  <si>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</si>
  <si>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</si>
  <si>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</si>
  <si>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</si>
  <si>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</si>
  <si>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</si>
  <si>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</si>
  <si>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</si>
  <si>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</si>
  <si>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</si>
  <si>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</si>
  <si>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</si>
  <si>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</si>
  <si>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</si>
  <si>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</si>
  <si>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</si>
  <si>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</si>
  <si>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</si>
  <si>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</si>
  <si>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</si>
  <si>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</si>
  <si>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</si>
  <si>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</si>
  <si>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</si>
  <si>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</si>
  <si>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</si>
  <si>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</si>
  <si>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</si>
  <si>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</si>
  <si>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</si>
  <si>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</si>
  <si>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</si>
  <si>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</si>
  <si>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</si>
  <si>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</si>
  <si>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</si>
  <si>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</si>
  <si>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</si>
  <si>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</si>
  <si>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</si>
  <si>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</si>
  <si>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</si>
  <si>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</si>
  <si>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</si>
  <si>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</si>
  <si>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</si>
  <si>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</si>
  <si>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</si>
  <si>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</si>
  <si>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</si>
  <si>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</si>
  <si>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</si>
  <si>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</si>
  <si>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</si>
  <si>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</si>
  <si>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</si>
  <si>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</si>
  <si>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</si>
  <si>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</si>
  <si>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</si>
  <si>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</si>
  <si>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</si>
  <si>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</si>
  <si>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</si>
  <si>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</si>
  <si>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</si>
  <si>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</si>
  <si>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</si>
  <si>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</si>
  <si>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</si>
  <si>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</si>
  <si>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</si>
  <si>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</si>
  <si>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</si>
  <si>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</si>
  <si>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</si>
  <si>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</si>
  <si>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</si>
  <si>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</si>
  <si>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</si>
  <si>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</si>
  <si>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</si>
  <si>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</si>
  <si>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</si>
  <si>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</si>
  <si>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</si>
  <si>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</si>
  <si>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</si>
  <si>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</si>
  <si>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</si>
  <si>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</si>
  <si>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</si>
  <si>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</si>
  <si>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</si>
  <si>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</si>
  <si>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</si>
  <si>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</si>
  <si>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</si>
  <si>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</si>
  <si>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</si>
  <si>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</si>
  <si>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</si>
  <si>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</si>
  <si>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</si>
  <si>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</si>
  <si>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</si>
  <si>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</si>
  <si>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</si>
  <si>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</si>
  <si>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</si>
  <si>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</si>
  <si>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</si>
  <si>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</si>
  <si>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</si>
  <si>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</si>
  <si>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</si>
  <si>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</si>
  <si>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</si>
  <si>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</si>
  <si>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</si>
  <si>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</si>
  <si>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</si>
  <si>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</si>
  <si>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</si>
  <si>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</si>
  <si>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</si>
  <si>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</si>
  <si>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</si>
  <si>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</si>
  <si>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</si>
  <si>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</si>
  <si>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</si>
  <si>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</si>
  <si>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</si>
  <si>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</si>
  <si>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</si>
  <si>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</si>
  <si>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</si>
  <si>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</si>
  <si>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</si>
  <si>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</si>
  <si>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</si>
  <si>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</si>
  <si>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</si>
  <si>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</si>
  <si>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</si>
  <si>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</si>
  <si>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</si>
  <si>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</si>
  <si>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</si>
  <si>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</si>
  <si>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</si>
  <si>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</si>
  <si>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</si>
  <si>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</si>
  <si>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</si>
  <si>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</si>
  <si>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</si>
  <si>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</si>
  <si>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</si>
  <si>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</si>
  <si>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</si>
  <si>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</si>
  <si>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</si>
  <si>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</si>
  <si>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</si>
  <si>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</si>
  <si>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</si>
  <si>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</si>
  <si>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</si>
  <si>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</si>
  <si>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</si>
  <si>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</si>
  <si>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</si>
  <si>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</si>
  <si>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</si>
  <si>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</si>
  <si>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</si>
  <si>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</si>
  <si>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</si>
  <si>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</si>
  <si>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</si>
  <si>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</si>
  <si>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</si>
  <si>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</si>
  <si>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</si>
  <si>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</si>
  <si>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</si>
  <si>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</si>
  <si>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</si>
  <si>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</si>
  <si>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</si>
  <si>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</si>
  <si>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</si>
  <si>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</si>
  <si>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</si>
  <si>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</si>
  <si>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</si>
  <si>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</si>
  <si>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</si>
  <si>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</si>
  <si>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</si>
  <si>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</si>
  <si>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</si>
  <si>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</si>
  <si>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</si>
  <si>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</si>
  <si>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</si>
  <si>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</si>
  <si>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</si>
  <si>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</si>
  <si>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</si>
  <si>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</si>
  <si>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</si>
  <si>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</si>
  <si>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</si>
  <si>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</si>
  <si>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</si>
  <si>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</si>
  <si>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</si>
  <si>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</si>
  <si>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</si>
  <si>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</si>
  <si>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</si>
  <si>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</si>
  <si>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</si>
  <si>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</si>
  <si>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</si>
  <si>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</si>
  <si>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</si>
  <si>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</si>
  <si>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</si>
  <si>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</si>
  <si>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</si>
  <si>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</si>
  <si>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</si>
  <si>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</si>
  <si>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</si>
  <si>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</si>
  <si>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</si>
  <si>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</si>
  <si>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</si>
  <si>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</si>
  <si>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</si>
  <si>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</si>
  <si>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</si>
  <si>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</si>
  <si>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</si>
  <si>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</si>
  <si>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</si>
  <si>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</si>
  <si>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</si>
  <si>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</si>
  <si>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</si>
  <si>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</si>
  <si>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</si>
  <si>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</si>
  <si>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</si>
  <si>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</si>
  <si>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</si>
  <si>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</si>
  <si>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</si>
  <si>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</si>
  <si>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</si>
  <si>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</si>
  <si>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</si>
  <si>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</si>
  <si>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</si>
  <si>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</si>
  <si>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</si>
  <si>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</si>
  <si>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</si>
  <si>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</si>
  <si>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</si>
  <si>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</si>
  <si>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</si>
  <si>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</si>
  <si>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</si>
  <si>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</si>
  <si>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</si>
  <si>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</si>
  <si>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</si>
  <si>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</si>
  <si>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</si>
  <si>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</si>
  <si>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</si>
  <si>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</si>
  <si>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</si>
  <si>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</si>
  <si>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</si>
  <si>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</si>
  <si>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</si>
  <si>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</si>
  <si>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</si>
  <si>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</si>
  <si>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</si>
  <si>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</si>
  <si>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</si>
  <si>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</si>
  <si>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</si>
  <si>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</si>
  <si>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</si>
  <si>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</si>
  <si>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</si>
  <si>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</si>
  <si>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</si>
  <si>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</si>
  <si>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</si>
  <si>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</si>
  <si>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</si>
  <si>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</si>
  <si>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</si>
  <si>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</si>
  <si>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</si>
  <si>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</si>
  <si>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</si>
  <si>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</si>
  <si>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</si>
  <si>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</si>
  <si>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</si>
  <si>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</si>
  <si>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</si>
  <si>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</si>
  <si>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</si>
  <si>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</si>
  <si>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</si>
  <si>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</si>
  <si>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</si>
  <si>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</si>
  <si>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</si>
  <si>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</si>
  <si>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</si>
  <si>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</si>
  <si>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</si>
  <si>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</si>
  <si>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</si>
  <si>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</si>
  <si>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</si>
  <si>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</si>
  <si>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</si>
  <si>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</si>
  <si>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</si>
  <si>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</si>
  <si>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</si>
  <si>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</si>
  <si>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</si>
  <si>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</si>
  <si>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</si>
  <si>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</si>
  <si>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</si>
  <si>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</si>
  <si>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</si>
  <si>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</si>
  <si>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</si>
  <si>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</si>
  <si>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</si>
  <si>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</si>
  <si>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</si>
  <si>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</si>
  <si>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</si>
  <si>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</si>
  <si>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</si>
  <si>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</si>
  <si>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</si>
  <si>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</si>
  <si>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</si>
  <si>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</si>
  <si>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</si>
  <si>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</si>
  <si>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</si>
  <si>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</si>
  <si>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</si>
  <si>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</si>
  <si>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</si>
  <si>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</si>
  <si>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</si>
  <si>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</si>
  <si>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</si>
  <si>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</si>
  <si>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</si>
  <si>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</si>
  <si>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</si>
  <si>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</si>
  <si>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</si>
  <si>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</si>
  <si>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</si>
  <si>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</si>
  <si>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</si>
  <si>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</si>
  <si>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</si>
  <si>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</si>
  <si>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</si>
  <si>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</si>
  <si>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</si>
  <si>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</si>
  <si>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</si>
  <si>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</si>
  <si>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</si>
  <si>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</si>
  <si>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</si>
  <si>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</si>
  <si>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</si>
  <si>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</si>
  <si>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</si>
  <si>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</si>
  <si>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</si>
  <si>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</si>
  <si>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</si>
  <si>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</si>
  <si>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</si>
  <si>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</si>
  <si>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</si>
  <si>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</si>
  <si>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</si>
  <si>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</si>
  <si>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</si>
  <si>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</si>
  <si>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</si>
  <si>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</si>
  <si>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</si>
  <si>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</si>
  <si>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</si>
  <si>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</si>
  <si>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</si>
  <si>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</si>
  <si>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</si>
  <si>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</si>
  <si>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</si>
  <si>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</si>
  <si>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</si>
  <si>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</si>
  <si>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</si>
  <si>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</si>
  <si>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</si>
  <si>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</si>
  <si>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</si>
  <si>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</si>
  <si>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</si>
  <si>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</si>
  <si>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</si>
  <si>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</si>
  <si>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</si>
  <si>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</si>
  <si>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</si>
  <si>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</si>
  <si>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</si>
  <si>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</si>
  <si>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</si>
  <si>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</si>
  <si>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</si>
  <si>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</si>
  <si>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</si>
  <si>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</si>
  <si>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</si>
  <si>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</si>
  <si>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</si>
  <si>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</si>
  <si>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</si>
  <si>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</si>
  <si>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</si>
  <si>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</si>
  <si>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</si>
  <si>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</si>
  <si>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</si>
  <si>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</si>
  <si>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</si>
  <si>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</si>
  <si>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</si>
  <si>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</si>
  <si>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</si>
  <si>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</si>
  <si>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</si>
  <si>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</si>
  <si>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</si>
  <si>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</si>
  <si>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</si>
  <si>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</si>
  <si>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</si>
  <si>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</si>
  <si>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</si>
  <si>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</si>
  <si>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</si>
  <si>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</si>
  <si>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</si>
  <si>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</si>
  <si>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</si>
  <si>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</si>
  <si>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</si>
  <si>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</si>
  <si>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</si>
  <si>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</si>
  <si>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</si>
  <si>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</si>
  <si>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</si>
  <si>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</si>
  <si>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</si>
  <si>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</si>
  <si>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</si>
  <si>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</si>
  <si>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</si>
  <si>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</si>
  <si>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</si>
  <si>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</si>
  <si>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</si>
  <si>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</si>
  <si>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</si>
  <si>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</si>
  <si>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</si>
  <si>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</si>
  <si>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</si>
  <si>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</si>
  <si>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</si>
  <si>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</si>
  <si>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</si>
  <si>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</si>
  <si>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</si>
  <si>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</si>
  <si>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</si>
  <si>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</si>
  <si>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</si>
  <si>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</si>
  <si>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</si>
  <si>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</si>
  <si>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</si>
  <si>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</si>
  <si>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</si>
  <si>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</si>
  <si>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</si>
  <si>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</si>
  <si>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</si>
  <si>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</si>
  <si>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</si>
  <si>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</si>
  <si>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</si>
  <si>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</si>
  <si>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</si>
  <si>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</si>
  <si>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</si>
  <si>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</si>
  <si>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</si>
  <si>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</si>
  <si>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</si>
  <si>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</si>
  <si>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</si>
  <si>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</si>
  <si>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</si>
  <si>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</si>
  <si>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</si>
  <si>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</si>
  <si>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</si>
  <si>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</si>
  <si>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</si>
  <si>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</si>
  <si>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</si>
  <si>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</si>
  <si>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</si>
  <si>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</si>
  <si>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</si>
  <si>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</si>
  <si>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</si>
  <si>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</si>
  <si>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</si>
  <si>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</si>
  <si>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</si>
  <si>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</si>
  <si>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</si>
  <si>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</si>
  <si>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</si>
  <si>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</si>
  <si>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</si>
  <si>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</si>
  <si>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</si>
  <si>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</si>
  <si>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</si>
  <si>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</si>
  <si>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</si>
  <si>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</si>
  <si>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</si>
  <si>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</si>
  <si>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</si>
  <si>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</si>
  <si>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</si>
  <si>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</si>
  <si>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</si>
  <si>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</si>
  <si>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</si>
  <si>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</si>
  <si>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</si>
  <si>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</si>
  <si>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</si>
  <si>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</si>
  <si>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</si>
  <si>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</si>
  <si>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</si>
  <si>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</si>
  <si>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</si>
  <si>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</si>
  <si>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</si>
  <si>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</si>
  <si>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</si>
  <si>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</si>
  <si>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</si>
  <si>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</si>
  <si>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</si>
  <si>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</si>
  <si>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</si>
  <si>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</si>
  <si>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</si>
  <si>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</si>
  <si>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</si>
  <si>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</si>
  <si>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</si>
  <si>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</si>
  <si>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</si>
  <si>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</si>
  <si>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</si>
  <si>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</si>
  <si>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</si>
  <si>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</si>
  <si>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</si>
  <si>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</si>
  <si>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</si>
  <si>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</si>
  <si>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</si>
  <si>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</si>
  <si>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</si>
  <si>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</si>
  <si>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</si>
  <si>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</si>
  <si>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</si>
  <si>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</si>
  <si>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</si>
  <si>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</si>
  <si>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</si>
  <si>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</si>
  <si>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</si>
  <si>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</si>
  <si>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</si>
  <si>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</si>
  <si>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</si>
  <si>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</si>
  <si>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</si>
  <si>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</si>
  <si>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</si>
  <si>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</si>
  <si>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</si>
  <si>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</si>
  <si>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</si>
  <si>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</si>
  <si>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</si>
  <si>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</si>
  <si>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</si>
  <si>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</si>
  <si>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</si>
  <si>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</si>
  <si>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</si>
  <si>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</si>
  <si>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</si>
  <si>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</si>
  <si>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</si>
  <si>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</si>
  <si>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</si>
  <si>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</si>
  <si>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</si>
  <si>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</si>
  <si>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</si>
  <si>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</si>
  <si>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</si>
  <si>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</si>
  <si>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</si>
  <si>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</si>
  <si>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</si>
  <si>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</si>
  <si>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</si>
  <si>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</si>
  <si>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</si>
  <si>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</si>
  <si>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</si>
  <si>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</si>
  <si>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</si>
  <si>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</si>
  <si>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</si>
  <si>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</si>
  <si>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</si>
  <si>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</si>
  <si>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</si>
  <si>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</si>
  <si>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</si>
  <si>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</si>
  <si>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</si>
  <si>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</si>
  <si>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</si>
  <si>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</si>
  <si>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</si>
  <si>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</si>
  <si>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</si>
  <si>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</si>
  <si>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</si>
  <si>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</si>
  <si>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</si>
  <si>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</si>
  <si>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</si>
  <si>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</si>
  <si>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</si>
  <si>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</si>
  <si>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</si>
  <si>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</si>
  <si>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</si>
  <si>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</si>
  <si>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</si>
  <si>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</si>
  <si>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</si>
  <si>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</si>
  <si>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</si>
  <si>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</si>
  <si>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</si>
  <si>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</si>
  <si>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</si>
  <si>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</si>
  <si>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</si>
  <si>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</si>
  <si>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</si>
  <si>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</si>
  <si>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</si>
  <si>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</si>
  <si>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</si>
  <si>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</si>
  <si>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</si>
  <si>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</si>
  <si>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</si>
  <si>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</si>
  <si>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</si>
  <si>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</si>
  <si>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</si>
  <si>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</si>
  <si>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</si>
  <si>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</si>
  <si>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</si>
  <si>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</si>
  <si>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</si>
  <si>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</si>
  <si>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</si>
  <si>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</si>
  <si>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</si>
  <si>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</si>
  <si>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</si>
  <si>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</si>
  <si>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</si>
  <si>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</si>
  <si>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</si>
  <si>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</si>
  <si>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</si>
  <si>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</si>
  <si>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</si>
  <si>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</si>
  <si>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</si>
  <si>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</si>
  <si>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</si>
  <si>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</si>
  <si>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</si>
  <si>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</si>
  <si>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</si>
  <si>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</si>
  <si>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</si>
  <si>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</si>
  <si>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</si>
  <si>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</si>
  <si>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</si>
  <si>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</si>
  <si>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</si>
  <si>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</si>
  <si>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</si>
  <si>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</si>
  <si>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</si>
  <si>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</si>
  <si>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</si>
  <si>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</si>
  <si>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</si>
  <si>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</si>
  <si>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</si>
  <si>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</si>
  <si>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</si>
  <si>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</si>
  <si>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</si>
  <si>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</si>
  <si>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</si>
  <si>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</si>
  <si>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</si>
  <si>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</si>
  <si>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</si>
  <si>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</si>
  <si>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</si>
  <si>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</si>
  <si>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</si>
  <si>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</si>
  <si>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</si>
  <si>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</si>
  <si>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</si>
  <si>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</si>
  <si>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</si>
  <si>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</si>
  <si>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</si>
  <si>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</si>
  <si>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</si>
  <si>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</si>
  <si>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</si>
  <si>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</si>
  <si>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</si>
  <si>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</si>
  <si>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</si>
  <si>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</si>
  <si>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</si>
  <si>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</si>
  <si>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</si>
  <si>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</si>
  <si>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</si>
  <si>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</si>
  <si>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</si>
  <si>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</si>
  <si>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</si>
  <si>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</si>
  <si>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</si>
  <si>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</si>
  <si>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</si>
  <si>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</si>
  <si>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</si>
  <si>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</si>
  <si>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</si>
  <si>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</si>
  <si>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</si>
  <si>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</si>
  <si>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</si>
  <si>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</si>
  <si>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</si>
  <si>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</si>
  <si>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</si>
  <si>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</si>
  <si>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</si>
  <si>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</si>
  <si>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</si>
  <si>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</si>
  <si>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</si>
  <si>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</si>
  <si>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</si>
  <si>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</si>
  <si>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</si>
  <si>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</si>
  <si>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</si>
  <si>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</si>
  <si>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</si>
  <si>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</si>
  <si>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</si>
  <si>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</si>
  <si>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</si>
  <si>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</si>
  <si>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</si>
  <si>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</si>
  <si>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</si>
  <si>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</si>
  <si>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</si>
  <si>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</si>
  <si>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</si>
  <si>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</si>
  <si>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</si>
  <si>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</si>
  <si>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</si>
  <si>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</si>
  <si>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</si>
  <si>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</si>
  <si>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</si>
  <si>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</si>
  <si>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</si>
  <si>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</si>
  <si>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</si>
  <si>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</si>
  <si>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</si>
  <si>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</si>
  <si>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</si>
  <si>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</si>
  <si>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</si>
  <si>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</si>
  <si>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</si>
  <si>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</si>
  <si>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</si>
  <si>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</si>
  <si>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</si>
  <si>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</si>
  <si>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</si>
  <si>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</si>
  <si>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</si>
  <si>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</si>
  <si>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</si>
  <si>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</si>
  <si>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</si>
  <si>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</si>
  <si>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</si>
  <si>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</si>
  <si>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</si>
  <si>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</si>
  <si>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</si>
  <si>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</si>
  <si>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</si>
  <si>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</si>
  <si>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</si>
  <si>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</si>
  <si>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</si>
  <si>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</si>
  <si>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</si>
  <si>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</si>
  <si>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</si>
  <si>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</si>
  <si>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</si>
  <si>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</si>
  <si>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</si>
  <si>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</si>
  <si>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</si>
  <si>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</si>
  <si>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</si>
  <si>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</si>
  <si>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</si>
  <si>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</si>
  <si>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</si>
  <si>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</si>
  <si>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</si>
  <si>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</si>
  <si>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</si>
  <si>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</si>
  <si>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</si>
  <si>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</si>
  <si>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</si>
  <si>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</si>
  <si>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</si>
  <si>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</si>
  <si>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</si>
  <si>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</si>
  <si>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</si>
  <si>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</si>
  <si>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</si>
  <si>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</si>
  <si>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</si>
  <si>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</si>
  <si>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</si>
  <si>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</si>
  <si>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</si>
  <si>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</si>
  <si>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</si>
  <si>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</si>
  <si>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</si>
  <si>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</si>
  <si>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</si>
  <si>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</si>
  <si>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</si>
  <si>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</si>
  <si>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</si>
  <si>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</si>
  <si>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</si>
  <si>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</si>
  <si>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</si>
  <si>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</si>
  <si>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</si>
  <si>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</si>
  <si>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</si>
  <si>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</si>
  <si>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</si>
  <si>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</si>
  <si>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</si>
  <si>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</si>
  <si>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</si>
  <si>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</si>
  <si>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</si>
  <si>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</si>
  <si>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</si>
  <si>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</si>
  <si>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</si>
  <si>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</si>
  <si>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</si>
  <si>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</si>
  <si>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</si>
  <si>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</si>
  <si>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</si>
  <si>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</si>
  <si>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</si>
  <si>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</si>
  <si>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</si>
  <si>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</si>
  <si>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</si>
  <si>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</si>
  <si>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</si>
  <si>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</si>
  <si>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</si>
  <si>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</si>
  <si>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</si>
  <si>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</si>
  <si>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</si>
  <si>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</si>
  <si>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</si>
  <si>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</si>
  <si>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</si>
  <si>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</si>
  <si>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</si>
  <si>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</si>
  <si>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</si>
  <si>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</si>
  <si>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</si>
  <si>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</si>
  <si>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</si>
  <si>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</si>
  <si>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</si>
  <si>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</si>
  <si>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</si>
  <si>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</si>
  <si>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</si>
  <si>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</si>
  <si>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</si>
  <si>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</si>
  <si>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</si>
  <si>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</si>
  <si>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</si>
  <si>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</si>
  <si>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</si>
  <si>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</si>
  <si>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</si>
  <si>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</si>
  <si>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</si>
  <si>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</si>
  <si>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</si>
  <si>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</si>
  <si>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</si>
  <si>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</si>
  <si>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</si>
  <si>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</si>
  <si>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</si>
  <si>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</si>
  <si>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</si>
  <si>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</si>
  <si>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</si>
  <si>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</si>
  <si>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</si>
  <si>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</si>
  <si>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</si>
  <si>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</si>
  <si>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</si>
  <si>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</si>
  <si>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</si>
  <si>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</si>
  <si>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</si>
  <si>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</si>
  <si>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</si>
  <si>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</si>
  <si>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</si>
  <si>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</si>
  <si>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</si>
  <si>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</si>
  <si>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</si>
  <si>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</si>
  <si>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</si>
  <si>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</si>
  <si>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</si>
  <si>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</si>
  <si>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</si>
  <si>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</si>
  <si>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</si>
  <si>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</si>
  <si>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</si>
  <si>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</si>
  <si>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</si>
  <si>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</si>
  <si>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</si>
  <si>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</si>
  <si>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</si>
  <si>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</si>
  <si>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</si>
  <si>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</si>
  <si>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</si>
  <si>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</si>
  <si>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</si>
  <si>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</si>
  <si>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</si>
  <si>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</si>
  <si>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</si>
  <si>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</si>
  <si>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</si>
  <si>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</si>
  <si>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</si>
  <si>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</si>
  <si>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</si>
  <si>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</si>
  <si>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</si>
  <si>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</si>
  <si>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</si>
  <si>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</si>
  <si>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</si>
  <si>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</si>
  <si>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</si>
  <si>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</si>
  <si>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</si>
  <si>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</si>
  <si>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</si>
  <si>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</si>
  <si>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</si>
  <si>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</si>
  <si>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</si>
  <si>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</si>
  <si>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</si>
  <si>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</si>
  <si>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</si>
  <si>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</si>
  <si>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</si>
  <si>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</si>
  <si>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</si>
  <si>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</si>
  <si>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</si>
  <si>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</si>
  <si>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</si>
  <si>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</si>
  <si>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</si>
  <si>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</si>
  <si>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</si>
  <si>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</si>
  <si>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</si>
  <si>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</si>
  <si>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</si>
  <si>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</si>
  <si>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</si>
  <si>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</si>
  <si>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</si>
  <si>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</si>
  <si>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</si>
  <si>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</si>
  <si>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</si>
  <si>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</si>
  <si>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</si>
  <si>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</si>
  <si>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</si>
  <si>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</si>
  <si>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</si>
  <si>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</si>
  <si>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</si>
  <si>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</si>
  <si>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</si>
  <si>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</si>
  <si>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</si>
  <si>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</si>
  <si>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</si>
  <si>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</si>
  <si>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</si>
  <si>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</si>
  <si>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</si>
  <si>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</si>
  <si>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</si>
  <si>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</si>
  <si>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</si>
  <si>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</si>
  <si>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</si>
  <si>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</si>
  <si>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</si>
  <si>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</si>
  <si>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</si>
  <si>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</si>
  <si>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</si>
  <si>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</si>
  <si>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</si>
  <si>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</si>
  <si>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</si>
  <si>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</si>
  <si>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</si>
  <si>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</si>
  <si>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</si>
  <si>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</si>
  <si>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</si>
  <si>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</si>
  <si>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</si>
  <si>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</si>
  <si>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</si>
  <si>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</si>
  <si>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</si>
  <si>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</si>
  <si>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</si>
  <si>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</si>
  <si>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</si>
  <si>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</si>
  <si>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</si>
  <si>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</si>
  <si>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</si>
  <si>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</si>
  <si>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</si>
  <si>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</si>
  <si>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</si>
  <si>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</si>
  <si>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</si>
  <si>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</si>
  <si>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</si>
  <si>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</si>
  <si>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</si>
  <si>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</si>
  <si>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</si>
  <si>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</si>
  <si>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</si>
  <si>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</si>
  <si>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</si>
  <si>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</si>
  <si>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</si>
  <si>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</si>
  <si>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</si>
  <si>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</si>
  <si>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</si>
  <si>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</si>
  <si>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</si>
  <si>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</si>
  <si>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</si>
  <si>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</si>
  <si>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</si>
  <si>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</si>
  <si>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</si>
  <si>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</si>
  <si>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</si>
  <si>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</si>
  <si>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</si>
  <si>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</si>
  <si>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</si>
  <si>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</si>
  <si>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</si>
  <si>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</si>
  <si>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</si>
  <si>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</si>
  <si>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</si>
  <si>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</si>
  <si>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</si>
  <si>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</si>
  <si>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</si>
  <si>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</si>
  <si>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</si>
  <si>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</si>
  <si>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</si>
  <si>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</si>
  <si>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</si>
  <si>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</si>
  <si>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</si>
  <si>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</si>
  <si>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</si>
  <si>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</si>
  <si>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</si>
  <si>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</si>
  <si>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</si>
  <si>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</si>
  <si>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</si>
  <si>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</si>
  <si>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</si>
  <si>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</si>
  <si>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</si>
  <si>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</si>
  <si>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</si>
  <si>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</si>
  <si>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</si>
  <si>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</si>
  <si>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</si>
  <si>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</si>
  <si>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</si>
  <si>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</si>
  <si>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</si>
  <si>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</si>
  <si>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</si>
  <si>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</si>
  <si>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</si>
  <si>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</si>
  <si>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</si>
  <si>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</si>
  <si>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</si>
  <si>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</si>
  <si>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</si>
  <si>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</si>
  <si>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</si>
  <si>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</si>
  <si>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</si>
  <si>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</si>
  <si>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</si>
  <si>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</si>
  <si>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</si>
  <si>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</si>
  <si>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</si>
  <si>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</si>
  <si>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</si>
  <si>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</si>
  <si>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</si>
  <si>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</si>
  <si>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</si>
  <si>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</si>
  <si>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</si>
  <si>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</si>
  <si>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</si>
  <si>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</si>
  <si>
    <t xml:space="preserve">Redwood Capital Group Holdings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</si>
</sst>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0" fillId="0" borderId="13" xfId="0" applyBorder="1"/>
    <xf numFmtId="0" fontId="52" fillId="27" borderId="3" xfId="0" applyFont="1" applyFill="1" applyBorder="1" applyAlignment="1">
      <alignment horizontal="center"/>
    </xf>
    <xf numFmtId="0" fontId="52" fillId="0" borderId="24" xfId="0" applyFont="1" applyBorder="1" applyAlignment="1">
      <alignment horizontal="center"/>
    </xf>
    <xf numFmtId="0" fontId="56" fillId="26" borderId="33" xfId="0" applyFont="1" applyFill="1" applyBorder="1" applyAlignment="1">
      <alignment horizontal="center"/>
    </xf>
    <xf numFmtId="0" fontId="0" fillId="0" borderId="11" xfId="0" applyBorder="1"/>
    <xf numFmtId="0" fontId="0" fillId="0" borderId="12" xfId="0" applyBorder="1"/>
    <xf numFmtId="0" fontId="52" fillId="3" borderId="3" xfId="0" applyFont="1" applyFill="1" applyBorder="1" applyAlignment="1">
      <alignment horizontal="center" vertic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0" borderId="33" xfId="0" applyFont="1" applyBorder="1" applyAlignment="1">
      <alignment horizontal="center"/>
    </xf>
    <xf numFmtId="0" fontId="52" fillId="0" borderId="10" xfId="0" applyFont="1" applyBorder="1" applyAlignment="1">
      <alignment horizontal="center"/>
    </xf>
    <xf numFmtId="0" fontId="52" fillId="27" borderId="23" xfId="0" applyFont="1" applyFill="1" applyBorder="1" applyAlignment="1">
      <alignment horizontal="center"/>
    </xf>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9765625" defaultRowHeight="13.15" outlineLevelRow="1" x14ac:dyDescent="0.4"/>
  <cols>
    <col min="1" max="1" width="1.59765625" style="2" customWidth="1"/>
    <col min="2" max="2" width="14.265625" style="2" bestFit="1" customWidth="1"/>
    <col min="3" max="3" width="23.265625" style="2" bestFit="1" customWidth="1"/>
    <col min="4" max="5" width="8.59765625" style="2" customWidth="1"/>
    <col min="6" max="6" width="18.86328125" style="2" customWidth="1"/>
    <col min="7" max="7" width="8.59765625" style="2" customWidth="1"/>
    <col min="8" max="8" width="2.265625" style="2" bestFit="1" customWidth="1"/>
    <col min="9" max="10" width="15.59765625" style="2" customWidth="1"/>
    <col min="11" max="11" width="21.59765625" style="2" bestFit="1" customWidth="1"/>
    <col min="12" max="12" width="24.59765625" style="3" customWidth="1"/>
    <col min="13" max="13" width="43.59765625" style="2" customWidth="1"/>
    <col min="14" max="14" width="33.265625" style="2" bestFit="1" customWidth="1"/>
    <col min="15" max="15" width="12.265625" style="2" bestFit="1" customWidth="1"/>
    <col min="16" max="16" width="11.265625" style="2" bestFit="1" customWidth="1"/>
    <col min="17" max="18" width="17.265625" style="2" bestFit="1" customWidth="1"/>
    <col min="19" max="19" width="8.59765625" style="2" customWidth="1"/>
    <col min="20" max="16384" width="8.59765625" style="2"/>
  </cols>
  <sheetData>
    <row r="1" spans="2:12" s="295" customFormat="1" ht="12.75" x14ac:dyDescent="0.35">
      <c r="L1" s="296"/>
    </row>
    <row r="2" spans="2:12" s="295" customFormat="1" ht="12.75" x14ac:dyDescent="0.35">
      <c r="L2" s="296"/>
    </row>
    <row r="3" spans="2:12" s="295" customFormat="1" ht="14.25" x14ac:dyDescent="0.45">
      <c r="B3" s="297" t="s">
        <v>0</v>
      </c>
      <c r="F3" s="883" t="s">
        <v>1</v>
      </c>
      <c r="G3" s="884"/>
      <c r="H3" s="884"/>
      <c r="I3" s="884"/>
      <c r="J3" s="885"/>
      <c r="L3" s="296"/>
    </row>
    <row r="4" spans="2:12" s="295" customFormat="1" ht="12.75" x14ac:dyDescent="0.35">
      <c r="L4" s="296"/>
    </row>
    <row r="5" spans="2:12" s="295" customFormat="1" x14ac:dyDescent="0.4">
      <c r="B5" s="297" t="s">
        <v>2</v>
      </c>
      <c r="F5" s="677">
        <v>46022</v>
      </c>
      <c r="G5" s="298"/>
      <c r="L5" s="296"/>
    </row>
    <row r="6" spans="2:12" s="295" customFormat="1" x14ac:dyDescent="0.4">
      <c r="B6" s="297" t="s">
        <v>3</v>
      </c>
      <c r="F6" s="299">
        <v>46570</v>
      </c>
      <c r="L6" s="296"/>
    </row>
    <row r="7" spans="2:12" s="295" customFormat="1" x14ac:dyDescent="0.4">
      <c r="B7" s="297" t="s">
        <v>4</v>
      </c>
      <c r="F7" s="299">
        <v>46934</v>
      </c>
      <c r="L7" s="296"/>
    </row>
    <row r="8" spans="2:12" s="295" customFormat="1" x14ac:dyDescent="0.4">
      <c r="B8" s="297" t="s">
        <v>5</v>
      </c>
      <c r="F8" s="677">
        <v>46022</v>
      </c>
      <c r="L8" s="296"/>
    </row>
    <row r="9" spans="2:12" s="295" customFormat="1" x14ac:dyDescent="0.4">
      <c r="B9" s="297" t="s">
        <v>6</v>
      </c>
      <c r="F9" s="299" t="s">
        <v>7</v>
      </c>
      <c r="L9" s="296"/>
    </row>
    <row r="10" spans="2:12" s="295" customFormat="1" x14ac:dyDescent="0.4">
      <c r="B10" s="297" t="s">
        <v>8</v>
      </c>
      <c r="F10" s="677" t="s">
        <v>7</v>
      </c>
      <c r="L10" s="296"/>
    </row>
    <row r="11" spans="2:12" s="295" customFormat="1" ht="12.75" x14ac:dyDescent="0.35">
      <c r="L11" s="296"/>
    </row>
    <row r="12" spans="2:12" s="295" customFormat="1" ht="12.75" x14ac:dyDescent="0.35">
      <c r="L12" s="296"/>
    </row>
    <row r="13" spans="2:12" s="295" customFormat="1" x14ac:dyDescent="0.35">
      <c r="L13" s="336" t="s">
        <v>9</v>
      </c>
    </row>
    <row r="14" spans="2:12" s="295" customFormat="1" ht="12.75" x14ac:dyDescent="0.35">
      <c r="L14" s="296"/>
    </row>
    <row r="15" spans="2:12" s="295" customFormat="1" x14ac:dyDescent="0.4">
      <c r="B15" s="337" t="s">
        <v>10</v>
      </c>
      <c r="C15" s="337"/>
      <c r="D15" s="337"/>
      <c r="E15" s="337"/>
      <c r="F15" s="337"/>
      <c r="G15" s="337"/>
      <c r="H15" s="337"/>
      <c r="I15" s="337"/>
      <c r="J15" s="337"/>
      <c r="K15" s="337"/>
      <c r="L15" s="340"/>
    </row>
    <row r="16" spans="2:12" s="295" customFormat="1" x14ac:dyDescent="0.35">
      <c r="B16" s="295" t="s">
        <v>11</v>
      </c>
      <c r="L16" s="679">
        <v>200000000</v>
      </c>
    </row>
    <row r="17" spans="1:18" s="295" customFormat="1" x14ac:dyDescent="0.35">
      <c r="L17" s="300"/>
    </row>
    <row r="18" spans="1:18" s="295" customFormat="1" ht="15" customHeight="1" x14ac:dyDescent="0.35">
      <c r="B18" s="295" t="s">
        <v>12</v>
      </c>
      <c r="L18" s="678">
        <v>5470977.5499999998</v>
      </c>
    </row>
    <row r="19" spans="1:18" s="295" customFormat="1" x14ac:dyDescent="0.35">
      <c r="B19" s="302" t="s">
        <v>13</v>
      </c>
      <c r="C19" s="302"/>
      <c r="D19" s="302"/>
      <c r="E19" s="302"/>
      <c r="F19" s="302"/>
      <c r="G19" s="302"/>
      <c r="H19" s="302"/>
      <c r="I19" s="302"/>
      <c r="J19" s="302"/>
      <c r="K19" s="302"/>
      <c r="L19" s="678">
        <v>0</v>
      </c>
    </row>
    <row r="20" spans="1:18" s="295" customFormat="1" ht="12.75" x14ac:dyDescent="0.35">
      <c r="L20" s="296"/>
    </row>
    <row r="21" spans="1:18" s="295" customFormat="1" ht="12.75" x14ac:dyDescent="0.35">
      <c r="B21" s="295" t="s">
        <v>14</v>
      </c>
      <c r="L21" s="296"/>
    </row>
    <row r="22" spans="1:18" s="295" customFormat="1" ht="24" customHeight="1" x14ac:dyDescent="0.35">
      <c r="C22" s="303" t="s">
        <v>15</v>
      </c>
      <c r="D22" s="890" t="s">
        <v>16</v>
      </c>
      <c r="E22" s="889"/>
      <c r="F22" s="889"/>
      <c r="G22" s="889"/>
      <c r="H22" s="889"/>
      <c r="I22" s="889"/>
      <c r="J22" s="889"/>
      <c r="K22" s="889"/>
      <c r="L22" s="304">
        <f>L16</f>
        <v>200000000</v>
      </c>
    </row>
    <row r="23" spans="1:18" s="295" customFormat="1" ht="54.75" customHeight="1" x14ac:dyDescent="0.35">
      <c r="C23" s="303" t="s">
        <v>17</v>
      </c>
      <c r="D23" s="890" t="s">
        <v>18</v>
      </c>
      <c r="E23" s="889"/>
      <c r="F23" s="889"/>
      <c r="G23" s="889"/>
      <c r="H23" s="889"/>
      <c r="I23" s="889"/>
      <c r="J23" s="889"/>
      <c r="K23" s="889"/>
      <c r="L23" s="304">
        <f>L35*L48-L37-L19+L18</f>
        <v>147088763.19611225</v>
      </c>
      <c r="M23" s="305"/>
    </row>
    <row r="24" spans="1:18" s="295" customFormat="1" ht="53.25" hidden="1" customHeight="1" outlineLevel="1" x14ac:dyDescent="0.35">
      <c r="A24" s="306"/>
      <c r="B24" s="306"/>
      <c r="C24" s="307"/>
      <c r="D24" s="888"/>
      <c r="E24" s="889"/>
      <c r="F24" s="889"/>
      <c r="G24" s="889"/>
      <c r="H24" s="889"/>
      <c r="I24" s="889"/>
      <c r="J24" s="889"/>
      <c r="K24" s="889"/>
      <c r="L24" s="308"/>
      <c r="M24" s="309"/>
    </row>
    <row r="25" spans="1:18" s="295" customFormat="1" ht="69.75" customHeight="1" collapsed="1" x14ac:dyDescent="0.45">
      <c r="C25" s="310" t="s">
        <v>19</v>
      </c>
      <c r="D25" s="886" t="s">
        <v>20</v>
      </c>
      <c r="E25" s="887"/>
      <c r="F25" s="887"/>
      <c r="G25" s="887"/>
      <c r="H25" s="887"/>
      <c r="I25" s="887"/>
      <c r="J25" s="887"/>
      <c r="K25" s="887"/>
      <c r="L25" s="311">
        <f>L33-L41+L18-L37-L19</f>
        <v>186858244.86484647</v>
      </c>
      <c r="M25" s="309"/>
    </row>
    <row r="26" spans="1:18" s="295" customFormat="1" ht="15" customHeight="1" x14ac:dyDescent="0.45">
      <c r="C26" s="295" t="s">
        <v>21</v>
      </c>
      <c r="L26" s="312">
        <f>MIN(L22,L23,L25)</f>
        <v>147088763.19611225</v>
      </c>
      <c r="M26" s="719"/>
      <c r="N26" s="718"/>
      <c r="P26" s="302"/>
      <c r="Q26" s="313"/>
    </row>
    <row r="27" spans="1:18" s="295" customFormat="1" ht="12.75" x14ac:dyDescent="0.35">
      <c r="L27" s="296"/>
      <c r="N27" s="302"/>
      <c r="P27" s="302"/>
      <c r="Q27" s="314"/>
    </row>
    <row r="28" spans="1:18" s="295" customFormat="1" ht="12.75" x14ac:dyDescent="0.35">
      <c r="K28" s="315" t="s">
        <v>22</v>
      </c>
      <c r="L28" s="316">
        <f>L26/L31</f>
        <v>0.4454114789966917</v>
      </c>
      <c r="N28" s="302"/>
      <c r="P28" s="302"/>
      <c r="Q28" s="314"/>
    </row>
    <row r="29" spans="1:18" s="295" customFormat="1" ht="12.75" x14ac:dyDescent="0.35">
      <c r="K29" s="315" t="s">
        <v>23</v>
      </c>
      <c r="L29" s="317">
        <f>L28/(1-L28)</f>
        <v>0.80313865528788075</v>
      </c>
      <c r="N29" s="302"/>
      <c r="P29" s="302"/>
      <c r="Q29" s="318"/>
    </row>
    <row r="30" spans="1:18" s="295" customFormat="1" x14ac:dyDescent="0.4">
      <c r="L30" s="296"/>
      <c r="N30" s="337" t="s">
        <v>24</v>
      </c>
      <c r="O30" s="337"/>
      <c r="P30" s="337"/>
      <c r="Q30" s="338"/>
      <c r="R30" s="339"/>
    </row>
    <row r="31" spans="1:18" s="295" customFormat="1" ht="12.75" x14ac:dyDescent="0.35">
      <c r="B31" s="295" t="s">
        <v>25</v>
      </c>
      <c r="L31" s="296">
        <f>Portfolio!Y61</f>
        <v>330231191.00440776</v>
      </c>
      <c r="N31" s="302"/>
      <c r="O31" s="319"/>
      <c r="P31" s="320" t="s">
        <v>26</v>
      </c>
      <c r="Q31" s="320" t="s">
        <v>27</v>
      </c>
      <c r="R31" s="321" t="s">
        <v>28</v>
      </c>
    </row>
    <row r="32" spans="1:18" s="295" customFormat="1" ht="12.75" x14ac:dyDescent="0.35">
      <c r="L32" s="296"/>
      <c r="N32" s="302" t="s">
        <v>29</v>
      </c>
      <c r="O32" s="319"/>
      <c r="P32" s="322">
        <f t="shared" ref="P32:P39" si="0">Q32/$Q$40</f>
        <v>0.33750000000000002</v>
      </c>
      <c r="Q32" s="323">
        <v>67500000</v>
      </c>
      <c r="R32" s="324">
        <f t="shared" ref="R32:R39" si="1">P32*$L$54</f>
        <v>41276250</v>
      </c>
    </row>
    <row r="33" spans="2:18" s="295" customFormat="1" ht="12.75" x14ac:dyDescent="0.35">
      <c r="B33" s="295" t="s">
        <v>30</v>
      </c>
      <c r="L33" s="296">
        <f>Portfolio!V61</f>
        <v>232996703.6486333</v>
      </c>
      <c r="N33" s="302" t="s">
        <v>31</v>
      </c>
      <c r="O33" s="319"/>
      <c r="P33" s="322">
        <f t="shared" si="0"/>
        <v>0.125</v>
      </c>
      <c r="Q33" s="323">
        <v>25000000</v>
      </c>
      <c r="R33" s="324">
        <f t="shared" si="1"/>
        <v>15287500</v>
      </c>
    </row>
    <row r="34" spans="2:18" s="295" customFormat="1" ht="12.75" x14ac:dyDescent="0.35">
      <c r="B34" s="325" t="s">
        <v>32</v>
      </c>
      <c r="C34" s="325"/>
      <c r="D34" s="325"/>
      <c r="E34" s="325"/>
      <c r="F34" s="325"/>
      <c r="G34" s="325"/>
      <c r="H34" s="325"/>
      <c r="I34" s="325"/>
      <c r="J34" s="325"/>
      <c r="K34" s="325"/>
      <c r="L34" s="326">
        <f>'Concentration Limits'!M44</f>
        <v>2295693.0350094065</v>
      </c>
      <c r="N34" s="295" t="s">
        <v>33</v>
      </c>
      <c r="P34" s="322">
        <f t="shared" si="0"/>
        <v>0.1</v>
      </c>
      <c r="Q34" s="323">
        <v>20000000</v>
      </c>
      <c r="R34" s="324">
        <f t="shared" si="1"/>
        <v>12230000</v>
      </c>
    </row>
    <row r="35" spans="2:18" s="295" customFormat="1" ht="12.75" x14ac:dyDescent="0.35">
      <c r="B35" s="295" t="s">
        <v>34</v>
      </c>
      <c r="L35" s="296">
        <f>L33-L34</f>
        <v>230701010.61362389</v>
      </c>
      <c r="N35" s="302" t="s">
        <v>35</v>
      </c>
      <c r="O35" s="319"/>
      <c r="P35" s="322">
        <f t="shared" si="0"/>
        <v>0.1</v>
      </c>
      <c r="Q35" s="323">
        <v>20000000</v>
      </c>
      <c r="R35" s="324">
        <f t="shared" si="1"/>
        <v>12230000</v>
      </c>
    </row>
    <row r="36" spans="2:18" s="295" customFormat="1" ht="12.75" x14ac:dyDescent="0.35">
      <c r="L36" s="296"/>
      <c r="N36" s="302" t="s">
        <v>36</v>
      </c>
      <c r="O36" s="319"/>
      <c r="P36" s="322">
        <f t="shared" si="0"/>
        <v>0.1</v>
      </c>
      <c r="Q36" s="323">
        <v>20000000</v>
      </c>
      <c r="R36" s="324">
        <f t="shared" si="1"/>
        <v>12230000</v>
      </c>
    </row>
    <row r="37" spans="2:18" s="295" customFormat="1" ht="12.75" x14ac:dyDescent="0.35">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ht="12.75" x14ac:dyDescent="0.35">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ht="12.75" x14ac:dyDescent="0.35">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ht="12.75" x14ac:dyDescent="0.35">
      <c r="L40" s="296"/>
      <c r="N40" s="302" t="s">
        <v>42</v>
      </c>
      <c r="O40" s="302"/>
      <c r="P40" s="322">
        <f>SUM(P32:P39)</f>
        <v>0.99999999999999989</v>
      </c>
      <c r="Q40" s="330">
        <f>SUM(Q32:Q39)</f>
        <v>200000000</v>
      </c>
      <c r="R40" s="848">
        <f>SUM(R32:R39)</f>
        <v>122300000</v>
      </c>
    </row>
    <row r="41" spans="2:18" s="295" customFormat="1" ht="12.75" x14ac:dyDescent="0.35">
      <c r="B41" s="331" t="s">
        <v>43</v>
      </c>
      <c r="L41" s="296">
        <f>MAX(15000000,(LARGE(Portfolio!FJ:FJ,1)+LARGE(Portfolio!FJ:FJ,2)+LARGE(Portfolio!FJ:FJ,3)))</f>
        <v>51609436.33378683</v>
      </c>
    </row>
    <row r="42" spans="2:18" s="295" customFormat="1" ht="12.75" x14ac:dyDescent="0.35">
      <c r="B42" s="331"/>
      <c r="L42" s="296" t="str">
        <f>IF((L31-L26)&gt;L41,"Pass")</f>
        <v>Pass</v>
      </c>
      <c r="R42" s="309"/>
    </row>
    <row r="43" spans="2:18" s="295" customFormat="1" ht="12.75" hidden="1" outlineLevel="1" x14ac:dyDescent="0.35">
      <c r="B43" s="331"/>
      <c r="L43" s="296"/>
      <c r="R43" s="332">
        <v>5000000</v>
      </c>
    </row>
    <row r="44" spans="2:18" s="295" customFormat="1" ht="12.75" hidden="1" outlineLevel="1" x14ac:dyDescent="0.35">
      <c r="B44" s="302"/>
      <c r="C44" s="302"/>
      <c r="D44" s="302"/>
      <c r="E44" s="302"/>
      <c r="F44" s="302"/>
      <c r="G44" s="302"/>
      <c r="H44" s="302"/>
      <c r="I44" s="302"/>
      <c r="J44" s="302"/>
      <c r="K44" s="302"/>
      <c r="L44" s="327"/>
    </row>
    <row r="45" spans="2:18" s="295" customFormat="1" ht="12.75" hidden="1" outlineLevel="1" x14ac:dyDescent="0.35">
      <c r="B45" s="302"/>
      <c r="C45" s="302"/>
      <c r="D45" s="302"/>
      <c r="E45" s="302"/>
      <c r="F45" s="302"/>
      <c r="G45" s="302"/>
      <c r="H45" s="302"/>
      <c r="I45" s="302"/>
      <c r="J45" s="302"/>
      <c r="K45" s="302"/>
      <c r="L45" s="327"/>
    </row>
    <row r="46" spans="2:18" s="302" customFormat="1" ht="12.75" hidden="1" outlineLevel="1" x14ac:dyDescent="0.35">
      <c r="B46" s="333"/>
      <c r="N46" s="295"/>
      <c r="O46" s="295"/>
      <c r="P46" s="295"/>
      <c r="Q46" s="295"/>
      <c r="R46" s="295"/>
    </row>
    <row r="47" spans="2:18" s="295" customFormat="1" collapsed="1" x14ac:dyDescent="0.35">
      <c r="B47" s="331"/>
      <c r="L47" s="300"/>
    </row>
    <row r="48" spans="2:18" s="295" customFormat="1" ht="12.75" x14ac:dyDescent="0.35">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0.61385854040879129</v>
      </c>
      <c r="N48" s="302"/>
      <c r="O48" s="302"/>
      <c r="P48" s="302"/>
      <c r="Q48" s="302"/>
      <c r="R48" s="302"/>
    </row>
    <row r="49" spans="2:17" s="295" customFormat="1" ht="12.75" x14ac:dyDescent="0.35">
      <c r="L49" s="296"/>
    </row>
    <row r="50" spans="2:17" s="295" customFormat="1" x14ac:dyDescent="0.4">
      <c r="B50" s="337" t="s">
        <v>45</v>
      </c>
      <c r="C50" s="337"/>
      <c r="D50" s="337"/>
      <c r="E50" s="337"/>
      <c r="F50" s="337"/>
      <c r="G50" s="337"/>
      <c r="H50" s="337"/>
      <c r="I50" s="337"/>
      <c r="J50" s="337"/>
      <c r="K50" s="337"/>
      <c r="L50" s="337"/>
    </row>
    <row r="51" spans="2:17" s="295" customFormat="1" x14ac:dyDescent="0.35">
      <c r="B51" s="295" t="s">
        <v>46</v>
      </c>
      <c r="L51" s="678">
        <v>122300000</v>
      </c>
      <c r="M51" s="660"/>
      <c r="N51" s="621"/>
      <c r="P51" s="661"/>
      <c r="Q51" s="662"/>
    </row>
    <row r="52" spans="2:17" s="295" customFormat="1" x14ac:dyDescent="0.35">
      <c r="B52" s="295" t="s">
        <v>47</v>
      </c>
      <c r="L52" s="678"/>
      <c r="M52" s="660"/>
      <c r="N52" s="621"/>
      <c r="P52" s="661"/>
      <c r="Q52" s="662"/>
    </row>
    <row r="53" spans="2:17" s="295" customFormat="1" x14ac:dyDescent="0.35">
      <c r="B53" s="295" t="s">
        <v>48</v>
      </c>
      <c r="L53" s="678"/>
      <c r="M53" s="660"/>
      <c r="N53" s="621"/>
    </row>
    <row r="54" spans="2:17" s="295" customFormat="1" ht="12.75" x14ac:dyDescent="0.35">
      <c r="B54" s="295" t="s">
        <v>49</v>
      </c>
      <c r="L54" s="296">
        <f>L51-L52+L53</f>
        <v>122300000</v>
      </c>
      <c r="M54" s="305"/>
      <c r="N54" s="621"/>
      <c r="O54" s="301"/>
      <c r="P54" s="301"/>
    </row>
    <row r="55" spans="2:17" s="295" customFormat="1" ht="12.75" x14ac:dyDescent="0.35">
      <c r="L55" s="296"/>
      <c r="M55" s="309"/>
    </row>
    <row r="56" spans="2:17" s="295" customFormat="1" x14ac:dyDescent="0.4">
      <c r="B56" s="295" t="s">
        <v>50</v>
      </c>
      <c r="C56" s="297"/>
      <c r="L56" s="334" t="b">
        <f>L26&gt;=L54</f>
        <v>1</v>
      </c>
    </row>
    <row r="57" spans="2:17" s="295" customFormat="1" ht="12.75" x14ac:dyDescent="0.35">
      <c r="L57" s="296"/>
    </row>
    <row r="58" spans="2:17" s="295" customFormat="1" ht="12.75" x14ac:dyDescent="0.35">
      <c r="B58" s="295" t="s">
        <v>51</v>
      </c>
      <c r="L58" s="335">
        <f>L54/L26</f>
        <v>0.83147072109742615</v>
      </c>
    </row>
    <row r="59" spans="2:17" s="295" customFormat="1" ht="12.75" x14ac:dyDescent="0.35">
      <c r="B59" s="295" t="s">
        <v>52</v>
      </c>
      <c r="L59" s="335">
        <f>L54/L16</f>
        <v>0.61150000000000004</v>
      </c>
    </row>
    <row r="60" spans="2:17" s="295" customFormat="1" ht="12.75" x14ac:dyDescent="0.35">
      <c r="B60" s="295" t="s">
        <v>53</v>
      </c>
      <c r="L60" s="335">
        <f>L54/L31</f>
        <v>0.37034660362645028</v>
      </c>
    </row>
    <row r="61" spans="2:17" s="295" customFormat="1" ht="15" customHeight="1" x14ac:dyDescent="0.45">
      <c r="L61" s="296"/>
      <c r="M61" s="707"/>
    </row>
    <row r="62" spans="2:17" s="295" customFormat="1" ht="12.75" x14ac:dyDescent="0.35">
      <c r="L62" s="436">
        <f>L26-L51</f>
        <v>24788763.196112245</v>
      </c>
      <c r="M62" s="437"/>
    </row>
    <row r="63" spans="2:17" x14ac:dyDescent="0.4">
      <c r="M63" s="31"/>
    </row>
    <row r="64" spans="2:17" x14ac:dyDescent="0.4">
      <c r="M64" s="31"/>
    </row>
    <row r="65" spans="13:13" x14ac:dyDescent="0.4">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4.25" outlineLevelCol="1" x14ac:dyDescent="0.45"/>
  <cols>
    <col min="1" max="1" width="9.265625" bestFit="1" customWidth="1"/>
    <col min="2" max="2" width="31.265625" bestFit="1" customWidth="1"/>
    <col min="3" max="3" width="17.265625" bestFit="1" customWidth="1"/>
    <col min="4" max="4" width="9.59765625" bestFit="1" customWidth="1"/>
    <col min="5" max="6" width="8" customWidth="1"/>
    <col min="7" max="7" width="10.59765625" customWidth="1"/>
    <col min="8" max="8" width="11.265625" customWidth="1"/>
    <col min="9" max="9" width="9.86328125" customWidth="1"/>
    <col min="10" max="10" width="8.265625" customWidth="1"/>
    <col min="11" max="11" width="9.265625" customWidth="1"/>
    <col min="12" max="12" width="8.265625" customWidth="1"/>
    <col min="13" max="14" width="11.59765625" customWidth="1"/>
    <col min="15" max="15" width="11" customWidth="1"/>
    <col min="16" max="16" width="9.86328125" customWidth="1" collapsed="1"/>
    <col min="17" max="17" width="11.265625" customWidth="1"/>
    <col min="18" max="18" width="35.265625" customWidth="1"/>
    <col min="19" max="19" width="7.265625" customWidth="1"/>
    <col min="20" max="20" width="20" customWidth="1"/>
    <col min="21" max="21" width="9.59765625" bestFit="1" customWidth="1"/>
    <col min="22" max="22" width="27" bestFit="1" customWidth="1"/>
    <col min="23" max="23" width="17.265625" customWidth="1"/>
    <col min="24" max="24" width="10.59765625" bestFit="1" customWidth="1"/>
    <col min="25" max="25" width="13" bestFit="1" customWidth="1"/>
    <col min="26" max="27" width="14.265625" bestFit="1" customWidth="1"/>
    <col min="28" max="28" width="11.59765625" customWidth="1"/>
    <col min="29" max="29" width="12.265625" bestFit="1" customWidth="1"/>
    <col min="30" max="30" width="1.59765625" customWidth="1"/>
    <col min="31" max="31" width="8.59765625" customWidth="1"/>
    <col min="32" max="32" width="11.59765625" customWidth="1"/>
    <col min="33" max="33" width="16.265625" customWidth="1"/>
    <col min="34" max="34" width="17" bestFit="1" customWidth="1"/>
    <col min="35" max="35" width="13" bestFit="1" customWidth="1"/>
    <col min="36" max="36" width="8.59765625" bestFit="1" customWidth="1"/>
    <col min="37" max="37" width="13.59765625" customWidth="1"/>
    <col min="38" max="38" width="10.265625" customWidth="1"/>
    <col min="39" max="40" width="1.59765625" customWidth="1"/>
    <col min="41" max="41" width="13.265625" bestFit="1" customWidth="1"/>
    <col min="42" max="42" width="12" customWidth="1"/>
    <col min="43" max="43" width="13.265625" bestFit="1" customWidth="1"/>
    <col min="44" max="46" width="1.265625" customWidth="1"/>
    <col min="47" max="49" width="12" bestFit="1" customWidth="1"/>
    <col min="50" max="52" width="1.59765625" customWidth="1"/>
    <col min="53" max="53" width="11" bestFit="1" customWidth="1"/>
    <col min="54" max="55" width="1.59765625" customWidth="1"/>
    <col min="56" max="56" width="10.265625" customWidth="1"/>
    <col min="57" max="60" width="1.265625" customWidth="1"/>
    <col min="61" max="61" width="11" customWidth="1"/>
    <col min="62" max="62" width="8.59765625" customWidth="1"/>
    <col min="63" max="63" width="13.59765625" customWidth="1"/>
    <col min="64" max="64" width="10.265625" customWidth="1"/>
    <col min="65" max="65" width="9.59765625" customWidth="1"/>
    <col min="66" max="66" width="10" hidden="1" customWidth="1" outlineLevel="1"/>
    <col min="67" max="67" width="16.265625" hidden="1" customWidth="1" outlineLevel="1"/>
    <col min="68" max="68" width="12.59765625" hidden="1" customWidth="1" outlineLevel="1"/>
    <col min="69" max="69" width="8.265625" hidden="1" customWidth="1" outlineLevel="1"/>
    <col min="70" max="70" width="24.265625" customWidth="1" collapsed="1"/>
    <col min="71" max="71" width="9.265625" customWidth="1"/>
    <col min="72" max="72" width="10.265625" customWidth="1"/>
    <col min="73" max="73" width="19" customWidth="1"/>
    <col min="74" max="74" width="12.59765625" customWidth="1"/>
    <col min="75" max="75" width="12" customWidth="1"/>
    <col min="76" max="76" width="13.86328125" bestFit="1" customWidth="1"/>
    <col min="77" max="77" width="9" customWidth="1"/>
    <col min="78" max="78" width="10.59765625" customWidth="1"/>
    <col min="79" max="79" width="8.59765625" customWidth="1"/>
    <col min="80" max="80" width="11.86328125" customWidth="1"/>
    <col min="81" max="81" width="14" customWidth="1"/>
    <col min="82" max="82" width="13" customWidth="1"/>
    <col min="83" max="83" width="6.59765625" hidden="1" customWidth="1"/>
    <col min="84" max="84" width="8" hidden="1" customWidth="1"/>
    <col min="85" max="85" width="10.59765625" hidden="1" customWidth="1"/>
    <col min="86" max="86" width="11" hidden="1" customWidth="1"/>
    <col min="87" max="87" width="2.59765625" hidden="1" customWidth="1"/>
    <col min="88" max="88" width="23.265625" bestFit="1" customWidth="1"/>
    <col min="89" max="89" width="12" customWidth="1"/>
    <col min="90" max="90" width="12.59765625" customWidth="1"/>
    <col min="91" max="91" width="9.265625" hidden="1" customWidth="1" outlineLevel="1"/>
    <col min="92" max="92" width="10.265625" hidden="1" customWidth="1" outlineLevel="1"/>
    <col min="93" max="93" width="9" hidden="1" customWidth="1" outlineLevel="1"/>
    <col min="94" max="94" width="9.265625" hidden="1" customWidth="1" outlineLevel="1"/>
    <col min="95" max="96" width="9.59765625" hidden="1" customWidth="1" outlineLevel="1"/>
    <col min="97" max="97" width="12.59765625" customWidth="1" collapsed="1"/>
    <col min="98" max="98" width="11.265625" customWidth="1"/>
    <col min="99" max="99" width="12.59765625" customWidth="1"/>
    <col min="100" max="100" width="11.59765625" customWidth="1"/>
    <col min="101" max="101" width="13.265625" customWidth="1"/>
    <col min="102" max="102" width="10" hidden="1" customWidth="1"/>
    <col min="103" max="103" width="12.59765625" customWidth="1"/>
    <col min="104" max="104" width="11.86328125" hidden="1" customWidth="1"/>
    <col min="105" max="105" width="11.265625" hidden="1" customWidth="1"/>
    <col min="106" max="106" width="10.265625" hidden="1" customWidth="1"/>
    <col min="107" max="107" width="15.265625" hidden="1" customWidth="1"/>
    <col min="108" max="108" width="11.59765625" customWidth="1"/>
    <col min="109" max="109" width="13.59765625" bestFit="1" customWidth="1"/>
    <col min="110" max="110" width="18" hidden="1" customWidth="1"/>
    <col min="111" max="111" width="10.265625" hidden="1" customWidth="1"/>
    <col min="112" max="112" width="6.59765625" hidden="1" customWidth="1"/>
    <col min="113" max="115" width="14.59765625" customWidth="1"/>
    <col min="116" max="116" width="10.265625" customWidth="1"/>
    <col min="117" max="117" width="11.265625" bestFit="1" customWidth="1"/>
    <col min="118" max="118" width="2.59765625" hidden="1" customWidth="1"/>
    <col min="119" max="120" width="14.265625" customWidth="1"/>
    <col min="121" max="121" width="12.265625" customWidth="1"/>
    <col min="122" max="122" width="8" bestFit="1" customWidth="1"/>
    <col min="123" max="123" width="7.265625" customWidth="1"/>
    <col min="124" max="124" width="6.59765625" customWidth="1"/>
    <col min="125" max="127" width="12.59765625" style="2" customWidth="1"/>
    <col min="128" max="128" width="9.86328125" style="2" bestFit="1" customWidth="1"/>
    <col min="129" max="129" width="12.59765625" style="2" customWidth="1"/>
    <col min="130" max="130" width="17.265625" bestFit="1" customWidth="1"/>
    <col min="131" max="131" width="15.265625" customWidth="1"/>
    <col min="132" max="132" width="10.59765625" customWidth="1"/>
    <col min="133" max="133" width="16.59765625" customWidth="1"/>
    <col min="134" max="134" width="16" customWidth="1"/>
    <col min="135" max="136" width="13.265625" customWidth="1"/>
    <col min="137" max="137" width="12" customWidth="1"/>
    <col min="138" max="139" width="10.59765625" customWidth="1"/>
    <col min="140" max="140" width="16.265625" customWidth="1"/>
    <col min="141" max="141" width="15.59765625" bestFit="1" customWidth="1"/>
    <col min="142" max="145" width="15.265625" customWidth="1"/>
    <col min="146" max="146" width="14" bestFit="1" customWidth="1"/>
    <col min="147" max="147" width="15.265625" customWidth="1"/>
    <col min="148" max="148" width="11.59765625" bestFit="1" customWidth="1"/>
    <col min="149" max="151" width="15.265625" customWidth="1"/>
    <col min="152" max="152" width="11.59765625" bestFit="1" customWidth="1"/>
    <col min="153" max="153" width="12" bestFit="1" customWidth="1"/>
    <col min="154" max="154" width="8.59765625" bestFit="1" customWidth="1"/>
    <col min="155" max="155" width="12" bestFit="1" customWidth="1"/>
    <col min="156" max="156" width="15.265625" customWidth="1"/>
    <col min="157" max="158" width="11.59765625" bestFit="1" customWidth="1"/>
    <col min="159" max="159" width="8.265625" customWidth="1"/>
    <col min="160" max="160" width="12" bestFit="1" customWidth="1"/>
    <col min="161" max="161" width="12.59765625" hidden="1" customWidth="1" outlineLevel="1"/>
    <col min="162" max="162" width="11.59765625" hidden="1" customWidth="1" outlineLevel="1"/>
    <col min="163" max="163" width="11.265625" hidden="1" customWidth="1" outlineLevel="1"/>
    <col min="164" max="164" width="16.59765625" bestFit="1" customWidth="1" collapsed="1"/>
    <col min="165" max="165" width="12" bestFit="1" customWidth="1"/>
    <col min="166" max="168" width="13.86328125" customWidth="1"/>
    <col min="169" max="171" width="10.59765625" hidden="1" customWidth="1" outlineLevel="1"/>
    <col min="172" max="172" width="10.59765625" bestFit="1" customWidth="1" collapsed="1"/>
    <col min="173" max="175" width="12" bestFit="1" customWidth="1"/>
    <col min="176" max="176" width="9.265625" customWidth="1"/>
    <col min="177" max="177" width="10.265625" customWidth="1"/>
    <col min="178" max="180" width="12" bestFit="1" customWidth="1"/>
    <col min="181" max="181" width="10.59765625" bestFit="1" customWidth="1"/>
    <col min="182" max="182" width="9.265625" customWidth="1"/>
    <col min="183" max="185" width="12" bestFit="1" customWidth="1"/>
    <col min="186" max="186" width="14" customWidth="1"/>
    <col min="187" max="187" width="9.265625" customWidth="1"/>
    <col min="188" max="189" width="12" bestFit="1" customWidth="1"/>
    <col min="190" max="190" width="7" customWidth="1"/>
    <col min="191" max="191" width="8.59765625" bestFit="1" customWidth="1"/>
    <col min="192" max="193" width="12" bestFit="1" customWidth="1"/>
    <col min="194" max="194" width="11" customWidth="1"/>
    <col min="195" max="195" width="11.59765625" customWidth="1"/>
    <col min="196" max="196" width="8" customWidth="1"/>
    <col min="197" max="198" width="12" bestFit="1" customWidth="1"/>
    <col min="199" max="199" width="11" customWidth="1"/>
    <col min="200" max="200" width="7.59765625" customWidth="1"/>
    <col min="201" max="201" width="8" customWidth="1"/>
    <col min="202" max="202" width="12" bestFit="1" customWidth="1"/>
    <col min="203" max="203" width="12" customWidth="1"/>
    <col min="204" max="204" width="12.59765625" customWidth="1"/>
    <col min="205" max="205" width="12" bestFit="1" customWidth="1"/>
    <col min="206" max="206" width="9" bestFit="1" customWidth="1"/>
    <col min="207" max="207" width="12" bestFit="1" customWidth="1"/>
    <col min="208" max="208" width="14.59765625" customWidth="1"/>
    <col min="209" max="209" width="12.265625" customWidth="1"/>
    <col min="210" max="210" width="12" bestFit="1" customWidth="1"/>
    <col min="211" max="211" width="9" customWidth="1"/>
    <col min="212" max="212" width="13" customWidth="1"/>
    <col min="213" max="213" width="12" bestFit="1" customWidth="1"/>
    <col min="214" max="214" width="15.59765625" bestFit="1" customWidth="1"/>
    <col min="215" max="215" width="12" bestFit="1" customWidth="1"/>
    <col min="216" max="216" width="10.265625" customWidth="1"/>
    <col min="217" max="220" width="1.265625" customWidth="1" outlineLevel="1"/>
    <col min="221" max="221" width="11" bestFit="1" customWidth="1"/>
    <col min="222" max="222" width="8.59765625" bestFit="1" customWidth="1"/>
    <col min="223" max="223" width="27.59765625" bestFit="1" customWidth="1"/>
  </cols>
  <sheetData>
    <row r="1" spans="1:223" s="295" customFormat="1" ht="10.5" customHeight="1" x14ac:dyDescent="0.4">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4">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45">
      <c r="AE3" s="342"/>
      <c r="AF3" s="342"/>
      <c r="AG3" s="892"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4.65" thickBot="1" x14ac:dyDescent="0.5">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03" t="s">
        <v>59</v>
      </c>
      <c r="DV4" s="904"/>
      <c r="DW4" s="904"/>
      <c r="DX4" s="904"/>
      <c r="DY4" s="904"/>
      <c r="DZ4" s="904"/>
      <c r="EA4" s="904"/>
      <c r="EB4" s="904"/>
      <c r="EC4" s="904"/>
      <c r="ED4" s="904"/>
      <c r="EE4" s="904"/>
      <c r="EF4" s="904"/>
      <c r="EG4" s="904"/>
      <c r="EH4" s="905"/>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5">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891" t="s">
        <v>61</v>
      </c>
      <c r="BO5" s="884"/>
      <c r="BP5" s="884"/>
      <c r="BQ5" s="885"/>
      <c r="BR5" s="295"/>
      <c r="BU5" s="359"/>
      <c r="BV5" s="359"/>
      <c r="BW5" s="359"/>
      <c r="BX5" s="359"/>
      <c r="CK5" s="909" t="s">
        <v>62</v>
      </c>
      <c r="CL5" s="904"/>
      <c r="CM5" s="904"/>
      <c r="CN5" s="904"/>
      <c r="CO5" s="904"/>
      <c r="CP5" s="904"/>
      <c r="CQ5" s="904"/>
      <c r="CR5" s="904"/>
      <c r="CS5" s="904"/>
      <c r="CT5" s="905"/>
      <c r="CU5" s="910" t="s">
        <v>63</v>
      </c>
      <c r="CV5" s="904"/>
      <c r="CW5" s="904"/>
      <c r="CX5" s="904"/>
      <c r="CY5" s="904"/>
      <c r="CZ5" s="914" t="s">
        <v>64</v>
      </c>
      <c r="DA5" s="904"/>
      <c r="DB5" s="904"/>
      <c r="DC5" s="904"/>
      <c r="DD5" s="904"/>
      <c r="DE5" s="904"/>
      <c r="DF5" s="909" t="s">
        <v>65</v>
      </c>
      <c r="DG5" s="904"/>
      <c r="DH5" s="904"/>
      <c r="DI5" s="904"/>
      <c r="DJ5" s="904"/>
      <c r="DK5" s="904"/>
      <c r="DL5" s="904"/>
      <c r="DM5" s="905"/>
      <c r="DO5" s="909" t="s">
        <v>66</v>
      </c>
      <c r="DP5" s="904"/>
      <c r="DQ5" s="905"/>
      <c r="DR5" s="344"/>
      <c r="DS5" s="344"/>
      <c r="DT5" s="344"/>
      <c r="DU5" s="902" t="s">
        <v>67</v>
      </c>
      <c r="DV5" s="887"/>
      <c r="DW5" s="900"/>
      <c r="DX5" s="365" t="s">
        <v>17</v>
      </c>
      <c r="DY5" s="364" t="s">
        <v>68</v>
      </c>
      <c r="DZ5" s="912" t="s">
        <v>69</v>
      </c>
      <c r="EA5" s="887"/>
      <c r="EB5" s="887"/>
      <c r="EC5" s="887"/>
      <c r="ED5" s="887"/>
      <c r="EE5" s="887"/>
      <c r="EF5" s="887"/>
      <c r="EG5" s="365" t="s">
        <v>70</v>
      </c>
      <c r="EH5" s="365" t="s">
        <v>71</v>
      </c>
      <c r="EI5" s="492"/>
      <c r="EJ5" s="492"/>
      <c r="EK5" s="521"/>
      <c r="EL5" s="906" t="s">
        <v>72</v>
      </c>
      <c r="EM5" s="894"/>
      <c r="EN5" s="894"/>
      <c r="EO5" s="894"/>
      <c r="EP5" s="895"/>
      <c r="EQ5" s="906" t="s">
        <v>73</v>
      </c>
      <c r="ER5" s="894"/>
      <c r="ES5" s="894"/>
      <c r="ET5" s="895"/>
      <c r="EU5" s="893" t="s">
        <v>74</v>
      </c>
      <c r="EV5" s="894"/>
      <c r="EW5" s="894"/>
      <c r="EX5" s="894"/>
      <c r="EY5" s="895"/>
      <c r="EZ5" s="906" t="s">
        <v>75</v>
      </c>
      <c r="FA5" s="894"/>
      <c r="FB5" s="894"/>
      <c r="FC5" s="894"/>
      <c r="FD5" s="895"/>
      <c r="FE5" s="366"/>
      <c r="FF5" s="849"/>
      <c r="FG5" s="849"/>
      <c r="FH5" s="913" t="s">
        <v>76</v>
      </c>
      <c r="FI5" s="894"/>
      <c r="FJ5" s="894"/>
      <c r="FK5" s="894"/>
      <c r="FL5" s="894"/>
      <c r="FM5" s="894"/>
      <c r="FN5" s="894"/>
      <c r="FO5" s="894"/>
      <c r="FP5" s="894"/>
      <c r="FQ5" s="895"/>
      <c r="FR5" s="906" t="s">
        <v>77</v>
      </c>
      <c r="FS5" s="894"/>
      <c r="FT5" s="894"/>
      <c r="FU5" s="894"/>
      <c r="FV5" s="895"/>
      <c r="FW5" s="906" t="s">
        <v>78</v>
      </c>
      <c r="FX5" s="894"/>
      <c r="FY5" s="894"/>
      <c r="FZ5" s="894"/>
      <c r="GA5" s="895"/>
      <c r="GB5" s="906" t="s">
        <v>79</v>
      </c>
      <c r="GC5" s="894"/>
      <c r="GD5" s="894"/>
      <c r="GE5" s="894"/>
      <c r="GF5" s="895"/>
      <c r="GG5" s="906" t="s">
        <v>80</v>
      </c>
      <c r="GH5" s="894"/>
      <c r="GI5" s="894"/>
      <c r="GJ5" s="895"/>
      <c r="GK5" s="907" t="s">
        <v>81</v>
      </c>
      <c r="GL5" s="894"/>
      <c r="GM5" s="894"/>
      <c r="GN5" s="894"/>
      <c r="GO5" s="895"/>
      <c r="GP5" s="906" t="s">
        <v>82</v>
      </c>
      <c r="GQ5" s="894"/>
      <c r="GR5" s="894"/>
      <c r="GS5" s="894"/>
      <c r="GT5" s="895"/>
      <c r="GU5" s="908" t="s">
        <v>83</v>
      </c>
      <c r="GV5" s="894"/>
      <c r="GW5" s="894"/>
      <c r="GX5" s="894"/>
      <c r="GY5" s="894"/>
      <c r="GZ5" s="907" t="s">
        <v>84</v>
      </c>
      <c r="HA5" s="894"/>
      <c r="HB5" s="894"/>
      <c r="HC5" s="894"/>
      <c r="HD5" s="895"/>
      <c r="HE5" s="619"/>
      <c r="HF5" s="620"/>
      <c r="HG5" s="620"/>
      <c r="HH5" s="620"/>
      <c r="HI5" s="620"/>
      <c r="HJ5" s="620"/>
      <c r="HK5" s="620"/>
      <c r="HL5" s="620"/>
      <c r="HM5" s="850"/>
    </row>
    <row r="6" spans="1:223" s="297" customFormat="1" ht="12.75" customHeight="1" x14ac:dyDescent="0.4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896"/>
      <c r="EM6" s="897"/>
      <c r="EN6" s="897"/>
      <c r="EO6" s="897"/>
      <c r="EP6" s="898"/>
      <c r="EQ6" s="896"/>
      <c r="ER6" s="897"/>
      <c r="ES6" s="897"/>
      <c r="ET6" s="898"/>
      <c r="EU6" s="896"/>
      <c r="EV6" s="897"/>
      <c r="EW6" s="897"/>
      <c r="EX6" s="897"/>
      <c r="EY6" s="898"/>
      <c r="EZ6" s="896"/>
      <c r="FA6" s="897"/>
      <c r="FB6" s="897"/>
      <c r="FC6" s="897"/>
      <c r="FD6" s="898"/>
      <c r="FE6" s="386"/>
      <c r="FF6" s="387"/>
      <c r="FG6" s="387"/>
      <c r="FH6" s="897"/>
      <c r="FI6" s="897"/>
      <c r="FJ6" s="897"/>
      <c r="FK6" s="897"/>
      <c r="FL6" s="897"/>
      <c r="FM6" s="897"/>
      <c r="FN6" s="897"/>
      <c r="FO6" s="897"/>
      <c r="FP6" s="897"/>
      <c r="FQ6" s="898"/>
      <c r="FR6" s="896"/>
      <c r="FS6" s="897"/>
      <c r="FT6" s="897"/>
      <c r="FU6" s="897"/>
      <c r="FV6" s="898"/>
      <c r="FW6" s="896"/>
      <c r="FX6" s="897"/>
      <c r="FY6" s="897"/>
      <c r="FZ6" s="897"/>
      <c r="GA6" s="898"/>
      <c r="GB6" s="896"/>
      <c r="GC6" s="897"/>
      <c r="GD6" s="897"/>
      <c r="GE6" s="897"/>
      <c r="GF6" s="898"/>
      <c r="GG6" s="896"/>
      <c r="GH6" s="897"/>
      <c r="GI6" s="897"/>
      <c r="GJ6" s="898"/>
      <c r="GK6" s="896"/>
      <c r="GL6" s="897"/>
      <c r="GM6" s="897"/>
      <c r="GN6" s="897"/>
      <c r="GO6" s="898"/>
      <c r="GP6" s="896"/>
      <c r="GQ6" s="897"/>
      <c r="GR6" s="897"/>
      <c r="GS6" s="897"/>
      <c r="GT6" s="898"/>
      <c r="GU6" s="896"/>
      <c r="GV6" s="897"/>
      <c r="GW6" s="897"/>
      <c r="GX6" s="897"/>
      <c r="GY6" s="897"/>
      <c r="GZ6" s="896"/>
      <c r="HA6" s="897"/>
      <c r="HB6" s="897"/>
      <c r="HC6" s="897"/>
      <c r="HD6" s="898"/>
      <c r="HE6" s="911" t="s">
        <v>88</v>
      </c>
      <c r="HF6" s="887"/>
      <c r="HG6" s="887"/>
      <c r="HH6" s="887"/>
      <c r="HI6" s="887"/>
      <c r="HJ6" s="887"/>
      <c r="HK6" s="887"/>
      <c r="HL6" s="887"/>
      <c r="HM6" s="900"/>
      <c r="HN6" s="344"/>
    </row>
    <row r="7" spans="1:223" s="297" customFormat="1" ht="13.5" customHeight="1" thickBot="1" x14ac:dyDescent="0.5">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899"/>
      <c r="EM7" s="887"/>
      <c r="EN7" s="887"/>
      <c r="EO7" s="887"/>
      <c r="EP7" s="900"/>
      <c r="EQ7" s="899"/>
      <c r="ER7" s="887"/>
      <c r="ES7" s="887"/>
      <c r="ET7" s="900"/>
      <c r="EU7" s="899"/>
      <c r="EV7" s="887"/>
      <c r="EW7" s="887"/>
      <c r="EX7" s="887"/>
      <c r="EY7" s="900"/>
      <c r="EZ7" s="899"/>
      <c r="FA7" s="887"/>
      <c r="FB7" s="887"/>
      <c r="FC7" s="887"/>
      <c r="FD7" s="900"/>
      <c r="FE7" s="365"/>
      <c r="FF7" s="363"/>
      <c r="FG7" s="363"/>
      <c r="FH7" s="887"/>
      <c r="FI7" s="887"/>
      <c r="FJ7" s="887"/>
      <c r="FK7" s="887"/>
      <c r="FL7" s="887"/>
      <c r="FM7" s="887"/>
      <c r="FN7" s="887"/>
      <c r="FO7" s="887"/>
      <c r="FP7" s="887"/>
      <c r="FQ7" s="900"/>
      <c r="FR7" s="899"/>
      <c r="FS7" s="887"/>
      <c r="FT7" s="887"/>
      <c r="FU7" s="887"/>
      <c r="FV7" s="900"/>
      <c r="FW7" s="899"/>
      <c r="FX7" s="887"/>
      <c r="FY7" s="887"/>
      <c r="FZ7" s="887"/>
      <c r="GA7" s="900"/>
      <c r="GB7" s="899"/>
      <c r="GC7" s="887"/>
      <c r="GD7" s="887"/>
      <c r="GE7" s="887"/>
      <c r="GF7" s="900"/>
      <c r="GG7" s="899"/>
      <c r="GH7" s="887"/>
      <c r="GI7" s="887"/>
      <c r="GJ7" s="900"/>
      <c r="GK7" s="899"/>
      <c r="GL7" s="887"/>
      <c r="GM7" s="887"/>
      <c r="GN7" s="887"/>
      <c r="GO7" s="900"/>
      <c r="GP7" s="899"/>
      <c r="GQ7" s="887"/>
      <c r="GR7" s="887"/>
      <c r="GS7" s="887"/>
      <c r="GT7" s="900"/>
      <c r="GU7" s="899"/>
      <c r="GV7" s="887"/>
      <c r="GW7" s="887"/>
      <c r="GX7" s="887"/>
      <c r="GY7" s="887"/>
      <c r="GZ7" s="899"/>
      <c r="HA7" s="887"/>
      <c r="HB7" s="887"/>
      <c r="HC7" s="887"/>
      <c r="HD7" s="900"/>
      <c r="HE7" s="901" t="s">
        <v>91</v>
      </c>
      <c r="HF7" s="885"/>
      <c r="HG7" s="901" t="s">
        <v>92</v>
      </c>
      <c r="HH7" s="884"/>
      <c r="HI7" s="884"/>
      <c r="HJ7" s="884"/>
      <c r="HK7" s="884"/>
      <c r="HL7" s="884"/>
      <c r="HM7" s="885"/>
      <c r="HN7" s="344"/>
    </row>
    <row r="8" spans="1:223" s="403" customFormat="1" ht="65.25" customHeight="1" x14ac:dyDescent="0.4">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35">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46599340.729726665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23299670.364863332</v>
      </c>
      <c r="ER9" s="429">
        <f t="shared" ref="ER9:ER49" si="32">IF(D9="Second Lien",SUMIF(D:D,D9,EP:EP),0)</f>
        <v>0</v>
      </c>
      <c r="ES9" s="429">
        <f>MAX(0,(ER9-EQ9)*IFERROR((EP9/SUMIF($D:$D,D9,EP:EP )),0)                  )</f>
        <v>0</v>
      </c>
      <c r="ET9" s="429">
        <f t="shared" ref="ET9:ET49" si="33">MAX(0,EP9-ES9)</f>
        <v>0</v>
      </c>
      <c r="EU9" s="429">
        <f>'Concentration Limits'!$J$51</f>
        <v>69899011.094589993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34949505.547294997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232996703.6486333</v>
      </c>
      <c r="FF9" s="430">
        <f>'Concentration Limits'!$J$55</f>
        <v>232996703.6486333</v>
      </c>
      <c r="FG9" s="430">
        <f>'Concentration Limits'!$J$56</f>
        <v>232996703.6486333</v>
      </c>
      <c r="FH9" s="431">
        <f>'Concentration Limits'!$J$57</f>
        <v>17474752.773647498</v>
      </c>
      <c r="FI9" s="431">
        <f t="shared" ref="FI9:FI49" si="40">SUMIF($B:$B,$B9,$FD:$FD)</f>
        <v>0</v>
      </c>
      <c r="FJ9" s="431">
        <f t="shared" ref="FJ9:FJ49"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46599340.729726665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34949505.547294997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23299670.364863332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23299670.364863332</v>
      </c>
      <c r="GH9" s="431">
        <f t="shared" ref="GH9:GH49" si="57">IF(BY9="Yes",SUMIF(BY:BY,BY9,GF:GF),0)</f>
        <v>0</v>
      </c>
      <c r="GI9" s="431">
        <f t="shared" ref="GI9:GI49" si="58">IFERROR(MAX(0,(GH9-GG9)*(GF9/SUMIF($T:$T,T9,GF:GF ))),0)</f>
        <v>0</v>
      </c>
      <c r="GJ9" s="431">
        <f t="shared" ref="GJ9:GJ49" si="59">MAX(0,GF9-GI9)</f>
        <v>0</v>
      </c>
      <c r="GK9" s="431">
        <f>'Concentration Limits'!$J$67</f>
        <v>23299670.364863332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34949505.547294997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34949505.547294997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23299670.364863332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35">
      <c r="A10" s="49">
        <f t="shared" ref="A10:A49"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46599340.729726665</v>
      </c>
      <c r="EM10" s="429" t="str">
        <f>IF(OR(D10="Second Lien",AND(D10="FILO",DI10&gt;AGENT!$C$57)), "Yes", "No")</f>
        <v>No</v>
      </c>
      <c r="EN10" s="429">
        <f t="shared" si="29"/>
        <v>0</v>
      </c>
      <c r="EO10" s="429">
        <f t="shared" si="30"/>
        <v>0</v>
      </c>
      <c r="EP10" s="429">
        <f t="shared" si="31"/>
        <v>0</v>
      </c>
      <c r="EQ10" s="429">
        <f>'Concentration Limits'!$J$50</f>
        <v>23299670.364863332</v>
      </c>
      <c r="ER10" s="429">
        <f t="shared" si="32"/>
        <v>0</v>
      </c>
      <c r="ES10" s="429">
        <f t="shared" ref="ES10:ES49" si="84">MAX(0,(ER10-EQ10)*IFERROR((EP10/SUMIF($D:$D,D10,EP:EP )),0) )</f>
        <v>0</v>
      </c>
      <c r="ET10" s="429">
        <f t="shared" si="33"/>
        <v>0</v>
      </c>
      <c r="EU10" s="429">
        <f>'Concentration Limits'!$J$51</f>
        <v>69899011.094589993</v>
      </c>
      <c r="EV10" s="429" t="str">
        <f>IF(OR(D10="Second Lien", AND(D10="FILO",DI10&gt;AGENT!$C$59)), "Yes", "No")</f>
        <v>No</v>
      </c>
      <c r="EW10" s="429">
        <f t="shared" si="34"/>
        <v>0</v>
      </c>
      <c r="EX10" s="429">
        <f t="shared" si="35"/>
        <v>0</v>
      </c>
      <c r="EY10" s="429">
        <f t="shared" si="36"/>
        <v>0</v>
      </c>
      <c r="EZ10" s="429">
        <f>'Concentration Limits'!$J$52</f>
        <v>34949505.547294997</v>
      </c>
      <c r="FA10" s="429" t="str">
        <f>IF(CY10&gt;'Concentration Limits'!$E$52, "No", "Yes")</f>
        <v>Yes</v>
      </c>
      <c r="FB10" s="429">
        <f t="shared" si="37"/>
        <v>0</v>
      </c>
      <c r="FC10" s="429">
        <f t="shared" si="38"/>
        <v>0</v>
      </c>
      <c r="FD10" s="429">
        <f t="shared" si="39"/>
        <v>0</v>
      </c>
      <c r="FE10" s="430">
        <f>'Concentration Limits'!$J$54</f>
        <v>232996703.6486333</v>
      </c>
      <c r="FF10" s="430">
        <f>'Concentration Limits'!$J$55</f>
        <v>232996703.6486333</v>
      </c>
      <c r="FG10" s="430">
        <f>'Concentration Limits'!$J$56</f>
        <v>232996703.6486333</v>
      </c>
      <c r="FH10" s="431">
        <f>'Concentration Limits'!$J$57</f>
        <v>17474752.773647498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46599340.729726665</v>
      </c>
      <c r="FS10" s="431">
        <f t="shared" si="48"/>
        <v>0</v>
      </c>
      <c r="FT10" s="431" t="str">
        <f>VLOOKUP(BR10,'Concentration Limits'!$E$81:$H$153,4,FALSE)</f>
        <v/>
      </c>
      <c r="FU10" s="431">
        <f t="shared" si="49"/>
        <v>0</v>
      </c>
      <c r="FV10" s="431">
        <f t="shared" si="50"/>
        <v>0</v>
      </c>
      <c r="FW10" s="431">
        <f>'Concentration Limits'!$J$59</f>
        <v>34949505.547294997</v>
      </c>
      <c r="FX10" s="431">
        <f t="shared" si="51"/>
        <v>0</v>
      </c>
      <c r="FY10" s="431" t="str">
        <f>VLOOKUP(BR10,'Concentration Limits'!$E$81:$H$153,4,FALSE)</f>
        <v/>
      </c>
      <c r="FZ10" s="431">
        <f t="shared" si="52"/>
        <v>0</v>
      </c>
      <c r="GA10" s="431">
        <f t="shared" si="53"/>
        <v>0</v>
      </c>
      <c r="GB10" s="431">
        <f>'Concentration Limits'!$J$61</f>
        <v>23299670.364863332</v>
      </c>
      <c r="GC10" s="431">
        <f t="shared" si="54"/>
        <v>0</v>
      </c>
      <c r="GD10" s="429" t="str">
        <f>VLOOKUP(BR10,'Concentration Limits'!$E$81:$H$153,4,FALSE)</f>
        <v/>
      </c>
      <c r="GE10" s="431">
        <f t="shared" si="55"/>
        <v>0</v>
      </c>
      <c r="GF10" s="431">
        <f t="shared" si="56"/>
        <v>0</v>
      </c>
      <c r="GG10" s="431">
        <f>'Concentration Limits'!$J$64</f>
        <v>23299670.364863332</v>
      </c>
      <c r="GH10" s="431">
        <f t="shared" si="57"/>
        <v>0</v>
      </c>
      <c r="GI10" s="431">
        <f t="shared" si="58"/>
        <v>0</v>
      </c>
      <c r="GJ10" s="431">
        <f t="shared" si="59"/>
        <v>0</v>
      </c>
      <c r="GK10" s="431">
        <f>'Concentration Limits'!$J$67</f>
        <v>23299670.364863332</v>
      </c>
      <c r="GL10" s="429" t="str">
        <f t="shared" si="60"/>
        <v>No</v>
      </c>
      <c r="GM10" s="431">
        <f t="shared" si="61"/>
        <v>0</v>
      </c>
      <c r="GN10" s="431">
        <f t="shared" si="62"/>
        <v>0</v>
      </c>
      <c r="GO10" s="431">
        <f t="shared" si="63"/>
        <v>0</v>
      </c>
      <c r="GP10" s="431">
        <f>'Concentration Limits'!$J$68</f>
        <v>34949505.547294997</v>
      </c>
      <c r="GQ10" s="429" t="str">
        <f t="shared" si="64"/>
        <v>No</v>
      </c>
      <c r="GR10" s="431">
        <f t="shared" si="65"/>
        <v>0</v>
      </c>
      <c r="GS10" s="431">
        <f t="shared" si="66"/>
        <v>0</v>
      </c>
      <c r="GT10" s="431">
        <f t="shared" si="67"/>
        <v>0</v>
      </c>
      <c r="GU10" s="429">
        <f>'Concentration Limits'!$J$69</f>
        <v>34949505.547294997</v>
      </c>
      <c r="GV10" s="429" t="str">
        <f t="shared" si="68"/>
        <v>Yes</v>
      </c>
      <c r="GW10" s="429">
        <f t="shared" si="69"/>
        <v>12656117.589817706</v>
      </c>
      <c r="GX10" s="429">
        <f t="shared" si="70"/>
        <v>0</v>
      </c>
      <c r="GY10" s="429">
        <f t="shared" si="71"/>
        <v>0</v>
      </c>
      <c r="GZ10" s="429">
        <f>'Concentration Limits'!$J$70</f>
        <v>23299670.364863332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35">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46599340.729726665</v>
      </c>
      <c r="EM11" s="429" t="str">
        <f>IF(OR(D11="Second Lien",AND(D11="FILO",DI11&gt;AGENT!$C$57)), "Yes", "No")</f>
        <v>No</v>
      </c>
      <c r="EN11" s="429">
        <f t="shared" si="29"/>
        <v>0</v>
      </c>
      <c r="EO11" s="429">
        <f t="shared" si="30"/>
        <v>0</v>
      </c>
      <c r="EP11" s="429">
        <f t="shared" si="31"/>
        <v>0</v>
      </c>
      <c r="EQ11" s="429">
        <f>'Concentration Limits'!$J$50</f>
        <v>23299670.364863332</v>
      </c>
      <c r="ER11" s="429">
        <f t="shared" si="32"/>
        <v>0</v>
      </c>
      <c r="ES11" s="429">
        <f t="shared" si="84"/>
        <v>0</v>
      </c>
      <c r="ET11" s="429">
        <f t="shared" si="33"/>
        <v>0</v>
      </c>
      <c r="EU11" s="429">
        <f>'Concentration Limits'!$J$51</f>
        <v>69899011.094589993</v>
      </c>
      <c r="EV11" s="429" t="str">
        <f>IF(OR(D11="Second Lien", AND(D11="FILO",DI11&gt;AGENT!$C$59)), "Yes", "No")</f>
        <v>No</v>
      </c>
      <c r="EW11" s="429">
        <f t="shared" si="34"/>
        <v>0</v>
      </c>
      <c r="EX11" s="429">
        <f t="shared" si="35"/>
        <v>0</v>
      </c>
      <c r="EY11" s="429">
        <f t="shared" si="36"/>
        <v>0</v>
      </c>
      <c r="EZ11" s="429">
        <f>'Concentration Limits'!$J$52</f>
        <v>34949505.547294997</v>
      </c>
      <c r="FA11" s="429" t="str">
        <f>IF(CY11&gt;'Concentration Limits'!$E$52, "No", "Yes")</f>
        <v>No</v>
      </c>
      <c r="FB11" s="429">
        <f t="shared" si="37"/>
        <v>0</v>
      </c>
      <c r="FC11" s="429">
        <f t="shared" si="38"/>
        <v>0</v>
      </c>
      <c r="FD11" s="429">
        <f t="shared" si="39"/>
        <v>0</v>
      </c>
      <c r="FE11" s="430">
        <f>'Concentration Limits'!$J$54</f>
        <v>232996703.6486333</v>
      </c>
      <c r="FF11" s="430">
        <f>'Concentration Limits'!$J$55</f>
        <v>232996703.6486333</v>
      </c>
      <c r="FG11" s="430">
        <f>'Concentration Limits'!$J$56</f>
        <v>232996703.6486333</v>
      </c>
      <c r="FH11" s="431">
        <f>'Concentration Limits'!$J$57</f>
        <v>17474752.773647498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46599340.729726665</v>
      </c>
      <c r="FS11" s="431">
        <f t="shared" si="48"/>
        <v>0</v>
      </c>
      <c r="FT11" s="431" t="str">
        <f>VLOOKUP(BR11,'Concentration Limits'!$E$81:$H$153,4,FALSE)</f>
        <v/>
      </c>
      <c r="FU11" s="431">
        <f t="shared" si="49"/>
        <v>0</v>
      </c>
      <c r="FV11" s="431">
        <f t="shared" si="50"/>
        <v>0</v>
      </c>
      <c r="FW11" s="431">
        <f>'Concentration Limits'!$J$59</f>
        <v>34949505.547294997</v>
      </c>
      <c r="FX11" s="431">
        <f t="shared" si="51"/>
        <v>0</v>
      </c>
      <c r="FY11" s="431" t="str">
        <f>VLOOKUP(BR11,'Concentration Limits'!$E$81:$H$153,4,FALSE)</f>
        <v/>
      </c>
      <c r="FZ11" s="431">
        <f t="shared" si="52"/>
        <v>0</v>
      </c>
      <c r="GA11" s="431">
        <f t="shared" si="53"/>
        <v>0</v>
      </c>
      <c r="GB11" s="431">
        <f>'Concentration Limits'!$J$61</f>
        <v>23299670.364863332</v>
      </c>
      <c r="GC11" s="431">
        <f t="shared" si="54"/>
        <v>0</v>
      </c>
      <c r="GD11" s="429" t="str">
        <f>VLOOKUP(BR11,'Concentration Limits'!$E$81:$H$153,4,FALSE)</f>
        <v/>
      </c>
      <c r="GE11" s="431">
        <f t="shared" si="55"/>
        <v>0</v>
      </c>
      <c r="GF11" s="431">
        <f t="shared" si="56"/>
        <v>0</v>
      </c>
      <c r="GG11" s="431">
        <f>'Concentration Limits'!$J$64</f>
        <v>23299670.364863332</v>
      </c>
      <c r="GH11" s="431">
        <f t="shared" si="57"/>
        <v>0</v>
      </c>
      <c r="GI11" s="431">
        <f t="shared" si="58"/>
        <v>0</v>
      </c>
      <c r="GJ11" s="431">
        <f t="shared" si="59"/>
        <v>0</v>
      </c>
      <c r="GK11" s="431">
        <f>'Concentration Limits'!$J$67</f>
        <v>23299670.364863332</v>
      </c>
      <c r="GL11" s="429" t="str">
        <f t="shared" si="60"/>
        <v>No</v>
      </c>
      <c r="GM11" s="431">
        <f t="shared" si="61"/>
        <v>0</v>
      </c>
      <c r="GN11" s="431">
        <f t="shared" si="62"/>
        <v>0</v>
      </c>
      <c r="GO11" s="431">
        <f t="shared" si="63"/>
        <v>0</v>
      </c>
      <c r="GP11" s="431">
        <f>'Concentration Limits'!$J$68</f>
        <v>34949505.547294997</v>
      </c>
      <c r="GQ11" s="429" t="str">
        <f t="shared" si="64"/>
        <v>No</v>
      </c>
      <c r="GR11" s="431">
        <f t="shared" si="65"/>
        <v>0</v>
      </c>
      <c r="GS11" s="431">
        <f t="shared" si="66"/>
        <v>0</v>
      </c>
      <c r="GT11" s="431">
        <f t="shared" si="67"/>
        <v>0</v>
      </c>
      <c r="GU11" s="429">
        <f>'Concentration Limits'!$J$69</f>
        <v>34949505.547294997</v>
      </c>
      <c r="GV11" s="429" t="str">
        <f t="shared" si="68"/>
        <v>No</v>
      </c>
      <c r="GW11" s="429">
        <f t="shared" si="69"/>
        <v>0</v>
      </c>
      <c r="GX11" s="429">
        <f t="shared" si="70"/>
        <v>0</v>
      </c>
      <c r="GY11" s="429">
        <f t="shared" si="71"/>
        <v>0</v>
      </c>
      <c r="GZ11" s="429">
        <f>'Concentration Limits'!$J$70</f>
        <v>23299670.364863332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35">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46599340.729726665</v>
      </c>
      <c r="EM12" s="429" t="str">
        <f>IF(OR(D12="Second Lien",AND(D12="FILO",DI12&gt;AGENT!$C$57)), "Yes", "No")</f>
        <v>No</v>
      </c>
      <c r="EN12" s="429">
        <f t="shared" si="29"/>
        <v>0</v>
      </c>
      <c r="EO12" s="429">
        <f t="shared" si="30"/>
        <v>0</v>
      </c>
      <c r="EP12" s="429">
        <f t="shared" si="31"/>
        <v>17737566.439047478</v>
      </c>
      <c r="EQ12" s="429">
        <f>'Concentration Limits'!$J$50</f>
        <v>23299670.364863332</v>
      </c>
      <c r="ER12" s="429">
        <f t="shared" si="32"/>
        <v>0</v>
      </c>
      <c r="ES12" s="429">
        <f t="shared" si="84"/>
        <v>0</v>
      </c>
      <c r="ET12" s="429">
        <f t="shared" si="33"/>
        <v>17737566.439047478</v>
      </c>
      <c r="EU12" s="429">
        <f>'Concentration Limits'!$J$51</f>
        <v>69899011.094589993</v>
      </c>
      <c r="EV12" s="429" t="str">
        <f>IF(OR(D12="Second Lien", AND(D12="FILO",DI12&gt;AGENT!$C$59)), "Yes", "No")</f>
        <v>No</v>
      </c>
      <c r="EW12" s="429">
        <f t="shared" si="34"/>
        <v>0</v>
      </c>
      <c r="EX12" s="429">
        <f t="shared" si="35"/>
        <v>0</v>
      </c>
      <c r="EY12" s="429">
        <f t="shared" si="36"/>
        <v>17737566.439047478</v>
      </c>
      <c r="EZ12" s="429">
        <f>'Concentration Limits'!$J$52</f>
        <v>34949505.547294997</v>
      </c>
      <c r="FA12" s="429" t="str">
        <f>IF(CY12&gt;'Concentration Limits'!$E$52, "No", "Yes")</f>
        <v>No</v>
      </c>
      <c r="FB12" s="429">
        <f t="shared" si="37"/>
        <v>0</v>
      </c>
      <c r="FC12" s="429">
        <f t="shared" si="38"/>
        <v>0</v>
      </c>
      <c r="FD12" s="429">
        <f t="shared" si="39"/>
        <v>17737566.439047478</v>
      </c>
      <c r="FE12" s="430">
        <f>'Concentration Limits'!$J$54</f>
        <v>232996703.6486333</v>
      </c>
      <c r="FF12" s="430">
        <f>'Concentration Limits'!$J$55</f>
        <v>232996703.6486333</v>
      </c>
      <c r="FG12" s="430">
        <f>'Concentration Limits'!$J$56</f>
        <v>232996703.6486333</v>
      </c>
      <c r="FH12" s="431">
        <f>'Concentration Limits'!$J$57</f>
        <v>17474752.773647498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262813.6653999798</v>
      </c>
      <c r="FQ12" s="431">
        <f t="shared" si="47"/>
        <v>17474752.773647498</v>
      </c>
      <c r="FR12" s="431">
        <f>'Concentration Limits'!$J$58</f>
        <v>46599340.729726665</v>
      </c>
      <c r="FS12" s="431">
        <f t="shared" si="48"/>
        <v>22141695.704820283</v>
      </c>
      <c r="FT12" s="431">
        <f>VLOOKUP(BR12,'Concentration Limits'!$E$81:$H$153,4,FALSE)</f>
        <v>3</v>
      </c>
      <c r="FU12" s="431">
        <f t="shared" si="49"/>
        <v>0</v>
      </c>
      <c r="FV12" s="431">
        <f t="shared" si="50"/>
        <v>17474752.773647498</v>
      </c>
      <c r="FW12" s="431">
        <f>'Concentration Limits'!$J$59</f>
        <v>34949505.547294997</v>
      </c>
      <c r="FX12" s="431">
        <f t="shared" si="51"/>
        <v>22141695.704820283</v>
      </c>
      <c r="FY12" s="431">
        <f>VLOOKUP(BR12,'Concentration Limits'!$E$81:$H$153,4,FALSE)</f>
        <v>3</v>
      </c>
      <c r="FZ12" s="431">
        <f t="shared" si="52"/>
        <v>0</v>
      </c>
      <c r="GA12" s="431">
        <f t="shared" si="53"/>
        <v>17474752.773647498</v>
      </c>
      <c r="GB12" s="431">
        <f>'Concentration Limits'!$J$61</f>
        <v>23299670.364863332</v>
      </c>
      <c r="GC12" s="431">
        <f t="shared" si="54"/>
        <v>22141695.704820283</v>
      </c>
      <c r="GD12" s="429">
        <f>VLOOKUP(BR12,'Concentration Limits'!$E$81:$H$153,4,FALSE)</f>
        <v>3</v>
      </c>
      <c r="GE12" s="431">
        <f t="shared" si="55"/>
        <v>0</v>
      </c>
      <c r="GF12" s="431">
        <f t="shared" si="56"/>
        <v>17474752.773647498</v>
      </c>
      <c r="GG12" s="431">
        <f>'Concentration Limits'!$J$64</f>
        <v>23299670.364863332</v>
      </c>
      <c r="GH12" s="431">
        <f t="shared" si="57"/>
        <v>0</v>
      </c>
      <c r="GI12" s="431">
        <f t="shared" si="58"/>
        <v>0</v>
      </c>
      <c r="GJ12" s="431">
        <f t="shared" si="59"/>
        <v>17474752.773647498</v>
      </c>
      <c r="GK12" s="431">
        <f>'Concentration Limits'!$J$67</f>
        <v>23299670.364863332</v>
      </c>
      <c r="GL12" s="429" t="str">
        <f t="shared" si="60"/>
        <v>No</v>
      </c>
      <c r="GM12" s="431">
        <f t="shared" si="61"/>
        <v>0</v>
      </c>
      <c r="GN12" s="431">
        <f t="shared" si="62"/>
        <v>0</v>
      </c>
      <c r="GO12" s="431">
        <f t="shared" si="63"/>
        <v>17474752.773647498</v>
      </c>
      <c r="GP12" s="431">
        <f>'Concentration Limits'!$J$68</f>
        <v>34949505.547294997</v>
      </c>
      <c r="GQ12" s="429" t="str">
        <f t="shared" si="64"/>
        <v>No</v>
      </c>
      <c r="GR12" s="431">
        <f t="shared" si="65"/>
        <v>0</v>
      </c>
      <c r="GS12" s="431">
        <f t="shared" si="66"/>
        <v>0</v>
      </c>
      <c r="GT12" s="431">
        <f t="shared" si="67"/>
        <v>17474752.773647498</v>
      </c>
      <c r="GU12" s="429">
        <f>'Concentration Limits'!$J$69</f>
        <v>34949505.547294997</v>
      </c>
      <c r="GV12" s="429" t="str">
        <f t="shared" si="68"/>
        <v>No</v>
      </c>
      <c r="GW12" s="429">
        <f t="shared" si="69"/>
        <v>0</v>
      </c>
      <c r="GX12" s="429">
        <f t="shared" si="70"/>
        <v>0</v>
      </c>
      <c r="GY12" s="429">
        <f t="shared" si="71"/>
        <v>17474752.773647498</v>
      </c>
      <c r="GZ12" s="429">
        <f>'Concentration Limits'!$J$70</f>
        <v>23299670.364863332</v>
      </c>
      <c r="HA12" s="429" t="str">
        <f t="shared" si="72"/>
        <v>No</v>
      </c>
      <c r="HB12" s="429">
        <f t="shared" si="73"/>
        <v>0</v>
      </c>
      <c r="HC12" s="429">
        <f t="shared" si="74"/>
        <v>0</v>
      </c>
      <c r="HD12" s="429">
        <f t="shared" si="75"/>
        <v>17474752.773647498</v>
      </c>
      <c r="HE12" s="431">
        <f t="shared" si="76"/>
        <v>17474752.773647498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35">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46599340.729726665</v>
      </c>
      <c r="EM13" s="429" t="str">
        <f>IF(OR(D13="Second Lien",AND(D13="FILO",DI13&gt;AGENT!$C$57)), "Yes", "No")</f>
        <v>No</v>
      </c>
      <c r="EN13" s="429">
        <f t="shared" si="29"/>
        <v>0</v>
      </c>
      <c r="EO13" s="429">
        <f t="shared" si="30"/>
        <v>0</v>
      </c>
      <c r="EP13" s="429">
        <f t="shared" si="31"/>
        <v>4023228.1043379111</v>
      </c>
      <c r="EQ13" s="429">
        <f>'Concentration Limits'!$J$50</f>
        <v>23299670.364863332</v>
      </c>
      <c r="ER13" s="429">
        <f t="shared" si="32"/>
        <v>0</v>
      </c>
      <c r="ES13" s="429">
        <f t="shared" si="84"/>
        <v>0</v>
      </c>
      <c r="ET13" s="429">
        <f t="shared" si="33"/>
        <v>4023228.1043379111</v>
      </c>
      <c r="EU13" s="429">
        <f>'Concentration Limits'!$J$51</f>
        <v>69899011.094589993</v>
      </c>
      <c r="EV13" s="429" t="str">
        <f>IF(OR(D13="Second Lien", AND(D13="FILO",DI13&gt;AGENT!$C$59)), "Yes", "No")</f>
        <v>No</v>
      </c>
      <c r="EW13" s="429">
        <f t="shared" si="34"/>
        <v>0</v>
      </c>
      <c r="EX13" s="429">
        <f t="shared" si="35"/>
        <v>0</v>
      </c>
      <c r="EY13" s="429">
        <f t="shared" si="36"/>
        <v>4023228.1043379111</v>
      </c>
      <c r="EZ13" s="429">
        <f>'Concentration Limits'!$J$52</f>
        <v>34949505.547294997</v>
      </c>
      <c r="FA13" s="429" t="str">
        <f>IF(CY13&gt;'Concentration Limits'!$E$52, "No", "Yes")</f>
        <v>No</v>
      </c>
      <c r="FB13" s="429">
        <f t="shared" si="37"/>
        <v>0</v>
      </c>
      <c r="FC13" s="429">
        <f t="shared" si="38"/>
        <v>0</v>
      </c>
      <c r="FD13" s="429">
        <f t="shared" si="39"/>
        <v>4023228.1043379111</v>
      </c>
      <c r="FE13" s="430">
        <f>'Concentration Limits'!$J$54</f>
        <v>232996703.6486333</v>
      </c>
      <c r="FF13" s="430">
        <f>'Concentration Limits'!$J$55</f>
        <v>232996703.6486333</v>
      </c>
      <c r="FG13" s="430">
        <f>'Concentration Limits'!$J$56</f>
        <v>232996703.6486333</v>
      </c>
      <c r="FH13" s="431">
        <f>'Concentration Limits'!$J$57</f>
        <v>17474752.773647498</v>
      </c>
      <c r="FI13" s="431">
        <f t="shared" si="40"/>
        <v>4023228.1043379111</v>
      </c>
      <c r="FJ13" s="431">
        <f t="shared" si="41"/>
        <v>4023228.1043379111</v>
      </c>
      <c r="FK13" s="431">
        <f t="shared" si="42"/>
        <v>23</v>
      </c>
      <c r="FL13" s="431">
        <f>IF(FJ13&gt;0,RANK(FJ13,$FJ$9:$FJ$60)+COUNTIF($FJ$9:FJ13,FJ13)-1,0)</f>
        <v>23</v>
      </c>
      <c r="FM13" s="430">
        <f t="shared" si="43"/>
        <v>0</v>
      </c>
      <c r="FN13" s="430">
        <f t="shared" si="44"/>
        <v>0</v>
      </c>
      <c r="FO13" s="430">
        <f t="shared" si="45"/>
        <v>0</v>
      </c>
      <c r="FP13" s="431">
        <f t="shared" si="46"/>
        <v>0</v>
      </c>
      <c r="FQ13" s="431">
        <f t="shared" si="47"/>
        <v>4023228.1043379111</v>
      </c>
      <c r="FR13" s="431">
        <f>'Concentration Limits'!$J$58</f>
        <v>46599340.729726665</v>
      </c>
      <c r="FS13" s="431">
        <f t="shared" si="48"/>
        <v>46042971.865242489</v>
      </c>
      <c r="FT13" s="431">
        <f>VLOOKUP(BR13,'Concentration Limits'!$E$81:$H$153,4,FALSE)</f>
        <v>1</v>
      </c>
      <c r="FU13" s="431">
        <f t="shared" si="49"/>
        <v>0</v>
      </c>
      <c r="FV13" s="431">
        <f t="shared" si="50"/>
        <v>4023228.1043379111</v>
      </c>
      <c r="FW13" s="431">
        <f>'Concentration Limits'!$J$59</f>
        <v>34949505.547294997</v>
      </c>
      <c r="FX13" s="431">
        <f t="shared" si="51"/>
        <v>46042971.865242489</v>
      </c>
      <c r="FY13" s="431">
        <f>VLOOKUP(BR13,'Concentration Limits'!$E$81:$H$153,4,FALSE)</f>
        <v>1</v>
      </c>
      <c r="FZ13" s="431">
        <f t="shared" si="52"/>
        <v>0</v>
      </c>
      <c r="GA13" s="431">
        <f t="shared" si="53"/>
        <v>4023228.1043379111</v>
      </c>
      <c r="GB13" s="431">
        <f>'Concentration Limits'!$J$61</f>
        <v>23299670.364863332</v>
      </c>
      <c r="GC13" s="431">
        <f t="shared" si="54"/>
        <v>46042971.865242489</v>
      </c>
      <c r="GD13" s="429">
        <f>VLOOKUP(BR13,'Concentration Limits'!$E$81:$H$153,4,FALSE)</f>
        <v>1</v>
      </c>
      <c r="GE13" s="431">
        <f t="shared" si="55"/>
        <v>0</v>
      </c>
      <c r="GF13" s="431">
        <f t="shared" si="56"/>
        <v>4023228.1043379111</v>
      </c>
      <c r="GG13" s="431">
        <f>'Concentration Limits'!$J$64</f>
        <v>23299670.364863332</v>
      </c>
      <c r="GH13" s="431">
        <f t="shared" si="57"/>
        <v>0</v>
      </c>
      <c r="GI13" s="431">
        <f t="shared" si="58"/>
        <v>0</v>
      </c>
      <c r="GJ13" s="431">
        <f t="shared" si="59"/>
        <v>4023228.1043379111</v>
      </c>
      <c r="GK13" s="431">
        <f>'Concentration Limits'!$J$67</f>
        <v>23299670.364863332</v>
      </c>
      <c r="GL13" s="429" t="str">
        <f t="shared" si="60"/>
        <v>No</v>
      </c>
      <c r="GM13" s="431">
        <f t="shared" si="61"/>
        <v>0</v>
      </c>
      <c r="GN13" s="431">
        <f t="shared" si="62"/>
        <v>0</v>
      </c>
      <c r="GO13" s="431">
        <f t="shared" si="63"/>
        <v>4023228.1043379111</v>
      </c>
      <c r="GP13" s="431">
        <f>'Concentration Limits'!$J$68</f>
        <v>34949505.547294997</v>
      </c>
      <c r="GQ13" s="429" t="str">
        <f t="shared" si="64"/>
        <v>No</v>
      </c>
      <c r="GR13" s="431">
        <f t="shared" si="65"/>
        <v>0</v>
      </c>
      <c r="GS13" s="431">
        <f t="shared" si="66"/>
        <v>0</v>
      </c>
      <c r="GT13" s="431">
        <f t="shared" si="67"/>
        <v>4023228.1043379111</v>
      </c>
      <c r="GU13" s="429">
        <f>'Concentration Limits'!$J$69</f>
        <v>34949505.547294997</v>
      </c>
      <c r="GV13" s="429" t="str">
        <f t="shared" si="68"/>
        <v>No</v>
      </c>
      <c r="GW13" s="429">
        <f t="shared" si="69"/>
        <v>0</v>
      </c>
      <c r="GX13" s="429">
        <f t="shared" si="70"/>
        <v>0</v>
      </c>
      <c r="GY13" s="429">
        <f t="shared" si="71"/>
        <v>4023228.1043379111</v>
      </c>
      <c r="GZ13" s="429">
        <f>'Concentration Limits'!$J$70</f>
        <v>23299670.364863332</v>
      </c>
      <c r="HA13" s="429" t="str">
        <f t="shared" si="72"/>
        <v>No</v>
      </c>
      <c r="HB13" s="429">
        <f t="shared" si="73"/>
        <v>0</v>
      </c>
      <c r="HC13" s="429">
        <f t="shared" si="74"/>
        <v>0</v>
      </c>
      <c r="HD13" s="429">
        <f t="shared" si="75"/>
        <v>4023228.1043379111</v>
      </c>
      <c r="HE13" s="431">
        <f t="shared" si="76"/>
        <v>4023228.1043379111</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35">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46599340.729726665</v>
      </c>
      <c r="EM14" s="429" t="str">
        <f>IF(OR(D14="Second Lien",AND(D14="FILO",DI14&gt;AGENT!$C$57)), "Yes", "No")</f>
        <v>No</v>
      </c>
      <c r="EN14" s="429">
        <f t="shared" si="29"/>
        <v>0</v>
      </c>
      <c r="EO14" s="429">
        <f t="shared" si="30"/>
        <v>0</v>
      </c>
      <c r="EP14" s="429">
        <f t="shared" si="31"/>
        <v>0</v>
      </c>
      <c r="EQ14" s="429">
        <f>'Concentration Limits'!$J$50</f>
        <v>23299670.364863332</v>
      </c>
      <c r="ER14" s="429">
        <f t="shared" si="32"/>
        <v>0</v>
      </c>
      <c r="ES14" s="429">
        <f t="shared" si="84"/>
        <v>0</v>
      </c>
      <c r="ET14" s="429">
        <f t="shared" si="33"/>
        <v>0</v>
      </c>
      <c r="EU14" s="429">
        <f>'Concentration Limits'!$J$51</f>
        <v>69899011.094589993</v>
      </c>
      <c r="EV14" s="429" t="str">
        <f>IF(OR(D14="Second Lien", AND(D14="FILO",DI14&gt;AGENT!$C$59)), "Yes", "No")</f>
        <v>No</v>
      </c>
      <c r="EW14" s="429">
        <f t="shared" si="34"/>
        <v>0</v>
      </c>
      <c r="EX14" s="429">
        <f t="shared" si="35"/>
        <v>0</v>
      </c>
      <c r="EY14" s="429">
        <f t="shared" si="36"/>
        <v>0</v>
      </c>
      <c r="EZ14" s="429">
        <f>'Concentration Limits'!$J$52</f>
        <v>34949505.547294997</v>
      </c>
      <c r="FA14" s="429" t="str">
        <f>IF(CY14&gt;'Concentration Limits'!$E$52, "No", "Yes")</f>
        <v>Yes</v>
      </c>
      <c r="FB14" s="429">
        <f t="shared" si="37"/>
        <v>0</v>
      </c>
      <c r="FC14" s="429">
        <f t="shared" si="38"/>
        <v>0</v>
      </c>
      <c r="FD14" s="429">
        <f t="shared" si="39"/>
        <v>0</v>
      </c>
      <c r="FE14" s="430">
        <f>'Concentration Limits'!$J$54</f>
        <v>232996703.6486333</v>
      </c>
      <c r="FF14" s="430">
        <f>'Concentration Limits'!$J$55</f>
        <v>232996703.6486333</v>
      </c>
      <c r="FG14" s="430">
        <f>'Concentration Limits'!$J$56</f>
        <v>232996703.6486333</v>
      </c>
      <c r="FH14" s="431">
        <f>'Concentration Limits'!$J$57</f>
        <v>17474752.773647498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46599340.729726665</v>
      </c>
      <c r="FS14" s="431">
        <f t="shared" si="48"/>
        <v>16096607.119937314</v>
      </c>
      <c r="FT14" s="431">
        <f>VLOOKUP(BR14,'Concentration Limits'!$E$81:$H$153,4,FALSE)</f>
        <v>5</v>
      </c>
      <c r="FU14" s="431">
        <f t="shared" si="49"/>
        <v>0</v>
      </c>
      <c r="FV14" s="431">
        <f t="shared" si="50"/>
        <v>0</v>
      </c>
      <c r="FW14" s="431">
        <f>'Concentration Limits'!$J$59</f>
        <v>34949505.547294997</v>
      </c>
      <c r="FX14" s="431">
        <f t="shared" si="51"/>
        <v>16096607.119937314</v>
      </c>
      <c r="FY14" s="431">
        <f>VLOOKUP(BR14,'Concentration Limits'!$E$81:$H$153,4,FALSE)</f>
        <v>5</v>
      </c>
      <c r="FZ14" s="431">
        <f t="shared" si="52"/>
        <v>0</v>
      </c>
      <c r="GA14" s="431">
        <f t="shared" si="53"/>
        <v>0</v>
      </c>
      <c r="GB14" s="431">
        <f>'Concentration Limits'!$J$61</f>
        <v>23299670.364863332</v>
      </c>
      <c r="GC14" s="431">
        <f t="shared" si="54"/>
        <v>16096607.119937314</v>
      </c>
      <c r="GD14" s="429">
        <f>VLOOKUP(BR14,'Concentration Limits'!$E$81:$H$153,4,FALSE)</f>
        <v>5</v>
      </c>
      <c r="GE14" s="431">
        <f t="shared" si="55"/>
        <v>0</v>
      </c>
      <c r="GF14" s="431">
        <f t="shared" si="56"/>
        <v>0</v>
      </c>
      <c r="GG14" s="431">
        <f>'Concentration Limits'!$J$64</f>
        <v>23299670.364863332</v>
      </c>
      <c r="GH14" s="431">
        <f t="shared" si="57"/>
        <v>0</v>
      </c>
      <c r="GI14" s="431">
        <f t="shared" si="58"/>
        <v>0</v>
      </c>
      <c r="GJ14" s="431">
        <f t="shared" si="59"/>
        <v>0</v>
      </c>
      <c r="GK14" s="431">
        <f>'Concentration Limits'!$J$67</f>
        <v>23299670.364863332</v>
      </c>
      <c r="GL14" s="429" t="str">
        <f t="shared" si="60"/>
        <v>No</v>
      </c>
      <c r="GM14" s="431">
        <f t="shared" si="61"/>
        <v>0</v>
      </c>
      <c r="GN14" s="431">
        <f t="shared" si="62"/>
        <v>0</v>
      </c>
      <c r="GO14" s="431">
        <f t="shared" si="63"/>
        <v>0</v>
      </c>
      <c r="GP14" s="431">
        <f>'Concentration Limits'!$J$68</f>
        <v>34949505.547294997</v>
      </c>
      <c r="GQ14" s="429" t="str">
        <f t="shared" si="64"/>
        <v>No</v>
      </c>
      <c r="GR14" s="431">
        <f t="shared" si="65"/>
        <v>0</v>
      </c>
      <c r="GS14" s="431">
        <f t="shared" si="66"/>
        <v>0</v>
      </c>
      <c r="GT14" s="431">
        <f t="shared" si="67"/>
        <v>0</v>
      </c>
      <c r="GU14" s="429">
        <f>'Concentration Limits'!$J$69</f>
        <v>34949505.547294997</v>
      </c>
      <c r="GV14" s="429" t="str">
        <f t="shared" si="68"/>
        <v>No</v>
      </c>
      <c r="GW14" s="429">
        <f t="shared" si="69"/>
        <v>0</v>
      </c>
      <c r="GX14" s="429">
        <f t="shared" si="70"/>
        <v>0</v>
      </c>
      <c r="GY14" s="429">
        <f t="shared" si="71"/>
        <v>0</v>
      </c>
      <c r="GZ14" s="429">
        <f>'Concentration Limits'!$J$70</f>
        <v>23299670.364863332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35">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46599340.729726665</v>
      </c>
      <c r="EM15" s="429" t="str">
        <f>IF(OR(D15="Second Lien",AND(D15="FILO",DI15&gt;AGENT!$C$57)), "Yes", "No")</f>
        <v>No</v>
      </c>
      <c r="EN15" s="429">
        <f t="shared" si="29"/>
        <v>0</v>
      </c>
      <c r="EO15" s="429">
        <f t="shared" si="30"/>
        <v>0</v>
      </c>
      <c r="EP15" s="429">
        <f t="shared" si="31"/>
        <v>6414577.7793968087</v>
      </c>
      <c r="EQ15" s="429">
        <f>'Concentration Limits'!$J$50</f>
        <v>23299670.364863332</v>
      </c>
      <c r="ER15" s="429">
        <f t="shared" si="32"/>
        <v>0</v>
      </c>
      <c r="ES15" s="429">
        <f t="shared" si="84"/>
        <v>0</v>
      </c>
      <c r="ET15" s="429">
        <f t="shared" si="33"/>
        <v>6414577.7793968087</v>
      </c>
      <c r="EU15" s="429">
        <f>'Concentration Limits'!$J$51</f>
        <v>69899011.094589993</v>
      </c>
      <c r="EV15" s="429" t="str">
        <f>IF(OR(D15="Second Lien", AND(D15="FILO",DI15&gt;AGENT!$C$59)), "Yes", "No")</f>
        <v>No</v>
      </c>
      <c r="EW15" s="429">
        <f t="shared" si="34"/>
        <v>0</v>
      </c>
      <c r="EX15" s="429">
        <f t="shared" si="35"/>
        <v>0</v>
      </c>
      <c r="EY15" s="429">
        <f t="shared" si="36"/>
        <v>6414577.7793968087</v>
      </c>
      <c r="EZ15" s="429">
        <f>'Concentration Limits'!$J$52</f>
        <v>34949505.547294997</v>
      </c>
      <c r="FA15" s="429" t="str">
        <f>IF(CY15&gt;'Concentration Limits'!$E$52, "No", "Yes")</f>
        <v>No</v>
      </c>
      <c r="FB15" s="429">
        <f t="shared" si="37"/>
        <v>0</v>
      </c>
      <c r="FC15" s="429">
        <f t="shared" si="38"/>
        <v>0</v>
      </c>
      <c r="FD15" s="429">
        <f t="shared" si="39"/>
        <v>6414577.7793968087</v>
      </c>
      <c r="FE15" s="430">
        <f>'Concentration Limits'!$J$54</f>
        <v>232996703.6486333</v>
      </c>
      <c r="FF15" s="430">
        <f>'Concentration Limits'!$J$55</f>
        <v>232996703.6486333</v>
      </c>
      <c r="FG15" s="430">
        <f>'Concentration Limits'!$J$56</f>
        <v>232996703.6486333</v>
      </c>
      <c r="FH15" s="431">
        <f>'Concentration Limits'!$J$57</f>
        <v>17474752.773647498</v>
      </c>
      <c r="FI15" s="431">
        <f t="shared" si="40"/>
        <v>6414577.7793968087</v>
      </c>
      <c r="FJ15" s="431">
        <f t="shared" si="41"/>
        <v>6414577.7793968087</v>
      </c>
      <c r="FK15" s="431">
        <f t="shared" si="42"/>
        <v>19</v>
      </c>
      <c r="FL15" s="431">
        <f>IF(FJ15&gt;0,RANK(FJ15,$FJ$9:$FJ$60)+COUNTIF($FJ$9:FJ15,FJ15)-1,0)</f>
        <v>19</v>
      </c>
      <c r="FM15" s="430">
        <f t="shared" si="43"/>
        <v>0</v>
      </c>
      <c r="FN15" s="430">
        <f t="shared" si="44"/>
        <v>0</v>
      </c>
      <c r="FO15" s="430">
        <f t="shared" si="45"/>
        <v>0</v>
      </c>
      <c r="FP15" s="431">
        <f t="shared" si="46"/>
        <v>0</v>
      </c>
      <c r="FQ15" s="431">
        <f t="shared" si="47"/>
        <v>6414577.7793968087</v>
      </c>
      <c r="FR15" s="431">
        <f>'Concentration Limits'!$J$58</f>
        <v>46599340.729726665</v>
      </c>
      <c r="FS15" s="431">
        <f t="shared" si="48"/>
        <v>24394399.03040082</v>
      </c>
      <c r="FT15" s="431">
        <f>VLOOKUP(BR15,'Concentration Limits'!$E$81:$H$153,4,FALSE)</f>
        <v>2</v>
      </c>
      <c r="FU15" s="431">
        <f t="shared" si="49"/>
        <v>0</v>
      </c>
      <c r="FV15" s="431">
        <f t="shared" si="50"/>
        <v>6414577.7793968087</v>
      </c>
      <c r="FW15" s="431">
        <f>'Concentration Limits'!$J$59</f>
        <v>34949505.547294997</v>
      </c>
      <c r="FX15" s="431">
        <f t="shared" si="51"/>
        <v>24394399.03040082</v>
      </c>
      <c r="FY15" s="431">
        <f>VLOOKUP(BR15,'Concentration Limits'!$E$81:$H$153,4,FALSE)</f>
        <v>2</v>
      </c>
      <c r="FZ15" s="431">
        <f t="shared" si="52"/>
        <v>0</v>
      </c>
      <c r="GA15" s="431">
        <f t="shared" si="53"/>
        <v>6414577.7793968087</v>
      </c>
      <c r="GB15" s="431">
        <f>'Concentration Limits'!$J$61</f>
        <v>23299670.364863332</v>
      </c>
      <c r="GC15" s="431">
        <f t="shared" si="54"/>
        <v>24394399.03040082</v>
      </c>
      <c r="GD15" s="429">
        <f>VLOOKUP(BR15,'Concentration Limits'!$E$81:$H$153,4,FALSE)</f>
        <v>2</v>
      </c>
      <c r="GE15" s="431">
        <f t="shared" si="55"/>
        <v>0</v>
      </c>
      <c r="GF15" s="431">
        <f t="shared" si="56"/>
        <v>6414577.7793968087</v>
      </c>
      <c r="GG15" s="431">
        <f>'Concentration Limits'!$J$64</f>
        <v>23299670.364863332</v>
      </c>
      <c r="GH15" s="431">
        <f t="shared" si="57"/>
        <v>0</v>
      </c>
      <c r="GI15" s="431">
        <f t="shared" si="58"/>
        <v>0</v>
      </c>
      <c r="GJ15" s="431">
        <f t="shared" si="59"/>
        <v>6414577.7793968087</v>
      </c>
      <c r="GK15" s="431">
        <f>'Concentration Limits'!$J$67</f>
        <v>23299670.364863332</v>
      </c>
      <c r="GL15" s="429" t="str">
        <f t="shared" si="60"/>
        <v>No</v>
      </c>
      <c r="GM15" s="431">
        <f t="shared" si="61"/>
        <v>0</v>
      </c>
      <c r="GN15" s="431">
        <f t="shared" si="62"/>
        <v>0</v>
      </c>
      <c r="GO15" s="431">
        <f t="shared" si="63"/>
        <v>6414577.7793968087</v>
      </c>
      <c r="GP15" s="431">
        <f>'Concentration Limits'!$J$68</f>
        <v>34949505.547294997</v>
      </c>
      <c r="GQ15" s="429" t="str">
        <f t="shared" si="64"/>
        <v>No</v>
      </c>
      <c r="GR15" s="431">
        <f t="shared" si="65"/>
        <v>0</v>
      </c>
      <c r="GS15" s="431">
        <f t="shared" si="66"/>
        <v>0</v>
      </c>
      <c r="GT15" s="431">
        <f t="shared" si="67"/>
        <v>6414577.7793968087</v>
      </c>
      <c r="GU15" s="429">
        <f>'Concentration Limits'!$J$69</f>
        <v>34949505.547294997</v>
      </c>
      <c r="GV15" s="429" t="str">
        <f t="shared" si="68"/>
        <v>No</v>
      </c>
      <c r="GW15" s="429">
        <f t="shared" si="69"/>
        <v>0</v>
      </c>
      <c r="GX15" s="429">
        <f t="shared" si="70"/>
        <v>0</v>
      </c>
      <c r="GY15" s="429">
        <f t="shared" si="71"/>
        <v>6414577.7793968087</v>
      </c>
      <c r="GZ15" s="429">
        <f>'Concentration Limits'!$J$70</f>
        <v>23299670.364863332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35">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46599340.729726665</v>
      </c>
      <c r="EM16" s="429" t="str">
        <f>IF(OR(D16="Second Lien",AND(D16="FILO",DI16&gt;AGENT!$C$57)), "Yes", "No")</f>
        <v>No</v>
      </c>
      <c r="EN16" s="429">
        <f t="shared" si="29"/>
        <v>0</v>
      </c>
      <c r="EO16" s="429">
        <f t="shared" si="30"/>
        <v>0</v>
      </c>
      <c r="EP16" s="429">
        <f t="shared" si="31"/>
        <v>12656117.589817706</v>
      </c>
      <c r="EQ16" s="429">
        <f>'Concentration Limits'!$J$50</f>
        <v>23299670.364863332</v>
      </c>
      <c r="ER16" s="429">
        <f t="shared" si="32"/>
        <v>0</v>
      </c>
      <c r="ES16" s="429">
        <f t="shared" si="84"/>
        <v>0</v>
      </c>
      <c r="ET16" s="429">
        <f t="shared" si="33"/>
        <v>12656117.589817706</v>
      </c>
      <c r="EU16" s="429">
        <f>'Concentration Limits'!$J$51</f>
        <v>69899011.094589993</v>
      </c>
      <c r="EV16" s="429" t="str">
        <f>IF(OR(D16="Second Lien", AND(D16="FILO",DI16&gt;AGENT!$C$59)), "Yes", "No")</f>
        <v>No</v>
      </c>
      <c r="EW16" s="429">
        <f t="shared" si="34"/>
        <v>0</v>
      </c>
      <c r="EX16" s="429">
        <f t="shared" si="35"/>
        <v>0</v>
      </c>
      <c r="EY16" s="429">
        <f t="shared" si="36"/>
        <v>12656117.589817706</v>
      </c>
      <c r="EZ16" s="429">
        <f>'Concentration Limits'!$J$52</f>
        <v>34949505.547294997</v>
      </c>
      <c r="FA16" s="429" t="str">
        <f>IF(CY16&gt;'Concentration Limits'!$E$52, "No", "Yes")</f>
        <v>No</v>
      </c>
      <c r="FB16" s="429">
        <f t="shared" si="37"/>
        <v>0</v>
      </c>
      <c r="FC16" s="429">
        <f t="shared" si="38"/>
        <v>0</v>
      </c>
      <c r="FD16" s="429">
        <f t="shared" si="39"/>
        <v>12656117.589817706</v>
      </c>
      <c r="FE16" s="430">
        <f>'Concentration Limits'!$J$54</f>
        <v>232996703.6486333</v>
      </c>
      <c r="FF16" s="430">
        <f>'Concentration Limits'!$J$55</f>
        <v>232996703.6486333</v>
      </c>
      <c r="FG16" s="430">
        <f>'Concentration Limits'!$J$56</f>
        <v>232996703.6486333</v>
      </c>
      <c r="FH16" s="431">
        <f>'Concentration Limits'!$J$57</f>
        <v>17474752.773647498</v>
      </c>
      <c r="FI16" s="431">
        <f t="shared" si="40"/>
        <v>12656117.589817706</v>
      </c>
      <c r="FJ16" s="431">
        <f t="shared" si="41"/>
        <v>12656117.589817706</v>
      </c>
      <c r="FK16" s="431">
        <f t="shared" si="42"/>
        <v>4</v>
      </c>
      <c r="FL16" s="431">
        <f>IF(FJ16&gt;0,RANK(FJ16,$FJ$9:$FJ$60)+COUNTIF($FJ$9:FJ16,FJ16)-1,0)</f>
        <v>4</v>
      </c>
      <c r="FM16" s="430">
        <f t="shared" si="43"/>
        <v>0</v>
      </c>
      <c r="FN16" s="430">
        <f t="shared" si="44"/>
        <v>0</v>
      </c>
      <c r="FO16" s="430">
        <f t="shared" si="45"/>
        <v>0</v>
      </c>
      <c r="FP16" s="431">
        <f t="shared" si="46"/>
        <v>0</v>
      </c>
      <c r="FQ16" s="431">
        <f t="shared" si="47"/>
        <v>12656117.589817706</v>
      </c>
      <c r="FR16" s="431">
        <f>'Concentration Limits'!$J$58</f>
        <v>46599340.729726665</v>
      </c>
      <c r="FS16" s="431">
        <f t="shared" si="48"/>
        <v>12656117.589817706</v>
      </c>
      <c r="FT16" s="431">
        <f>VLOOKUP(BR16,'Concentration Limits'!$E$81:$H$153,4,FALSE)</f>
        <v>10</v>
      </c>
      <c r="FU16" s="431">
        <f t="shared" si="49"/>
        <v>0</v>
      </c>
      <c r="FV16" s="431">
        <f t="shared" si="50"/>
        <v>12656117.589817706</v>
      </c>
      <c r="FW16" s="431">
        <f>'Concentration Limits'!$J$59</f>
        <v>34949505.547294997</v>
      </c>
      <c r="FX16" s="431">
        <f t="shared" si="51"/>
        <v>12656117.589817706</v>
      </c>
      <c r="FY16" s="431">
        <f>VLOOKUP(BR16,'Concentration Limits'!$E$81:$H$153,4,FALSE)</f>
        <v>10</v>
      </c>
      <c r="FZ16" s="431">
        <f t="shared" si="52"/>
        <v>0</v>
      </c>
      <c r="GA16" s="431">
        <f t="shared" si="53"/>
        <v>12656117.589817706</v>
      </c>
      <c r="GB16" s="431">
        <f>'Concentration Limits'!$J$61</f>
        <v>23299670.364863332</v>
      </c>
      <c r="GC16" s="431">
        <f t="shared" si="54"/>
        <v>12656117.589817706</v>
      </c>
      <c r="GD16" s="429">
        <f>VLOOKUP(BR16,'Concentration Limits'!$E$81:$H$153,4,FALSE)</f>
        <v>10</v>
      </c>
      <c r="GE16" s="431">
        <f t="shared" si="55"/>
        <v>0</v>
      </c>
      <c r="GF16" s="431">
        <f t="shared" si="56"/>
        <v>12656117.589817706</v>
      </c>
      <c r="GG16" s="431">
        <f>'Concentration Limits'!$J$64</f>
        <v>23299670.364863332</v>
      </c>
      <c r="GH16" s="431">
        <f t="shared" si="57"/>
        <v>0</v>
      </c>
      <c r="GI16" s="431">
        <f t="shared" si="58"/>
        <v>0</v>
      </c>
      <c r="GJ16" s="431">
        <f t="shared" si="59"/>
        <v>12656117.589817706</v>
      </c>
      <c r="GK16" s="431">
        <f>'Concentration Limits'!$J$67</f>
        <v>23299670.364863332</v>
      </c>
      <c r="GL16" s="429" t="str">
        <f t="shared" si="60"/>
        <v>No</v>
      </c>
      <c r="GM16" s="431">
        <f t="shared" si="61"/>
        <v>0</v>
      </c>
      <c r="GN16" s="431">
        <f t="shared" si="62"/>
        <v>0</v>
      </c>
      <c r="GO16" s="431">
        <f t="shared" si="63"/>
        <v>12656117.589817706</v>
      </c>
      <c r="GP16" s="431">
        <f>'Concentration Limits'!$J$68</f>
        <v>34949505.547294997</v>
      </c>
      <c r="GQ16" s="429" t="str">
        <f t="shared" si="64"/>
        <v>No</v>
      </c>
      <c r="GR16" s="431">
        <f t="shared" si="65"/>
        <v>0</v>
      </c>
      <c r="GS16" s="431">
        <f t="shared" si="66"/>
        <v>0</v>
      </c>
      <c r="GT16" s="431">
        <f t="shared" si="67"/>
        <v>12656117.589817706</v>
      </c>
      <c r="GU16" s="429">
        <f>'Concentration Limits'!$J$69</f>
        <v>34949505.547294997</v>
      </c>
      <c r="GV16" s="429" t="str">
        <f t="shared" si="68"/>
        <v>Yes</v>
      </c>
      <c r="GW16" s="429">
        <f t="shared" si="69"/>
        <v>12656117.589817706</v>
      </c>
      <c r="GX16" s="429">
        <f t="shared" si="70"/>
        <v>0</v>
      </c>
      <c r="GY16" s="429">
        <f t="shared" si="71"/>
        <v>12656117.589817706</v>
      </c>
      <c r="GZ16" s="429">
        <f>'Concentration Limits'!$J$70</f>
        <v>23299670.364863332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35">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46599340.729726665</v>
      </c>
      <c r="EM17" s="429" t="str">
        <f>IF(OR(D17="Second Lien",AND(D17="FILO",DI17&gt;AGENT!$C$57)), "Yes", "No")</f>
        <v>No</v>
      </c>
      <c r="EN17" s="429">
        <f t="shared" si="29"/>
        <v>0</v>
      </c>
      <c r="EO17" s="429">
        <f t="shared" si="30"/>
        <v>0</v>
      </c>
      <c r="EP17" s="429">
        <f t="shared" si="31"/>
        <v>11075134.805091927</v>
      </c>
      <c r="EQ17" s="429">
        <f>'Concentration Limits'!$J$50</f>
        <v>23299670.364863332</v>
      </c>
      <c r="ER17" s="429">
        <f t="shared" si="32"/>
        <v>0</v>
      </c>
      <c r="ES17" s="429">
        <f t="shared" si="84"/>
        <v>0</v>
      </c>
      <c r="ET17" s="429">
        <f t="shared" si="33"/>
        <v>11075134.805091927</v>
      </c>
      <c r="EU17" s="429">
        <f>'Concentration Limits'!$J$51</f>
        <v>69899011.094589993</v>
      </c>
      <c r="EV17" s="429" t="str">
        <f>IF(OR(D17="Second Lien", AND(D17="FILO",DI17&gt;AGENT!$C$59)), "Yes", "No")</f>
        <v>Yes</v>
      </c>
      <c r="EW17" s="429">
        <f t="shared" si="34"/>
        <v>53940434.707607172</v>
      </c>
      <c r="EX17" s="429">
        <f t="shared" si="35"/>
        <v>0</v>
      </c>
      <c r="EY17" s="429">
        <f t="shared" si="36"/>
        <v>11075134.805091927</v>
      </c>
      <c r="EZ17" s="429">
        <f>'Concentration Limits'!$J$52</f>
        <v>34949505.547294997</v>
      </c>
      <c r="FA17" s="429" t="str">
        <f>IF(CY17&gt;'Concentration Limits'!$E$52, "No", "Yes")</f>
        <v>No</v>
      </c>
      <c r="FB17" s="429">
        <f t="shared" si="37"/>
        <v>0</v>
      </c>
      <c r="FC17" s="429">
        <f t="shared" si="38"/>
        <v>0</v>
      </c>
      <c r="FD17" s="429">
        <f t="shared" si="39"/>
        <v>11075134.805091927</v>
      </c>
      <c r="FE17" s="430">
        <f>'Concentration Limits'!$J$54</f>
        <v>232996703.6486333</v>
      </c>
      <c r="FF17" s="430">
        <f>'Concentration Limits'!$J$55</f>
        <v>232996703.6486333</v>
      </c>
      <c r="FG17" s="430">
        <f>'Concentration Limits'!$J$56</f>
        <v>232996703.6486333</v>
      </c>
      <c r="FH17" s="431">
        <f>'Concentration Limits'!$J$57</f>
        <v>17474752.773647498</v>
      </c>
      <c r="FI17" s="431">
        <f t="shared" si="40"/>
        <v>11075134.805091927</v>
      </c>
      <c r="FJ17" s="431">
        <f t="shared" si="41"/>
        <v>11075134.805091927</v>
      </c>
      <c r="FK17" s="431">
        <f t="shared" si="42"/>
        <v>9</v>
      </c>
      <c r="FL17" s="431">
        <f>IF(FJ17&gt;0,RANK(FJ17,$FJ$9:$FJ$60)+COUNTIF($FJ$9:FJ17,FJ17)-1,0)</f>
        <v>9</v>
      </c>
      <c r="FM17" s="430">
        <f t="shared" si="43"/>
        <v>0</v>
      </c>
      <c r="FN17" s="430">
        <f t="shared" si="44"/>
        <v>0</v>
      </c>
      <c r="FO17" s="430">
        <f t="shared" si="45"/>
        <v>0</v>
      </c>
      <c r="FP17" s="431">
        <f t="shared" si="46"/>
        <v>0</v>
      </c>
      <c r="FQ17" s="431">
        <f t="shared" si="47"/>
        <v>11075134.805091927</v>
      </c>
      <c r="FR17" s="431">
        <f>'Concentration Limits'!$J$58</f>
        <v>46599340.729726665</v>
      </c>
      <c r="FS17" s="431">
        <f t="shared" si="48"/>
        <v>13656662.095759427</v>
      </c>
      <c r="FT17" s="431">
        <f>VLOOKUP(BR17,'Concentration Limits'!$E$81:$H$153,4,FALSE)</f>
        <v>7</v>
      </c>
      <c r="FU17" s="431">
        <f t="shared" si="49"/>
        <v>0</v>
      </c>
      <c r="FV17" s="431">
        <f t="shared" si="50"/>
        <v>11075134.805091927</v>
      </c>
      <c r="FW17" s="431">
        <f>'Concentration Limits'!$J$59</f>
        <v>34949505.547294997</v>
      </c>
      <c r="FX17" s="431">
        <f t="shared" si="51"/>
        <v>13656662.095759427</v>
      </c>
      <c r="FY17" s="431">
        <f>VLOOKUP(BR17,'Concentration Limits'!$E$81:$H$153,4,FALSE)</f>
        <v>7</v>
      </c>
      <c r="FZ17" s="431">
        <f t="shared" si="52"/>
        <v>0</v>
      </c>
      <c r="GA17" s="431">
        <f t="shared" si="53"/>
        <v>11075134.805091927</v>
      </c>
      <c r="GB17" s="431">
        <f>'Concentration Limits'!$J$61</f>
        <v>23299670.364863332</v>
      </c>
      <c r="GC17" s="431">
        <f t="shared" si="54"/>
        <v>13656662.095759427</v>
      </c>
      <c r="GD17" s="429">
        <f>VLOOKUP(BR17,'Concentration Limits'!$E$81:$H$153,4,FALSE)</f>
        <v>7</v>
      </c>
      <c r="GE17" s="431">
        <f t="shared" si="55"/>
        <v>0</v>
      </c>
      <c r="GF17" s="431">
        <f t="shared" si="56"/>
        <v>11075134.805091927</v>
      </c>
      <c r="GG17" s="431">
        <f>'Concentration Limits'!$J$64</f>
        <v>23299670.364863332</v>
      </c>
      <c r="GH17" s="431">
        <f t="shared" si="57"/>
        <v>0</v>
      </c>
      <c r="GI17" s="431">
        <f t="shared" si="58"/>
        <v>0</v>
      </c>
      <c r="GJ17" s="431">
        <f t="shared" si="59"/>
        <v>11075134.805091927</v>
      </c>
      <c r="GK17" s="431">
        <f>'Concentration Limits'!$J$67</f>
        <v>23299670.364863332</v>
      </c>
      <c r="GL17" s="429" t="str">
        <f t="shared" si="60"/>
        <v>No</v>
      </c>
      <c r="GM17" s="431">
        <f t="shared" si="61"/>
        <v>0</v>
      </c>
      <c r="GN17" s="431">
        <f t="shared" si="62"/>
        <v>0</v>
      </c>
      <c r="GO17" s="431">
        <f t="shared" si="63"/>
        <v>11075134.805091927</v>
      </c>
      <c r="GP17" s="431">
        <f>'Concentration Limits'!$J$68</f>
        <v>34949505.547294997</v>
      </c>
      <c r="GQ17" s="429" t="str">
        <f t="shared" si="64"/>
        <v>No</v>
      </c>
      <c r="GR17" s="431">
        <f t="shared" si="65"/>
        <v>0</v>
      </c>
      <c r="GS17" s="431">
        <f t="shared" si="66"/>
        <v>0</v>
      </c>
      <c r="GT17" s="431">
        <f t="shared" si="67"/>
        <v>11075134.805091927</v>
      </c>
      <c r="GU17" s="429">
        <f>'Concentration Limits'!$J$69</f>
        <v>34949505.547294997</v>
      </c>
      <c r="GV17" s="429" t="str">
        <f t="shared" si="68"/>
        <v>No</v>
      </c>
      <c r="GW17" s="429">
        <f t="shared" si="69"/>
        <v>0</v>
      </c>
      <c r="GX17" s="429">
        <f t="shared" si="70"/>
        <v>0</v>
      </c>
      <c r="GY17" s="429">
        <f t="shared" si="71"/>
        <v>11075134.805091927</v>
      </c>
      <c r="GZ17" s="429">
        <f>'Concentration Limits'!$J$70</f>
        <v>23299670.364863332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35">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46599340.729726665</v>
      </c>
      <c r="EM18" s="429" t="str">
        <f>IF(OR(D18="Second Lien",AND(D18="FILO",DI18&gt;AGENT!$C$57)), "Yes", "No")</f>
        <v>No</v>
      </c>
      <c r="EN18" s="429">
        <f t="shared" si="29"/>
        <v>0</v>
      </c>
      <c r="EO18" s="429">
        <f t="shared" si="30"/>
        <v>0</v>
      </c>
      <c r="EP18" s="429">
        <f t="shared" si="31"/>
        <v>6210559.5391558968</v>
      </c>
      <c r="EQ18" s="429">
        <f>'Concentration Limits'!$J$50</f>
        <v>23299670.364863332</v>
      </c>
      <c r="ER18" s="429">
        <f t="shared" si="32"/>
        <v>0</v>
      </c>
      <c r="ES18" s="429">
        <f t="shared" si="84"/>
        <v>0</v>
      </c>
      <c r="ET18" s="429">
        <f t="shared" si="33"/>
        <v>6210559.5391558968</v>
      </c>
      <c r="EU18" s="429">
        <f>'Concentration Limits'!$J$51</f>
        <v>69899011.094589993</v>
      </c>
      <c r="EV18" s="429" t="str">
        <f>IF(OR(D18="Second Lien", AND(D18="FILO",DI18&gt;AGENT!$C$59)), "Yes", "No")</f>
        <v>No</v>
      </c>
      <c r="EW18" s="429">
        <f t="shared" si="34"/>
        <v>0</v>
      </c>
      <c r="EX18" s="429">
        <f t="shared" si="35"/>
        <v>0</v>
      </c>
      <c r="EY18" s="429">
        <f t="shared" si="36"/>
        <v>6210559.5391558968</v>
      </c>
      <c r="EZ18" s="429">
        <f>'Concentration Limits'!$J$52</f>
        <v>34949505.547294997</v>
      </c>
      <c r="FA18" s="429" t="str">
        <f>IF(CY18&gt;'Concentration Limits'!$E$52, "No", "Yes")</f>
        <v>No</v>
      </c>
      <c r="FB18" s="429">
        <f t="shared" si="37"/>
        <v>0</v>
      </c>
      <c r="FC18" s="429">
        <f t="shared" si="38"/>
        <v>0</v>
      </c>
      <c r="FD18" s="429">
        <f t="shared" si="39"/>
        <v>6210559.5391558968</v>
      </c>
      <c r="FE18" s="430">
        <f>'Concentration Limits'!$J$54</f>
        <v>232996703.6486333</v>
      </c>
      <c r="FF18" s="430">
        <f>'Concentration Limits'!$J$55</f>
        <v>232996703.6486333</v>
      </c>
      <c r="FG18" s="430">
        <f>'Concentration Limits'!$J$56</f>
        <v>232996703.6486333</v>
      </c>
      <c r="FH18" s="431">
        <f>'Concentration Limits'!$J$57</f>
        <v>17474752.773647498</v>
      </c>
      <c r="FI18" s="431">
        <f t="shared" si="40"/>
        <v>6210559.5391558968</v>
      </c>
      <c r="FJ18" s="431">
        <f t="shared" si="41"/>
        <v>6210559.5391558968</v>
      </c>
      <c r="FK18" s="431">
        <f t="shared" si="42"/>
        <v>20</v>
      </c>
      <c r="FL18" s="431">
        <f>IF(FJ18&gt;0,RANK(FJ18,$FJ$9:$FJ$60)+COUNTIF($FJ$9:FJ18,FJ18)-1,0)</f>
        <v>20</v>
      </c>
      <c r="FM18" s="430">
        <f t="shared" si="43"/>
        <v>0</v>
      </c>
      <c r="FN18" s="430">
        <f t="shared" si="44"/>
        <v>0</v>
      </c>
      <c r="FO18" s="430">
        <f t="shared" si="45"/>
        <v>0</v>
      </c>
      <c r="FP18" s="431">
        <f t="shared" si="46"/>
        <v>0</v>
      </c>
      <c r="FQ18" s="431">
        <f t="shared" si="47"/>
        <v>6210559.5391558968</v>
      </c>
      <c r="FR18" s="431">
        <f>'Concentration Limits'!$J$58</f>
        <v>46599340.729726665</v>
      </c>
      <c r="FS18" s="431">
        <f t="shared" si="48"/>
        <v>46042971.865242489</v>
      </c>
      <c r="FT18" s="431">
        <f>VLOOKUP(BR18,'Concentration Limits'!$E$81:$H$153,4,FALSE)</f>
        <v>1</v>
      </c>
      <c r="FU18" s="431">
        <f t="shared" si="49"/>
        <v>0</v>
      </c>
      <c r="FV18" s="431">
        <f t="shared" si="50"/>
        <v>6210559.5391558968</v>
      </c>
      <c r="FW18" s="431">
        <f>'Concentration Limits'!$J$59</f>
        <v>34949505.547294997</v>
      </c>
      <c r="FX18" s="431">
        <f t="shared" si="51"/>
        <v>46042971.865242489</v>
      </c>
      <c r="FY18" s="431">
        <f>VLOOKUP(BR18,'Concentration Limits'!$E$81:$H$153,4,FALSE)</f>
        <v>1</v>
      </c>
      <c r="FZ18" s="431">
        <f t="shared" si="52"/>
        <v>0</v>
      </c>
      <c r="GA18" s="431">
        <f t="shared" si="53"/>
        <v>6210559.5391558968</v>
      </c>
      <c r="GB18" s="431">
        <f>'Concentration Limits'!$J$61</f>
        <v>23299670.364863332</v>
      </c>
      <c r="GC18" s="431">
        <f t="shared" si="54"/>
        <v>46042971.865242489</v>
      </c>
      <c r="GD18" s="429">
        <f>VLOOKUP(BR18,'Concentration Limits'!$E$81:$H$153,4,FALSE)</f>
        <v>1</v>
      </c>
      <c r="GE18" s="431">
        <f t="shared" si="55"/>
        <v>0</v>
      </c>
      <c r="GF18" s="431">
        <f t="shared" si="56"/>
        <v>6210559.5391558968</v>
      </c>
      <c r="GG18" s="431">
        <f>'Concentration Limits'!$J$64</f>
        <v>23299670.364863332</v>
      </c>
      <c r="GH18" s="431">
        <f t="shared" si="57"/>
        <v>0</v>
      </c>
      <c r="GI18" s="431">
        <f t="shared" si="58"/>
        <v>0</v>
      </c>
      <c r="GJ18" s="431">
        <f t="shared" si="59"/>
        <v>6210559.5391558968</v>
      </c>
      <c r="GK18" s="431">
        <f>'Concentration Limits'!$J$67</f>
        <v>23299670.364863332</v>
      </c>
      <c r="GL18" s="429" t="str">
        <f t="shared" si="60"/>
        <v>No</v>
      </c>
      <c r="GM18" s="431">
        <f t="shared" si="61"/>
        <v>0</v>
      </c>
      <c r="GN18" s="431">
        <f t="shared" si="62"/>
        <v>0</v>
      </c>
      <c r="GO18" s="431">
        <f t="shared" si="63"/>
        <v>6210559.5391558968</v>
      </c>
      <c r="GP18" s="431">
        <f>'Concentration Limits'!$J$68</f>
        <v>34949505.547294997</v>
      </c>
      <c r="GQ18" s="429" t="str">
        <f t="shared" si="64"/>
        <v>No</v>
      </c>
      <c r="GR18" s="431">
        <f t="shared" si="65"/>
        <v>0</v>
      </c>
      <c r="GS18" s="431">
        <f t="shared" si="66"/>
        <v>0</v>
      </c>
      <c r="GT18" s="431">
        <f t="shared" si="67"/>
        <v>6210559.5391558968</v>
      </c>
      <c r="GU18" s="429">
        <f>'Concentration Limits'!$J$69</f>
        <v>34949505.547294997</v>
      </c>
      <c r="GV18" s="429" t="str">
        <f t="shared" si="68"/>
        <v>No</v>
      </c>
      <c r="GW18" s="429">
        <f t="shared" si="69"/>
        <v>0</v>
      </c>
      <c r="GX18" s="429">
        <f t="shared" si="70"/>
        <v>0</v>
      </c>
      <c r="GY18" s="429">
        <f t="shared" si="71"/>
        <v>6210559.5391558968</v>
      </c>
      <c r="GZ18" s="429">
        <f>'Concentration Limits'!$J$70</f>
        <v>23299670.364863332</v>
      </c>
      <c r="HA18" s="429" t="str">
        <f t="shared" si="72"/>
        <v>No</v>
      </c>
      <c r="HB18" s="429">
        <f t="shared" si="73"/>
        <v>0</v>
      </c>
      <c r="HC18" s="429">
        <f t="shared" si="74"/>
        <v>0</v>
      </c>
      <c r="HD18" s="429">
        <f t="shared" si="75"/>
        <v>6210559.5391558968</v>
      </c>
      <c r="HE18" s="431">
        <f t="shared" si="76"/>
        <v>6210559.5391558968</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35">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46599340.729726665</v>
      </c>
      <c r="EM19" s="429" t="str">
        <f>IF(OR(D19="Second Lien",AND(D19="FILO",DI19&gt;AGENT!$C$57)), "Yes", "No")</f>
        <v>No</v>
      </c>
      <c r="EN19" s="429">
        <f t="shared" si="29"/>
        <v>0</v>
      </c>
      <c r="EO19" s="429">
        <f t="shared" si="30"/>
        <v>0</v>
      </c>
      <c r="EP19" s="429">
        <f t="shared" si="31"/>
        <v>0</v>
      </c>
      <c r="EQ19" s="429">
        <f>'Concentration Limits'!$J$50</f>
        <v>23299670.364863332</v>
      </c>
      <c r="ER19" s="429">
        <f t="shared" si="32"/>
        <v>0</v>
      </c>
      <c r="ES19" s="429">
        <f t="shared" si="84"/>
        <v>0</v>
      </c>
      <c r="ET19" s="429">
        <f t="shared" si="33"/>
        <v>0</v>
      </c>
      <c r="EU19" s="429">
        <f>'Concentration Limits'!$J$51</f>
        <v>69899011.094589993</v>
      </c>
      <c r="EV19" s="429" t="str">
        <f>IF(OR(D19="Second Lien", AND(D19="FILO",DI19&gt;AGENT!$C$59)), "Yes", "No")</f>
        <v>No</v>
      </c>
      <c r="EW19" s="429">
        <f t="shared" si="34"/>
        <v>0</v>
      </c>
      <c r="EX19" s="429">
        <f t="shared" si="35"/>
        <v>0</v>
      </c>
      <c r="EY19" s="429">
        <f t="shared" si="36"/>
        <v>0</v>
      </c>
      <c r="EZ19" s="429">
        <f>'Concentration Limits'!$J$52</f>
        <v>34949505.547294997</v>
      </c>
      <c r="FA19" s="429" t="str">
        <f>IF(CY19&gt;'Concentration Limits'!$E$52, "No", "Yes")</f>
        <v>Yes</v>
      </c>
      <c r="FB19" s="429">
        <f t="shared" si="37"/>
        <v>0</v>
      </c>
      <c r="FC19" s="429">
        <f t="shared" si="38"/>
        <v>0</v>
      </c>
      <c r="FD19" s="429">
        <f t="shared" si="39"/>
        <v>0</v>
      </c>
      <c r="FE19" s="430">
        <f>'Concentration Limits'!$J$54</f>
        <v>232996703.6486333</v>
      </c>
      <c r="FF19" s="430">
        <f>'Concentration Limits'!$J$55</f>
        <v>232996703.6486333</v>
      </c>
      <c r="FG19" s="430">
        <f>'Concentration Limits'!$J$56</f>
        <v>232996703.6486333</v>
      </c>
      <c r="FH19" s="431">
        <f>'Concentration Limits'!$J$57</f>
        <v>17474752.773647498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46599340.729726665</v>
      </c>
      <c r="FS19" s="431">
        <f t="shared" si="48"/>
        <v>22141695.704820283</v>
      </c>
      <c r="FT19" s="431">
        <f>VLOOKUP(BR19,'Concentration Limits'!$E$81:$H$153,4,FALSE)</f>
        <v>3</v>
      </c>
      <c r="FU19" s="431">
        <f t="shared" si="49"/>
        <v>0</v>
      </c>
      <c r="FV19" s="431">
        <f t="shared" si="50"/>
        <v>0</v>
      </c>
      <c r="FW19" s="431">
        <f>'Concentration Limits'!$J$59</f>
        <v>34949505.547294997</v>
      </c>
      <c r="FX19" s="431">
        <f t="shared" si="51"/>
        <v>22141695.704820283</v>
      </c>
      <c r="FY19" s="431">
        <f>VLOOKUP(BR19,'Concentration Limits'!$E$81:$H$153,4,FALSE)</f>
        <v>3</v>
      </c>
      <c r="FZ19" s="431">
        <f t="shared" si="52"/>
        <v>0</v>
      </c>
      <c r="GA19" s="431">
        <f t="shared" si="53"/>
        <v>0</v>
      </c>
      <c r="GB19" s="431">
        <f>'Concentration Limits'!$J$61</f>
        <v>23299670.364863332</v>
      </c>
      <c r="GC19" s="431">
        <f t="shared" si="54"/>
        <v>22141695.704820283</v>
      </c>
      <c r="GD19" s="429">
        <f>VLOOKUP(BR19,'Concentration Limits'!$E$81:$H$153,4,FALSE)</f>
        <v>3</v>
      </c>
      <c r="GE19" s="431">
        <f t="shared" si="55"/>
        <v>0</v>
      </c>
      <c r="GF19" s="431">
        <f t="shared" si="56"/>
        <v>0</v>
      </c>
      <c r="GG19" s="431">
        <f>'Concentration Limits'!$J$64</f>
        <v>23299670.364863332</v>
      </c>
      <c r="GH19" s="431">
        <f t="shared" si="57"/>
        <v>0</v>
      </c>
      <c r="GI19" s="431">
        <f t="shared" si="58"/>
        <v>0</v>
      </c>
      <c r="GJ19" s="431">
        <f t="shared" si="59"/>
        <v>0</v>
      </c>
      <c r="GK19" s="431">
        <f>'Concentration Limits'!$J$67</f>
        <v>23299670.364863332</v>
      </c>
      <c r="GL19" s="429" t="str">
        <f t="shared" si="60"/>
        <v>No</v>
      </c>
      <c r="GM19" s="431">
        <f t="shared" si="61"/>
        <v>0</v>
      </c>
      <c r="GN19" s="431">
        <f t="shared" si="62"/>
        <v>0</v>
      </c>
      <c r="GO19" s="431">
        <f t="shared" si="63"/>
        <v>0</v>
      </c>
      <c r="GP19" s="431">
        <f>'Concentration Limits'!$J$68</f>
        <v>34949505.547294997</v>
      </c>
      <c r="GQ19" s="429" t="str">
        <f t="shared" si="64"/>
        <v>No</v>
      </c>
      <c r="GR19" s="431">
        <f t="shared" si="65"/>
        <v>0</v>
      </c>
      <c r="GS19" s="431">
        <f t="shared" si="66"/>
        <v>0</v>
      </c>
      <c r="GT19" s="431">
        <f t="shared" si="67"/>
        <v>0</v>
      </c>
      <c r="GU19" s="429">
        <f>'Concentration Limits'!$J$69</f>
        <v>34949505.547294997</v>
      </c>
      <c r="GV19" s="429" t="str">
        <f t="shared" si="68"/>
        <v>No</v>
      </c>
      <c r="GW19" s="429">
        <f t="shared" si="69"/>
        <v>0</v>
      </c>
      <c r="GX19" s="429">
        <f t="shared" si="70"/>
        <v>0</v>
      </c>
      <c r="GY19" s="429">
        <f t="shared" si="71"/>
        <v>0</v>
      </c>
      <c r="GZ19" s="429">
        <f>'Concentration Limits'!$J$70</f>
        <v>23299670.364863332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35">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46599340.729726665</v>
      </c>
      <c r="EM20" s="429" t="str">
        <f>IF(OR(D20="Second Lien",AND(D20="FILO",DI20&gt;AGENT!$C$57)), "Yes", "No")</f>
        <v>Yes</v>
      </c>
      <c r="EN20" s="429">
        <f t="shared" si="29"/>
        <v>4121303.4157976536</v>
      </c>
      <c r="EO20" s="429">
        <f t="shared" si="30"/>
        <v>0</v>
      </c>
      <c r="EP20" s="429">
        <f t="shared" si="31"/>
        <v>4121303.4157976536</v>
      </c>
      <c r="EQ20" s="429">
        <f>'Concentration Limits'!$J$50</f>
        <v>23299670.364863332</v>
      </c>
      <c r="ER20" s="429">
        <f t="shared" si="32"/>
        <v>0</v>
      </c>
      <c r="ES20" s="429">
        <f t="shared" si="84"/>
        <v>0</v>
      </c>
      <c r="ET20" s="429">
        <f t="shared" si="33"/>
        <v>4121303.4157976536</v>
      </c>
      <c r="EU20" s="429">
        <f>'Concentration Limits'!$J$51</f>
        <v>69899011.094589993</v>
      </c>
      <c r="EV20" s="429" t="str">
        <f>IF(OR(D20="Second Lien", AND(D20="FILO",DI20&gt;AGENT!$C$59)), "Yes", "No")</f>
        <v>Yes</v>
      </c>
      <c r="EW20" s="429">
        <f t="shared" si="34"/>
        <v>53940434.707607172</v>
      </c>
      <c r="EX20" s="429">
        <f t="shared" si="35"/>
        <v>0</v>
      </c>
      <c r="EY20" s="429">
        <f t="shared" si="36"/>
        <v>4121303.4157976536</v>
      </c>
      <c r="EZ20" s="429">
        <f>'Concentration Limits'!$J$52</f>
        <v>34949505.547294997</v>
      </c>
      <c r="FA20" s="429" t="str">
        <f>IF(CY20&gt;'Concentration Limits'!$E$52, "No", "Yes")</f>
        <v>No</v>
      </c>
      <c r="FB20" s="429">
        <f t="shared" si="37"/>
        <v>0</v>
      </c>
      <c r="FC20" s="429">
        <f t="shared" si="38"/>
        <v>0</v>
      </c>
      <c r="FD20" s="429">
        <f t="shared" si="39"/>
        <v>4121303.4157976536</v>
      </c>
      <c r="FE20" s="430">
        <f>'Concentration Limits'!$J$54</f>
        <v>232996703.6486333</v>
      </c>
      <c r="FF20" s="430">
        <f>'Concentration Limits'!$J$55</f>
        <v>232996703.6486333</v>
      </c>
      <c r="FG20" s="430">
        <f>'Concentration Limits'!$J$56</f>
        <v>232996703.6486333</v>
      </c>
      <c r="FH20" s="431">
        <f>'Concentration Limits'!$J$57</f>
        <v>17474752.773647498</v>
      </c>
      <c r="FI20" s="431">
        <f t="shared" si="40"/>
        <v>4121303.4157976536</v>
      </c>
      <c r="FJ20" s="431">
        <f t="shared" si="41"/>
        <v>4121303.4157976536</v>
      </c>
      <c r="FK20" s="431">
        <f t="shared" si="42"/>
        <v>22</v>
      </c>
      <c r="FL20" s="431">
        <f>IF(FJ20&gt;0,RANK(FJ20,$FJ$9:$FJ$60)+COUNTIF($FJ$9:FJ20,FJ20)-1,0)</f>
        <v>22</v>
      </c>
      <c r="FM20" s="430">
        <f t="shared" si="43"/>
        <v>0</v>
      </c>
      <c r="FN20" s="430">
        <f t="shared" si="44"/>
        <v>0</v>
      </c>
      <c r="FO20" s="430">
        <f t="shared" si="45"/>
        <v>0</v>
      </c>
      <c r="FP20" s="431">
        <f t="shared" si="46"/>
        <v>0</v>
      </c>
      <c r="FQ20" s="431">
        <f t="shared" si="47"/>
        <v>4121303.4157976536</v>
      </c>
      <c r="FR20" s="431">
        <f>'Concentration Limits'!$J$58</f>
        <v>46599340.729726665</v>
      </c>
      <c r="FS20" s="431">
        <f t="shared" si="48"/>
        <v>4121303.4157976536</v>
      </c>
      <c r="FT20" s="431">
        <f>VLOOKUP(BR20,'Concentration Limits'!$E$81:$H$153,4,FALSE)</f>
        <v>16</v>
      </c>
      <c r="FU20" s="431">
        <f t="shared" si="49"/>
        <v>0</v>
      </c>
      <c r="FV20" s="431">
        <f t="shared" si="50"/>
        <v>4121303.4157976536</v>
      </c>
      <c r="FW20" s="431">
        <f>'Concentration Limits'!$J$59</f>
        <v>34949505.547294997</v>
      </c>
      <c r="FX20" s="431">
        <f t="shared" si="51"/>
        <v>4121303.4157976536</v>
      </c>
      <c r="FY20" s="431">
        <f>VLOOKUP(BR20,'Concentration Limits'!$E$81:$H$153,4,FALSE)</f>
        <v>16</v>
      </c>
      <c r="FZ20" s="431">
        <f t="shared" si="52"/>
        <v>0</v>
      </c>
      <c r="GA20" s="431">
        <f t="shared" si="53"/>
        <v>4121303.4157976536</v>
      </c>
      <c r="GB20" s="431">
        <f>'Concentration Limits'!$J$61</f>
        <v>23299670.364863332</v>
      </c>
      <c r="GC20" s="431">
        <f t="shared" si="54"/>
        <v>4121303.4157976536</v>
      </c>
      <c r="GD20" s="429">
        <f>VLOOKUP(BR20,'Concentration Limits'!$E$81:$H$153,4,FALSE)</f>
        <v>16</v>
      </c>
      <c r="GE20" s="431">
        <f t="shared" si="55"/>
        <v>0</v>
      </c>
      <c r="GF20" s="431">
        <f t="shared" si="56"/>
        <v>4121303.4157976536</v>
      </c>
      <c r="GG20" s="431">
        <f>'Concentration Limits'!$J$64</f>
        <v>23299670.364863332</v>
      </c>
      <c r="GH20" s="431">
        <f t="shared" si="57"/>
        <v>0</v>
      </c>
      <c r="GI20" s="431">
        <f t="shared" si="58"/>
        <v>0</v>
      </c>
      <c r="GJ20" s="431">
        <f t="shared" si="59"/>
        <v>4121303.4157976536</v>
      </c>
      <c r="GK20" s="431">
        <f>'Concentration Limits'!$J$67</f>
        <v>23299670.364863332</v>
      </c>
      <c r="GL20" s="429" t="str">
        <f t="shared" si="60"/>
        <v>No</v>
      </c>
      <c r="GM20" s="431">
        <f t="shared" si="61"/>
        <v>0</v>
      </c>
      <c r="GN20" s="431">
        <f t="shared" si="62"/>
        <v>0</v>
      </c>
      <c r="GO20" s="431">
        <f t="shared" si="63"/>
        <v>4121303.4157976536</v>
      </c>
      <c r="GP20" s="431">
        <f>'Concentration Limits'!$J$68</f>
        <v>34949505.547294997</v>
      </c>
      <c r="GQ20" s="429" t="str">
        <f t="shared" si="64"/>
        <v>No</v>
      </c>
      <c r="GR20" s="431">
        <f t="shared" si="65"/>
        <v>0</v>
      </c>
      <c r="GS20" s="431">
        <f t="shared" si="66"/>
        <v>0</v>
      </c>
      <c r="GT20" s="431">
        <f t="shared" si="67"/>
        <v>4121303.4157976536</v>
      </c>
      <c r="GU20" s="429">
        <f>'Concentration Limits'!$J$69</f>
        <v>34949505.547294997</v>
      </c>
      <c r="GV20" s="429" t="str">
        <f t="shared" si="68"/>
        <v>No</v>
      </c>
      <c r="GW20" s="429">
        <f t="shared" si="69"/>
        <v>0</v>
      </c>
      <c r="GX20" s="429">
        <f t="shared" si="70"/>
        <v>0</v>
      </c>
      <c r="GY20" s="429">
        <f t="shared" si="71"/>
        <v>4121303.4157976536</v>
      </c>
      <c r="GZ20" s="429">
        <f>'Concentration Limits'!$J$70</f>
        <v>23299670.364863332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35">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46599340.729726665</v>
      </c>
      <c r="EM21" s="429" t="str">
        <f>IF(OR(D21="Second Lien",AND(D21="FILO",DI21&gt;AGENT!$C$57)), "Yes", "No")</f>
        <v>No</v>
      </c>
      <c r="EN21" s="429">
        <f t="shared" si="29"/>
        <v>0</v>
      </c>
      <c r="EO21" s="429">
        <f t="shared" si="30"/>
        <v>0</v>
      </c>
      <c r="EP21" s="429">
        <f t="shared" si="31"/>
        <v>0</v>
      </c>
      <c r="EQ21" s="429">
        <f>'Concentration Limits'!$J$50</f>
        <v>23299670.364863332</v>
      </c>
      <c r="ER21" s="429">
        <f t="shared" si="32"/>
        <v>0</v>
      </c>
      <c r="ES21" s="429">
        <f t="shared" si="84"/>
        <v>0</v>
      </c>
      <c r="ET21" s="429">
        <f t="shared" si="33"/>
        <v>0</v>
      </c>
      <c r="EU21" s="429">
        <f>'Concentration Limits'!$J$51</f>
        <v>69899011.094589993</v>
      </c>
      <c r="EV21" s="429" t="str">
        <f>IF(OR(D21="Second Lien", AND(D21="FILO",DI21&gt;AGENT!$C$59)), "Yes", "No")</f>
        <v>No</v>
      </c>
      <c r="EW21" s="429">
        <f t="shared" si="34"/>
        <v>0</v>
      </c>
      <c r="EX21" s="429">
        <f t="shared" si="35"/>
        <v>0</v>
      </c>
      <c r="EY21" s="429">
        <f t="shared" si="36"/>
        <v>0</v>
      </c>
      <c r="EZ21" s="429">
        <f>'Concentration Limits'!$J$52</f>
        <v>34949505.547294997</v>
      </c>
      <c r="FA21" s="429" t="str">
        <f>IF(CY21&gt;'Concentration Limits'!$E$52, "No", "Yes")</f>
        <v>Yes</v>
      </c>
      <c r="FB21" s="429">
        <f t="shared" si="37"/>
        <v>0</v>
      </c>
      <c r="FC21" s="429">
        <f t="shared" si="38"/>
        <v>0</v>
      </c>
      <c r="FD21" s="429">
        <f t="shared" si="39"/>
        <v>0</v>
      </c>
      <c r="FE21" s="430">
        <f>'Concentration Limits'!$J$54</f>
        <v>232996703.6486333</v>
      </c>
      <c r="FF21" s="430">
        <f>'Concentration Limits'!$J$55</f>
        <v>232996703.6486333</v>
      </c>
      <c r="FG21" s="430">
        <f>'Concentration Limits'!$J$56</f>
        <v>232996703.6486333</v>
      </c>
      <c r="FH21" s="431">
        <f>'Concentration Limits'!$J$57</f>
        <v>17474752.773647498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46599340.729726665</v>
      </c>
      <c r="FS21" s="431">
        <f t="shared" si="48"/>
        <v>0</v>
      </c>
      <c r="FT21" s="431" t="str">
        <f>VLOOKUP(BR21,'Concentration Limits'!$E$81:$H$153,4,FALSE)</f>
        <v/>
      </c>
      <c r="FU21" s="431">
        <f t="shared" si="49"/>
        <v>0</v>
      </c>
      <c r="FV21" s="431">
        <f t="shared" si="50"/>
        <v>0</v>
      </c>
      <c r="FW21" s="431">
        <f>'Concentration Limits'!$J$59</f>
        <v>34949505.547294997</v>
      </c>
      <c r="FX21" s="431">
        <f t="shared" si="51"/>
        <v>0</v>
      </c>
      <c r="FY21" s="431" t="str">
        <f>VLOOKUP(BR21,'Concentration Limits'!$E$81:$H$153,4,FALSE)</f>
        <v/>
      </c>
      <c r="FZ21" s="431">
        <f t="shared" si="52"/>
        <v>0</v>
      </c>
      <c r="GA21" s="431">
        <f t="shared" si="53"/>
        <v>0</v>
      </c>
      <c r="GB21" s="431">
        <f>'Concentration Limits'!$J$61</f>
        <v>23299670.364863332</v>
      </c>
      <c r="GC21" s="431">
        <f t="shared" si="54"/>
        <v>0</v>
      </c>
      <c r="GD21" s="429" t="str">
        <f>VLOOKUP(BR21,'Concentration Limits'!$E$81:$H$153,4,FALSE)</f>
        <v/>
      </c>
      <c r="GE21" s="431">
        <f t="shared" si="55"/>
        <v>0</v>
      </c>
      <c r="GF21" s="431">
        <f t="shared" si="56"/>
        <v>0</v>
      </c>
      <c r="GG21" s="431">
        <f>'Concentration Limits'!$J$64</f>
        <v>23299670.364863332</v>
      </c>
      <c r="GH21" s="431">
        <f t="shared" si="57"/>
        <v>0</v>
      </c>
      <c r="GI21" s="431">
        <f t="shared" si="58"/>
        <v>0</v>
      </c>
      <c r="GJ21" s="431">
        <f t="shared" si="59"/>
        <v>0</v>
      </c>
      <c r="GK21" s="431">
        <f>'Concentration Limits'!$J$67</f>
        <v>23299670.364863332</v>
      </c>
      <c r="GL21" s="429" t="str">
        <f t="shared" si="60"/>
        <v>Yes</v>
      </c>
      <c r="GM21" s="431">
        <f t="shared" si="61"/>
        <v>8077912.1877550166</v>
      </c>
      <c r="GN21" s="431">
        <f t="shared" si="62"/>
        <v>0</v>
      </c>
      <c r="GO21" s="431">
        <f t="shared" si="63"/>
        <v>0</v>
      </c>
      <c r="GP21" s="431">
        <f>'Concentration Limits'!$J$68</f>
        <v>34949505.547294997</v>
      </c>
      <c r="GQ21" s="429" t="str">
        <f t="shared" si="64"/>
        <v>No</v>
      </c>
      <c r="GR21" s="431">
        <f t="shared" si="65"/>
        <v>0</v>
      </c>
      <c r="GS21" s="431">
        <f t="shared" si="66"/>
        <v>0</v>
      </c>
      <c r="GT21" s="431">
        <f t="shared" si="67"/>
        <v>0</v>
      </c>
      <c r="GU21" s="429">
        <f>'Concentration Limits'!$J$69</f>
        <v>34949505.547294997</v>
      </c>
      <c r="GV21" s="429" t="str">
        <f t="shared" si="68"/>
        <v>No</v>
      </c>
      <c r="GW21" s="429">
        <f t="shared" si="69"/>
        <v>0</v>
      </c>
      <c r="GX21" s="429">
        <f t="shared" si="70"/>
        <v>0</v>
      </c>
      <c r="GY21" s="429">
        <f t="shared" si="71"/>
        <v>0</v>
      </c>
      <c r="GZ21" s="429">
        <f>'Concentration Limits'!$J$70</f>
        <v>23299670.364863332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35">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46599340.729726665</v>
      </c>
      <c r="EM22" s="429" t="str">
        <f>IF(OR(D22="Second Lien",AND(D22="FILO",DI22&gt;AGENT!$C$57)), "Yes", "No")</f>
        <v>No</v>
      </c>
      <c r="EN22" s="429">
        <f t="shared" si="29"/>
        <v>0</v>
      </c>
      <c r="EO22" s="429">
        <f t="shared" si="30"/>
        <v>0</v>
      </c>
      <c r="EP22" s="429">
        <f t="shared" si="31"/>
        <v>3322967.211468515</v>
      </c>
      <c r="EQ22" s="429">
        <f>'Concentration Limits'!$J$50</f>
        <v>23299670.364863332</v>
      </c>
      <c r="ER22" s="429">
        <f t="shared" si="32"/>
        <v>0</v>
      </c>
      <c r="ES22" s="429">
        <f t="shared" si="84"/>
        <v>0</v>
      </c>
      <c r="ET22" s="429">
        <f t="shared" si="33"/>
        <v>3322967.211468515</v>
      </c>
      <c r="EU22" s="429">
        <f>'Concentration Limits'!$J$51</f>
        <v>69899011.094589993</v>
      </c>
      <c r="EV22" s="429" t="str">
        <f>IF(OR(D22="Second Lien", AND(D22="FILO",DI22&gt;AGENT!$C$59)), "Yes", "No")</f>
        <v>No</v>
      </c>
      <c r="EW22" s="429">
        <f t="shared" si="34"/>
        <v>0</v>
      </c>
      <c r="EX22" s="429">
        <f t="shared" si="35"/>
        <v>0</v>
      </c>
      <c r="EY22" s="429">
        <f t="shared" si="36"/>
        <v>3322967.211468515</v>
      </c>
      <c r="EZ22" s="429">
        <f>'Concentration Limits'!$J$52</f>
        <v>34949505.547294997</v>
      </c>
      <c r="FA22" s="429" t="str">
        <f>IF(CY22&gt;'Concentration Limits'!$E$52, "No", "Yes")</f>
        <v>No</v>
      </c>
      <c r="FB22" s="429">
        <f t="shared" si="37"/>
        <v>0</v>
      </c>
      <c r="FC22" s="429">
        <f t="shared" si="38"/>
        <v>0</v>
      </c>
      <c r="FD22" s="429">
        <f t="shared" si="39"/>
        <v>3322967.211468515</v>
      </c>
      <c r="FE22" s="430">
        <f>'Concentration Limits'!$J$54</f>
        <v>232996703.6486333</v>
      </c>
      <c r="FF22" s="430">
        <f>'Concentration Limits'!$J$55</f>
        <v>232996703.6486333</v>
      </c>
      <c r="FG22" s="430">
        <f>'Concentration Limits'!$J$56</f>
        <v>232996703.6486333</v>
      </c>
      <c r="FH22" s="431">
        <f>'Concentration Limits'!$J$57</f>
        <v>17474752.773647498</v>
      </c>
      <c r="FI22" s="431">
        <f t="shared" si="40"/>
        <v>3322967.211468515</v>
      </c>
      <c r="FJ22" s="431">
        <f t="shared" si="41"/>
        <v>3322967.211468515</v>
      </c>
      <c r="FK22" s="431">
        <f t="shared" si="42"/>
        <v>25</v>
      </c>
      <c r="FL22" s="431">
        <f>IF(FJ22&gt;0,RANK(FJ22,$FJ$9:$FJ$60)+COUNTIF($FJ$9:FJ22,FJ22)-1,0)</f>
        <v>25</v>
      </c>
      <c r="FM22" s="430">
        <f t="shared" si="43"/>
        <v>0</v>
      </c>
      <c r="FN22" s="430">
        <f t="shared" si="44"/>
        <v>0</v>
      </c>
      <c r="FO22" s="430">
        <f t="shared" si="45"/>
        <v>0</v>
      </c>
      <c r="FP22" s="431">
        <f t="shared" si="46"/>
        <v>0</v>
      </c>
      <c r="FQ22" s="431">
        <f t="shared" si="47"/>
        <v>3322967.211468515</v>
      </c>
      <c r="FR22" s="431">
        <f>'Concentration Limits'!$J$58</f>
        <v>46599340.729726665</v>
      </c>
      <c r="FS22" s="431">
        <f t="shared" si="48"/>
        <v>13322967.211468514</v>
      </c>
      <c r="FT22" s="431">
        <f>VLOOKUP(BR22,'Concentration Limits'!$E$81:$H$153,4,FALSE)</f>
        <v>8</v>
      </c>
      <c r="FU22" s="431">
        <f t="shared" si="49"/>
        <v>0</v>
      </c>
      <c r="FV22" s="431">
        <f t="shared" si="50"/>
        <v>3322967.211468515</v>
      </c>
      <c r="FW22" s="431">
        <f>'Concentration Limits'!$J$59</f>
        <v>34949505.547294997</v>
      </c>
      <c r="FX22" s="431">
        <f t="shared" si="51"/>
        <v>13322967.211468514</v>
      </c>
      <c r="FY22" s="431">
        <f>VLOOKUP(BR22,'Concentration Limits'!$E$81:$H$153,4,FALSE)</f>
        <v>8</v>
      </c>
      <c r="FZ22" s="431">
        <f t="shared" si="52"/>
        <v>0</v>
      </c>
      <c r="GA22" s="431">
        <f t="shared" si="53"/>
        <v>3322967.211468515</v>
      </c>
      <c r="GB22" s="431">
        <f>'Concentration Limits'!$J$61</f>
        <v>23299670.364863332</v>
      </c>
      <c r="GC22" s="431">
        <f t="shared" si="54"/>
        <v>13322967.211468514</v>
      </c>
      <c r="GD22" s="429">
        <f>VLOOKUP(BR22,'Concentration Limits'!$E$81:$H$153,4,FALSE)</f>
        <v>8</v>
      </c>
      <c r="GE22" s="431">
        <f t="shared" si="55"/>
        <v>0</v>
      </c>
      <c r="GF22" s="431">
        <f t="shared" si="56"/>
        <v>3322967.211468515</v>
      </c>
      <c r="GG22" s="431">
        <f>'Concentration Limits'!$J$64</f>
        <v>23299670.364863332</v>
      </c>
      <c r="GH22" s="431">
        <f t="shared" si="57"/>
        <v>0</v>
      </c>
      <c r="GI22" s="431">
        <f t="shared" si="58"/>
        <v>0</v>
      </c>
      <c r="GJ22" s="431">
        <f t="shared" si="59"/>
        <v>3322967.211468515</v>
      </c>
      <c r="GK22" s="431">
        <f>'Concentration Limits'!$J$67</f>
        <v>23299670.364863332</v>
      </c>
      <c r="GL22" s="429" t="str">
        <f t="shared" si="60"/>
        <v>No</v>
      </c>
      <c r="GM22" s="431">
        <f t="shared" si="61"/>
        <v>0</v>
      </c>
      <c r="GN22" s="431">
        <f t="shared" si="62"/>
        <v>0</v>
      </c>
      <c r="GO22" s="431">
        <f t="shared" si="63"/>
        <v>3322967.211468515</v>
      </c>
      <c r="GP22" s="431">
        <f>'Concentration Limits'!$J$68</f>
        <v>34949505.547294997</v>
      </c>
      <c r="GQ22" s="429" t="str">
        <f t="shared" si="64"/>
        <v>No</v>
      </c>
      <c r="GR22" s="431">
        <f t="shared" si="65"/>
        <v>0</v>
      </c>
      <c r="GS22" s="431">
        <f t="shared" si="66"/>
        <v>0</v>
      </c>
      <c r="GT22" s="431">
        <f t="shared" si="67"/>
        <v>3322967.211468515</v>
      </c>
      <c r="GU22" s="429">
        <f>'Concentration Limits'!$J$69</f>
        <v>34949505.547294997</v>
      </c>
      <c r="GV22" s="429" t="str">
        <f t="shared" si="68"/>
        <v>No</v>
      </c>
      <c r="GW22" s="429">
        <f t="shared" si="69"/>
        <v>0</v>
      </c>
      <c r="GX22" s="429">
        <f t="shared" si="70"/>
        <v>0</v>
      </c>
      <c r="GY22" s="429">
        <f t="shared" si="71"/>
        <v>3322967.211468515</v>
      </c>
      <c r="GZ22" s="429">
        <f>'Concentration Limits'!$J$70</f>
        <v>23299670.364863332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35">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46599340.729726665</v>
      </c>
      <c r="EM23" s="429" t="str">
        <f>IF(OR(D23="Second Lien",AND(D23="FILO",DI23&gt;AGENT!$C$57)), "Yes", "No")</f>
        <v>No</v>
      </c>
      <c r="EN23" s="429">
        <f t="shared" si="29"/>
        <v>0</v>
      </c>
      <c r="EO23" s="429">
        <f t="shared" si="30"/>
        <v>0</v>
      </c>
      <c r="EP23" s="429">
        <f t="shared" si="31"/>
        <v>0</v>
      </c>
      <c r="EQ23" s="429">
        <f>'Concentration Limits'!$J$50</f>
        <v>23299670.364863332</v>
      </c>
      <c r="ER23" s="429">
        <f t="shared" si="32"/>
        <v>0</v>
      </c>
      <c r="ES23" s="429">
        <f t="shared" si="84"/>
        <v>0</v>
      </c>
      <c r="ET23" s="429">
        <f t="shared" si="33"/>
        <v>0</v>
      </c>
      <c r="EU23" s="429">
        <f>'Concentration Limits'!$J$51</f>
        <v>69899011.094589993</v>
      </c>
      <c r="EV23" s="429" t="str">
        <f>IF(OR(D23="Second Lien", AND(D23="FILO",DI23&gt;AGENT!$C$59)), "Yes", "No")</f>
        <v>No</v>
      </c>
      <c r="EW23" s="429">
        <f t="shared" si="34"/>
        <v>0</v>
      </c>
      <c r="EX23" s="429">
        <f t="shared" si="35"/>
        <v>0</v>
      </c>
      <c r="EY23" s="429">
        <f t="shared" si="36"/>
        <v>0</v>
      </c>
      <c r="EZ23" s="429">
        <f>'Concentration Limits'!$J$52</f>
        <v>34949505.547294997</v>
      </c>
      <c r="FA23" s="429" t="str">
        <f>IF(CY23&gt;'Concentration Limits'!$E$52, "No", "Yes")</f>
        <v>Yes</v>
      </c>
      <c r="FB23" s="429">
        <f t="shared" si="37"/>
        <v>0</v>
      </c>
      <c r="FC23" s="429">
        <f t="shared" si="38"/>
        <v>0</v>
      </c>
      <c r="FD23" s="429">
        <f t="shared" si="39"/>
        <v>0</v>
      </c>
      <c r="FE23" s="430">
        <f>'Concentration Limits'!$J$54</f>
        <v>232996703.6486333</v>
      </c>
      <c r="FF23" s="430">
        <f>'Concentration Limits'!$J$55</f>
        <v>232996703.6486333</v>
      </c>
      <c r="FG23" s="430">
        <f>'Concentration Limits'!$J$56</f>
        <v>232996703.6486333</v>
      </c>
      <c r="FH23" s="431">
        <f>'Concentration Limits'!$J$57</f>
        <v>17474752.773647498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46599340.729726665</v>
      </c>
      <c r="FS23" s="431">
        <f t="shared" si="48"/>
        <v>11328458.381135054</v>
      </c>
      <c r="FT23" s="431">
        <f>VLOOKUP(BR23,'Concentration Limits'!$E$81:$H$153,4,FALSE)</f>
        <v>11</v>
      </c>
      <c r="FU23" s="431">
        <f t="shared" si="49"/>
        <v>0</v>
      </c>
      <c r="FV23" s="431">
        <f t="shared" si="50"/>
        <v>0</v>
      </c>
      <c r="FW23" s="431">
        <f>'Concentration Limits'!$J$59</f>
        <v>34949505.547294997</v>
      </c>
      <c r="FX23" s="431">
        <f t="shared" si="51"/>
        <v>11328458.381135054</v>
      </c>
      <c r="FY23" s="431">
        <f>VLOOKUP(BR23,'Concentration Limits'!$E$81:$H$153,4,FALSE)</f>
        <v>11</v>
      </c>
      <c r="FZ23" s="431">
        <f t="shared" si="52"/>
        <v>0</v>
      </c>
      <c r="GA23" s="431">
        <f t="shared" si="53"/>
        <v>0</v>
      </c>
      <c r="GB23" s="431">
        <f>'Concentration Limits'!$J$61</f>
        <v>23299670.364863332</v>
      </c>
      <c r="GC23" s="431">
        <f t="shared" si="54"/>
        <v>11328458.381135054</v>
      </c>
      <c r="GD23" s="429">
        <f>VLOOKUP(BR23,'Concentration Limits'!$E$81:$H$153,4,FALSE)</f>
        <v>11</v>
      </c>
      <c r="GE23" s="431">
        <f t="shared" si="55"/>
        <v>0</v>
      </c>
      <c r="GF23" s="431">
        <f t="shared" si="56"/>
        <v>0</v>
      </c>
      <c r="GG23" s="431">
        <f>'Concentration Limits'!$J$64</f>
        <v>23299670.364863332</v>
      </c>
      <c r="GH23" s="431">
        <f t="shared" si="57"/>
        <v>0</v>
      </c>
      <c r="GI23" s="431">
        <f t="shared" si="58"/>
        <v>0</v>
      </c>
      <c r="GJ23" s="431">
        <f t="shared" si="59"/>
        <v>0</v>
      </c>
      <c r="GK23" s="431">
        <f>'Concentration Limits'!$J$67</f>
        <v>23299670.364863332</v>
      </c>
      <c r="GL23" s="429" t="str">
        <f t="shared" si="60"/>
        <v>No</v>
      </c>
      <c r="GM23" s="431">
        <f t="shared" si="61"/>
        <v>0</v>
      </c>
      <c r="GN23" s="431">
        <f t="shared" si="62"/>
        <v>0</v>
      </c>
      <c r="GO23" s="431">
        <f t="shared" si="63"/>
        <v>0</v>
      </c>
      <c r="GP23" s="431">
        <f>'Concentration Limits'!$J$68</f>
        <v>34949505.547294997</v>
      </c>
      <c r="GQ23" s="429" t="str">
        <f t="shared" si="64"/>
        <v>No</v>
      </c>
      <c r="GR23" s="431">
        <f t="shared" si="65"/>
        <v>0</v>
      </c>
      <c r="GS23" s="431">
        <f t="shared" si="66"/>
        <v>0</v>
      </c>
      <c r="GT23" s="431">
        <f t="shared" si="67"/>
        <v>0</v>
      </c>
      <c r="GU23" s="429">
        <f>'Concentration Limits'!$J$69</f>
        <v>34949505.547294997</v>
      </c>
      <c r="GV23" s="429" t="str">
        <f t="shared" si="68"/>
        <v>No</v>
      </c>
      <c r="GW23" s="429">
        <f t="shared" si="69"/>
        <v>0</v>
      </c>
      <c r="GX23" s="429">
        <f t="shared" si="70"/>
        <v>0</v>
      </c>
      <c r="GY23" s="429">
        <f t="shared" si="71"/>
        <v>0</v>
      </c>
      <c r="GZ23" s="429">
        <f>'Concentration Limits'!$J$70</f>
        <v>23299670.364863332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35">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46599340.729726665</v>
      </c>
      <c r="EM24" s="429" t="str">
        <f>IF(OR(D24="Second Lien",AND(D24="FILO",DI24&gt;AGENT!$C$57)), "Yes", "No")</f>
        <v>No</v>
      </c>
      <c r="EN24" s="429">
        <f t="shared" si="29"/>
        <v>0</v>
      </c>
      <c r="EO24" s="429">
        <f t="shared" si="30"/>
        <v>0</v>
      </c>
      <c r="EP24" s="429">
        <f t="shared" si="31"/>
        <v>7092905.0201692414</v>
      </c>
      <c r="EQ24" s="429">
        <f>'Concentration Limits'!$J$50</f>
        <v>23299670.364863332</v>
      </c>
      <c r="ER24" s="429">
        <f t="shared" si="32"/>
        <v>0</v>
      </c>
      <c r="ES24" s="429">
        <f t="shared" si="84"/>
        <v>0</v>
      </c>
      <c r="ET24" s="429">
        <f t="shared" si="33"/>
        <v>7092905.0201692414</v>
      </c>
      <c r="EU24" s="429">
        <f>'Concentration Limits'!$J$51</f>
        <v>69899011.094589993</v>
      </c>
      <c r="EV24" s="429" t="str">
        <f>IF(OR(D24="Second Lien", AND(D24="FILO",DI24&gt;AGENT!$C$59)), "Yes", "No")</f>
        <v>No</v>
      </c>
      <c r="EW24" s="429">
        <f t="shared" si="34"/>
        <v>0</v>
      </c>
      <c r="EX24" s="429">
        <f t="shared" si="35"/>
        <v>0</v>
      </c>
      <c r="EY24" s="429">
        <f t="shared" si="36"/>
        <v>7092905.0201692414</v>
      </c>
      <c r="EZ24" s="429">
        <f>'Concentration Limits'!$J$52</f>
        <v>34949505.547294997</v>
      </c>
      <c r="FA24" s="429" t="str">
        <f>IF(CY24&gt;'Concentration Limits'!$E$52, "No", "Yes")</f>
        <v>No</v>
      </c>
      <c r="FB24" s="429">
        <f t="shared" si="37"/>
        <v>0</v>
      </c>
      <c r="FC24" s="429">
        <f t="shared" si="38"/>
        <v>0</v>
      </c>
      <c r="FD24" s="429">
        <f t="shared" si="39"/>
        <v>7092905.0201692414</v>
      </c>
      <c r="FE24" s="430">
        <f>'Concentration Limits'!$J$54</f>
        <v>232996703.6486333</v>
      </c>
      <c r="FF24" s="430">
        <f>'Concentration Limits'!$J$55</f>
        <v>232996703.6486333</v>
      </c>
      <c r="FG24" s="430">
        <f>'Concentration Limits'!$J$56</f>
        <v>232996703.6486333</v>
      </c>
      <c r="FH24" s="431">
        <f>'Concentration Limits'!$J$57</f>
        <v>17474752.773647498</v>
      </c>
      <c r="FI24" s="431">
        <f t="shared" si="40"/>
        <v>7092905.0201692414</v>
      </c>
      <c r="FJ24" s="431">
        <f t="shared" si="41"/>
        <v>7092905.0201692414</v>
      </c>
      <c r="FK24" s="431">
        <f t="shared" si="42"/>
        <v>16</v>
      </c>
      <c r="FL24" s="431">
        <f>IF(FJ24&gt;0,RANK(FJ24,$FJ$9:$FJ$60)+COUNTIF($FJ$9:FJ24,FJ24)-1,0)</f>
        <v>16</v>
      </c>
      <c r="FM24" s="430">
        <f t="shared" si="43"/>
        <v>0</v>
      </c>
      <c r="FN24" s="430">
        <f t="shared" si="44"/>
        <v>0</v>
      </c>
      <c r="FO24" s="430">
        <f t="shared" si="45"/>
        <v>0</v>
      </c>
      <c r="FP24" s="431">
        <f t="shared" si="46"/>
        <v>0</v>
      </c>
      <c r="FQ24" s="431">
        <f t="shared" si="47"/>
        <v>7092905.0201692414</v>
      </c>
      <c r="FR24" s="431">
        <f>'Concentration Limits'!$J$58</f>
        <v>46599340.729726665</v>
      </c>
      <c r="FS24" s="431">
        <f t="shared" si="48"/>
        <v>24394399.03040082</v>
      </c>
      <c r="FT24" s="431">
        <f>VLOOKUP(BR24,'Concentration Limits'!$E$81:$H$153,4,FALSE)</f>
        <v>2</v>
      </c>
      <c r="FU24" s="431">
        <f t="shared" si="49"/>
        <v>0</v>
      </c>
      <c r="FV24" s="431">
        <f t="shared" si="50"/>
        <v>7092905.0201692414</v>
      </c>
      <c r="FW24" s="431">
        <f>'Concentration Limits'!$J$59</f>
        <v>34949505.547294997</v>
      </c>
      <c r="FX24" s="431">
        <f t="shared" si="51"/>
        <v>24394399.03040082</v>
      </c>
      <c r="FY24" s="431">
        <f>VLOOKUP(BR24,'Concentration Limits'!$E$81:$H$153,4,FALSE)</f>
        <v>2</v>
      </c>
      <c r="FZ24" s="431">
        <f t="shared" si="52"/>
        <v>0</v>
      </c>
      <c r="GA24" s="431">
        <f t="shared" si="53"/>
        <v>7092905.0201692414</v>
      </c>
      <c r="GB24" s="431">
        <f>'Concentration Limits'!$J$61</f>
        <v>23299670.364863332</v>
      </c>
      <c r="GC24" s="431">
        <f t="shared" si="54"/>
        <v>24394399.03040082</v>
      </c>
      <c r="GD24" s="429">
        <f>VLOOKUP(BR24,'Concentration Limits'!$E$81:$H$153,4,FALSE)</f>
        <v>2</v>
      </c>
      <c r="GE24" s="431">
        <f t="shared" si="55"/>
        <v>0</v>
      </c>
      <c r="GF24" s="431">
        <f t="shared" si="56"/>
        <v>7092905.0201692414</v>
      </c>
      <c r="GG24" s="431">
        <f>'Concentration Limits'!$J$64</f>
        <v>23299670.364863332</v>
      </c>
      <c r="GH24" s="431">
        <f t="shared" si="57"/>
        <v>0</v>
      </c>
      <c r="GI24" s="431">
        <f t="shared" si="58"/>
        <v>0</v>
      </c>
      <c r="GJ24" s="431">
        <f t="shared" si="59"/>
        <v>7092905.0201692414</v>
      </c>
      <c r="GK24" s="431">
        <f>'Concentration Limits'!$J$67</f>
        <v>23299670.364863332</v>
      </c>
      <c r="GL24" s="429" t="str">
        <f t="shared" si="60"/>
        <v>No</v>
      </c>
      <c r="GM24" s="431">
        <f t="shared" si="61"/>
        <v>0</v>
      </c>
      <c r="GN24" s="431">
        <f t="shared" si="62"/>
        <v>0</v>
      </c>
      <c r="GO24" s="431">
        <f t="shared" si="63"/>
        <v>7092905.0201692414</v>
      </c>
      <c r="GP24" s="431">
        <f>'Concentration Limits'!$J$68</f>
        <v>34949505.547294997</v>
      </c>
      <c r="GQ24" s="429" t="str">
        <f t="shared" si="64"/>
        <v>No</v>
      </c>
      <c r="GR24" s="431">
        <f t="shared" si="65"/>
        <v>0</v>
      </c>
      <c r="GS24" s="431">
        <f t="shared" si="66"/>
        <v>0</v>
      </c>
      <c r="GT24" s="431">
        <f t="shared" si="67"/>
        <v>7092905.0201692414</v>
      </c>
      <c r="GU24" s="429">
        <f>'Concentration Limits'!$J$69</f>
        <v>34949505.547294997</v>
      </c>
      <c r="GV24" s="429" t="str">
        <f t="shared" si="68"/>
        <v>No</v>
      </c>
      <c r="GW24" s="429">
        <f t="shared" si="69"/>
        <v>0</v>
      </c>
      <c r="GX24" s="429">
        <f t="shared" si="70"/>
        <v>0</v>
      </c>
      <c r="GY24" s="429">
        <f t="shared" si="71"/>
        <v>7092905.0201692414</v>
      </c>
      <c r="GZ24" s="429">
        <f>'Concentration Limits'!$J$70</f>
        <v>23299670.364863332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35">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46599340.729726665</v>
      </c>
      <c r="EM25" s="429" t="str">
        <f>IF(OR(D25="Second Lien",AND(D25="FILO",DI25&gt;AGENT!$C$57)), "Yes", "No")</f>
        <v>No</v>
      </c>
      <c r="EN25" s="429">
        <f t="shared" si="29"/>
        <v>0</v>
      </c>
      <c r="EO25" s="429">
        <f t="shared" si="30"/>
        <v>0</v>
      </c>
      <c r="EP25" s="429">
        <f t="shared" si="31"/>
        <v>6815322.9192201942</v>
      </c>
      <c r="EQ25" s="429">
        <f>'Concentration Limits'!$J$50</f>
        <v>23299670.364863332</v>
      </c>
      <c r="ER25" s="429">
        <f t="shared" si="32"/>
        <v>0</v>
      </c>
      <c r="ES25" s="429">
        <f t="shared" si="84"/>
        <v>0</v>
      </c>
      <c r="ET25" s="429">
        <f t="shared" si="33"/>
        <v>6815322.9192201942</v>
      </c>
      <c r="EU25" s="429">
        <f>'Concentration Limits'!$J$51</f>
        <v>69899011.094589993</v>
      </c>
      <c r="EV25" s="429" t="str">
        <f>IF(OR(D25="Second Lien", AND(D25="FILO",DI25&gt;AGENT!$C$59)), "Yes", "No")</f>
        <v>No</v>
      </c>
      <c r="EW25" s="429">
        <f t="shared" si="34"/>
        <v>0</v>
      </c>
      <c r="EX25" s="429">
        <f t="shared" si="35"/>
        <v>0</v>
      </c>
      <c r="EY25" s="429">
        <f t="shared" si="36"/>
        <v>6815322.9192201942</v>
      </c>
      <c r="EZ25" s="429">
        <f>'Concentration Limits'!$J$52</f>
        <v>34949505.547294997</v>
      </c>
      <c r="FA25" s="429" t="str">
        <f>IF(CY25&gt;'Concentration Limits'!$E$52, "No", "Yes")</f>
        <v>No</v>
      </c>
      <c r="FB25" s="429">
        <f t="shared" si="37"/>
        <v>0</v>
      </c>
      <c r="FC25" s="429">
        <f t="shared" si="38"/>
        <v>0</v>
      </c>
      <c r="FD25" s="429">
        <f t="shared" si="39"/>
        <v>6815322.9192201942</v>
      </c>
      <c r="FE25" s="430">
        <f>'Concentration Limits'!$J$54</f>
        <v>232996703.6486333</v>
      </c>
      <c r="FF25" s="430">
        <f>'Concentration Limits'!$J$55</f>
        <v>232996703.6486333</v>
      </c>
      <c r="FG25" s="430">
        <f>'Concentration Limits'!$J$56</f>
        <v>232996703.6486333</v>
      </c>
      <c r="FH25" s="431">
        <f>'Concentration Limits'!$J$57</f>
        <v>17474752.773647498</v>
      </c>
      <c r="FI25" s="431">
        <f t="shared" si="40"/>
        <v>6815322.9192201942</v>
      </c>
      <c r="FJ25" s="431">
        <f t="shared" si="41"/>
        <v>6815322.9192201942</v>
      </c>
      <c r="FK25" s="431">
        <f t="shared" si="42"/>
        <v>17</v>
      </c>
      <c r="FL25" s="431">
        <f>IF(FJ25&gt;0,RANK(FJ25,$FJ$9:$FJ$60)+COUNTIF($FJ$9:FJ25,FJ25)-1,0)</f>
        <v>17</v>
      </c>
      <c r="FM25" s="430">
        <f t="shared" si="43"/>
        <v>0</v>
      </c>
      <c r="FN25" s="430">
        <f t="shared" si="44"/>
        <v>0</v>
      </c>
      <c r="FO25" s="430">
        <f t="shared" si="45"/>
        <v>0</v>
      </c>
      <c r="FP25" s="431">
        <f t="shared" si="46"/>
        <v>0</v>
      </c>
      <c r="FQ25" s="431">
        <f t="shared" si="47"/>
        <v>6815322.9192201942</v>
      </c>
      <c r="FR25" s="431">
        <f>'Concentration Limits'!$J$58</f>
        <v>46599340.729726665</v>
      </c>
      <c r="FS25" s="431">
        <f t="shared" si="48"/>
        <v>6815322.9192201942</v>
      </c>
      <c r="FT25" s="431">
        <f>VLOOKUP(BR25,'Concentration Limits'!$E$81:$H$153,4,FALSE)</f>
        <v>15</v>
      </c>
      <c r="FU25" s="431">
        <f t="shared" si="49"/>
        <v>0</v>
      </c>
      <c r="FV25" s="431">
        <f t="shared" si="50"/>
        <v>6815322.9192201942</v>
      </c>
      <c r="FW25" s="431">
        <f>'Concentration Limits'!$J$59</f>
        <v>34949505.547294997</v>
      </c>
      <c r="FX25" s="431">
        <f t="shared" si="51"/>
        <v>6815322.9192201942</v>
      </c>
      <c r="FY25" s="431">
        <f>VLOOKUP(BR25,'Concentration Limits'!$E$81:$H$153,4,FALSE)</f>
        <v>15</v>
      </c>
      <c r="FZ25" s="431">
        <f t="shared" si="52"/>
        <v>0</v>
      </c>
      <c r="GA25" s="431">
        <f t="shared" si="53"/>
        <v>6815322.9192201942</v>
      </c>
      <c r="GB25" s="431">
        <f>'Concentration Limits'!$J$61</f>
        <v>23299670.364863332</v>
      </c>
      <c r="GC25" s="431">
        <f t="shared" si="54"/>
        <v>6815322.9192201942</v>
      </c>
      <c r="GD25" s="429">
        <f>VLOOKUP(BR25,'Concentration Limits'!$E$81:$H$153,4,FALSE)</f>
        <v>15</v>
      </c>
      <c r="GE25" s="431">
        <f t="shared" si="55"/>
        <v>0</v>
      </c>
      <c r="GF25" s="431">
        <f t="shared" si="56"/>
        <v>6815322.9192201942</v>
      </c>
      <c r="GG25" s="431">
        <f>'Concentration Limits'!$J$64</f>
        <v>23299670.364863332</v>
      </c>
      <c r="GH25" s="431">
        <f t="shared" si="57"/>
        <v>0</v>
      </c>
      <c r="GI25" s="431">
        <f t="shared" si="58"/>
        <v>0</v>
      </c>
      <c r="GJ25" s="431">
        <f t="shared" si="59"/>
        <v>6815322.9192201942</v>
      </c>
      <c r="GK25" s="431">
        <f>'Concentration Limits'!$J$67</f>
        <v>23299670.364863332</v>
      </c>
      <c r="GL25" s="429" t="str">
        <f t="shared" si="60"/>
        <v>No</v>
      </c>
      <c r="GM25" s="431">
        <f t="shared" si="61"/>
        <v>0</v>
      </c>
      <c r="GN25" s="431">
        <f t="shared" si="62"/>
        <v>0</v>
      </c>
      <c r="GO25" s="431">
        <f t="shared" si="63"/>
        <v>6815322.9192201942</v>
      </c>
      <c r="GP25" s="431">
        <f>'Concentration Limits'!$J$68</f>
        <v>34949505.547294997</v>
      </c>
      <c r="GQ25" s="429" t="str">
        <f t="shared" si="64"/>
        <v>No</v>
      </c>
      <c r="GR25" s="431">
        <f t="shared" si="65"/>
        <v>0</v>
      </c>
      <c r="GS25" s="431">
        <f t="shared" si="66"/>
        <v>0</v>
      </c>
      <c r="GT25" s="431">
        <f t="shared" si="67"/>
        <v>6815322.9192201942</v>
      </c>
      <c r="GU25" s="429">
        <f>'Concentration Limits'!$J$69</f>
        <v>34949505.547294997</v>
      </c>
      <c r="GV25" s="429" t="str">
        <f t="shared" si="68"/>
        <v>No</v>
      </c>
      <c r="GW25" s="429">
        <f t="shared" si="69"/>
        <v>0</v>
      </c>
      <c r="GX25" s="429">
        <f t="shared" si="70"/>
        <v>0</v>
      </c>
      <c r="GY25" s="429">
        <f t="shared" si="71"/>
        <v>6815322.9192201942</v>
      </c>
      <c r="GZ25" s="429">
        <f>'Concentration Limits'!$J$70</f>
        <v>23299670.364863332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35">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46599340.729726665</v>
      </c>
      <c r="EM26" s="429" t="str">
        <f>IF(OR(D26="Second Lien",AND(D26="FILO",DI26&gt;AGENT!$C$57)), "Yes", "No")</f>
        <v>No</v>
      </c>
      <c r="EN26" s="429">
        <f t="shared" si="29"/>
        <v>0</v>
      </c>
      <c r="EO26" s="429">
        <f t="shared" si="30"/>
        <v>0</v>
      </c>
      <c r="EP26" s="429">
        <f t="shared" si="31"/>
        <v>2581527.2906674999</v>
      </c>
      <c r="EQ26" s="429">
        <f>'Concentration Limits'!$J$50</f>
        <v>23299670.364863332</v>
      </c>
      <c r="ER26" s="429">
        <f t="shared" si="32"/>
        <v>0</v>
      </c>
      <c r="ES26" s="429">
        <f t="shared" si="84"/>
        <v>0</v>
      </c>
      <c r="ET26" s="429">
        <f t="shared" si="33"/>
        <v>2581527.2906674999</v>
      </c>
      <c r="EU26" s="429">
        <f>'Concentration Limits'!$J$51</f>
        <v>69899011.094589993</v>
      </c>
      <c r="EV26" s="429" t="str">
        <f>IF(OR(D26="Second Lien", AND(D26="FILO",DI26&gt;AGENT!$C$59)), "Yes", "No")</f>
        <v>No</v>
      </c>
      <c r="EW26" s="429">
        <f t="shared" si="34"/>
        <v>0</v>
      </c>
      <c r="EX26" s="429">
        <f t="shared" si="35"/>
        <v>0</v>
      </c>
      <c r="EY26" s="429">
        <f t="shared" si="36"/>
        <v>2581527.2906674999</v>
      </c>
      <c r="EZ26" s="429">
        <f>'Concentration Limits'!$J$52</f>
        <v>34949505.547294997</v>
      </c>
      <c r="FA26" s="429" t="str">
        <f>IF(CY26&gt;'Concentration Limits'!$E$52, "No", "Yes")</f>
        <v>No</v>
      </c>
      <c r="FB26" s="429">
        <f t="shared" si="37"/>
        <v>0</v>
      </c>
      <c r="FC26" s="429">
        <f t="shared" si="38"/>
        <v>0</v>
      </c>
      <c r="FD26" s="429">
        <f t="shared" si="39"/>
        <v>2581527.2906674999</v>
      </c>
      <c r="FE26" s="430">
        <f>'Concentration Limits'!$J$54</f>
        <v>232996703.6486333</v>
      </c>
      <c r="FF26" s="430">
        <f>'Concentration Limits'!$J$55</f>
        <v>232996703.6486333</v>
      </c>
      <c r="FG26" s="430">
        <f>'Concentration Limits'!$J$56</f>
        <v>232996703.6486333</v>
      </c>
      <c r="FH26" s="431">
        <f>'Concentration Limits'!$J$57</f>
        <v>17474752.773647498</v>
      </c>
      <c r="FI26" s="431">
        <f t="shared" si="40"/>
        <v>2581527.2906674999</v>
      </c>
      <c r="FJ26" s="431">
        <f t="shared" si="41"/>
        <v>2581527.2906674999</v>
      </c>
      <c r="FK26" s="431">
        <f t="shared" si="42"/>
        <v>26</v>
      </c>
      <c r="FL26" s="431">
        <f>IF(FJ26&gt;0,RANK(FJ26,$FJ$9:$FJ$60)+COUNTIF($FJ$9:FJ26,FJ26)-1,0)</f>
        <v>26</v>
      </c>
      <c r="FM26" s="430">
        <f t="shared" si="43"/>
        <v>0</v>
      </c>
      <c r="FN26" s="430">
        <f t="shared" si="44"/>
        <v>0</v>
      </c>
      <c r="FO26" s="430">
        <f t="shared" si="45"/>
        <v>0</v>
      </c>
      <c r="FP26" s="431">
        <f t="shared" si="46"/>
        <v>0</v>
      </c>
      <c r="FQ26" s="431">
        <f t="shared" si="47"/>
        <v>2581527.2906674999</v>
      </c>
      <c r="FR26" s="431">
        <f>'Concentration Limits'!$J$58</f>
        <v>46599340.729726665</v>
      </c>
      <c r="FS26" s="431">
        <f t="shared" si="48"/>
        <v>13656662.095759427</v>
      </c>
      <c r="FT26" s="431">
        <f>VLOOKUP(BR26,'Concentration Limits'!$E$81:$H$153,4,FALSE)</f>
        <v>7</v>
      </c>
      <c r="FU26" s="431">
        <f t="shared" si="49"/>
        <v>0</v>
      </c>
      <c r="FV26" s="431">
        <f t="shared" si="50"/>
        <v>2581527.2906674999</v>
      </c>
      <c r="FW26" s="431">
        <f>'Concentration Limits'!$J$59</f>
        <v>34949505.547294997</v>
      </c>
      <c r="FX26" s="431">
        <f t="shared" si="51"/>
        <v>13656662.095759427</v>
      </c>
      <c r="FY26" s="431">
        <f>VLOOKUP(BR26,'Concentration Limits'!$E$81:$H$153,4,FALSE)</f>
        <v>7</v>
      </c>
      <c r="FZ26" s="431">
        <f t="shared" si="52"/>
        <v>0</v>
      </c>
      <c r="GA26" s="431">
        <f t="shared" si="53"/>
        <v>2581527.2906674999</v>
      </c>
      <c r="GB26" s="431">
        <f>'Concentration Limits'!$J$61</f>
        <v>23299670.364863332</v>
      </c>
      <c r="GC26" s="431">
        <f t="shared" si="54"/>
        <v>13656662.095759427</v>
      </c>
      <c r="GD26" s="429">
        <f>VLOOKUP(BR26,'Concentration Limits'!$E$81:$H$153,4,FALSE)</f>
        <v>7</v>
      </c>
      <c r="GE26" s="431">
        <f t="shared" si="55"/>
        <v>0</v>
      </c>
      <c r="GF26" s="431">
        <f t="shared" si="56"/>
        <v>2581527.2906674999</v>
      </c>
      <c r="GG26" s="431">
        <f>'Concentration Limits'!$J$64</f>
        <v>23299670.364863332</v>
      </c>
      <c r="GH26" s="431">
        <f t="shared" si="57"/>
        <v>0</v>
      </c>
      <c r="GI26" s="431">
        <f t="shared" si="58"/>
        <v>0</v>
      </c>
      <c r="GJ26" s="431">
        <f t="shared" si="59"/>
        <v>2581527.2906674999</v>
      </c>
      <c r="GK26" s="431">
        <f>'Concentration Limits'!$J$67</f>
        <v>23299670.364863332</v>
      </c>
      <c r="GL26" s="429" t="str">
        <f t="shared" si="60"/>
        <v>No</v>
      </c>
      <c r="GM26" s="431">
        <f t="shared" si="61"/>
        <v>0</v>
      </c>
      <c r="GN26" s="431">
        <f t="shared" si="62"/>
        <v>0</v>
      </c>
      <c r="GO26" s="431">
        <f t="shared" si="63"/>
        <v>2581527.2906674999</v>
      </c>
      <c r="GP26" s="431">
        <f>'Concentration Limits'!$J$68</f>
        <v>34949505.547294997</v>
      </c>
      <c r="GQ26" s="429" t="str">
        <f t="shared" si="64"/>
        <v>No</v>
      </c>
      <c r="GR26" s="431">
        <f t="shared" si="65"/>
        <v>0</v>
      </c>
      <c r="GS26" s="431">
        <f t="shared" si="66"/>
        <v>0</v>
      </c>
      <c r="GT26" s="431">
        <f t="shared" si="67"/>
        <v>2581527.2906674999</v>
      </c>
      <c r="GU26" s="429">
        <f>'Concentration Limits'!$J$69</f>
        <v>34949505.547294997</v>
      </c>
      <c r="GV26" s="429" t="str">
        <f t="shared" si="68"/>
        <v>No</v>
      </c>
      <c r="GW26" s="429">
        <f t="shared" si="69"/>
        <v>0</v>
      </c>
      <c r="GX26" s="429">
        <f t="shared" si="70"/>
        <v>0</v>
      </c>
      <c r="GY26" s="429">
        <f t="shared" si="71"/>
        <v>2581527.2906674999</v>
      </c>
      <c r="GZ26" s="429">
        <f>'Concentration Limits'!$J$70</f>
        <v>23299670.364863332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35">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46599340.729726665</v>
      </c>
      <c r="EM27" s="429" t="str">
        <f>IF(OR(D27="Second Lien",AND(D27="FILO",DI27&gt;AGENT!$C$57)), "Yes", "No")</f>
        <v>No</v>
      </c>
      <c r="EN27" s="429">
        <f t="shared" si="29"/>
        <v>0</v>
      </c>
      <c r="EO27" s="429">
        <f t="shared" si="30"/>
        <v>0</v>
      </c>
      <c r="EP27" s="429">
        <f t="shared" si="31"/>
        <v>0</v>
      </c>
      <c r="EQ27" s="429">
        <f>'Concentration Limits'!$J$50</f>
        <v>23299670.364863332</v>
      </c>
      <c r="ER27" s="429">
        <f t="shared" si="32"/>
        <v>0</v>
      </c>
      <c r="ES27" s="429">
        <f t="shared" si="84"/>
        <v>0</v>
      </c>
      <c r="ET27" s="429">
        <f t="shared" si="33"/>
        <v>0</v>
      </c>
      <c r="EU27" s="429">
        <f>'Concentration Limits'!$J$51</f>
        <v>69899011.094589993</v>
      </c>
      <c r="EV27" s="429" t="str">
        <f>IF(OR(D27="Second Lien", AND(D27="FILO",DI27&gt;AGENT!$C$59)), "Yes", "No")</f>
        <v>No</v>
      </c>
      <c r="EW27" s="429">
        <f t="shared" si="34"/>
        <v>0</v>
      </c>
      <c r="EX27" s="429">
        <f t="shared" si="35"/>
        <v>0</v>
      </c>
      <c r="EY27" s="429">
        <f t="shared" si="36"/>
        <v>0</v>
      </c>
      <c r="EZ27" s="429">
        <f>'Concentration Limits'!$J$52</f>
        <v>34949505.547294997</v>
      </c>
      <c r="FA27" s="429" t="str">
        <f>IF(CY27&gt;'Concentration Limits'!$E$52, "No", "Yes")</f>
        <v>No</v>
      </c>
      <c r="FB27" s="429">
        <f t="shared" si="37"/>
        <v>0</v>
      </c>
      <c r="FC27" s="429">
        <f t="shared" si="38"/>
        <v>0</v>
      </c>
      <c r="FD27" s="429">
        <f t="shared" si="39"/>
        <v>0</v>
      </c>
      <c r="FE27" s="430">
        <f>'Concentration Limits'!$J$54</f>
        <v>232996703.6486333</v>
      </c>
      <c r="FF27" s="430">
        <f>'Concentration Limits'!$J$55</f>
        <v>232996703.6486333</v>
      </c>
      <c r="FG27" s="430">
        <f>'Concentration Limits'!$J$56</f>
        <v>232996703.6486333</v>
      </c>
      <c r="FH27" s="431">
        <f>'Concentration Limits'!$J$57</f>
        <v>17474752.773647498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46599340.729726665</v>
      </c>
      <c r="FS27" s="431">
        <f t="shared" si="48"/>
        <v>46042971.865242489</v>
      </c>
      <c r="FT27" s="431">
        <f>VLOOKUP(BR27,'Concentration Limits'!$E$81:$H$153,4,FALSE)</f>
        <v>1</v>
      </c>
      <c r="FU27" s="431">
        <f t="shared" si="49"/>
        <v>0</v>
      </c>
      <c r="FV27" s="431">
        <f t="shared" si="50"/>
        <v>0</v>
      </c>
      <c r="FW27" s="431">
        <f>'Concentration Limits'!$J$59</f>
        <v>34949505.547294997</v>
      </c>
      <c r="FX27" s="431">
        <f t="shared" si="51"/>
        <v>46042971.865242489</v>
      </c>
      <c r="FY27" s="431">
        <f>VLOOKUP(BR27,'Concentration Limits'!$E$81:$H$153,4,FALSE)</f>
        <v>1</v>
      </c>
      <c r="FZ27" s="431">
        <f t="shared" si="52"/>
        <v>0</v>
      </c>
      <c r="GA27" s="431">
        <f t="shared" si="53"/>
        <v>0</v>
      </c>
      <c r="GB27" s="431">
        <f>'Concentration Limits'!$J$61</f>
        <v>23299670.364863332</v>
      </c>
      <c r="GC27" s="431">
        <f t="shared" si="54"/>
        <v>46042971.865242489</v>
      </c>
      <c r="GD27" s="429">
        <f>VLOOKUP(BR27,'Concentration Limits'!$E$81:$H$153,4,FALSE)</f>
        <v>1</v>
      </c>
      <c r="GE27" s="431">
        <f t="shared" si="55"/>
        <v>0</v>
      </c>
      <c r="GF27" s="431">
        <f t="shared" si="56"/>
        <v>0</v>
      </c>
      <c r="GG27" s="431">
        <f>'Concentration Limits'!$J$64</f>
        <v>23299670.364863332</v>
      </c>
      <c r="GH27" s="431">
        <f t="shared" si="57"/>
        <v>0</v>
      </c>
      <c r="GI27" s="431">
        <f t="shared" si="58"/>
        <v>0</v>
      </c>
      <c r="GJ27" s="431">
        <f t="shared" si="59"/>
        <v>0</v>
      </c>
      <c r="GK27" s="431">
        <f>'Concentration Limits'!$J$67</f>
        <v>23299670.364863332</v>
      </c>
      <c r="GL27" s="429" t="str">
        <f t="shared" si="60"/>
        <v>No</v>
      </c>
      <c r="GM27" s="431">
        <f t="shared" si="61"/>
        <v>0</v>
      </c>
      <c r="GN27" s="431">
        <f t="shared" si="62"/>
        <v>0</v>
      </c>
      <c r="GO27" s="431">
        <f t="shared" si="63"/>
        <v>0</v>
      </c>
      <c r="GP27" s="431">
        <f>'Concentration Limits'!$J$68</f>
        <v>34949505.547294997</v>
      </c>
      <c r="GQ27" s="429" t="str">
        <f t="shared" si="64"/>
        <v>No</v>
      </c>
      <c r="GR27" s="431">
        <f t="shared" si="65"/>
        <v>0</v>
      </c>
      <c r="GS27" s="431">
        <f t="shared" si="66"/>
        <v>0</v>
      </c>
      <c r="GT27" s="431">
        <f t="shared" si="67"/>
        <v>0</v>
      </c>
      <c r="GU27" s="429">
        <f>'Concentration Limits'!$J$69</f>
        <v>34949505.547294997</v>
      </c>
      <c r="GV27" s="429" t="str">
        <f t="shared" si="68"/>
        <v>Yes</v>
      </c>
      <c r="GW27" s="429">
        <f t="shared" si="69"/>
        <v>12656117.589817706</v>
      </c>
      <c r="GX27" s="429">
        <f t="shared" si="70"/>
        <v>0</v>
      </c>
      <c r="GY27" s="429">
        <f t="shared" si="71"/>
        <v>0</v>
      </c>
      <c r="GZ27" s="429">
        <f>'Concentration Limits'!$J$70</f>
        <v>23299670.364863332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35">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46599340.729726665</v>
      </c>
      <c r="EM28" s="429" t="str">
        <f>IF(OR(D28="Second Lien",AND(D28="FILO",DI28&gt;AGENT!$C$57)), "Yes", "No")</f>
        <v>No</v>
      </c>
      <c r="EN28" s="429">
        <f t="shared" si="29"/>
        <v>0</v>
      </c>
      <c r="EO28" s="429">
        <f t="shared" si="30"/>
        <v>0</v>
      </c>
      <c r="EP28" s="429">
        <f t="shared" si="31"/>
        <v>0</v>
      </c>
      <c r="EQ28" s="429">
        <f>'Concentration Limits'!$J$50</f>
        <v>23299670.364863332</v>
      </c>
      <c r="ER28" s="429">
        <f t="shared" si="32"/>
        <v>0</v>
      </c>
      <c r="ES28" s="429">
        <f t="shared" si="84"/>
        <v>0</v>
      </c>
      <c r="ET28" s="429">
        <f t="shared" si="33"/>
        <v>0</v>
      </c>
      <c r="EU28" s="429">
        <f>'Concentration Limits'!$J$51</f>
        <v>69899011.094589993</v>
      </c>
      <c r="EV28" s="429" t="str">
        <f>IF(OR(D28="Second Lien", AND(D28="FILO",DI28&gt;AGENT!$C$59)), "Yes", "No")</f>
        <v>No</v>
      </c>
      <c r="EW28" s="429">
        <f t="shared" si="34"/>
        <v>0</v>
      </c>
      <c r="EX28" s="429">
        <f t="shared" si="35"/>
        <v>0</v>
      </c>
      <c r="EY28" s="429">
        <f t="shared" si="36"/>
        <v>0</v>
      </c>
      <c r="EZ28" s="429">
        <f>'Concentration Limits'!$J$52</f>
        <v>34949505.547294997</v>
      </c>
      <c r="FA28" s="429" t="str">
        <f>IF(CY28&gt;'Concentration Limits'!$E$52, "No", "Yes")</f>
        <v>No</v>
      </c>
      <c r="FB28" s="429">
        <f t="shared" si="37"/>
        <v>0</v>
      </c>
      <c r="FC28" s="429">
        <f t="shared" si="38"/>
        <v>0</v>
      </c>
      <c r="FD28" s="429">
        <f t="shared" si="39"/>
        <v>0</v>
      </c>
      <c r="FE28" s="430">
        <f>'Concentration Limits'!$J$54</f>
        <v>232996703.6486333</v>
      </c>
      <c r="FF28" s="430">
        <f>'Concentration Limits'!$J$55</f>
        <v>232996703.6486333</v>
      </c>
      <c r="FG28" s="430">
        <f>'Concentration Limits'!$J$56</f>
        <v>232996703.6486333</v>
      </c>
      <c r="FH28" s="431">
        <f>'Concentration Limits'!$J$57</f>
        <v>17474752.773647498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46599340.729726665</v>
      </c>
      <c r="FS28" s="431">
        <f t="shared" si="48"/>
        <v>16096607.119937314</v>
      </c>
      <c r="FT28" s="431">
        <f>VLOOKUP(BR28,'Concentration Limits'!$E$81:$H$153,4,FALSE)</f>
        <v>5</v>
      </c>
      <c r="FU28" s="431">
        <f t="shared" si="49"/>
        <v>0</v>
      </c>
      <c r="FV28" s="431">
        <f t="shared" si="50"/>
        <v>0</v>
      </c>
      <c r="FW28" s="431">
        <f>'Concentration Limits'!$J$59</f>
        <v>34949505.547294997</v>
      </c>
      <c r="FX28" s="431">
        <f t="shared" si="51"/>
        <v>16096607.119937314</v>
      </c>
      <c r="FY28" s="431">
        <f>VLOOKUP(BR28,'Concentration Limits'!$E$81:$H$153,4,FALSE)</f>
        <v>5</v>
      </c>
      <c r="FZ28" s="431">
        <f t="shared" si="52"/>
        <v>0</v>
      </c>
      <c r="GA28" s="431">
        <f t="shared" si="53"/>
        <v>0</v>
      </c>
      <c r="GB28" s="431">
        <f>'Concentration Limits'!$J$61</f>
        <v>23299670.364863332</v>
      </c>
      <c r="GC28" s="431">
        <f t="shared" si="54"/>
        <v>16096607.119937314</v>
      </c>
      <c r="GD28" s="429">
        <f>VLOOKUP(BR28,'Concentration Limits'!$E$81:$H$153,4,FALSE)</f>
        <v>5</v>
      </c>
      <c r="GE28" s="431">
        <f t="shared" si="55"/>
        <v>0</v>
      </c>
      <c r="GF28" s="431">
        <f t="shared" si="56"/>
        <v>0</v>
      </c>
      <c r="GG28" s="431">
        <f>'Concentration Limits'!$J$64</f>
        <v>23299670.364863332</v>
      </c>
      <c r="GH28" s="431">
        <f t="shared" si="57"/>
        <v>0</v>
      </c>
      <c r="GI28" s="431">
        <f t="shared" si="58"/>
        <v>0</v>
      </c>
      <c r="GJ28" s="431">
        <f t="shared" si="59"/>
        <v>0</v>
      </c>
      <c r="GK28" s="431">
        <f>'Concentration Limits'!$J$67</f>
        <v>23299670.364863332</v>
      </c>
      <c r="GL28" s="429" t="str">
        <f t="shared" si="60"/>
        <v>No</v>
      </c>
      <c r="GM28" s="431">
        <f t="shared" si="61"/>
        <v>0</v>
      </c>
      <c r="GN28" s="431">
        <f t="shared" si="62"/>
        <v>0</v>
      </c>
      <c r="GO28" s="431">
        <f t="shared" si="63"/>
        <v>0</v>
      </c>
      <c r="GP28" s="431">
        <f>'Concentration Limits'!$J$68</f>
        <v>34949505.547294997</v>
      </c>
      <c r="GQ28" s="429" t="str">
        <f t="shared" si="64"/>
        <v>No</v>
      </c>
      <c r="GR28" s="431">
        <f t="shared" si="65"/>
        <v>0</v>
      </c>
      <c r="GS28" s="431">
        <f t="shared" si="66"/>
        <v>0</v>
      </c>
      <c r="GT28" s="431">
        <f t="shared" si="67"/>
        <v>0</v>
      </c>
      <c r="GU28" s="429">
        <f>'Concentration Limits'!$J$69</f>
        <v>34949505.547294997</v>
      </c>
      <c r="GV28" s="429" t="str">
        <f t="shared" si="68"/>
        <v>No</v>
      </c>
      <c r="GW28" s="429">
        <f t="shared" si="69"/>
        <v>0</v>
      </c>
      <c r="GX28" s="429">
        <f t="shared" si="70"/>
        <v>0</v>
      </c>
      <c r="GY28" s="429">
        <f t="shared" si="71"/>
        <v>0</v>
      </c>
      <c r="GZ28" s="429">
        <f>'Concentration Limits'!$J$70</f>
        <v>23299670.364863332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35">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46599340.729726665</v>
      </c>
      <c r="EM29" s="429" t="str">
        <f>IF(OR(D29="Second Lien",AND(D29="FILO",DI29&gt;AGENT!$C$57)), "Yes", "No")</f>
        <v>No</v>
      </c>
      <c r="EN29" s="429">
        <f t="shared" si="29"/>
        <v>0</v>
      </c>
      <c r="EO29" s="429">
        <f t="shared" si="30"/>
        <v>0</v>
      </c>
      <c r="EP29" s="429">
        <f t="shared" si="31"/>
        <v>0</v>
      </c>
      <c r="EQ29" s="429">
        <f>'Concentration Limits'!$J$50</f>
        <v>23299670.364863332</v>
      </c>
      <c r="ER29" s="429">
        <f t="shared" si="32"/>
        <v>0</v>
      </c>
      <c r="ES29" s="429">
        <f t="shared" si="84"/>
        <v>0</v>
      </c>
      <c r="ET29" s="429">
        <f t="shared" si="33"/>
        <v>0</v>
      </c>
      <c r="EU29" s="429">
        <f>'Concentration Limits'!$J$51</f>
        <v>69899011.094589993</v>
      </c>
      <c r="EV29" s="429" t="str">
        <f>IF(OR(D29="Second Lien", AND(D29="FILO",DI29&gt;AGENT!$C$59)), "Yes", "No")</f>
        <v>No</v>
      </c>
      <c r="EW29" s="429">
        <f t="shared" si="34"/>
        <v>0</v>
      </c>
      <c r="EX29" s="429">
        <f t="shared" si="35"/>
        <v>0</v>
      </c>
      <c r="EY29" s="429">
        <f t="shared" si="36"/>
        <v>0</v>
      </c>
      <c r="EZ29" s="429">
        <f>'Concentration Limits'!$J$52</f>
        <v>34949505.547294997</v>
      </c>
      <c r="FA29" s="429" t="str">
        <f>IF(CY29&gt;'Concentration Limits'!$E$52, "No", "Yes")</f>
        <v>Yes</v>
      </c>
      <c r="FB29" s="429">
        <f t="shared" si="37"/>
        <v>0</v>
      </c>
      <c r="FC29" s="429">
        <f t="shared" si="38"/>
        <v>0</v>
      </c>
      <c r="FD29" s="429">
        <f t="shared" si="39"/>
        <v>0</v>
      </c>
      <c r="FE29" s="430">
        <f>'Concentration Limits'!$J$54</f>
        <v>232996703.6486333</v>
      </c>
      <c r="FF29" s="430">
        <f>'Concentration Limits'!$J$55</f>
        <v>232996703.6486333</v>
      </c>
      <c r="FG29" s="430">
        <f>'Concentration Limits'!$J$56</f>
        <v>232996703.6486333</v>
      </c>
      <c r="FH29" s="431">
        <f>'Concentration Limits'!$J$57</f>
        <v>17474752.773647498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46599340.729726665</v>
      </c>
      <c r="FS29" s="431">
        <f t="shared" si="48"/>
        <v>0</v>
      </c>
      <c r="FT29" s="431" t="str">
        <f>VLOOKUP(BR29,'Concentration Limits'!$E$81:$H$153,4,FALSE)</f>
        <v/>
      </c>
      <c r="FU29" s="431">
        <f t="shared" si="49"/>
        <v>0</v>
      </c>
      <c r="FV29" s="431">
        <f t="shared" si="50"/>
        <v>0</v>
      </c>
      <c r="FW29" s="431">
        <f>'Concentration Limits'!$J$59</f>
        <v>34949505.547294997</v>
      </c>
      <c r="FX29" s="431">
        <f t="shared" si="51"/>
        <v>0</v>
      </c>
      <c r="FY29" s="431" t="str">
        <f>VLOOKUP(BR29,'Concentration Limits'!$E$81:$H$153,4,FALSE)</f>
        <v/>
      </c>
      <c r="FZ29" s="431">
        <f t="shared" si="52"/>
        <v>0</v>
      </c>
      <c r="GA29" s="431">
        <f t="shared" si="53"/>
        <v>0</v>
      </c>
      <c r="GB29" s="431">
        <f>'Concentration Limits'!$J$61</f>
        <v>23299670.364863332</v>
      </c>
      <c r="GC29" s="431">
        <f t="shared" si="54"/>
        <v>0</v>
      </c>
      <c r="GD29" s="429" t="str">
        <f>VLOOKUP(BR29,'Concentration Limits'!$E$81:$H$153,4,FALSE)</f>
        <v/>
      </c>
      <c r="GE29" s="431">
        <f t="shared" si="55"/>
        <v>0</v>
      </c>
      <c r="GF29" s="431">
        <f t="shared" si="56"/>
        <v>0</v>
      </c>
      <c r="GG29" s="431">
        <f>'Concentration Limits'!$J$64</f>
        <v>23299670.364863332</v>
      </c>
      <c r="GH29" s="431">
        <f t="shared" si="57"/>
        <v>0</v>
      </c>
      <c r="GI29" s="431">
        <f t="shared" si="58"/>
        <v>0</v>
      </c>
      <c r="GJ29" s="431">
        <f t="shared" si="59"/>
        <v>0</v>
      </c>
      <c r="GK29" s="431">
        <f>'Concentration Limits'!$J$67</f>
        <v>23299670.364863332</v>
      </c>
      <c r="GL29" s="429" t="str">
        <f t="shared" si="60"/>
        <v>No</v>
      </c>
      <c r="GM29" s="431">
        <f t="shared" si="61"/>
        <v>0</v>
      </c>
      <c r="GN29" s="431">
        <f t="shared" si="62"/>
        <v>0</v>
      </c>
      <c r="GO29" s="431">
        <f t="shared" si="63"/>
        <v>0</v>
      </c>
      <c r="GP29" s="431">
        <f>'Concentration Limits'!$J$68</f>
        <v>34949505.547294997</v>
      </c>
      <c r="GQ29" s="429" t="str">
        <f t="shared" si="64"/>
        <v>No</v>
      </c>
      <c r="GR29" s="431">
        <f t="shared" si="65"/>
        <v>0</v>
      </c>
      <c r="GS29" s="431">
        <f t="shared" si="66"/>
        <v>0</v>
      </c>
      <c r="GT29" s="431">
        <f t="shared" si="67"/>
        <v>0</v>
      </c>
      <c r="GU29" s="429">
        <f>'Concentration Limits'!$J$69</f>
        <v>34949505.547294997</v>
      </c>
      <c r="GV29" s="429" t="str">
        <f t="shared" si="68"/>
        <v>No</v>
      </c>
      <c r="GW29" s="429">
        <f t="shared" si="69"/>
        <v>0</v>
      </c>
      <c r="GX29" s="429">
        <f t="shared" si="70"/>
        <v>0</v>
      </c>
      <c r="GY29" s="429">
        <f t="shared" si="71"/>
        <v>0</v>
      </c>
      <c r="GZ29" s="429">
        <f>'Concentration Limits'!$J$70</f>
        <v>23299670.364863332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35">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46599340.729726665</v>
      </c>
      <c r="EM30" s="429" t="str">
        <f>IF(OR(D30="Second Lien",AND(D30="FILO",DI30&gt;AGENT!$C$57)), "Yes", "No")</f>
        <v>No</v>
      </c>
      <c r="EN30" s="429">
        <f t="shared" si="29"/>
        <v>0</v>
      </c>
      <c r="EO30" s="429">
        <f t="shared" si="30"/>
        <v>0</v>
      </c>
      <c r="EP30" s="429">
        <f t="shared" si="31"/>
        <v>3384358.74158662</v>
      </c>
      <c r="EQ30" s="429">
        <f>'Concentration Limits'!$J$50</f>
        <v>23299670.364863332</v>
      </c>
      <c r="ER30" s="429">
        <f t="shared" si="32"/>
        <v>0</v>
      </c>
      <c r="ES30" s="429">
        <f t="shared" si="84"/>
        <v>0</v>
      </c>
      <c r="ET30" s="429">
        <f t="shared" si="33"/>
        <v>3384358.74158662</v>
      </c>
      <c r="EU30" s="429">
        <f>'Concentration Limits'!$J$51</f>
        <v>69899011.094589993</v>
      </c>
      <c r="EV30" s="429" t="str">
        <f>IF(OR(D30="Second Lien", AND(D30="FILO",DI30&gt;AGENT!$C$59)), "Yes", "No")</f>
        <v>No</v>
      </c>
      <c r="EW30" s="429">
        <f t="shared" si="34"/>
        <v>0</v>
      </c>
      <c r="EX30" s="429">
        <f t="shared" si="35"/>
        <v>0</v>
      </c>
      <c r="EY30" s="429">
        <f t="shared" si="36"/>
        <v>3384358.74158662</v>
      </c>
      <c r="EZ30" s="429">
        <f>'Concentration Limits'!$J$52</f>
        <v>34949505.547294997</v>
      </c>
      <c r="FA30" s="429" t="str">
        <f>IF(CY30&gt;'Concentration Limits'!$E$52, "No", "Yes")</f>
        <v>No</v>
      </c>
      <c r="FB30" s="429">
        <f t="shared" si="37"/>
        <v>0</v>
      </c>
      <c r="FC30" s="429">
        <f t="shared" si="38"/>
        <v>0</v>
      </c>
      <c r="FD30" s="429">
        <f t="shared" si="39"/>
        <v>3384358.74158662</v>
      </c>
      <c r="FE30" s="430">
        <f>'Concentration Limits'!$J$54</f>
        <v>232996703.6486333</v>
      </c>
      <c r="FF30" s="430">
        <f>'Concentration Limits'!$J$55</f>
        <v>232996703.6486333</v>
      </c>
      <c r="FG30" s="430">
        <f>'Concentration Limits'!$J$56</f>
        <v>232996703.6486333</v>
      </c>
      <c r="FH30" s="431">
        <f>'Concentration Limits'!$J$57</f>
        <v>17474752.773647498</v>
      </c>
      <c r="FI30" s="431">
        <f t="shared" si="40"/>
        <v>3384358.74158662</v>
      </c>
      <c r="FJ30" s="431">
        <f t="shared" si="41"/>
        <v>3384358.74158662</v>
      </c>
      <c r="FK30" s="431">
        <f t="shared" si="42"/>
        <v>24</v>
      </c>
      <c r="FL30" s="431">
        <f>IF(FJ30&gt;0,RANK(FJ30,$FJ$9:$FJ$60)+COUNTIF($FJ$9:FJ30,FJ30)-1,0)</f>
        <v>24</v>
      </c>
      <c r="FM30" s="430">
        <f t="shared" si="43"/>
        <v>0</v>
      </c>
      <c r="FN30" s="430">
        <f t="shared" si="44"/>
        <v>0</v>
      </c>
      <c r="FO30" s="430">
        <f t="shared" si="45"/>
        <v>0</v>
      </c>
      <c r="FP30" s="431">
        <f t="shared" si="46"/>
        <v>0</v>
      </c>
      <c r="FQ30" s="431">
        <f t="shared" si="47"/>
        <v>3384358.74158662</v>
      </c>
      <c r="FR30" s="431">
        <f>'Concentration Limits'!$J$58</f>
        <v>46599340.729726665</v>
      </c>
      <c r="FS30" s="431">
        <f t="shared" si="48"/>
        <v>24394399.03040082</v>
      </c>
      <c r="FT30" s="431">
        <f>VLOOKUP(BR30,'Concentration Limits'!$E$81:$H$153,4,FALSE)</f>
        <v>2</v>
      </c>
      <c r="FU30" s="431">
        <f t="shared" si="49"/>
        <v>0</v>
      </c>
      <c r="FV30" s="431">
        <f t="shared" si="50"/>
        <v>3384358.74158662</v>
      </c>
      <c r="FW30" s="431">
        <f>'Concentration Limits'!$J$59</f>
        <v>34949505.547294997</v>
      </c>
      <c r="FX30" s="431">
        <f t="shared" si="51"/>
        <v>24394399.03040082</v>
      </c>
      <c r="FY30" s="431">
        <f>VLOOKUP(BR30,'Concentration Limits'!$E$81:$H$153,4,FALSE)</f>
        <v>2</v>
      </c>
      <c r="FZ30" s="431">
        <f t="shared" si="52"/>
        <v>0</v>
      </c>
      <c r="GA30" s="431">
        <f t="shared" si="53"/>
        <v>3384358.74158662</v>
      </c>
      <c r="GB30" s="431">
        <f>'Concentration Limits'!$J$61</f>
        <v>23299670.364863332</v>
      </c>
      <c r="GC30" s="431">
        <f t="shared" si="54"/>
        <v>24394399.03040082</v>
      </c>
      <c r="GD30" s="429">
        <f>VLOOKUP(BR30,'Concentration Limits'!$E$81:$H$153,4,FALSE)</f>
        <v>2</v>
      </c>
      <c r="GE30" s="431">
        <f t="shared" si="55"/>
        <v>0</v>
      </c>
      <c r="GF30" s="431">
        <f t="shared" si="56"/>
        <v>3384358.74158662</v>
      </c>
      <c r="GG30" s="431">
        <f>'Concentration Limits'!$J$64</f>
        <v>23299670.364863332</v>
      </c>
      <c r="GH30" s="431">
        <f t="shared" si="57"/>
        <v>0</v>
      </c>
      <c r="GI30" s="431">
        <f t="shared" si="58"/>
        <v>0</v>
      </c>
      <c r="GJ30" s="431">
        <f t="shared" si="59"/>
        <v>3384358.74158662</v>
      </c>
      <c r="GK30" s="431">
        <f>'Concentration Limits'!$J$67</f>
        <v>23299670.364863332</v>
      </c>
      <c r="GL30" s="429" t="str">
        <f t="shared" si="60"/>
        <v>No</v>
      </c>
      <c r="GM30" s="431">
        <f t="shared" si="61"/>
        <v>0</v>
      </c>
      <c r="GN30" s="431">
        <f t="shared" si="62"/>
        <v>0</v>
      </c>
      <c r="GO30" s="431">
        <f t="shared" si="63"/>
        <v>3384358.74158662</v>
      </c>
      <c r="GP30" s="431">
        <f>'Concentration Limits'!$J$68</f>
        <v>34949505.547294997</v>
      </c>
      <c r="GQ30" s="429" t="str">
        <f t="shared" si="64"/>
        <v>No</v>
      </c>
      <c r="GR30" s="431">
        <f t="shared" si="65"/>
        <v>0</v>
      </c>
      <c r="GS30" s="431">
        <f t="shared" si="66"/>
        <v>0</v>
      </c>
      <c r="GT30" s="431">
        <f t="shared" si="67"/>
        <v>3384358.74158662</v>
      </c>
      <c r="GU30" s="429">
        <f>'Concentration Limits'!$J$69</f>
        <v>34949505.547294997</v>
      </c>
      <c r="GV30" s="429" t="str">
        <f t="shared" si="68"/>
        <v>No</v>
      </c>
      <c r="GW30" s="429">
        <f t="shared" si="69"/>
        <v>0</v>
      </c>
      <c r="GX30" s="429">
        <f t="shared" si="70"/>
        <v>0</v>
      </c>
      <c r="GY30" s="429">
        <f t="shared" si="71"/>
        <v>3384358.74158662</v>
      </c>
      <c r="GZ30" s="429">
        <f>'Concentration Limits'!$J$70</f>
        <v>23299670.364863332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35">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46599340.729726665</v>
      </c>
      <c r="EM31" s="429" t="str">
        <f>IF(OR(D31="Second Lien",AND(D31="FILO",DI31&gt;AGENT!$C$57)), "Yes", "No")</f>
        <v>No</v>
      </c>
      <c r="EN31" s="429">
        <f t="shared" si="29"/>
        <v>0</v>
      </c>
      <c r="EO31" s="429">
        <f t="shared" si="30"/>
        <v>0</v>
      </c>
      <c r="EP31" s="429">
        <f t="shared" si="31"/>
        <v>7992480.5747497557</v>
      </c>
      <c r="EQ31" s="429">
        <f>'Concentration Limits'!$J$50</f>
        <v>23299670.364863332</v>
      </c>
      <c r="ER31" s="429">
        <f t="shared" si="32"/>
        <v>0</v>
      </c>
      <c r="ES31" s="429">
        <f t="shared" si="84"/>
        <v>0</v>
      </c>
      <c r="ET31" s="429">
        <f t="shared" si="33"/>
        <v>7992480.5747497557</v>
      </c>
      <c r="EU31" s="429">
        <f>'Concentration Limits'!$J$51</f>
        <v>69899011.094589993</v>
      </c>
      <c r="EV31" s="429" t="str">
        <f>IF(OR(D31="Second Lien", AND(D31="FILO",DI31&gt;AGENT!$C$59)), "Yes", "No")</f>
        <v>No</v>
      </c>
      <c r="EW31" s="429">
        <f t="shared" si="34"/>
        <v>0</v>
      </c>
      <c r="EX31" s="429">
        <f t="shared" si="35"/>
        <v>0</v>
      </c>
      <c r="EY31" s="429">
        <f t="shared" si="36"/>
        <v>7992480.5747497557</v>
      </c>
      <c r="EZ31" s="429">
        <f>'Concentration Limits'!$J$52</f>
        <v>34949505.547294997</v>
      </c>
      <c r="FA31" s="429" t="str">
        <f>IF(CY31&gt;'Concentration Limits'!$E$52, "No", "Yes")</f>
        <v>No</v>
      </c>
      <c r="FB31" s="429">
        <f t="shared" si="37"/>
        <v>0</v>
      </c>
      <c r="FC31" s="429">
        <f t="shared" si="38"/>
        <v>0</v>
      </c>
      <c r="FD31" s="429">
        <f t="shared" si="39"/>
        <v>7992480.5747497557</v>
      </c>
      <c r="FE31" s="430">
        <f>'Concentration Limits'!$J$54</f>
        <v>232996703.6486333</v>
      </c>
      <c r="FF31" s="430">
        <f>'Concentration Limits'!$J$55</f>
        <v>232996703.6486333</v>
      </c>
      <c r="FG31" s="430">
        <f>'Concentration Limits'!$J$56</f>
        <v>232996703.6486333</v>
      </c>
      <c r="FH31" s="431">
        <f>'Concentration Limits'!$J$57</f>
        <v>17474752.773647498</v>
      </c>
      <c r="FI31" s="431">
        <f t="shared" si="40"/>
        <v>7992480.5747497557</v>
      </c>
      <c r="FJ31" s="431">
        <f t="shared" si="41"/>
        <v>7992480.5747497557</v>
      </c>
      <c r="FK31" s="431">
        <f t="shared" si="42"/>
        <v>14</v>
      </c>
      <c r="FL31" s="431">
        <f>IF(FJ31&gt;0,RANK(FJ31,$FJ$9:$FJ$60)+COUNTIF($FJ$9:FJ31,FJ31)-1,0)</f>
        <v>14</v>
      </c>
      <c r="FM31" s="430">
        <f t="shared" si="43"/>
        <v>0</v>
      </c>
      <c r="FN31" s="430">
        <f t="shared" si="44"/>
        <v>0</v>
      </c>
      <c r="FO31" s="430">
        <f t="shared" si="45"/>
        <v>0</v>
      </c>
      <c r="FP31" s="431">
        <f t="shared" si="46"/>
        <v>0</v>
      </c>
      <c r="FQ31" s="431">
        <f t="shared" si="47"/>
        <v>7992480.5747497557</v>
      </c>
      <c r="FR31" s="431">
        <f>'Concentration Limits'!$J$58</f>
        <v>46599340.729726665</v>
      </c>
      <c r="FS31" s="431">
        <f t="shared" si="48"/>
        <v>7992480.5747497557</v>
      </c>
      <c r="FT31" s="431">
        <f>VLOOKUP(BR31,'Concentration Limits'!$E$81:$H$153,4,FALSE)</f>
        <v>14</v>
      </c>
      <c r="FU31" s="431">
        <f t="shared" si="49"/>
        <v>0</v>
      </c>
      <c r="FV31" s="431">
        <f t="shared" si="50"/>
        <v>7992480.5747497557</v>
      </c>
      <c r="FW31" s="431">
        <f>'Concentration Limits'!$J$59</f>
        <v>34949505.547294997</v>
      </c>
      <c r="FX31" s="431">
        <f t="shared" si="51"/>
        <v>7992480.5747497557</v>
      </c>
      <c r="FY31" s="431">
        <f>VLOOKUP(BR31,'Concentration Limits'!$E$81:$H$153,4,FALSE)</f>
        <v>14</v>
      </c>
      <c r="FZ31" s="431">
        <f t="shared" si="52"/>
        <v>0</v>
      </c>
      <c r="GA31" s="431">
        <f t="shared" si="53"/>
        <v>7992480.5747497557</v>
      </c>
      <c r="GB31" s="431">
        <f>'Concentration Limits'!$J$61</f>
        <v>23299670.364863332</v>
      </c>
      <c r="GC31" s="431">
        <f t="shared" si="54"/>
        <v>7992480.5747497557</v>
      </c>
      <c r="GD31" s="429">
        <f>VLOOKUP(BR31,'Concentration Limits'!$E$81:$H$153,4,FALSE)</f>
        <v>14</v>
      </c>
      <c r="GE31" s="431">
        <f t="shared" si="55"/>
        <v>0</v>
      </c>
      <c r="GF31" s="431">
        <f t="shared" si="56"/>
        <v>7992480.5747497557</v>
      </c>
      <c r="GG31" s="431">
        <f>'Concentration Limits'!$J$64</f>
        <v>23299670.364863332</v>
      </c>
      <c r="GH31" s="431">
        <f t="shared" si="57"/>
        <v>0</v>
      </c>
      <c r="GI31" s="431">
        <f t="shared" si="58"/>
        <v>0</v>
      </c>
      <c r="GJ31" s="431">
        <f t="shared" si="59"/>
        <v>7992480.5747497557</v>
      </c>
      <c r="GK31" s="431">
        <f>'Concentration Limits'!$J$67</f>
        <v>23299670.364863332</v>
      </c>
      <c r="GL31" s="429" t="str">
        <f t="shared" si="60"/>
        <v>No</v>
      </c>
      <c r="GM31" s="431">
        <f t="shared" si="61"/>
        <v>0</v>
      </c>
      <c r="GN31" s="431">
        <f t="shared" si="62"/>
        <v>0</v>
      </c>
      <c r="GO31" s="431">
        <f t="shared" si="63"/>
        <v>7992480.5747497557</v>
      </c>
      <c r="GP31" s="431">
        <f>'Concentration Limits'!$J$68</f>
        <v>34949505.547294997</v>
      </c>
      <c r="GQ31" s="429" t="str">
        <f t="shared" si="64"/>
        <v>No</v>
      </c>
      <c r="GR31" s="431">
        <f t="shared" si="65"/>
        <v>0</v>
      </c>
      <c r="GS31" s="431">
        <f t="shared" si="66"/>
        <v>0</v>
      </c>
      <c r="GT31" s="431">
        <f t="shared" si="67"/>
        <v>7992480.5747497557</v>
      </c>
      <c r="GU31" s="429">
        <f>'Concentration Limits'!$J$69</f>
        <v>34949505.547294997</v>
      </c>
      <c r="GV31" s="429" t="str">
        <f t="shared" si="68"/>
        <v>No</v>
      </c>
      <c r="GW31" s="429">
        <f t="shared" si="69"/>
        <v>0</v>
      </c>
      <c r="GX31" s="429">
        <f t="shared" si="70"/>
        <v>0</v>
      </c>
      <c r="GY31" s="429">
        <f t="shared" si="71"/>
        <v>7992480.5747497557</v>
      </c>
      <c r="GZ31" s="429">
        <f>'Concentration Limits'!$J$70</f>
        <v>23299670.364863332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35">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46599340.729726665</v>
      </c>
      <c r="EM32" s="429" t="str">
        <f>IF(OR(D32="Second Lien",AND(D32="FILO",DI32&gt;AGENT!$C$57)), "Yes", "No")</f>
        <v>No</v>
      </c>
      <c r="EN32" s="429">
        <f t="shared" si="29"/>
        <v>0</v>
      </c>
      <c r="EO32" s="429">
        <f t="shared" si="30"/>
        <v>0</v>
      </c>
      <c r="EP32" s="429">
        <f t="shared" si="31"/>
        <v>8077912.1877550166</v>
      </c>
      <c r="EQ32" s="429">
        <f>'Concentration Limits'!$J$50</f>
        <v>23299670.364863332</v>
      </c>
      <c r="ER32" s="429">
        <f t="shared" si="32"/>
        <v>0</v>
      </c>
      <c r="ES32" s="429">
        <f t="shared" si="84"/>
        <v>0</v>
      </c>
      <c r="ET32" s="429">
        <f t="shared" si="33"/>
        <v>8077912.1877550166</v>
      </c>
      <c r="EU32" s="429">
        <f>'Concentration Limits'!$J$51</f>
        <v>69899011.094589993</v>
      </c>
      <c r="EV32" s="429" t="str">
        <f>IF(OR(D32="Second Lien", AND(D32="FILO",DI32&gt;AGENT!$C$59)), "Yes", "No")</f>
        <v>No</v>
      </c>
      <c r="EW32" s="429">
        <f t="shared" si="34"/>
        <v>0</v>
      </c>
      <c r="EX32" s="429">
        <f t="shared" si="35"/>
        <v>0</v>
      </c>
      <c r="EY32" s="429">
        <f t="shared" si="36"/>
        <v>8077912.1877550166</v>
      </c>
      <c r="EZ32" s="429">
        <f>'Concentration Limits'!$J$52</f>
        <v>34949505.547294997</v>
      </c>
      <c r="FA32" s="429" t="str">
        <f>IF(CY32&gt;'Concentration Limits'!$E$52, "No", "Yes")</f>
        <v>No</v>
      </c>
      <c r="FB32" s="429">
        <f t="shared" si="37"/>
        <v>0</v>
      </c>
      <c r="FC32" s="429">
        <f t="shared" si="38"/>
        <v>0</v>
      </c>
      <c r="FD32" s="429">
        <f t="shared" si="39"/>
        <v>8077912.1877550166</v>
      </c>
      <c r="FE32" s="430">
        <f>'Concentration Limits'!$J$54</f>
        <v>232996703.6486333</v>
      </c>
      <c r="FF32" s="430">
        <f>'Concentration Limits'!$J$55</f>
        <v>232996703.6486333</v>
      </c>
      <c r="FG32" s="430">
        <f>'Concentration Limits'!$J$56</f>
        <v>232996703.6486333</v>
      </c>
      <c r="FH32" s="431">
        <f>'Concentration Limits'!$J$57</f>
        <v>17474752.773647498</v>
      </c>
      <c r="FI32" s="431">
        <f t="shared" si="40"/>
        <v>8077912.1877550166</v>
      </c>
      <c r="FJ32" s="431">
        <f t="shared" si="41"/>
        <v>8077912.1877550166</v>
      </c>
      <c r="FK32" s="431">
        <f t="shared" si="42"/>
        <v>13</v>
      </c>
      <c r="FL32" s="431">
        <f>IF(FJ32&gt;0,RANK(FJ32,$FJ$9:$FJ$60)+COUNTIF($FJ$9:FJ32,FJ32)-1,0)</f>
        <v>13</v>
      </c>
      <c r="FM32" s="430">
        <f t="shared" si="43"/>
        <v>0</v>
      </c>
      <c r="FN32" s="430">
        <f t="shared" si="44"/>
        <v>0</v>
      </c>
      <c r="FO32" s="430">
        <f t="shared" si="45"/>
        <v>0</v>
      </c>
      <c r="FP32" s="431">
        <f t="shared" si="46"/>
        <v>0</v>
      </c>
      <c r="FQ32" s="431">
        <f t="shared" si="47"/>
        <v>8077912.1877550166</v>
      </c>
      <c r="FR32" s="431">
        <f>'Concentration Limits'!$J$58</f>
        <v>46599340.729726665</v>
      </c>
      <c r="FS32" s="431">
        <f t="shared" si="48"/>
        <v>8077912.1877550166</v>
      </c>
      <c r="FT32" s="431">
        <f>VLOOKUP(BR32,'Concentration Limits'!$E$81:$H$153,4,FALSE)</f>
        <v>13</v>
      </c>
      <c r="FU32" s="431">
        <f t="shared" si="49"/>
        <v>0</v>
      </c>
      <c r="FV32" s="431">
        <f t="shared" si="50"/>
        <v>8077912.1877550166</v>
      </c>
      <c r="FW32" s="431">
        <f>'Concentration Limits'!$J$59</f>
        <v>34949505.547294997</v>
      </c>
      <c r="FX32" s="431">
        <f t="shared" si="51"/>
        <v>8077912.1877550166</v>
      </c>
      <c r="FY32" s="431">
        <f>VLOOKUP(BR32,'Concentration Limits'!$E$81:$H$153,4,FALSE)</f>
        <v>13</v>
      </c>
      <c r="FZ32" s="431">
        <f t="shared" si="52"/>
        <v>0</v>
      </c>
      <c r="GA32" s="431">
        <f t="shared" si="53"/>
        <v>8077912.1877550166</v>
      </c>
      <c r="GB32" s="431">
        <f>'Concentration Limits'!$J$61</f>
        <v>23299670.364863332</v>
      </c>
      <c r="GC32" s="431">
        <f t="shared" si="54"/>
        <v>8077912.1877550166</v>
      </c>
      <c r="GD32" s="429">
        <f>VLOOKUP(BR32,'Concentration Limits'!$E$81:$H$153,4,FALSE)</f>
        <v>13</v>
      </c>
      <c r="GE32" s="431">
        <f t="shared" si="55"/>
        <v>0</v>
      </c>
      <c r="GF32" s="431">
        <f t="shared" si="56"/>
        <v>8077912.1877550166</v>
      </c>
      <c r="GG32" s="431">
        <f>'Concentration Limits'!$J$64</f>
        <v>23299670.364863332</v>
      </c>
      <c r="GH32" s="431">
        <f t="shared" si="57"/>
        <v>0</v>
      </c>
      <c r="GI32" s="431">
        <f t="shared" si="58"/>
        <v>0</v>
      </c>
      <c r="GJ32" s="431">
        <f t="shared" si="59"/>
        <v>8077912.1877550166</v>
      </c>
      <c r="GK32" s="431">
        <f>'Concentration Limits'!$J$67</f>
        <v>23299670.364863332</v>
      </c>
      <c r="GL32" s="429" t="str">
        <f t="shared" si="60"/>
        <v>Yes</v>
      </c>
      <c r="GM32" s="431">
        <f t="shared" si="61"/>
        <v>8077912.1877550166</v>
      </c>
      <c r="GN32" s="431">
        <f t="shared" si="62"/>
        <v>0</v>
      </c>
      <c r="GO32" s="431">
        <f t="shared" si="63"/>
        <v>8077912.1877550166</v>
      </c>
      <c r="GP32" s="431">
        <f>'Concentration Limits'!$J$68</f>
        <v>34949505.547294997</v>
      </c>
      <c r="GQ32" s="429" t="str">
        <f t="shared" si="64"/>
        <v>No</v>
      </c>
      <c r="GR32" s="431">
        <f t="shared" si="65"/>
        <v>0</v>
      </c>
      <c r="GS32" s="431">
        <f t="shared" si="66"/>
        <v>0</v>
      </c>
      <c r="GT32" s="431">
        <f t="shared" si="67"/>
        <v>8077912.1877550166</v>
      </c>
      <c r="GU32" s="429">
        <f>'Concentration Limits'!$J$69</f>
        <v>34949505.547294997</v>
      </c>
      <c r="GV32" s="429" t="str">
        <f t="shared" si="68"/>
        <v>No</v>
      </c>
      <c r="GW32" s="429">
        <f t="shared" si="69"/>
        <v>0</v>
      </c>
      <c r="GX32" s="429">
        <f t="shared" si="70"/>
        <v>0</v>
      </c>
      <c r="GY32" s="429">
        <f t="shared" si="71"/>
        <v>8077912.1877550166</v>
      </c>
      <c r="GZ32" s="429">
        <f>'Concentration Limits'!$J$70</f>
        <v>23299670.364863332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35">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46599340.729726665</v>
      </c>
      <c r="EM33" s="429" t="str">
        <f>IF(OR(D33="Second Lien",AND(D33="FILO",DI33&gt;AGENT!$C$57)), "Yes", "No")</f>
        <v>No</v>
      </c>
      <c r="EN33" s="429">
        <f t="shared" si="29"/>
        <v>0</v>
      </c>
      <c r="EO33" s="429">
        <f t="shared" si="30"/>
        <v>0</v>
      </c>
      <c r="EP33" s="429">
        <f t="shared" si="31"/>
        <v>0</v>
      </c>
      <c r="EQ33" s="429">
        <f>'Concentration Limits'!$J$50</f>
        <v>23299670.364863332</v>
      </c>
      <c r="ER33" s="429">
        <f t="shared" si="32"/>
        <v>0</v>
      </c>
      <c r="ES33" s="429">
        <f t="shared" si="84"/>
        <v>0</v>
      </c>
      <c r="ET33" s="429">
        <f t="shared" si="33"/>
        <v>0</v>
      </c>
      <c r="EU33" s="429">
        <f>'Concentration Limits'!$J$51</f>
        <v>69899011.094589993</v>
      </c>
      <c r="EV33" s="429" t="str">
        <f>IF(OR(D33="Second Lien", AND(D33="FILO",DI33&gt;AGENT!$C$59)), "Yes", "No")</f>
        <v>No</v>
      </c>
      <c r="EW33" s="429">
        <f t="shared" si="34"/>
        <v>0</v>
      </c>
      <c r="EX33" s="429">
        <f t="shared" si="35"/>
        <v>0</v>
      </c>
      <c r="EY33" s="429">
        <f t="shared" si="36"/>
        <v>0</v>
      </c>
      <c r="EZ33" s="429">
        <f>'Concentration Limits'!$J$52</f>
        <v>34949505.547294997</v>
      </c>
      <c r="FA33" s="429" t="str">
        <f>IF(CY33&gt;'Concentration Limits'!$E$52, "No", "Yes")</f>
        <v>No</v>
      </c>
      <c r="FB33" s="429">
        <f t="shared" si="37"/>
        <v>0</v>
      </c>
      <c r="FC33" s="429">
        <f t="shared" si="38"/>
        <v>0</v>
      </c>
      <c r="FD33" s="429">
        <f t="shared" si="39"/>
        <v>0</v>
      </c>
      <c r="FE33" s="430">
        <f>'Concentration Limits'!$J$54</f>
        <v>232996703.6486333</v>
      </c>
      <c r="FF33" s="430">
        <f>'Concentration Limits'!$J$55</f>
        <v>232996703.6486333</v>
      </c>
      <c r="FG33" s="430">
        <f>'Concentration Limits'!$J$56</f>
        <v>232996703.6486333</v>
      </c>
      <c r="FH33" s="431">
        <f>'Concentration Limits'!$J$57</f>
        <v>17474752.773647498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46599340.729726665</v>
      </c>
      <c r="FS33" s="431">
        <f t="shared" si="48"/>
        <v>0</v>
      </c>
      <c r="FT33" s="431" t="str">
        <f>VLOOKUP(BR33,'Concentration Limits'!$E$81:$H$153,4,FALSE)</f>
        <v/>
      </c>
      <c r="FU33" s="431">
        <f t="shared" si="49"/>
        <v>0</v>
      </c>
      <c r="FV33" s="431">
        <f t="shared" si="50"/>
        <v>0</v>
      </c>
      <c r="FW33" s="431">
        <f>'Concentration Limits'!$J$59</f>
        <v>34949505.547294997</v>
      </c>
      <c r="FX33" s="431">
        <f t="shared" si="51"/>
        <v>0</v>
      </c>
      <c r="FY33" s="431" t="str">
        <f>VLOOKUP(BR33,'Concentration Limits'!$E$81:$H$153,4,FALSE)</f>
        <v/>
      </c>
      <c r="FZ33" s="431">
        <f t="shared" si="52"/>
        <v>0</v>
      </c>
      <c r="GA33" s="431">
        <f t="shared" si="53"/>
        <v>0</v>
      </c>
      <c r="GB33" s="431">
        <f>'Concentration Limits'!$J$61</f>
        <v>23299670.364863332</v>
      </c>
      <c r="GC33" s="431">
        <f t="shared" si="54"/>
        <v>0</v>
      </c>
      <c r="GD33" s="429" t="str">
        <f>VLOOKUP(BR33,'Concentration Limits'!$E$81:$H$153,4,FALSE)</f>
        <v/>
      </c>
      <c r="GE33" s="431">
        <f t="shared" si="55"/>
        <v>0</v>
      </c>
      <c r="GF33" s="431">
        <f t="shared" si="56"/>
        <v>0</v>
      </c>
      <c r="GG33" s="431">
        <f>'Concentration Limits'!$J$64</f>
        <v>23299670.364863332</v>
      </c>
      <c r="GH33" s="431">
        <f t="shared" si="57"/>
        <v>0</v>
      </c>
      <c r="GI33" s="431">
        <f t="shared" si="58"/>
        <v>0</v>
      </c>
      <c r="GJ33" s="431">
        <f t="shared" si="59"/>
        <v>0</v>
      </c>
      <c r="GK33" s="431">
        <f>'Concentration Limits'!$J$67</f>
        <v>23299670.364863332</v>
      </c>
      <c r="GL33" s="429" t="str">
        <f t="shared" si="60"/>
        <v>No</v>
      </c>
      <c r="GM33" s="431">
        <f t="shared" si="61"/>
        <v>0</v>
      </c>
      <c r="GN33" s="431">
        <f t="shared" si="62"/>
        <v>0</v>
      </c>
      <c r="GO33" s="431">
        <f t="shared" si="63"/>
        <v>0</v>
      </c>
      <c r="GP33" s="431">
        <f>'Concentration Limits'!$J$68</f>
        <v>34949505.547294997</v>
      </c>
      <c r="GQ33" s="429" t="str">
        <f t="shared" si="64"/>
        <v>No</v>
      </c>
      <c r="GR33" s="431">
        <f t="shared" si="65"/>
        <v>0</v>
      </c>
      <c r="GS33" s="431">
        <f t="shared" si="66"/>
        <v>0</v>
      </c>
      <c r="GT33" s="431">
        <f t="shared" si="67"/>
        <v>0</v>
      </c>
      <c r="GU33" s="429">
        <f>'Concentration Limits'!$J$69</f>
        <v>34949505.547294997</v>
      </c>
      <c r="GV33" s="429" t="str">
        <f t="shared" si="68"/>
        <v>No</v>
      </c>
      <c r="GW33" s="429">
        <f t="shared" si="69"/>
        <v>0</v>
      </c>
      <c r="GX33" s="429">
        <f t="shared" si="70"/>
        <v>0</v>
      </c>
      <c r="GY33" s="429">
        <f t="shared" si="71"/>
        <v>0</v>
      </c>
      <c r="GZ33" s="429">
        <f>'Concentration Limits'!$J$70</f>
        <v>23299670.364863332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35">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46599340.729726665</v>
      </c>
      <c r="EM34" s="429" t="str">
        <f>IF(OR(D34="Second Lien",AND(D34="FILO",DI34&gt;AGENT!$C$57)), "Yes", "No")</f>
        <v>No</v>
      </c>
      <c r="EN34" s="429">
        <f t="shared" si="29"/>
        <v>0</v>
      </c>
      <c r="EO34" s="429">
        <f t="shared" si="30"/>
        <v>0</v>
      </c>
      <c r="EP34" s="429">
        <f t="shared" si="31"/>
        <v>0</v>
      </c>
      <c r="EQ34" s="429">
        <f>'Concentration Limits'!$J$50</f>
        <v>23299670.364863332</v>
      </c>
      <c r="ER34" s="429">
        <f t="shared" si="32"/>
        <v>0</v>
      </c>
      <c r="ES34" s="429">
        <f t="shared" si="84"/>
        <v>0</v>
      </c>
      <c r="ET34" s="429">
        <f t="shared" si="33"/>
        <v>0</v>
      </c>
      <c r="EU34" s="429">
        <f>'Concentration Limits'!$J$51</f>
        <v>69899011.094589993</v>
      </c>
      <c r="EV34" s="429" t="str">
        <f>IF(OR(D34="Second Lien", AND(D34="FILO",DI34&gt;AGENT!$C$59)), "Yes", "No")</f>
        <v>No</v>
      </c>
      <c r="EW34" s="429">
        <f t="shared" si="34"/>
        <v>0</v>
      </c>
      <c r="EX34" s="429">
        <f t="shared" si="35"/>
        <v>0</v>
      </c>
      <c r="EY34" s="429">
        <f t="shared" si="36"/>
        <v>0</v>
      </c>
      <c r="EZ34" s="429">
        <f>'Concentration Limits'!$J$52</f>
        <v>34949505.547294997</v>
      </c>
      <c r="FA34" s="429" t="str">
        <f>IF(CY34&gt;'Concentration Limits'!$E$52, "No", "Yes")</f>
        <v>Yes</v>
      </c>
      <c r="FB34" s="429">
        <f t="shared" si="37"/>
        <v>0</v>
      </c>
      <c r="FC34" s="429">
        <f t="shared" si="38"/>
        <v>0</v>
      </c>
      <c r="FD34" s="429">
        <f t="shared" si="39"/>
        <v>0</v>
      </c>
      <c r="FE34" s="430">
        <f>'Concentration Limits'!$J$54</f>
        <v>232996703.6486333</v>
      </c>
      <c r="FF34" s="430">
        <f>'Concentration Limits'!$J$55</f>
        <v>232996703.6486333</v>
      </c>
      <c r="FG34" s="430">
        <f>'Concentration Limits'!$J$56</f>
        <v>232996703.6486333</v>
      </c>
      <c r="FH34" s="431">
        <f>'Concentration Limits'!$J$57</f>
        <v>17474752.773647498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46599340.729726665</v>
      </c>
      <c r="FS34" s="431">
        <f t="shared" si="48"/>
        <v>0</v>
      </c>
      <c r="FT34" s="431" t="str">
        <f>VLOOKUP(BR34,'Concentration Limits'!$E$81:$H$153,4,FALSE)</f>
        <v/>
      </c>
      <c r="FU34" s="431">
        <f t="shared" si="49"/>
        <v>0</v>
      </c>
      <c r="FV34" s="431">
        <f t="shared" si="50"/>
        <v>0</v>
      </c>
      <c r="FW34" s="431">
        <f>'Concentration Limits'!$J$59</f>
        <v>34949505.547294997</v>
      </c>
      <c r="FX34" s="431">
        <f t="shared" si="51"/>
        <v>0</v>
      </c>
      <c r="FY34" s="431" t="str">
        <f>VLOOKUP(BR34,'Concentration Limits'!$E$81:$H$153,4,FALSE)</f>
        <v/>
      </c>
      <c r="FZ34" s="431">
        <f t="shared" si="52"/>
        <v>0</v>
      </c>
      <c r="GA34" s="431">
        <f t="shared" si="53"/>
        <v>0</v>
      </c>
      <c r="GB34" s="431">
        <f>'Concentration Limits'!$J$61</f>
        <v>23299670.364863332</v>
      </c>
      <c r="GC34" s="431">
        <f t="shared" si="54"/>
        <v>0</v>
      </c>
      <c r="GD34" s="429" t="str">
        <f>VLOOKUP(BR34,'Concentration Limits'!$E$81:$H$153,4,FALSE)</f>
        <v/>
      </c>
      <c r="GE34" s="431">
        <f t="shared" si="55"/>
        <v>0</v>
      </c>
      <c r="GF34" s="431">
        <f t="shared" si="56"/>
        <v>0</v>
      </c>
      <c r="GG34" s="431">
        <f>'Concentration Limits'!$J$64</f>
        <v>23299670.364863332</v>
      </c>
      <c r="GH34" s="431">
        <f t="shared" si="57"/>
        <v>0</v>
      </c>
      <c r="GI34" s="431">
        <f t="shared" si="58"/>
        <v>0</v>
      </c>
      <c r="GJ34" s="431">
        <f t="shared" si="59"/>
        <v>0</v>
      </c>
      <c r="GK34" s="431">
        <f>'Concentration Limits'!$J$67</f>
        <v>23299670.364863332</v>
      </c>
      <c r="GL34" s="429" t="str">
        <f t="shared" si="60"/>
        <v>No</v>
      </c>
      <c r="GM34" s="431">
        <f t="shared" si="61"/>
        <v>0</v>
      </c>
      <c r="GN34" s="431">
        <f t="shared" si="62"/>
        <v>0</v>
      </c>
      <c r="GO34" s="431">
        <f t="shared" si="63"/>
        <v>0</v>
      </c>
      <c r="GP34" s="431">
        <f>'Concentration Limits'!$J$68</f>
        <v>34949505.547294997</v>
      </c>
      <c r="GQ34" s="429" t="str">
        <f t="shared" si="64"/>
        <v>No</v>
      </c>
      <c r="GR34" s="431">
        <f t="shared" si="65"/>
        <v>0</v>
      </c>
      <c r="GS34" s="431">
        <f t="shared" si="66"/>
        <v>0</v>
      </c>
      <c r="GT34" s="431">
        <f t="shared" si="67"/>
        <v>0</v>
      </c>
      <c r="GU34" s="429">
        <f>'Concentration Limits'!$J$69</f>
        <v>34949505.547294997</v>
      </c>
      <c r="GV34" s="429" t="str">
        <f t="shared" si="68"/>
        <v>No</v>
      </c>
      <c r="GW34" s="429">
        <f t="shared" si="69"/>
        <v>0</v>
      </c>
      <c r="GX34" s="429">
        <f t="shared" si="70"/>
        <v>0</v>
      </c>
      <c r="GY34" s="429">
        <f t="shared" si="71"/>
        <v>0</v>
      </c>
      <c r="GZ34" s="429">
        <f>'Concentration Limits'!$J$70</f>
        <v>23299670.364863332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35">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46599340.729726665</v>
      </c>
      <c r="EM35" s="429" t="str">
        <f>IF(OR(D35="Second Lien",AND(D35="FILO",DI35&gt;AGENT!$C$57)), "Yes", "No")</f>
        <v>No</v>
      </c>
      <c r="EN35" s="429">
        <f t="shared" si="29"/>
        <v>0</v>
      </c>
      <c r="EO35" s="429">
        <f t="shared" si="30"/>
        <v>0</v>
      </c>
      <c r="EP35" s="429">
        <f t="shared" si="31"/>
        <v>4666942.9311727853</v>
      </c>
      <c r="EQ35" s="429">
        <f>'Concentration Limits'!$J$50</f>
        <v>23299670.364863332</v>
      </c>
      <c r="ER35" s="429">
        <f t="shared" si="32"/>
        <v>0</v>
      </c>
      <c r="ES35" s="429">
        <f t="shared" si="84"/>
        <v>0</v>
      </c>
      <c r="ET35" s="429">
        <f t="shared" si="33"/>
        <v>4666942.9311727853</v>
      </c>
      <c r="EU35" s="429">
        <f>'Concentration Limits'!$J$51</f>
        <v>69899011.094589993</v>
      </c>
      <c r="EV35" s="429" t="str">
        <f>IF(OR(D35="Second Lien", AND(D35="FILO",DI35&gt;AGENT!$C$59)), "Yes", "No")</f>
        <v>No</v>
      </c>
      <c r="EW35" s="429">
        <f t="shared" si="34"/>
        <v>0</v>
      </c>
      <c r="EX35" s="429">
        <f t="shared" si="35"/>
        <v>0</v>
      </c>
      <c r="EY35" s="429">
        <f t="shared" si="36"/>
        <v>4666942.9311727853</v>
      </c>
      <c r="EZ35" s="429">
        <f>'Concentration Limits'!$J$52</f>
        <v>34949505.547294997</v>
      </c>
      <c r="FA35" s="429" t="str">
        <f>IF(CY35&gt;'Concentration Limits'!$E$52, "No", "Yes")</f>
        <v>No</v>
      </c>
      <c r="FB35" s="429">
        <f t="shared" si="37"/>
        <v>0</v>
      </c>
      <c r="FC35" s="429">
        <f t="shared" si="38"/>
        <v>0</v>
      </c>
      <c r="FD35" s="429">
        <f t="shared" si="39"/>
        <v>4666942.9311727853</v>
      </c>
      <c r="FE35" s="430">
        <f>'Concentration Limits'!$J$54</f>
        <v>232996703.6486333</v>
      </c>
      <c r="FF35" s="430">
        <f>'Concentration Limits'!$J$55</f>
        <v>232996703.6486333</v>
      </c>
      <c r="FG35" s="430">
        <f>'Concentration Limits'!$J$56</f>
        <v>232996703.6486333</v>
      </c>
      <c r="FH35" s="431">
        <f>'Concentration Limits'!$J$57</f>
        <v>17474752.773647498</v>
      </c>
      <c r="FI35" s="431">
        <f t="shared" si="40"/>
        <v>4666942.9311727853</v>
      </c>
      <c r="FJ35" s="431">
        <f t="shared" si="41"/>
        <v>4666942.9311727853</v>
      </c>
      <c r="FK35" s="431">
        <f t="shared" si="42"/>
        <v>21</v>
      </c>
      <c r="FL35" s="431">
        <f>IF(FJ35&gt;0,RANK(FJ35,$FJ$9:$FJ$60)+COUNTIF($FJ$9:FJ35,FJ35)-1,0)</f>
        <v>21</v>
      </c>
      <c r="FM35" s="430">
        <f t="shared" si="43"/>
        <v>0</v>
      </c>
      <c r="FN35" s="430">
        <f t="shared" si="44"/>
        <v>0</v>
      </c>
      <c r="FO35" s="430">
        <f t="shared" si="45"/>
        <v>0</v>
      </c>
      <c r="FP35" s="431">
        <f t="shared" si="46"/>
        <v>0</v>
      </c>
      <c r="FQ35" s="431">
        <f t="shared" si="47"/>
        <v>4666942.9311727853</v>
      </c>
      <c r="FR35" s="431">
        <f>'Concentration Limits'!$J$58</f>
        <v>46599340.729726665</v>
      </c>
      <c r="FS35" s="431">
        <f t="shared" si="48"/>
        <v>22141695.704820283</v>
      </c>
      <c r="FT35" s="431">
        <f>VLOOKUP(BR35,'Concentration Limits'!$E$81:$H$153,4,FALSE)</f>
        <v>3</v>
      </c>
      <c r="FU35" s="431">
        <f t="shared" si="49"/>
        <v>0</v>
      </c>
      <c r="FV35" s="431">
        <f t="shared" si="50"/>
        <v>4666942.9311727853</v>
      </c>
      <c r="FW35" s="431">
        <f>'Concentration Limits'!$J$59</f>
        <v>34949505.547294997</v>
      </c>
      <c r="FX35" s="431">
        <f t="shared" si="51"/>
        <v>22141695.704820283</v>
      </c>
      <c r="FY35" s="431">
        <f>VLOOKUP(BR35,'Concentration Limits'!$E$81:$H$153,4,FALSE)</f>
        <v>3</v>
      </c>
      <c r="FZ35" s="431">
        <f t="shared" si="52"/>
        <v>0</v>
      </c>
      <c r="GA35" s="431">
        <f t="shared" si="53"/>
        <v>4666942.9311727853</v>
      </c>
      <c r="GB35" s="431">
        <f>'Concentration Limits'!$J$61</f>
        <v>23299670.364863332</v>
      </c>
      <c r="GC35" s="431">
        <f t="shared" si="54"/>
        <v>22141695.704820283</v>
      </c>
      <c r="GD35" s="429">
        <f>VLOOKUP(BR35,'Concentration Limits'!$E$81:$H$153,4,FALSE)</f>
        <v>3</v>
      </c>
      <c r="GE35" s="431">
        <f t="shared" si="55"/>
        <v>0</v>
      </c>
      <c r="GF35" s="431">
        <f t="shared" si="56"/>
        <v>4666942.9311727853</v>
      </c>
      <c r="GG35" s="431">
        <f>'Concentration Limits'!$J$64</f>
        <v>23299670.364863332</v>
      </c>
      <c r="GH35" s="431">
        <f t="shared" si="57"/>
        <v>0</v>
      </c>
      <c r="GI35" s="431">
        <f t="shared" si="58"/>
        <v>0</v>
      </c>
      <c r="GJ35" s="431">
        <f t="shared" si="59"/>
        <v>4666942.9311727853</v>
      </c>
      <c r="GK35" s="431">
        <f>'Concentration Limits'!$J$67</f>
        <v>23299670.364863332</v>
      </c>
      <c r="GL35" s="429" t="str">
        <f t="shared" si="60"/>
        <v>No</v>
      </c>
      <c r="GM35" s="431">
        <f t="shared" si="61"/>
        <v>0</v>
      </c>
      <c r="GN35" s="431">
        <f t="shared" si="62"/>
        <v>0</v>
      </c>
      <c r="GO35" s="431">
        <f t="shared" si="63"/>
        <v>4666942.9311727853</v>
      </c>
      <c r="GP35" s="431">
        <f>'Concentration Limits'!$J$68</f>
        <v>34949505.547294997</v>
      </c>
      <c r="GQ35" s="429" t="str">
        <f t="shared" si="64"/>
        <v>No</v>
      </c>
      <c r="GR35" s="431">
        <f t="shared" si="65"/>
        <v>0</v>
      </c>
      <c r="GS35" s="431">
        <f t="shared" si="66"/>
        <v>0</v>
      </c>
      <c r="GT35" s="431">
        <f t="shared" si="67"/>
        <v>4666942.9311727853</v>
      </c>
      <c r="GU35" s="429">
        <f>'Concentration Limits'!$J$69</f>
        <v>34949505.547294997</v>
      </c>
      <c r="GV35" s="429" t="str">
        <f t="shared" si="68"/>
        <v>No</v>
      </c>
      <c r="GW35" s="429">
        <f t="shared" si="69"/>
        <v>0</v>
      </c>
      <c r="GX35" s="429">
        <f t="shared" si="70"/>
        <v>0</v>
      </c>
      <c r="GY35" s="429">
        <f t="shared" si="71"/>
        <v>4666942.9311727853</v>
      </c>
      <c r="GZ35" s="429">
        <f>'Concentration Limits'!$J$70</f>
        <v>23299670.364863332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35">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46599340.729726665</v>
      </c>
      <c r="EM36" s="429" t="str">
        <f>IF(OR(D36="Second Lien",AND(D36="FILO",DI36&gt;AGENT!$C$57)), "Yes", "No")</f>
        <v>No</v>
      </c>
      <c r="EN36" s="429">
        <f t="shared" si="29"/>
        <v>0</v>
      </c>
      <c r="EO36" s="429">
        <f t="shared" si="30"/>
        <v>0</v>
      </c>
      <c r="EP36" s="429">
        <f t="shared" si="31"/>
        <v>0</v>
      </c>
      <c r="EQ36" s="429">
        <f>'Concentration Limits'!$J$50</f>
        <v>23299670.364863332</v>
      </c>
      <c r="ER36" s="429">
        <f t="shared" si="32"/>
        <v>0</v>
      </c>
      <c r="ES36" s="429">
        <f t="shared" si="84"/>
        <v>0</v>
      </c>
      <c r="ET36" s="429">
        <f t="shared" si="33"/>
        <v>0</v>
      </c>
      <c r="EU36" s="429">
        <f>'Concentration Limits'!$J$51</f>
        <v>69899011.094589993</v>
      </c>
      <c r="EV36" s="429" t="str">
        <f>IF(OR(D36="Second Lien", AND(D36="FILO",DI36&gt;AGENT!$C$59)), "Yes", "No")</f>
        <v>No</v>
      </c>
      <c r="EW36" s="429">
        <f t="shared" si="34"/>
        <v>0</v>
      </c>
      <c r="EX36" s="429">
        <f t="shared" si="35"/>
        <v>0</v>
      </c>
      <c r="EY36" s="429">
        <f t="shared" si="36"/>
        <v>0</v>
      </c>
      <c r="EZ36" s="429">
        <f>'Concentration Limits'!$J$52</f>
        <v>34949505.547294997</v>
      </c>
      <c r="FA36" s="429" t="str">
        <f>IF(CY36&gt;'Concentration Limits'!$E$52, "No", "Yes")</f>
        <v>Yes</v>
      </c>
      <c r="FB36" s="429">
        <f t="shared" si="37"/>
        <v>0</v>
      </c>
      <c r="FC36" s="429">
        <f t="shared" si="38"/>
        <v>0</v>
      </c>
      <c r="FD36" s="429">
        <f t="shared" si="39"/>
        <v>0</v>
      </c>
      <c r="FE36" s="430">
        <f>'Concentration Limits'!$J$54</f>
        <v>232996703.6486333</v>
      </c>
      <c r="FF36" s="430">
        <f>'Concentration Limits'!$J$55</f>
        <v>232996703.6486333</v>
      </c>
      <c r="FG36" s="430">
        <f>'Concentration Limits'!$J$56</f>
        <v>232996703.6486333</v>
      </c>
      <c r="FH36" s="431">
        <f>'Concentration Limits'!$J$57</f>
        <v>17474752.773647498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46599340.729726665</v>
      </c>
      <c r="FS36" s="431">
        <f t="shared" si="48"/>
        <v>10331560.995420478</v>
      </c>
      <c r="FT36" s="431">
        <f>VLOOKUP(BR36,'Concentration Limits'!$E$81:$H$153,4,FALSE)</f>
        <v>12</v>
      </c>
      <c r="FU36" s="431">
        <f t="shared" si="49"/>
        <v>0</v>
      </c>
      <c r="FV36" s="431">
        <f t="shared" si="50"/>
        <v>0</v>
      </c>
      <c r="FW36" s="431">
        <f>'Concentration Limits'!$J$59</f>
        <v>34949505.547294997</v>
      </c>
      <c r="FX36" s="431">
        <f t="shared" si="51"/>
        <v>10331560.995420478</v>
      </c>
      <c r="FY36" s="431">
        <f>VLOOKUP(BR36,'Concentration Limits'!$E$81:$H$153,4,FALSE)</f>
        <v>12</v>
      </c>
      <c r="FZ36" s="431">
        <f t="shared" si="52"/>
        <v>0</v>
      </c>
      <c r="GA36" s="431">
        <f t="shared" si="53"/>
        <v>0</v>
      </c>
      <c r="GB36" s="431">
        <f>'Concentration Limits'!$J$61</f>
        <v>23299670.364863332</v>
      </c>
      <c r="GC36" s="431">
        <f t="shared" si="54"/>
        <v>10331560.995420478</v>
      </c>
      <c r="GD36" s="429">
        <f>VLOOKUP(BR36,'Concentration Limits'!$E$81:$H$153,4,FALSE)</f>
        <v>12</v>
      </c>
      <c r="GE36" s="431">
        <f t="shared" si="55"/>
        <v>0</v>
      </c>
      <c r="GF36" s="431">
        <f t="shared" si="56"/>
        <v>0</v>
      </c>
      <c r="GG36" s="431">
        <f>'Concentration Limits'!$J$64</f>
        <v>23299670.364863332</v>
      </c>
      <c r="GH36" s="431">
        <f t="shared" si="57"/>
        <v>0</v>
      </c>
      <c r="GI36" s="431">
        <f t="shared" si="58"/>
        <v>0</v>
      </c>
      <c r="GJ36" s="431">
        <f t="shared" si="59"/>
        <v>0</v>
      </c>
      <c r="GK36" s="431">
        <f>'Concentration Limits'!$J$67</f>
        <v>23299670.364863332</v>
      </c>
      <c r="GL36" s="429" t="str">
        <f t="shared" si="60"/>
        <v>No</v>
      </c>
      <c r="GM36" s="431">
        <f t="shared" si="61"/>
        <v>0</v>
      </c>
      <c r="GN36" s="431">
        <f t="shared" si="62"/>
        <v>0</v>
      </c>
      <c r="GO36" s="431">
        <f t="shared" si="63"/>
        <v>0</v>
      </c>
      <c r="GP36" s="431">
        <f>'Concentration Limits'!$J$68</f>
        <v>34949505.547294997</v>
      </c>
      <c r="GQ36" s="429" t="str">
        <f t="shared" si="64"/>
        <v>No</v>
      </c>
      <c r="GR36" s="431">
        <f t="shared" si="65"/>
        <v>0</v>
      </c>
      <c r="GS36" s="431">
        <f t="shared" si="66"/>
        <v>0</v>
      </c>
      <c r="GT36" s="431">
        <f t="shared" si="67"/>
        <v>0</v>
      </c>
      <c r="GU36" s="429">
        <f>'Concentration Limits'!$J$69</f>
        <v>34949505.547294997</v>
      </c>
      <c r="GV36" s="429" t="str">
        <f t="shared" si="68"/>
        <v>Yes</v>
      </c>
      <c r="GW36" s="429">
        <f t="shared" si="69"/>
        <v>12656117.589817706</v>
      </c>
      <c r="GX36" s="429">
        <f t="shared" si="70"/>
        <v>0</v>
      </c>
      <c r="GY36" s="429">
        <f t="shared" si="71"/>
        <v>0</v>
      </c>
      <c r="GZ36" s="429">
        <f>'Concentration Limits'!$J$70</f>
        <v>23299670.364863332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35">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46599340.729726665</v>
      </c>
      <c r="EM37" s="429" t="str">
        <f>IF(OR(D37="Second Lien",AND(D37="FILO",DI37&gt;AGENT!$C$57)), "Yes", "No")</f>
        <v>No</v>
      </c>
      <c r="EN37" s="429">
        <f t="shared" si="29"/>
        <v>0</v>
      </c>
      <c r="EO37" s="429">
        <f t="shared" si="30"/>
        <v>0</v>
      </c>
      <c r="EP37" s="429">
        <f t="shared" si="31"/>
        <v>0</v>
      </c>
      <c r="EQ37" s="429">
        <f>'Concentration Limits'!$J$50</f>
        <v>23299670.364863332</v>
      </c>
      <c r="ER37" s="429">
        <f t="shared" si="32"/>
        <v>0</v>
      </c>
      <c r="ES37" s="429">
        <f t="shared" si="84"/>
        <v>0</v>
      </c>
      <c r="ET37" s="429">
        <f t="shared" si="33"/>
        <v>0</v>
      </c>
      <c r="EU37" s="429">
        <f>'Concentration Limits'!$J$51</f>
        <v>69899011.094589993</v>
      </c>
      <c r="EV37" s="429" t="str">
        <f>IF(OR(D37="Second Lien", AND(D37="FILO",DI37&gt;AGENT!$C$59)), "Yes", "No")</f>
        <v>No</v>
      </c>
      <c r="EW37" s="429">
        <f t="shared" si="34"/>
        <v>0</v>
      </c>
      <c r="EX37" s="429">
        <f t="shared" si="35"/>
        <v>0</v>
      </c>
      <c r="EY37" s="429">
        <f t="shared" si="36"/>
        <v>0</v>
      </c>
      <c r="EZ37" s="429">
        <f>'Concentration Limits'!$J$52</f>
        <v>34949505.547294997</v>
      </c>
      <c r="FA37" s="429" t="str">
        <f>IF(CY37&gt;'Concentration Limits'!$E$52, "No", "Yes")</f>
        <v>Yes</v>
      </c>
      <c r="FB37" s="429">
        <f t="shared" si="37"/>
        <v>0</v>
      </c>
      <c r="FC37" s="429">
        <f t="shared" si="38"/>
        <v>0</v>
      </c>
      <c r="FD37" s="429">
        <f t="shared" si="39"/>
        <v>0</v>
      </c>
      <c r="FE37" s="430">
        <f>'Concentration Limits'!$J$54</f>
        <v>232996703.6486333</v>
      </c>
      <c r="FF37" s="430">
        <f>'Concentration Limits'!$J$55</f>
        <v>232996703.6486333</v>
      </c>
      <c r="FG37" s="430">
        <f>'Concentration Limits'!$J$56</f>
        <v>232996703.6486333</v>
      </c>
      <c r="FH37" s="431">
        <f>'Concentration Limits'!$J$57</f>
        <v>17474752.773647498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46599340.729726665</v>
      </c>
      <c r="FS37" s="431">
        <f t="shared" si="48"/>
        <v>0</v>
      </c>
      <c r="FT37" s="431" t="str">
        <f>VLOOKUP(BR37,'Concentration Limits'!$E$81:$H$153,4,FALSE)</f>
        <v/>
      </c>
      <c r="FU37" s="431">
        <f t="shared" si="49"/>
        <v>0</v>
      </c>
      <c r="FV37" s="431">
        <f t="shared" si="50"/>
        <v>0</v>
      </c>
      <c r="FW37" s="431">
        <f>'Concentration Limits'!$J$59</f>
        <v>34949505.547294997</v>
      </c>
      <c r="FX37" s="431">
        <f t="shared" si="51"/>
        <v>0</v>
      </c>
      <c r="FY37" s="431" t="str">
        <f>VLOOKUP(BR37,'Concentration Limits'!$E$81:$H$153,4,FALSE)</f>
        <v/>
      </c>
      <c r="FZ37" s="431">
        <f t="shared" si="52"/>
        <v>0</v>
      </c>
      <c r="GA37" s="431">
        <f t="shared" si="53"/>
        <v>0</v>
      </c>
      <c r="GB37" s="431">
        <f>'Concentration Limits'!$J$61</f>
        <v>23299670.364863332</v>
      </c>
      <c r="GC37" s="431">
        <f t="shared" si="54"/>
        <v>0</v>
      </c>
      <c r="GD37" s="429" t="str">
        <f>VLOOKUP(BR37,'Concentration Limits'!$E$81:$H$153,4,FALSE)</f>
        <v/>
      </c>
      <c r="GE37" s="431">
        <f t="shared" si="55"/>
        <v>0</v>
      </c>
      <c r="GF37" s="431">
        <f t="shared" si="56"/>
        <v>0</v>
      </c>
      <c r="GG37" s="431">
        <f>'Concentration Limits'!$J$64</f>
        <v>23299670.364863332</v>
      </c>
      <c r="GH37" s="431">
        <f t="shared" si="57"/>
        <v>0</v>
      </c>
      <c r="GI37" s="431">
        <f t="shared" si="58"/>
        <v>0</v>
      </c>
      <c r="GJ37" s="431">
        <f t="shared" si="59"/>
        <v>0</v>
      </c>
      <c r="GK37" s="431">
        <f>'Concentration Limits'!$J$67</f>
        <v>23299670.364863332</v>
      </c>
      <c r="GL37" s="429" t="str">
        <f t="shared" si="60"/>
        <v>No</v>
      </c>
      <c r="GM37" s="431">
        <f t="shared" si="61"/>
        <v>0</v>
      </c>
      <c r="GN37" s="431">
        <f t="shared" si="62"/>
        <v>0</v>
      </c>
      <c r="GO37" s="431">
        <f t="shared" si="63"/>
        <v>0</v>
      </c>
      <c r="GP37" s="431">
        <f>'Concentration Limits'!$J$68</f>
        <v>34949505.547294997</v>
      </c>
      <c r="GQ37" s="429" t="str">
        <f t="shared" si="64"/>
        <v>No</v>
      </c>
      <c r="GR37" s="431">
        <f t="shared" si="65"/>
        <v>0</v>
      </c>
      <c r="GS37" s="431">
        <f t="shared" si="66"/>
        <v>0</v>
      </c>
      <c r="GT37" s="431">
        <f t="shared" si="67"/>
        <v>0</v>
      </c>
      <c r="GU37" s="429">
        <f>'Concentration Limits'!$J$69</f>
        <v>34949505.547294997</v>
      </c>
      <c r="GV37" s="429" t="str">
        <f t="shared" si="68"/>
        <v>No</v>
      </c>
      <c r="GW37" s="429">
        <f t="shared" si="69"/>
        <v>0</v>
      </c>
      <c r="GX37" s="429">
        <f t="shared" si="70"/>
        <v>0</v>
      </c>
      <c r="GY37" s="429">
        <f t="shared" si="71"/>
        <v>0</v>
      </c>
      <c r="GZ37" s="429">
        <f>'Concentration Limits'!$J$70</f>
        <v>23299670.364863332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35">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46599340.729726665</v>
      </c>
      <c r="EM38" s="429" t="str">
        <f>IF(OR(D38="Second Lien",AND(D38="FILO",DI38&gt;AGENT!$C$57)), "Yes", "No")</f>
        <v>No</v>
      </c>
      <c r="EN38" s="429">
        <f t="shared" si="29"/>
        <v>0</v>
      </c>
      <c r="EO38" s="429">
        <f t="shared" si="30"/>
        <v>0</v>
      </c>
      <c r="EP38" s="429">
        <f t="shared" si="31"/>
        <v>11328458.381135054</v>
      </c>
      <c r="EQ38" s="429">
        <f>'Concentration Limits'!$J$50</f>
        <v>23299670.364863332</v>
      </c>
      <c r="ER38" s="429">
        <f t="shared" si="32"/>
        <v>0</v>
      </c>
      <c r="ES38" s="429">
        <f t="shared" si="84"/>
        <v>0</v>
      </c>
      <c r="ET38" s="429">
        <f t="shared" si="33"/>
        <v>11328458.381135054</v>
      </c>
      <c r="EU38" s="429">
        <f>'Concentration Limits'!$J$51</f>
        <v>69899011.094589993</v>
      </c>
      <c r="EV38" s="429" t="str">
        <f>IF(OR(D38="Second Lien", AND(D38="FILO",DI38&gt;AGENT!$C$59)), "Yes", "No")</f>
        <v>No</v>
      </c>
      <c r="EW38" s="429">
        <f t="shared" si="34"/>
        <v>0</v>
      </c>
      <c r="EX38" s="429">
        <f t="shared" si="35"/>
        <v>0</v>
      </c>
      <c r="EY38" s="429">
        <f t="shared" si="36"/>
        <v>11328458.381135054</v>
      </c>
      <c r="EZ38" s="429">
        <f>'Concentration Limits'!$J$52</f>
        <v>34949505.547294997</v>
      </c>
      <c r="FA38" s="429" t="str">
        <f>IF(CY38&gt;'Concentration Limits'!$E$52, "No", "Yes")</f>
        <v>No</v>
      </c>
      <c r="FB38" s="429">
        <f t="shared" si="37"/>
        <v>0</v>
      </c>
      <c r="FC38" s="429">
        <f t="shared" si="38"/>
        <v>0</v>
      </c>
      <c r="FD38" s="429">
        <f t="shared" si="39"/>
        <v>11328458.381135054</v>
      </c>
      <c r="FE38" s="430">
        <f>'Concentration Limits'!$J$54</f>
        <v>232996703.6486333</v>
      </c>
      <c r="FF38" s="430">
        <f>'Concentration Limits'!$J$55</f>
        <v>232996703.6486333</v>
      </c>
      <c r="FG38" s="430">
        <f>'Concentration Limits'!$J$56</f>
        <v>232996703.6486333</v>
      </c>
      <c r="FH38" s="431">
        <f>'Concentration Limits'!$J$57</f>
        <v>17474752.773647498</v>
      </c>
      <c r="FI38" s="431">
        <f t="shared" si="40"/>
        <v>11328458.381135054</v>
      </c>
      <c r="FJ38" s="431">
        <f t="shared" si="41"/>
        <v>11328458.381135054</v>
      </c>
      <c r="FK38" s="431">
        <f t="shared" si="42"/>
        <v>8</v>
      </c>
      <c r="FL38" s="431">
        <f>IF(FJ38&gt;0,RANK(FJ38,$FJ$9:$FJ$60)+COUNTIF($FJ$9:FJ38,FJ38)-1,0)</f>
        <v>8</v>
      </c>
      <c r="FM38" s="430">
        <f t="shared" si="43"/>
        <v>0</v>
      </c>
      <c r="FN38" s="430">
        <f t="shared" si="44"/>
        <v>0</v>
      </c>
      <c r="FO38" s="430">
        <f t="shared" si="45"/>
        <v>0</v>
      </c>
      <c r="FP38" s="431">
        <f t="shared" si="46"/>
        <v>0</v>
      </c>
      <c r="FQ38" s="431">
        <f t="shared" si="47"/>
        <v>11328458.381135054</v>
      </c>
      <c r="FR38" s="431">
        <f>'Concentration Limits'!$J$58</f>
        <v>46599340.729726665</v>
      </c>
      <c r="FS38" s="431">
        <f t="shared" si="48"/>
        <v>11328458.381135054</v>
      </c>
      <c r="FT38" s="431">
        <f>VLOOKUP(BR38,'Concentration Limits'!$E$81:$H$153,4,FALSE)</f>
        <v>11</v>
      </c>
      <c r="FU38" s="431">
        <f t="shared" si="49"/>
        <v>0</v>
      </c>
      <c r="FV38" s="431">
        <f t="shared" si="50"/>
        <v>11328458.381135054</v>
      </c>
      <c r="FW38" s="431">
        <f>'Concentration Limits'!$J$59</f>
        <v>34949505.547294997</v>
      </c>
      <c r="FX38" s="431">
        <f t="shared" si="51"/>
        <v>11328458.381135054</v>
      </c>
      <c r="FY38" s="431">
        <f>VLOOKUP(BR38,'Concentration Limits'!$E$81:$H$153,4,FALSE)</f>
        <v>11</v>
      </c>
      <c r="FZ38" s="431">
        <f t="shared" si="52"/>
        <v>0</v>
      </c>
      <c r="GA38" s="431">
        <f t="shared" si="53"/>
        <v>11328458.381135054</v>
      </c>
      <c r="GB38" s="431">
        <f>'Concentration Limits'!$J$61</f>
        <v>23299670.364863332</v>
      </c>
      <c r="GC38" s="431">
        <f t="shared" si="54"/>
        <v>11328458.381135054</v>
      </c>
      <c r="GD38" s="429">
        <f>VLOOKUP(BR38,'Concentration Limits'!$E$81:$H$153,4,FALSE)</f>
        <v>11</v>
      </c>
      <c r="GE38" s="431">
        <f t="shared" si="55"/>
        <v>0</v>
      </c>
      <c r="GF38" s="431">
        <f t="shared" si="56"/>
        <v>11328458.381135054</v>
      </c>
      <c r="GG38" s="431">
        <f>'Concentration Limits'!$J$64</f>
        <v>23299670.364863332</v>
      </c>
      <c r="GH38" s="431">
        <f t="shared" si="57"/>
        <v>0</v>
      </c>
      <c r="GI38" s="431">
        <f t="shared" si="58"/>
        <v>0</v>
      </c>
      <c r="GJ38" s="431">
        <f t="shared" si="59"/>
        <v>11328458.381135054</v>
      </c>
      <c r="GK38" s="431">
        <f>'Concentration Limits'!$J$67</f>
        <v>23299670.364863332</v>
      </c>
      <c r="GL38" s="429" t="str">
        <f t="shared" si="60"/>
        <v>No</v>
      </c>
      <c r="GM38" s="431">
        <f t="shared" si="61"/>
        <v>0</v>
      </c>
      <c r="GN38" s="431">
        <f t="shared" si="62"/>
        <v>0</v>
      </c>
      <c r="GO38" s="431">
        <f t="shared" si="63"/>
        <v>11328458.381135054</v>
      </c>
      <c r="GP38" s="431">
        <f>'Concentration Limits'!$J$68</f>
        <v>34949505.547294997</v>
      </c>
      <c r="GQ38" s="429" t="str">
        <f t="shared" si="64"/>
        <v>No</v>
      </c>
      <c r="GR38" s="431">
        <f t="shared" si="65"/>
        <v>0</v>
      </c>
      <c r="GS38" s="431">
        <f t="shared" si="66"/>
        <v>0</v>
      </c>
      <c r="GT38" s="431">
        <f t="shared" si="67"/>
        <v>11328458.381135054</v>
      </c>
      <c r="GU38" s="429">
        <f>'Concentration Limits'!$J$69</f>
        <v>34949505.547294997</v>
      </c>
      <c r="GV38" s="429" t="str">
        <f t="shared" si="68"/>
        <v>No</v>
      </c>
      <c r="GW38" s="429">
        <f t="shared" si="69"/>
        <v>0</v>
      </c>
      <c r="GX38" s="429">
        <f t="shared" si="70"/>
        <v>0</v>
      </c>
      <c r="GY38" s="429">
        <f t="shared" si="71"/>
        <v>11328458.381135054</v>
      </c>
      <c r="GZ38" s="429">
        <f>'Concentration Limits'!$J$70</f>
        <v>23299670.364863332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35">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46599340.729726665</v>
      </c>
      <c r="EM39" s="429" t="str">
        <f>IF(OR(D39="Second Lien",AND(D39="FILO",DI39&gt;AGENT!$C$57)), "Yes", "No")</f>
        <v>No</v>
      </c>
      <c r="EN39" s="429">
        <f t="shared" si="29"/>
        <v>0</v>
      </c>
      <c r="EO39" s="429">
        <f t="shared" si="30"/>
        <v>0</v>
      </c>
      <c r="EP39" s="429">
        <f t="shared" si="31"/>
        <v>9628542.3950214405</v>
      </c>
      <c r="EQ39" s="429">
        <f>'Concentration Limits'!$J$50</f>
        <v>23299670.364863332</v>
      </c>
      <c r="ER39" s="429">
        <f t="shared" si="32"/>
        <v>0</v>
      </c>
      <c r="ES39" s="429">
        <f t="shared" si="84"/>
        <v>0</v>
      </c>
      <c r="ET39" s="429">
        <f t="shared" si="33"/>
        <v>9628542.3950214405</v>
      </c>
      <c r="EU39" s="429">
        <f>'Concentration Limits'!$J$51</f>
        <v>69899011.094589993</v>
      </c>
      <c r="EV39" s="429" t="str">
        <f>IF(OR(D39="Second Lien", AND(D39="FILO",DI39&gt;AGENT!$C$59)), "Yes", "No")</f>
        <v>No</v>
      </c>
      <c r="EW39" s="429">
        <f t="shared" si="34"/>
        <v>0</v>
      </c>
      <c r="EX39" s="429">
        <f t="shared" si="35"/>
        <v>0</v>
      </c>
      <c r="EY39" s="429">
        <f t="shared" si="36"/>
        <v>9628542.3950214405</v>
      </c>
      <c r="EZ39" s="429">
        <f>'Concentration Limits'!$J$52</f>
        <v>34949505.547294997</v>
      </c>
      <c r="FA39" s="429" t="str">
        <f>IF(CY39&gt;'Concentration Limits'!$E$52, "No", "Yes")</f>
        <v>No</v>
      </c>
      <c r="FB39" s="429">
        <f t="shared" si="37"/>
        <v>0</v>
      </c>
      <c r="FC39" s="429">
        <f t="shared" si="38"/>
        <v>0</v>
      </c>
      <c r="FD39" s="429">
        <f t="shared" si="39"/>
        <v>9628542.3950214405</v>
      </c>
      <c r="FE39" s="430">
        <f>'Concentration Limits'!$J$54</f>
        <v>232996703.6486333</v>
      </c>
      <c r="FF39" s="430">
        <f>'Concentration Limits'!$J$55</f>
        <v>232996703.6486333</v>
      </c>
      <c r="FG39" s="430">
        <f>'Concentration Limits'!$J$56</f>
        <v>232996703.6486333</v>
      </c>
      <c r="FH39" s="431">
        <f>'Concentration Limits'!$J$57</f>
        <v>17474752.773647498</v>
      </c>
      <c r="FI39" s="431">
        <f t="shared" si="40"/>
        <v>9628542.3950214405</v>
      </c>
      <c r="FJ39" s="431">
        <f t="shared" si="41"/>
        <v>9628542.3950214405</v>
      </c>
      <c r="FK39" s="431">
        <f t="shared" si="42"/>
        <v>12</v>
      </c>
      <c r="FL39" s="431">
        <f>IF(FJ39&gt;0,RANK(FJ39,$FJ$9:$FJ$60)+COUNTIF($FJ$9:FJ39,FJ39)-1,0)</f>
        <v>12</v>
      </c>
      <c r="FM39" s="430">
        <f t="shared" si="43"/>
        <v>0</v>
      </c>
      <c r="FN39" s="430">
        <f t="shared" si="44"/>
        <v>0</v>
      </c>
      <c r="FO39" s="430">
        <f t="shared" si="45"/>
        <v>0</v>
      </c>
      <c r="FP39" s="431">
        <f t="shared" si="46"/>
        <v>0</v>
      </c>
      <c r="FQ39" s="431">
        <f t="shared" si="47"/>
        <v>9628542.3950214405</v>
      </c>
      <c r="FR39" s="431">
        <f>'Concentration Limits'!$J$58</f>
        <v>46599340.729726665</v>
      </c>
      <c r="FS39" s="431">
        <f t="shared" si="48"/>
        <v>16096607.119937314</v>
      </c>
      <c r="FT39" s="431">
        <f>VLOOKUP(BR39,'Concentration Limits'!$E$81:$H$153,4,FALSE)</f>
        <v>5</v>
      </c>
      <c r="FU39" s="431">
        <f t="shared" si="49"/>
        <v>0</v>
      </c>
      <c r="FV39" s="431">
        <f t="shared" si="50"/>
        <v>9628542.3950214405</v>
      </c>
      <c r="FW39" s="431">
        <f>'Concentration Limits'!$J$59</f>
        <v>34949505.547294997</v>
      </c>
      <c r="FX39" s="431">
        <f t="shared" si="51"/>
        <v>16096607.119937314</v>
      </c>
      <c r="FY39" s="431">
        <f>VLOOKUP(BR39,'Concentration Limits'!$E$81:$H$153,4,FALSE)</f>
        <v>5</v>
      </c>
      <c r="FZ39" s="431">
        <f t="shared" si="52"/>
        <v>0</v>
      </c>
      <c r="GA39" s="431">
        <f t="shared" si="53"/>
        <v>9628542.3950214405</v>
      </c>
      <c r="GB39" s="431">
        <f>'Concentration Limits'!$J$61</f>
        <v>23299670.364863332</v>
      </c>
      <c r="GC39" s="431">
        <f t="shared" si="54"/>
        <v>16096607.119937314</v>
      </c>
      <c r="GD39" s="429">
        <f>VLOOKUP(BR39,'Concentration Limits'!$E$81:$H$153,4,FALSE)</f>
        <v>5</v>
      </c>
      <c r="GE39" s="431">
        <f t="shared" si="55"/>
        <v>0</v>
      </c>
      <c r="GF39" s="431">
        <f t="shared" si="56"/>
        <v>9628542.3950214405</v>
      </c>
      <c r="GG39" s="431">
        <f>'Concentration Limits'!$J$64</f>
        <v>23299670.364863332</v>
      </c>
      <c r="GH39" s="431">
        <f t="shared" si="57"/>
        <v>0</v>
      </c>
      <c r="GI39" s="431">
        <f t="shared" si="58"/>
        <v>0</v>
      </c>
      <c r="GJ39" s="431">
        <f t="shared" si="59"/>
        <v>9628542.3950214405</v>
      </c>
      <c r="GK39" s="431">
        <f>'Concentration Limits'!$J$67</f>
        <v>23299670.364863332</v>
      </c>
      <c r="GL39" s="429" t="str">
        <f t="shared" si="60"/>
        <v>No</v>
      </c>
      <c r="GM39" s="431">
        <f t="shared" si="61"/>
        <v>0</v>
      </c>
      <c r="GN39" s="431">
        <f t="shared" si="62"/>
        <v>0</v>
      </c>
      <c r="GO39" s="431">
        <f t="shared" si="63"/>
        <v>9628542.3950214405</v>
      </c>
      <c r="GP39" s="431">
        <f>'Concentration Limits'!$J$68</f>
        <v>34949505.547294997</v>
      </c>
      <c r="GQ39" s="429" t="str">
        <f t="shared" si="64"/>
        <v>No</v>
      </c>
      <c r="GR39" s="431">
        <f t="shared" si="65"/>
        <v>0</v>
      </c>
      <c r="GS39" s="431">
        <f t="shared" si="66"/>
        <v>0</v>
      </c>
      <c r="GT39" s="431">
        <f t="shared" si="67"/>
        <v>9628542.3950214405</v>
      </c>
      <c r="GU39" s="429">
        <f>'Concentration Limits'!$J$69</f>
        <v>34949505.547294997</v>
      </c>
      <c r="GV39" s="429" t="str">
        <f t="shared" si="68"/>
        <v>No</v>
      </c>
      <c r="GW39" s="429">
        <f t="shared" si="69"/>
        <v>0</v>
      </c>
      <c r="GX39" s="429">
        <f t="shared" si="70"/>
        <v>0</v>
      </c>
      <c r="GY39" s="429">
        <f t="shared" si="71"/>
        <v>9628542.3950214405</v>
      </c>
      <c r="GZ39" s="429">
        <f>'Concentration Limits'!$J$70</f>
        <v>23299670.364863332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35">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46599340.729726665</v>
      </c>
      <c r="EM40" s="429" t="str">
        <f>IF(OR(D40="Second Lien",AND(D40="FILO",DI40&gt;AGENT!$C$57)), "Yes", "No")</f>
        <v>No</v>
      </c>
      <c r="EN40" s="429">
        <f t="shared" si="29"/>
        <v>0</v>
      </c>
      <c r="EO40" s="429">
        <f t="shared" si="30"/>
        <v>0</v>
      </c>
      <c r="EP40" s="429">
        <f t="shared" si="31"/>
        <v>11733806.854212523</v>
      </c>
      <c r="EQ40" s="429">
        <f>'Concentration Limits'!$J$50</f>
        <v>23299670.364863332</v>
      </c>
      <c r="ER40" s="429">
        <f t="shared" si="32"/>
        <v>0</v>
      </c>
      <c r="ES40" s="429">
        <f t="shared" si="84"/>
        <v>0</v>
      </c>
      <c r="ET40" s="429">
        <f t="shared" si="33"/>
        <v>11733806.854212523</v>
      </c>
      <c r="EU40" s="429">
        <f>'Concentration Limits'!$J$51</f>
        <v>69899011.094589993</v>
      </c>
      <c r="EV40" s="429" t="str">
        <f>IF(OR(D40="Second Lien", AND(D40="FILO",DI40&gt;AGENT!$C$59)), "Yes", "No")</f>
        <v>Yes</v>
      </c>
      <c r="EW40" s="429">
        <f t="shared" si="34"/>
        <v>53940434.707607172</v>
      </c>
      <c r="EX40" s="429">
        <f t="shared" si="35"/>
        <v>0</v>
      </c>
      <c r="EY40" s="429">
        <f t="shared" si="36"/>
        <v>11733806.854212523</v>
      </c>
      <c r="EZ40" s="429">
        <f>'Concentration Limits'!$J$52</f>
        <v>34949505.547294997</v>
      </c>
      <c r="FA40" s="429" t="str">
        <f>IF(CY40&gt;'Concentration Limits'!$E$52, "No", "Yes")</f>
        <v>No</v>
      </c>
      <c r="FB40" s="429">
        <f t="shared" si="37"/>
        <v>0</v>
      </c>
      <c r="FC40" s="429">
        <f t="shared" si="38"/>
        <v>0</v>
      </c>
      <c r="FD40" s="429">
        <f t="shared" si="39"/>
        <v>11733806.854212523</v>
      </c>
      <c r="FE40" s="430">
        <f>'Concentration Limits'!$J$54</f>
        <v>232996703.6486333</v>
      </c>
      <c r="FF40" s="430">
        <f>'Concentration Limits'!$J$55</f>
        <v>232996703.6486333</v>
      </c>
      <c r="FG40" s="430">
        <f>'Concentration Limits'!$J$56</f>
        <v>232996703.6486333</v>
      </c>
      <c r="FH40" s="431">
        <f>'Concentration Limits'!$J$57</f>
        <v>17474752.773647498</v>
      </c>
      <c r="FI40" s="431">
        <f t="shared" si="40"/>
        <v>11733806.854212523</v>
      </c>
      <c r="FJ40" s="431">
        <f t="shared" si="41"/>
        <v>11733806.854212523</v>
      </c>
      <c r="FK40" s="431">
        <f t="shared" si="42"/>
        <v>7</v>
      </c>
      <c r="FL40" s="431">
        <f>IF(FJ40&gt;0,RANK(FJ40,$FJ$9:$FJ$60)+COUNTIF($FJ$9:FJ40,FJ40)-1,0)</f>
        <v>7</v>
      </c>
      <c r="FM40" s="430">
        <f t="shared" si="43"/>
        <v>0</v>
      </c>
      <c r="FN40" s="430">
        <f t="shared" si="44"/>
        <v>0</v>
      </c>
      <c r="FO40" s="430">
        <f t="shared" si="45"/>
        <v>0</v>
      </c>
      <c r="FP40" s="431">
        <f t="shared" si="46"/>
        <v>0</v>
      </c>
      <c r="FQ40" s="431">
        <f t="shared" si="47"/>
        <v>11733806.854212523</v>
      </c>
      <c r="FR40" s="431">
        <f>'Concentration Limits'!$J$58</f>
        <v>46599340.729726665</v>
      </c>
      <c r="FS40" s="431">
        <f t="shared" si="48"/>
        <v>46042971.865242489</v>
      </c>
      <c r="FT40" s="431">
        <f>VLOOKUP(BR40,'Concentration Limits'!$E$81:$H$153,4,FALSE)</f>
        <v>1</v>
      </c>
      <c r="FU40" s="431">
        <f t="shared" si="49"/>
        <v>0</v>
      </c>
      <c r="FV40" s="431">
        <f t="shared" si="50"/>
        <v>11733806.854212523</v>
      </c>
      <c r="FW40" s="431">
        <f>'Concentration Limits'!$J$59</f>
        <v>34949505.547294997</v>
      </c>
      <c r="FX40" s="431">
        <f t="shared" si="51"/>
        <v>46042971.865242489</v>
      </c>
      <c r="FY40" s="431">
        <f>VLOOKUP(BR40,'Concentration Limits'!$E$81:$H$153,4,FALSE)</f>
        <v>1</v>
      </c>
      <c r="FZ40" s="431">
        <f t="shared" si="52"/>
        <v>0</v>
      </c>
      <c r="GA40" s="431">
        <f t="shared" si="53"/>
        <v>11733806.854212523</v>
      </c>
      <c r="GB40" s="431">
        <f>'Concentration Limits'!$J$61</f>
        <v>23299670.364863332</v>
      </c>
      <c r="GC40" s="431">
        <f t="shared" si="54"/>
        <v>46042971.865242489</v>
      </c>
      <c r="GD40" s="429">
        <f>VLOOKUP(BR40,'Concentration Limits'!$E$81:$H$153,4,FALSE)</f>
        <v>1</v>
      </c>
      <c r="GE40" s="431">
        <f t="shared" si="55"/>
        <v>0</v>
      </c>
      <c r="GF40" s="431">
        <f t="shared" si="56"/>
        <v>11733806.854212523</v>
      </c>
      <c r="GG40" s="431">
        <f>'Concentration Limits'!$J$64</f>
        <v>23299670.364863332</v>
      </c>
      <c r="GH40" s="431">
        <f t="shared" si="57"/>
        <v>0</v>
      </c>
      <c r="GI40" s="431">
        <f t="shared" si="58"/>
        <v>0</v>
      </c>
      <c r="GJ40" s="431">
        <f t="shared" si="59"/>
        <v>11733806.854212523</v>
      </c>
      <c r="GK40" s="431">
        <f>'Concentration Limits'!$J$67</f>
        <v>23299670.364863332</v>
      </c>
      <c r="GL40" s="429" t="str">
        <f t="shared" si="60"/>
        <v>No</v>
      </c>
      <c r="GM40" s="431">
        <f t="shared" si="61"/>
        <v>0</v>
      </c>
      <c r="GN40" s="431">
        <f t="shared" si="62"/>
        <v>0</v>
      </c>
      <c r="GO40" s="431">
        <f t="shared" si="63"/>
        <v>11733806.854212523</v>
      </c>
      <c r="GP40" s="431">
        <f>'Concentration Limits'!$J$68</f>
        <v>34949505.547294997</v>
      </c>
      <c r="GQ40" s="429" t="str">
        <f t="shared" si="64"/>
        <v>No</v>
      </c>
      <c r="GR40" s="431">
        <f t="shared" si="65"/>
        <v>0</v>
      </c>
      <c r="GS40" s="431">
        <f t="shared" si="66"/>
        <v>0</v>
      </c>
      <c r="GT40" s="431">
        <f t="shared" si="67"/>
        <v>11733806.854212523</v>
      </c>
      <c r="GU40" s="429">
        <f>'Concentration Limits'!$J$69</f>
        <v>34949505.547294997</v>
      </c>
      <c r="GV40" s="429" t="str">
        <f t="shared" si="68"/>
        <v>No</v>
      </c>
      <c r="GW40" s="429">
        <f t="shared" si="69"/>
        <v>0</v>
      </c>
      <c r="GX40" s="429">
        <f t="shared" si="70"/>
        <v>0</v>
      </c>
      <c r="GY40" s="429">
        <f t="shared" si="71"/>
        <v>11733806.854212523</v>
      </c>
      <c r="GZ40" s="429">
        <f>'Concentration Limits'!$J$70</f>
        <v>23299670.364863332</v>
      </c>
      <c r="HA40" s="429" t="str">
        <f t="shared" si="72"/>
        <v>No</v>
      </c>
      <c r="HB40" s="429">
        <f t="shared" si="73"/>
        <v>0</v>
      </c>
      <c r="HC40" s="429">
        <f t="shared" si="74"/>
        <v>0</v>
      </c>
      <c r="HD40" s="429">
        <f t="shared" si="75"/>
        <v>11733806.854212523</v>
      </c>
      <c r="HE40" s="431">
        <f t="shared" si="76"/>
        <v>0</v>
      </c>
      <c r="HF40" s="431">
        <f t="shared" si="77"/>
        <v>0</v>
      </c>
      <c r="HG40" s="431">
        <f t="shared" si="78"/>
        <v>11733806.854212523</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35">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46599340.729726665</v>
      </c>
      <c r="EM41" s="429" t="str">
        <f>IF(OR(D41="Second Lien",AND(D41="FILO",DI41&gt;AGENT!$C$57)), "Yes", "No")</f>
        <v>No</v>
      </c>
      <c r="EN41" s="429">
        <f t="shared" si="29"/>
        <v>0</v>
      </c>
      <c r="EO41" s="429">
        <f t="shared" si="30"/>
        <v>0</v>
      </c>
      <c r="EP41" s="429">
        <f t="shared" si="31"/>
        <v>6468064.7249158733</v>
      </c>
      <c r="EQ41" s="429">
        <f>'Concentration Limits'!$J$50</f>
        <v>23299670.364863332</v>
      </c>
      <c r="ER41" s="429">
        <f t="shared" si="32"/>
        <v>0</v>
      </c>
      <c r="ES41" s="429">
        <f t="shared" si="84"/>
        <v>0</v>
      </c>
      <c r="ET41" s="429">
        <f t="shared" si="33"/>
        <v>6468064.7249158733</v>
      </c>
      <c r="EU41" s="429">
        <f>'Concentration Limits'!$J$51</f>
        <v>69899011.094589993</v>
      </c>
      <c r="EV41" s="429" t="str">
        <f>IF(OR(D41="Second Lien", AND(D41="FILO",DI41&gt;AGENT!$C$59)), "Yes", "No")</f>
        <v>No</v>
      </c>
      <c r="EW41" s="429">
        <f t="shared" si="34"/>
        <v>0</v>
      </c>
      <c r="EX41" s="429">
        <f t="shared" si="35"/>
        <v>0</v>
      </c>
      <c r="EY41" s="429">
        <f t="shared" si="36"/>
        <v>6468064.7249158733</v>
      </c>
      <c r="EZ41" s="429">
        <f>'Concentration Limits'!$J$52</f>
        <v>34949505.547294997</v>
      </c>
      <c r="FA41" s="429" t="str">
        <f>IF(CY41&gt;'Concentration Limits'!$E$52, "No", "Yes")</f>
        <v>No</v>
      </c>
      <c r="FB41" s="429">
        <f t="shared" si="37"/>
        <v>0</v>
      </c>
      <c r="FC41" s="429">
        <f t="shared" si="38"/>
        <v>0</v>
      </c>
      <c r="FD41" s="429">
        <f t="shared" si="39"/>
        <v>6468064.7249158733</v>
      </c>
      <c r="FE41" s="430">
        <f>'Concentration Limits'!$J$54</f>
        <v>232996703.6486333</v>
      </c>
      <c r="FF41" s="430">
        <f>'Concentration Limits'!$J$55</f>
        <v>232996703.6486333</v>
      </c>
      <c r="FG41" s="430">
        <f>'Concentration Limits'!$J$56</f>
        <v>232996703.6486333</v>
      </c>
      <c r="FH41" s="431">
        <f>'Concentration Limits'!$J$57</f>
        <v>17474752.773647498</v>
      </c>
      <c r="FI41" s="431">
        <f t="shared" si="40"/>
        <v>6468064.7249158733</v>
      </c>
      <c r="FJ41" s="431">
        <f t="shared" si="41"/>
        <v>6468064.7249158733</v>
      </c>
      <c r="FK41" s="431">
        <f t="shared" si="42"/>
        <v>18</v>
      </c>
      <c r="FL41" s="431">
        <f>IF(FJ41&gt;0,RANK(FJ41,$FJ$9:$FJ$60)+COUNTIF($FJ$9:FJ41,FJ41)-1,0)</f>
        <v>18</v>
      </c>
      <c r="FM41" s="430">
        <f t="shared" si="43"/>
        <v>0</v>
      </c>
      <c r="FN41" s="430">
        <f t="shared" si="44"/>
        <v>0</v>
      </c>
      <c r="FO41" s="430">
        <f t="shared" si="45"/>
        <v>0</v>
      </c>
      <c r="FP41" s="431">
        <f t="shared" si="46"/>
        <v>0</v>
      </c>
      <c r="FQ41" s="431">
        <f t="shared" si="47"/>
        <v>6468064.7249158733</v>
      </c>
      <c r="FR41" s="431">
        <f>'Concentration Limits'!$J$58</f>
        <v>46599340.729726665</v>
      </c>
      <c r="FS41" s="431">
        <f t="shared" si="48"/>
        <v>16096607.119937314</v>
      </c>
      <c r="FT41" s="431">
        <f>VLOOKUP(BR41,'Concentration Limits'!$E$81:$H$153,4,FALSE)</f>
        <v>5</v>
      </c>
      <c r="FU41" s="431">
        <f t="shared" si="49"/>
        <v>0</v>
      </c>
      <c r="FV41" s="431">
        <f t="shared" si="50"/>
        <v>6468064.7249158733</v>
      </c>
      <c r="FW41" s="431">
        <f>'Concentration Limits'!$J$59</f>
        <v>34949505.547294997</v>
      </c>
      <c r="FX41" s="431">
        <f t="shared" si="51"/>
        <v>16096607.119937314</v>
      </c>
      <c r="FY41" s="431">
        <f>VLOOKUP(BR41,'Concentration Limits'!$E$81:$H$153,4,FALSE)</f>
        <v>5</v>
      </c>
      <c r="FZ41" s="431">
        <f t="shared" si="52"/>
        <v>0</v>
      </c>
      <c r="GA41" s="431">
        <f t="shared" si="53"/>
        <v>6468064.7249158733</v>
      </c>
      <c r="GB41" s="431">
        <f>'Concentration Limits'!$J$61</f>
        <v>23299670.364863332</v>
      </c>
      <c r="GC41" s="431">
        <f t="shared" si="54"/>
        <v>16096607.119937314</v>
      </c>
      <c r="GD41" s="429">
        <f>VLOOKUP(BR41,'Concentration Limits'!$E$81:$H$153,4,FALSE)</f>
        <v>5</v>
      </c>
      <c r="GE41" s="431">
        <f t="shared" si="55"/>
        <v>0</v>
      </c>
      <c r="GF41" s="431">
        <f t="shared" si="56"/>
        <v>6468064.7249158733</v>
      </c>
      <c r="GG41" s="431">
        <f>'Concentration Limits'!$J$64</f>
        <v>23299670.364863332</v>
      </c>
      <c r="GH41" s="431">
        <f t="shared" si="57"/>
        <v>0</v>
      </c>
      <c r="GI41" s="431">
        <f t="shared" si="58"/>
        <v>0</v>
      </c>
      <c r="GJ41" s="431">
        <f t="shared" si="59"/>
        <v>6468064.7249158733</v>
      </c>
      <c r="GK41" s="431">
        <f>'Concentration Limits'!$J$67</f>
        <v>23299670.364863332</v>
      </c>
      <c r="GL41" s="429" t="str">
        <f t="shared" si="60"/>
        <v>No</v>
      </c>
      <c r="GM41" s="431">
        <f t="shared" si="61"/>
        <v>0</v>
      </c>
      <c r="GN41" s="431">
        <f t="shared" si="62"/>
        <v>0</v>
      </c>
      <c r="GO41" s="431">
        <f t="shared" si="63"/>
        <v>6468064.7249158733</v>
      </c>
      <c r="GP41" s="431">
        <f>'Concentration Limits'!$J$68</f>
        <v>34949505.547294997</v>
      </c>
      <c r="GQ41" s="429" t="str">
        <f t="shared" si="64"/>
        <v>No</v>
      </c>
      <c r="GR41" s="431">
        <f t="shared" si="65"/>
        <v>0</v>
      </c>
      <c r="GS41" s="431">
        <f t="shared" si="66"/>
        <v>0</v>
      </c>
      <c r="GT41" s="431">
        <f t="shared" si="67"/>
        <v>6468064.7249158733</v>
      </c>
      <c r="GU41" s="429">
        <f>'Concentration Limits'!$J$69</f>
        <v>34949505.547294997</v>
      </c>
      <c r="GV41" s="429" t="str">
        <f t="shared" si="68"/>
        <v>No</v>
      </c>
      <c r="GW41" s="429">
        <f t="shared" si="69"/>
        <v>0</v>
      </c>
      <c r="GX41" s="429">
        <f t="shared" si="70"/>
        <v>0</v>
      </c>
      <c r="GY41" s="429">
        <f t="shared" si="71"/>
        <v>6468064.7249158733</v>
      </c>
      <c r="GZ41" s="429">
        <f>'Concentration Limits'!$J$70</f>
        <v>23299670.364863332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35">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46599340.729726665</v>
      </c>
      <c r="EM42" s="429" t="str">
        <f>IF(OR(D42="Second Lien",AND(D42="FILO",DI42&gt;AGENT!$C$57)), "Yes", "No")</f>
        <v>No</v>
      </c>
      <c r="EN42" s="429">
        <f t="shared" si="29"/>
        <v>0</v>
      </c>
      <c r="EO42" s="429">
        <f t="shared" si="30"/>
        <v>0</v>
      </c>
      <c r="EP42" s="429">
        <f t="shared" si="31"/>
        <v>10000000</v>
      </c>
      <c r="EQ42" s="429">
        <f>'Concentration Limits'!$J$50</f>
        <v>23299670.364863332</v>
      </c>
      <c r="ER42" s="429">
        <f t="shared" si="32"/>
        <v>0</v>
      </c>
      <c r="ES42" s="429">
        <f t="shared" si="84"/>
        <v>0</v>
      </c>
      <c r="ET42" s="429">
        <f t="shared" si="33"/>
        <v>10000000</v>
      </c>
      <c r="EU42" s="429">
        <f>'Concentration Limits'!$J$51</f>
        <v>69899011.094589993</v>
      </c>
      <c r="EV42" s="429" t="str">
        <f>IF(OR(D42="Second Lien", AND(D42="FILO",DI42&gt;AGENT!$C$59)), "Yes", "No")</f>
        <v>No</v>
      </c>
      <c r="EW42" s="429">
        <f t="shared" si="34"/>
        <v>0</v>
      </c>
      <c r="EX42" s="429">
        <f t="shared" si="35"/>
        <v>0</v>
      </c>
      <c r="EY42" s="429">
        <f t="shared" si="36"/>
        <v>10000000</v>
      </c>
      <c r="EZ42" s="429">
        <f>'Concentration Limits'!$J$52</f>
        <v>34949505.547294997</v>
      </c>
      <c r="FA42" s="429" t="str">
        <f>IF(CY42&gt;'Concentration Limits'!$E$52, "No", "Yes")</f>
        <v>No</v>
      </c>
      <c r="FB42" s="429">
        <f t="shared" si="37"/>
        <v>0</v>
      </c>
      <c r="FC42" s="429">
        <f t="shared" si="38"/>
        <v>0</v>
      </c>
      <c r="FD42" s="429">
        <f t="shared" si="39"/>
        <v>10000000</v>
      </c>
      <c r="FE42" s="430">
        <f>'Concentration Limits'!$J$54</f>
        <v>232996703.6486333</v>
      </c>
      <c r="FF42" s="430">
        <f>'Concentration Limits'!$J$55</f>
        <v>232996703.6486333</v>
      </c>
      <c r="FG42" s="430">
        <f>'Concentration Limits'!$J$56</f>
        <v>232996703.6486333</v>
      </c>
      <c r="FH42" s="431">
        <f>'Concentration Limits'!$J$57</f>
        <v>17474752.773647498</v>
      </c>
      <c r="FI42" s="431">
        <f t="shared" si="40"/>
        <v>10000000</v>
      </c>
      <c r="FJ42" s="431">
        <f t="shared" si="41"/>
        <v>10000000</v>
      </c>
      <c r="FK42" s="431">
        <f t="shared" si="42"/>
        <v>11</v>
      </c>
      <c r="FL42" s="431">
        <f>IF(FJ42&gt;0,RANK(FJ42,$FJ$9:$FJ$60)+COUNTIF($FJ$9:FJ42,FJ42)-1,0)</f>
        <v>11</v>
      </c>
      <c r="FM42" s="430">
        <f t="shared" si="43"/>
        <v>0</v>
      </c>
      <c r="FN42" s="430">
        <f t="shared" si="44"/>
        <v>0</v>
      </c>
      <c r="FO42" s="430">
        <f t="shared" si="45"/>
        <v>0</v>
      </c>
      <c r="FP42" s="431">
        <f t="shared" si="46"/>
        <v>0</v>
      </c>
      <c r="FQ42" s="431">
        <f t="shared" si="47"/>
        <v>10000000</v>
      </c>
      <c r="FR42" s="431">
        <f>'Concentration Limits'!$J$58</f>
        <v>46599340.729726665</v>
      </c>
      <c r="FS42" s="431">
        <f t="shared" si="48"/>
        <v>13322967.211468514</v>
      </c>
      <c r="FT42" s="431">
        <f>VLOOKUP(BR42,'Concentration Limits'!$E$81:$H$153,4,FALSE)</f>
        <v>8</v>
      </c>
      <c r="FU42" s="431">
        <f t="shared" si="49"/>
        <v>0</v>
      </c>
      <c r="FV42" s="431">
        <f t="shared" si="50"/>
        <v>10000000</v>
      </c>
      <c r="FW42" s="431">
        <f>'Concentration Limits'!$J$59</f>
        <v>34949505.547294997</v>
      </c>
      <c r="FX42" s="431">
        <f t="shared" si="51"/>
        <v>13322967.211468514</v>
      </c>
      <c r="FY42" s="431">
        <f>VLOOKUP(BR42,'Concentration Limits'!$E$81:$H$153,4,FALSE)</f>
        <v>8</v>
      </c>
      <c r="FZ42" s="431">
        <f t="shared" si="52"/>
        <v>0</v>
      </c>
      <c r="GA42" s="431">
        <f t="shared" si="53"/>
        <v>10000000</v>
      </c>
      <c r="GB42" s="431">
        <f>'Concentration Limits'!$J$61</f>
        <v>23299670.364863332</v>
      </c>
      <c r="GC42" s="431">
        <f t="shared" si="54"/>
        <v>13322967.211468514</v>
      </c>
      <c r="GD42" s="429">
        <f>VLOOKUP(BR42,'Concentration Limits'!$E$81:$H$153,4,FALSE)</f>
        <v>8</v>
      </c>
      <c r="GE42" s="431">
        <f t="shared" si="55"/>
        <v>0</v>
      </c>
      <c r="GF42" s="431">
        <f t="shared" si="56"/>
        <v>10000000</v>
      </c>
      <c r="GG42" s="431">
        <f>'Concentration Limits'!$J$64</f>
        <v>23299670.364863332</v>
      </c>
      <c r="GH42" s="431">
        <f t="shared" si="57"/>
        <v>0</v>
      </c>
      <c r="GI42" s="431">
        <f t="shared" si="58"/>
        <v>0</v>
      </c>
      <c r="GJ42" s="431">
        <f t="shared" si="59"/>
        <v>10000000</v>
      </c>
      <c r="GK42" s="431">
        <f>'Concentration Limits'!$J$67</f>
        <v>23299670.364863332</v>
      </c>
      <c r="GL42" s="429" t="str">
        <f t="shared" si="60"/>
        <v>No</v>
      </c>
      <c r="GM42" s="431">
        <f t="shared" si="61"/>
        <v>0</v>
      </c>
      <c r="GN42" s="431">
        <f t="shared" si="62"/>
        <v>0</v>
      </c>
      <c r="GO42" s="431">
        <f t="shared" si="63"/>
        <v>10000000</v>
      </c>
      <c r="GP42" s="431">
        <f>'Concentration Limits'!$J$68</f>
        <v>34949505.547294997</v>
      </c>
      <c r="GQ42" s="429" t="str">
        <f t="shared" si="64"/>
        <v>No</v>
      </c>
      <c r="GR42" s="431">
        <f t="shared" si="65"/>
        <v>0</v>
      </c>
      <c r="GS42" s="431">
        <f t="shared" si="66"/>
        <v>0</v>
      </c>
      <c r="GT42" s="431">
        <f t="shared" si="67"/>
        <v>10000000</v>
      </c>
      <c r="GU42" s="429">
        <f>'Concentration Limits'!$J$69</f>
        <v>34949505.547294997</v>
      </c>
      <c r="GV42" s="429" t="str">
        <f t="shared" si="68"/>
        <v>No</v>
      </c>
      <c r="GW42" s="429">
        <f t="shared" si="69"/>
        <v>0</v>
      </c>
      <c r="GX42" s="429">
        <f t="shared" si="70"/>
        <v>0</v>
      </c>
      <c r="GY42" s="429">
        <f t="shared" si="71"/>
        <v>10000000</v>
      </c>
      <c r="GZ42" s="429">
        <f>'Concentration Limits'!$J$70</f>
        <v>23299670.364863332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35">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46599340.729726665</v>
      </c>
      <c r="EM43" s="429" t="str">
        <f>IF(OR(D43="Second Lien",AND(D43="FILO",DI43&gt;AGENT!$C$57)), "Yes", "No")</f>
        <v>No</v>
      </c>
      <c r="EN43" s="429">
        <f t="shared" si="29"/>
        <v>0</v>
      </c>
      <c r="EO43" s="429">
        <f t="shared" si="30"/>
        <v>0</v>
      </c>
      <c r="EP43" s="429">
        <f t="shared" si="31"/>
        <v>19507632.143256925</v>
      </c>
      <c r="EQ43" s="429">
        <f>'Concentration Limits'!$J$50</f>
        <v>23299670.364863332</v>
      </c>
      <c r="ER43" s="429">
        <f t="shared" si="32"/>
        <v>0</v>
      </c>
      <c r="ES43" s="429">
        <f t="shared" si="84"/>
        <v>0</v>
      </c>
      <c r="ET43" s="429">
        <f t="shared" si="33"/>
        <v>19507632.143256925</v>
      </c>
      <c r="EU43" s="429">
        <f>'Concentration Limits'!$J$51</f>
        <v>69899011.094589993</v>
      </c>
      <c r="EV43" s="429" t="str">
        <f>IF(OR(D43="Second Lien", AND(D43="FILO",DI43&gt;AGENT!$C$59)), "Yes", "No")</f>
        <v>Yes</v>
      </c>
      <c r="EW43" s="429">
        <f t="shared" si="34"/>
        <v>53940434.707607172</v>
      </c>
      <c r="EX43" s="429">
        <f t="shared" si="35"/>
        <v>0</v>
      </c>
      <c r="EY43" s="429">
        <f t="shared" si="36"/>
        <v>19507632.143256925</v>
      </c>
      <c r="EZ43" s="429">
        <f>'Concentration Limits'!$J$52</f>
        <v>34949505.547294997</v>
      </c>
      <c r="FA43" s="429" t="str">
        <f>IF(CY43&gt;'Concentration Limits'!$E$52, "No", "Yes")</f>
        <v>No</v>
      </c>
      <c r="FB43" s="429">
        <f t="shared" si="37"/>
        <v>0</v>
      </c>
      <c r="FC43" s="429">
        <f t="shared" si="38"/>
        <v>0</v>
      </c>
      <c r="FD43" s="429">
        <f t="shared" si="39"/>
        <v>19507632.143256925</v>
      </c>
      <c r="FE43" s="430">
        <f>'Concentration Limits'!$J$54</f>
        <v>232996703.6486333</v>
      </c>
      <c r="FF43" s="430">
        <f>'Concentration Limits'!$J$55</f>
        <v>232996703.6486333</v>
      </c>
      <c r="FG43" s="430">
        <f>'Concentration Limits'!$J$56</f>
        <v>232996703.6486333</v>
      </c>
      <c r="FH43" s="431">
        <f>'Concentration Limits'!$J$57</f>
        <v>17474752.773647498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2032879.3696094267</v>
      </c>
      <c r="FQ43" s="431">
        <f t="shared" si="47"/>
        <v>17474752.773647498</v>
      </c>
      <c r="FR43" s="431">
        <f>'Concentration Limits'!$J$58</f>
        <v>46599340.729726665</v>
      </c>
      <c r="FS43" s="431">
        <f t="shared" si="48"/>
        <v>17474752.773647498</v>
      </c>
      <c r="FT43" s="431">
        <f>VLOOKUP(BR43,'Concentration Limits'!$E$81:$H$153,4,FALSE)</f>
        <v>4</v>
      </c>
      <c r="FU43" s="431">
        <f t="shared" si="49"/>
        <v>0</v>
      </c>
      <c r="FV43" s="431">
        <f t="shared" si="50"/>
        <v>17474752.773647498</v>
      </c>
      <c r="FW43" s="431">
        <f>'Concentration Limits'!$J$59</f>
        <v>34949505.547294997</v>
      </c>
      <c r="FX43" s="431">
        <f t="shared" si="51"/>
        <v>17474752.773647498</v>
      </c>
      <c r="FY43" s="431">
        <f>VLOOKUP(BR43,'Concentration Limits'!$E$81:$H$153,4,FALSE)</f>
        <v>4</v>
      </c>
      <c r="FZ43" s="431">
        <f t="shared" si="52"/>
        <v>0</v>
      </c>
      <c r="GA43" s="431">
        <f t="shared" si="53"/>
        <v>17474752.773647498</v>
      </c>
      <c r="GB43" s="431">
        <f>'Concentration Limits'!$J$61</f>
        <v>23299670.364863332</v>
      </c>
      <c r="GC43" s="431">
        <f t="shared" si="54"/>
        <v>17474752.773647498</v>
      </c>
      <c r="GD43" s="429">
        <f>VLOOKUP(BR43,'Concentration Limits'!$E$81:$H$153,4,FALSE)</f>
        <v>4</v>
      </c>
      <c r="GE43" s="431">
        <f t="shared" si="55"/>
        <v>0</v>
      </c>
      <c r="GF43" s="431">
        <f t="shared" si="56"/>
        <v>17474752.773647498</v>
      </c>
      <c r="GG43" s="431">
        <f>'Concentration Limits'!$J$64</f>
        <v>23299670.364863332</v>
      </c>
      <c r="GH43" s="431">
        <f t="shared" si="57"/>
        <v>0</v>
      </c>
      <c r="GI43" s="431">
        <f t="shared" si="58"/>
        <v>0</v>
      </c>
      <c r="GJ43" s="431">
        <f t="shared" si="59"/>
        <v>17474752.773647498</v>
      </c>
      <c r="GK43" s="431">
        <f>'Concentration Limits'!$J$67</f>
        <v>23299670.364863332</v>
      </c>
      <c r="GL43" s="429" t="str">
        <f t="shared" si="60"/>
        <v>No</v>
      </c>
      <c r="GM43" s="431">
        <f t="shared" si="61"/>
        <v>0</v>
      </c>
      <c r="GN43" s="431">
        <f t="shared" si="62"/>
        <v>0</v>
      </c>
      <c r="GO43" s="431">
        <f t="shared" si="63"/>
        <v>17474752.773647498</v>
      </c>
      <c r="GP43" s="431">
        <f>'Concentration Limits'!$J$68</f>
        <v>34949505.547294997</v>
      </c>
      <c r="GQ43" s="429" t="str">
        <f t="shared" si="64"/>
        <v>No</v>
      </c>
      <c r="GR43" s="431">
        <f t="shared" si="65"/>
        <v>0</v>
      </c>
      <c r="GS43" s="431">
        <f t="shared" si="66"/>
        <v>0</v>
      </c>
      <c r="GT43" s="431">
        <f t="shared" si="67"/>
        <v>17474752.773647498</v>
      </c>
      <c r="GU43" s="429">
        <f>'Concentration Limits'!$J$69</f>
        <v>34949505.547294997</v>
      </c>
      <c r="GV43" s="429" t="str">
        <f t="shared" si="68"/>
        <v>No</v>
      </c>
      <c r="GW43" s="429">
        <f t="shared" si="69"/>
        <v>0</v>
      </c>
      <c r="GX43" s="429">
        <f t="shared" si="70"/>
        <v>0</v>
      </c>
      <c r="GY43" s="429">
        <f t="shared" si="71"/>
        <v>17474752.773647498</v>
      </c>
      <c r="GZ43" s="429">
        <f>'Concentration Limits'!$J$70</f>
        <v>23299670.364863332</v>
      </c>
      <c r="HA43" s="429" t="str">
        <f t="shared" si="72"/>
        <v>No</v>
      </c>
      <c r="HB43" s="429">
        <f t="shared" si="73"/>
        <v>0</v>
      </c>
      <c r="HC43" s="429">
        <f t="shared" si="74"/>
        <v>0</v>
      </c>
      <c r="HD43" s="429">
        <f t="shared" si="75"/>
        <v>17474752.773647498</v>
      </c>
      <c r="HE43" s="431">
        <f t="shared" si="76"/>
        <v>0</v>
      </c>
      <c r="HF43" s="431">
        <f t="shared" si="77"/>
        <v>0</v>
      </c>
      <c r="HG43" s="431">
        <f t="shared" si="78"/>
        <v>17474752.773647498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35">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46599340.729726665</v>
      </c>
      <c r="EM44" s="429" t="str">
        <f>IF(OR(D44="Second Lien",AND(D44="FILO",DI44&gt;AGENT!$C$57)), "Yes", "No")</f>
        <v>No</v>
      </c>
      <c r="EN44" s="429">
        <f t="shared" si="29"/>
        <v>0</v>
      </c>
      <c r="EO44" s="429">
        <f t="shared" si="30"/>
        <v>0</v>
      </c>
      <c r="EP44" s="429">
        <f t="shared" si="31"/>
        <v>7502557.4892481482</v>
      </c>
      <c r="EQ44" s="429">
        <f>'Concentration Limits'!$J$50</f>
        <v>23299670.364863332</v>
      </c>
      <c r="ER44" s="429">
        <f t="shared" si="32"/>
        <v>0</v>
      </c>
      <c r="ES44" s="429">
        <f t="shared" si="84"/>
        <v>0</v>
      </c>
      <c r="ET44" s="429">
        <f t="shared" si="33"/>
        <v>7502557.4892481482</v>
      </c>
      <c r="EU44" s="429">
        <f>'Concentration Limits'!$J$51</f>
        <v>69899011.094589993</v>
      </c>
      <c r="EV44" s="429" t="str">
        <f>IF(OR(D44="Second Lien", AND(D44="FILO",DI44&gt;AGENT!$C$59)), "Yes", "No")</f>
        <v>Yes</v>
      </c>
      <c r="EW44" s="429">
        <f t="shared" si="34"/>
        <v>53940434.707607172</v>
      </c>
      <c r="EX44" s="429">
        <f t="shared" si="35"/>
        <v>0</v>
      </c>
      <c r="EY44" s="429">
        <f t="shared" si="36"/>
        <v>7502557.4892481482</v>
      </c>
      <c r="EZ44" s="429">
        <f>'Concentration Limits'!$J$52</f>
        <v>34949505.547294997</v>
      </c>
      <c r="FA44" s="429" t="str">
        <f>IF(CY44&gt;'Concentration Limits'!$E$52, "No", "Yes")</f>
        <v>No</v>
      </c>
      <c r="FB44" s="429">
        <f t="shared" si="37"/>
        <v>0</v>
      </c>
      <c r="FC44" s="429">
        <f t="shared" si="38"/>
        <v>0</v>
      </c>
      <c r="FD44" s="429">
        <f t="shared" si="39"/>
        <v>7502557.4892481482</v>
      </c>
      <c r="FE44" s="430">
        <f>'Concentration Limits'!$J$54</f>
        <v>232996703.6486333</v>
      </c>
      <c r="FF44" s="430">
        <f>'Concentration Limits'!$J$55</f>
        <v>232996703.6486333</v>
      </c>
      <c r="FG44" s="430">
        <f>'Concentration Limits'!$J$56</f>
        <v>232996703.6486333</v>
      </c>
      <c r="FH44" s="431">
        <f>'Concentration Limits'!$J$57</f>
        <v>17474752.773647498</v>
      </c>
      <c r="FI44" s="431">
        <f t="shared" si="40"/>
        <v>7502557.4892481482</v>
      </c>
      <c r="FJ44" s="431">
        <f t="shared" si="41"/>
        <v>7502557.4892481482</v>
      </c>
      <c r="FK44" s="431">
        <f t="shared" si="42"/>
        <v>15</v>
      </c>
      <c r="FL44" s="431">
        <f>IF(FJ44&gt;0,RANK(FJ44,$FJ$9:$FJ$60)+COUNTIF($FJ$9:FJ44,FJ44)-1,0)</f>
        <v>15</v>
      </c>
      <c r="FM44" s="430">
        <f t="shared" si="43"/>
        <v>0</v>
      </c>
      <c r="FN44" s="430">
        <f t="shared" si="44"/>
        <v>0</v>
      </c>
      <c r="FO44" s="430">
        <f t="shared" si="45"/>
        <v>0</v>
      </c>
      <c r="FP44" s="431">
        <f t="shared" si="46"/>
        <v>0</v>
      </c>
      <c r="FQ44" s="431">
        <f t="shared" si="47"/>
        <v>7502557.4892481482</v>
      </c>
      <c r="FR44" s="431">
        <f>'Concentration Limits'!$J$58</f>
        <v>46599340.729726665</v>
      </c>
      <c r="FS44" s="431">
        <f t="shared" si="48"/>
        <v>24394399.03040082</v>
      </c>
      <c r="FT44" s="431">
        <f>VLOOKUP(BR44,'Concentration Limits'!$E$81:$H$153,4,FALSE)</f>
        <v>2</v>
      </c>
      <c r="FU44" s="431">
        <f t="shared" si="49"/>
        <v>0</v>
      </c>
      <c r="FV44" s="431">
        <f t="shared" si="50"/>
        <v>7502557.4892481482</v>
      </c>
      <c r="FW44" s="431">
        <f>'Concentration Limits'!$J$59</f>
        <v>34949505.547294997</v>
      </c>
      <c r="FX44" s="431">
        <f t="shared" si="51"/>
        <v>24394399.03040082</v>
      </c>
      <c r="FY44" s="431">
        <f>VLOOKUP(BR44,'Concentration Limits'!$E$81:$H$153,4,FALSE)</f>
        <v>2</v>
      </c>
      <c r="FZ44" s="431">
        <f t="shared" si="52"/>
        <v>0</v>
      </c>
      <c r="GA44" s="431">
        <f t="shared" si="53"/>
        <v>7502557.4892481482</v>
      </c>
      <c r="GB44" s="431">
        <f>'Concentration Limits'!$J$61</f>
        <v>23299670.364863332</v>
      </c>
      <c r="GC44" s="431">
        <f t="shared" si="54"/>
        <v>24394399.03040082</v>
      </c>
      <c r="GD44" s="429">
        <f>VLOOKUP(BR44,'Concentration Limits'!$E$81:$H$153,4,FALSE)</f>
        <v>2</v>
      </c>
      <c r="GE44" s="431">
        <f t="shared" si="55"/>
        <v>0</v>
      </c>
      <c r="GF44" s="431">
        <f t="shared" si="56"/>
        <v>7502557.4892481482</v>
      </c>
      <c r="GG44" s="431">
        <f>'Concentration Limits'!$J$64</f>
        <v>23299670.364863332</v>
      </c>
      <c r="GH44" s="431">
        <f t="shared" si="57"/>
        <v>0</v>
      </c>
      <c r="GI44" s="431">
        <f t="shared" si="58"/>
        <v>0</v>
      </c>
      <c r="GJ44" s="431">
        <f t="shared" si="59"/>
        <v>7502557.4892481482</v>
      </c>
      <c r="GK44" s="431">
        <f>'Concentration Limits'!$J$67</f>
        <v>23299670.364863332</v>
      </c>
      <c r="GL44" s="429" t="str">
        <f t="shared" si="60"/>
        <v>No</v>
      </c>
      <c r="GM44" s="431">
        <f t="shared" si="61"/>
        <v>0</v>
      </c>
      <c r="GN44" s="431">
        <f t="shared" si="62"/>
        <v>0</v>
      </c>
      <c r="GO44" s="431">
        <f t="shared" si="63"/>
        <v>7502557.4892481482</v>
      </c>
      <c r="GP44" s="431">
        <f>'Concentration Limits'!$J$68</f>
        <v>34949505.547294997</v>
      </c>
      <c r="GQ44" s="429" t="str">
        <f t="shared" si="64"/>
        <v>No</v>
      </c>
      <c r="GR44" s="431">
        <f t="shared" si="65"/>
        <v>0</v>
      </c>
      <c r="GS44" s="431">
        <f t="shared" si="66"/>
        <v>0</v>
      </c>
      <c r="GT44" s="431">
        <f t="shared" si="67"/>
        <v>7502557.4892481482</v>
      </c>
      <c r="GU44" s="429">
        <f>'Concentration Limits'!$J$69</f>
        <v>34949505.547294997</v>
      </c>
      <c r="GV44" s="429" t="str">
        <f t="shared" si="68"/>
        <v>No</v>
      </c>
      <c r="GW44" s="429">
        <f t="shared" si="69"/>
        <v>0</v>
      </c>
      <c r="GX44" s="429">
        <f t="shared" si="70"/>
        <v>0</v>
      </c>
      <c r="GY44" s="429">
        <f t="shared" si="71"/>
        <v>7502557.4892481482</v>
      </c>
      <c r="GZ44" s="429">
        <f>'Concentration Limits'!$J$70</f>
        <v>23299670.364863332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35">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46599340.729726665</v>
      </c>
      <c r="EM45" s="429" t="str">
        <f>IF(OR(D45="Second Lien",AND(D45="FILO",DI45&gt;AGENT!$C$57)), "Yes", "No")</f>
        <v>No</v>
      </c>
      <c r="EN45" s="429">
        <f t="shared" si="29"/>
        <v>0</v>
      </c>
      <c r="EO45" s="429">
        <f t="shared" si="30"/>
        <v>0</v>
      </c>
      <c r="EP45" s="429">
        <f t="shared" si="31"/>
        <v>14364237.751482427</v>
      </c>
      <c r="EQ45" s="429">
        <f>'Concentration Limits'!$J$50</f>
        <v>23299670.364863332</v>
      </c>
      <c r="ER45" s="429">
        <f t="shared" si="32"/>
        <v>0</v>
      </c>
      <c r="ES45" s="429">
        <f t="shared" si="84"/>
        <v>0</v>
      </c>
      <c r="ET45" s="429">
        <f t="shared" si="33"/>
        <v>14364237.751482427</v>
      </c>
      <c r="EU45" s="429">
        <f>'Concentration Limits'!$J$51</f>
        <v>69899011.094589993</v>
      </c>
      <c r="EV45" s="429" t="str">
        <f>IF(OR(D45="Second Lien", AND(D45="FILO",DI45&gt;AGENT!$C$59)), "Yes", "No")</f>
        <v>No</v>
      </c>
      <c r="EW45" s="429">
        <f t="shared" si="34"/>
        <v>0</v>
      </c>
      <c r="EX45" s="429">
        <f t="shared" si="35"/>
        <v>0</v>
      </c>
      <c r="EY45" s="429">
        <f t="shared" si="36"/>
        <v>14364237.751482427</v>
      </c>
      <c r="EZ45" s="429">
        <f>'Concentration Limits'!$J$52</f>
        <v>34949505.547294997</v>
      </c>
      <c r="FA45" s="429" t="str">
        <f>IF(CY45&gt;'Concentration Limits'!$E$52, "No", "Yes")</f>
        <v>No</v>
      </c>
      <c r="FB45" s="429">
        <f t="shared" si="37"/>
        <v>0</v>
      </c>
      <c r="FC45" s="429">
        <f t="shared" si="38"/>
        <v>0</v>
      </c>
      <c r="FD45" s="429">
        <f t="shared" si="39"/>
        <v>14364237.751482427</v>
      </c>
      <c r="FE45" s="430">
        <f>'Concentration Limits'!$J$54</f>
        <v>232996703.6486333</v>
      </c>
      <c r="FF45" s="430">
        <f>'Concentration Limits'!$J$55</f>
        <v>232996703.6486333</v>
      </c>
      <c r="FG45" s="430">
        <f>'Concentration Limits'!$J$56</f>
        <v>232996703.6486333</v>
      </c>
      <c r="FH45" s="431">
        <f>'Concentration Limits'!$J$57</f>
        <v>17474752.773647498</v>
      </c>
      <c r="FI45" s="431">
        <f t="shared" si="40"/>
        <v>14364237.751482427</v>
      </c>
      <c r="FJ45" s="431">
        <f t="shared" si="41"/>
        <v>14364237.751482427</v>
      </c>
      <c r="FK45" s="431">
        <f t="shared" si="42"/>
        <v>3</v>
      </c>
      <c r="FL45" s="431">
        <f>IF(FJ45&gt;0,RANK(FJ45,$FJ$9:$FJ$60)+COUNTIF($FJ$9:FJ45,FJ45)-1,0)</f>
        <v>3</v>
      </c>
      <c r="FM45" s="430">
        <f t="shared" si="43"/>
        <v>0</v>
      </c>
      <c r="FN45" s="430">
        <f t="shared" si="44"/>
        <v>0</v>
      </c>
      <c r="FO45" s="430">
        <f t="shared" si="45"/>
        <v>0</v>
      </c>
      <c r="FP45" s="431">
        <f t="shared" si="46"/>
        <v>0</v>
      </c>
      <c r="FQ45" s="431">
        <f t="shared" si="47"/>
        <v>14364237.751482427</v>
      </c>
      <c r="FR45" s="431">
        <f>'Concentration Limits'!$J$58</f>
        <v>46599340.729726665</v>
      </c>
      <c r="FS45" s="431">
        <f t="shared" si="48"/>
        <v>14364237.751482427</v>
      </c>
      <c r="FT45" s="431">
        <f>VLOOKUP(BR45,'Concentration Limits'!$E$81:$H$153,4,FALSE)</f>
        <v>6</v>
      </c>
      <c r="FU45" s="431">
        <f t="shared" si="49"/>
        <v>0</v>
      </c>
      <c r="FV45" s="431">
        <f t="shared" si="50"/>
        <v>14364237.751482427</v>
      </c>
      <c r="FW45" s="431">
        <f>'Concentration Limits'!$J$59</f>
        <v>34949505.547294997</v>
      </c>
      <c r="FX45" s="431">
        <f t="shared" si="51"/>
        <v>14364237.751482427</v>
      </c>
      <c r="FY45" s="431">
        <f>VLOOKUP(BR45,'Concentration Limits'!$E$81:$H$153,4,FALSE)</f>
        <v>6</v>
      </c>
      <c r="FZ45" s="431">
        <f t="shared" si="52"/>
        <v>0</v>
      </c>
      <c r="GA45" s="431">
        <f t="shared" si="53"/>
        <v>14364237.751482427</v>
      </c>
      <c r="GB45" s="431">
        <f>'Concentration Limits'!$J$61</f>
        <v>23299670.364863332</v>
      </c>
      <c r="GC45" s="431">
        <f t="shared" si="54"/>
        <v>14364237.751482427</v>
      </c>
      <c r="GD45" s="429">
        <f>VLOOKUP(BR45,'Concentration Limits'!$E$81:$H$153,4,FALSE)</f>
        <v>6</v>
      </c>
      <c r="GE45" s="431">
        <f t="shared" si="55"/>
        <v>0</v>
      </c>
      <c r="GF45" s="431">
        <f t="shared" si="56"/>
        <v>14364237.751482427</v>
      </c>
      <c r="GG45" s="431">
        <f>'Concentration Limits'!$J$64</f>
        <v>23299670.364863332</v>
      </c>
      <c r="GH45" s="431">
        <f t="shared" si="57"/>
        <v>0</v>
      </c>
      <c r="GI45" s="431">
        <f t="shared" si="58"/>
        <v>0</v>
      </c>
      <c r="GJ45" s="431">
        <f t="shared" si="59"/>
        <v>14364237.751482427</v>
      </c>
      <c r="GK45" s="431">
        <f>'Concentration Limits'!$J$67</f>
        <v>23299670.364863332</v>
      </c>
      <c r="GL45" s="429" t="str">
        <f t="shared" si="60"/>
        <v>No</v>
      </c>
      <c r="GM45" s="431">
        <f t="shared" si="61"/>
        <v>0</v>
      </c>
      <c r="GN45" s="431">
        <f t="shared" si="62"/>
        <v>0</v>
      </c>
      <c r="GO45" s="431">
        <f t="shared" si="63"/>
        <v>14364237.751482427</v>
      </c>
      <c r="GP45" s="431">
        <f>'Concentration Limits'!$J$68</f>
        <v>34949505.547294997</v>
      </c>
      <c r="GQ45" s="429" t="str">
        <f t="shared" si="64"/>
        <v>No</v>
      </c>
      <c r="GR45" s="431">
        <f t="shared" si="65"/>
        <v>0</v>
      </c>
      <c r="GS45" s="431">
        <f t="shared" si="66"/>
        <v>0</v>
      </c>
      <c r="GT45" s="431">
        <f t="shared" si="67"/>
        <v>14364237.751482427</v>
      </c>
      <c r="GU45" s="429">
        <f>'Concentration Limits'!$J$69</f>
        <v>34949505.547294997</v>
      </c>
      <c r="GV45" s="429" t="str">
        <f t="shared" si="68"/>
        <v>No</v>
      </c>
      <c r="GW45" s="429">
        <f t="shared" si="69"/>
        <v>0</v>
      </c>
      <c r="GX45" s="429">
        <f t="shared" si="70"/>
        <v>0</v>
      </c>
      <c r="GY45" s="429">
        <f t="shared" si="71"/>
        <v>14364237.751482427</v>
      </c>
      <c r="GZ45" s="429">
        <f>'Concentration Limits'!$J$70</f>
        <v>23299670.364863332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35">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46599340.729726665</v>
      </c>
      <c r="EM46" s="429" t="str">
        <f>IF(OR(D46="Second Lien",AND(D46="FILO",DI46&gt;AGENT!$C$57)), "Yes", "No")</f>
        <v>No</v>
      </c>
      <c r="EN46" s="429">
        <f t="shared" si="29"/>
        <v>0</v>
      </c>
      <c r="EO46" s="429">
        <f t="shared" si="30"/>
        <v>0</v>
      </c>
      <c r="EP46" s="429">
        <f t="shared" si="31"/>
        <v>11843346.714755239</v>
      </c>
      <c r="EQ46" s="429">
        <f>'Concentration Limits'!$J$50</f>
        <v>23299670.364863332</v>
      </c>
      <c r="ER46" s="429">
        <f t="shared" si="32"/>
        <v>0</v>
      </c>
      <c r="ES46" s="429">
        <f t="shared" si="84"/>
        <v>0</v>
      </c>
      <c r="ET46" s="429">
        <f t="shared" si="33"/>
        <v>11843346.714755239</v>
      </c>
      <c r="EU46" s="429">
        <f>'Concentration Limits'!$J$51</f>
        <v>69899011.094589993</v>
      </c>
      <c r="EV46" s="429" t="str">
        <f>IF(OR(D46="Second Lien", AND(D46="FILO",DI46&gt;AGENT!$C$59)), "Yes", "No")</f>
        <v>No</v>
      </c>
      <c r="EW46" s="429">
        <f t="shared" si="34"/>
        <v>0</v>
      </c>
      <c r="EX46" s="429">
        <f t="shared" si="35"/>
        <v>0</v>
      </c>
      <c r="EY46" s="429">
        <f t="shared" si="36"/>
        <v>11843346.714755239</v>
      </c>
      <c r="EZ46" s="429">
        <f>'Concentration Limits'!$J$52</f>
        <v>34949505.547294997</v>
      </c>
      <c r="FA46" s="429" t="str">
        <f>IF(CY46&gt;'Concentration Limits'!$E$52, "No", "Yes")</f>
        <v>No</v>
      </c>
      <c r="FB46" s="429">
        <f t="shared" si="37"/>
        <v>0</v>
      </c>
      <c r="FC46" s="429">
        <f t="shared" si="38"/>
        <v>0</v>
      </c>
      <c r="FD46" s="429">
        <f t="shared" si="39"/>
        <v>11843346.714755239</v>
      </c>
      <c r="FE46" s="430">
        <f>'Concentration Limits'!$J$54</f>
        <v>232996703.6486333</v>
      </c>
      <c r="FF46" s="430">
        <f>'Concentration Limits'!$J$55</f>
        <v>232996703.6486333</v>
      </c>
      <c r="FG46" s="430">
        <f>'Concentration Limits'!$J$56</f>
        <v>232996703.6486333</v>
      </c>
      <c r="FH46" s="431">
        <f>'Concentration Limits'!$J$57</f>
        <v>17474752.773647498</v>
      </c>
      <c r="FI46" s="431">
        <f t="shared" si="40"/>
        <v>11843346.714755239</v>
      </c>
      <c r="FJ46" s="431">
        <f t="shared" si="41"/>
        <v>11843346.714755239</v>
      </c>
      <c r="FK46" s="431">
        <f t="shared" si="42"/>
        <v>6</v>
      </c>
      <c r="FL46" s="431">
        <f>IF(FJ46&gt;0,RANK(FJ46,$FJ$9:$FJ$60)+COUNTIF($FJ$9:FJ46,FJ46)-1,0)</f>
        <v>6</v>
      </c>
      <c r="FM46" s="430">
        <f t="shared" si="43"/>
        <v>0</v>
      </c>
      <c r="FN46" s="430">
        <f t="shared" si="44"/>
        <v>0</v>
      </c>
      <c r="FO46" s="430">
        <f t="shared" si="45"/>
        <v>0</v>
      </c>
      <c r="FP46" s="431">
        <f t="shared" si="46"/>
        <v>0</v>
      </c>
      <c r="FQ46" s="431">
        <f t="shared" si="47"/>
        <v>11843346.714755239</v>
      </c>
      <c r="FR46" s="431">
        <f>'Concentration Limits'!$J$58</f>
        <v>46599340.729726665</v>
      </c>
      <c r="FS46" s="431">
        <f t="shared" si="48"/>
        <v>46042971.865242489</v>
      </c>
      <c r="FT46" s="431">
        <f>VLOOKUP(BR46,'Concentration Limits'!$E$81:$H$153,4,FALSE)</f>
        <v>1</v>
      </c>
      <c r="FU46" s="431">
        <f t="shared" si="49"/>
        <v>0</v>
      </c>
      <c r="FV46" s="431">
        <f t="shared" si="50"/>
        <v>11843346.714755239</v>
      </c>
      <c r="FW46" s="431">
        <f>'Concentration Limits'!$J$59</f>
        <v>34949505.547294997</v>
      </c>
      <c r="FX46" s="431">
        <f t="shared" si="51"/>
        <v>46042971.865242489</v>
      </c>
      <c r="FY46" s="431">
        <f>VLOOKUP(BR46,'Concentration Limits'!$E$81:$H$153,4,FALSE)</f>
        <v>1</v>
      </c>
      <c r="FZ46" s="431">
        <f t="shared" si="52"/>
        <v>0</v>
      </c>
      <c r="GA46" s="431">
        <f t="shared" si="53"/>
        <v>11843346.714755239</v>
      </c>
      <c r="GB46" s="431">
        <f>'Concentration Limits'!$J$61</f>
        <v>23299670.364863332</v>
      </c>
      <c r="GC46" s="431">
        <f t="shared" si="54"/>
        <v>46042971.865242489</v>
      </c>
      <c r="GD46" s="429">
        <f>VLOOKUP(BR46,'Concentration Limits'!$E$81:$H$153,4,FALSE)</f>
        <v>1</v>
      </c>
      <c r="GE46" s="431">
        <f t="shared" si="55"/>
        <v>0</v>
      </c>
      <c r="GF46" s="431">
        <f t="shared" si="56"/>
        <v>11843346.714755239</v>
      </c>
      <c r="GG46" s="431">
        <f>'Concentration Limits'!$J$64</f>
        <v>23299670.364863332</v>
      </c>
      <c r="GH46" s="431">
        <f t="shared" si="57"/>
        <v>0</v>
      </c>
      <c r="GI46" s="431">
        <f t="shared" si="58"/>
        <v>0</v>
      </c>
      <c r="GJ46" s="431">
        <f t="shared" si="59"/>
        <v>11843346.714755239</v>
      </c>
      <c r="GK46" s="431">
        <f>'Concentration Limits'!$J$67</f>
        <v>23299670.364863332</v>
      </c>
      <c r="GL46" s="429" t="str">
        <f t="shared" si="60"/>
        <v>No</v>
      </c>
      <c r="GM46" s="431">
        <f t="shared" si="61"/>
        <v>0</v>
      </c>
      <c r="GN46" s="431">
        <f t="shared" si="62"/>
        <v>0</v>
      </c>
      <c r="GO46" s="431">
        <f t="shared" si="63"/>
        <v>11843346.714755239</v>
      </c>
      <c r="GP46" s="431">
        <f>'Concentration Limits'!$J$68</f>
        <v>34949505.547294997</v>
      </c>
      <c r="GQ46" s="429" t="str">
        <f t="shared" si="64"/>
        <v>No</v>
      </c>
      <c r="GR46" s="431">
        <f t="shared" si="65"/>
        <v>0</v>
      </c>
      <c r="GS46" s="431">
        <f t="shared" si="66"/>
        <v>0</v>
      </c>
      <c r="GT46" s="431">
        <f t="shared" si="67"/>
        <v>11843346.714755239</v>
      </c>
      <c r="GU46" s="429">
        <f>'Concentration Limits'!$J$69</f>
        <v>34949505.547294997</v>
      </c>
      <c r="GV46" s="429" t="str">
        <f t="shared" si="68"/>
        <v>No</v>
      </c>
      <c r="GW46" s="429">
        <f t="shared" si="69"/>
        <v>0</v>
      </c>
      <c r="GX46" s="429">
        <f t="shared" si="70"/>
        <v>0</v>
      </c>
      <c r="GY46" s="429">
        <f t="shared" si="71"/>
        <v>11843346.714755239</v>
      </c>
      <c r="GZ46" s="429">
        <f>'Concentration Limits'!$J$70</f>
        <v>23299670.364863332</v>
      </c>
      <c r="HA46" s="429" t="str">
        <f t="shared" si="72"/>
        <v>No</v>
      </c>
      <c r="HB46" s="429">
        <f t="shared" si="73"/>
        <v>0</v>
      </c>
      <c r="HC46" s="429">
        <f t="shared" si="74"/>
        <v>0</v>
      </c>
      <c r="HD46" s="429">
        <f t="shared" si="75"/>
        <v>11843346.714755239</v>
      </c>
      <c r="HE46" s="431">
        <f t="shared" si="76"/>
        <v>11843346.714755239</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35">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46599340.729726665</v>
      </c>
      <c r="EM47" s="429" t="str">
        <f>IF(OR(D47="Second Lien",AND(D47="FILO",DI47&gt;AGENT!$C$57)), "Yes", "No")</f>
        <v>No</v>
      </c>
      <c r="EN47" s="429">
        <f t="shared" si="29"/>
        <v>0</v>
      </c>
      <c r="EO47" s="429">
        <f t="shared" si="30"/>
        <v>0</v>
      </c>
      <c r="EP47" s="429">
        <f t="shared" si="31"/>
        <v>10331560.995420478</v>
      </c>
      <c r="EQ47" s="429">
        <f>'Concentration Limits'!$J$50</f>
        <v>23299670.364863332</v>
      </c>
      <c r="ER47" s="429">
        <f t="shared" si="32"/>
        <v>0</v>
      </c>
      <c r="ES47" s="429">
        <f t="shared" si="84"/>
        <v>0</v>
      </c>
      <c r="ET47" s="429">
        <f t="shared" si="33"/>
        <v>10331560.995420478</v>
      </c>
      <c r="EU47" s="429">
        <f>'Concentration Limits'!$J$51</f>
        <v>69899011.094589993</v>
      </c>
      <c r="EV47" s="429" t="str">
        <f>IF(OR(D47="Second Lien", AND(D47="FILO",DI47&gt;AGENT!$C$59)), "Yes", "No")</f>
        <v>No</v>
      </c>
      <c r="EW47" s="429">
        <f t="shared" si="34"/>
        <v>0</v>
      </c>
      <c r="EX47" s="429">
        <f t="shared" si="35"/>
        <v>0</v>
      </c>
      <c r="EY47" s="429">
        <f t="shared" si="36"/>
        <v>10331560.995420478</v>
      </c>
      <c r="EZ47" s="429">
        <f>'Concentration Limits'!$J$52</f>
        <v>34949505.547294997</v>
      </c>
      <c r="FA47" s="429" t="str">
        <f>IF(CY47&gt;'Concentration Limits'!$E$52, "No", "Yes")</f>
        <v>No</v>
      </c>
      <c r="FB47" s="429">
        <f t="shared" si="37"/>
        <v>0</v>
      </c>
      <c r="FC47" s="429">
        <f t="shared" si="38"/>
        <v>0</v>
      </c>
      <c r="FD47" s="429">
        <f t="shared" si="39"/>
        <v>10331560.995420478</v>
      </c>
      <c r="FE47" s="430">
        <f>'Concentration Limits'!$J$54</f>
        <v>232996703.6486333</v>
      </c>
      <c r="FF47" s="430">
        <f>'Concentration Limits'!$J$55</f>
        <v>232996703.6486333</v>
      </c>
      <c r="FG47" s="430">
        <f>'Concentration Limits'!$J$56</f>
        <v>232996703.6486333</v>
      </c>
      <c r="FH47" s="431">
        <f>'Concentration Limits'!$J$57</f>
        <v>17474752.773647498</v>
      </c>
      <c r="FI47" s="431">
        <f t="shared" si="40"/>
        <v>10331560.995420478</v>
      </c>
      <c r="FJ47" s="431">
        <f t="shared" si="41"/>
        <v>10331560.995420478</v>
      </c>
      <c r="FK47" s="431">
        <f t="shared" si="42"/>
        <v>10</v>
      </c>
      <c r="FL47" s="431">
        <f>IF(FJ47&gt;0,RANK(FJ47,$FJ$9:$FJ$60)+COUNTIF($FJ$9:FJ47,FJ47)-1,0)</f>
        <v>10</v>
      </c>
      <c r="FM47" s="430">
        <f t="shared" si="43"/>
        <v>0</v>
      </c>
      <c r="FN47" s="430">
        <f t="shared" si="44"/>
        <v>0</v>
      </c>
      <c r="FO47" s="430">
        <f t="shared" si="45"/>
        <v>0</v>
      </c>
      <c r="FP47" s="431">
        <f t="shared" si="46"/>
        <v>0</v>
      </c>
      <c r="FQ47" s="431">
        <f t="shared" si="47"/>
        <v>10331560.995420478</v>
      </c>
      <c r="FR47" s="431">
        <f>'Concentration Limits'!$J$58</f>
        <v>46599340.729726665</v>
      </c>
      <c r="FS47" s="431">
        <f t="shared" si="48"/>
        <v>10331560.995420478</v>
      </c>
      <c r="FT47" s="431">
        <f>VLOOKUP(BR47,'Concentration Limits'!$E$81:$H$153,4,FALSE)</f>
        <v>12</v>
      </c>
      <c r="FU47" s="431">
        <f t="shared" si="49"/>
        <v>0</v>
      </c>
      <c r="FV47" s="431">
        <f t="shared" si="50"/>
        <v>10331560.995420478</v>
      </c>
      <c r="FW47" s="431">
        <f>'Concentration Limits'!$J$59</f>
        <v>34949505.547294997</v>
      </c>
      <c r="FX47" s="431">
        <f t="shared" si="51"/>
        <v>10331560.995420478</v>
      </c>
      <c r="FY47" s="431">
        <f>VLOOKUP(BR47,'Concentration Limits'!$E$81:$H$153,4,FALSE)</f>
        <v>12</v>
      </c>
      <c r="FZ47" s="431">
        <f t="shared" si="52"/>
        <v>0</v>
      </c>
      <c r="GA47" s="431">
        <f t="shared" si="53"/>
        <v>10331560.995420478</v>
      </c>
      <c r="GB47" s="431">
        <f>'Concentration Limits'!$J$61</f>
        <v>23299670.364863332</v>
      </c>
      <c r="GC47" s="431">
        <f t="shared" si="54"/>
        <v>10331560.995420478</v>
      </c>
      <c r="GD47" s="429">
        <f>VLOOKUP(BR47,'Concentration Limits'!$E$81:$H$153,4,FALSE)</f>
        <v>12</v>
      </c>
      <c r="GE47" s="431">
        <f t="shared" si="55"/>
        <v>0</v>
      </c>
      <c r="GF47" s="431">
        <f t="shared" si="56"/>
        <v>10331560.995420478</v>
      </c>
      <c r="GG47" s="431">
        <f>'Concentration Limits'!$J$64</f>
        <v>23299670.364863332</v>
      </c>
      <c r="GH47" s="431">
        <f t="shared" si="57"/>
        <v>0</v>
      </c>
      <c r="GI47" s="431">
        <f t="shared" si="58"/>
        <v>0</v>
      </c>
      <c r="GJ47" s="431">
        <f t="shared" si="59"/>
        <v>10331560.995420478</v>
      </c>
      <c r="GK47" s="431">
        <f>'Concentration Limits'!$J$67</f>
        <v>23299670.364863332</v>
      </c>
      <c r="GL47" s="429" t="str">
        <f t="shared" si="60"/>
        <v>No</v>
      </c>
      <c r="GM47" s="431">
        <f t="shared" si="61"/>
        <v>0</v>
      </c>
      <c r="GN47" s="431">
        <f t="shared" si="62"/>
        <v>0</v>
      </c>
      <c r="GO47" s="431">
        <f t="shared" si="63"/>
        <v>10331560.995420478</v>
      </c>
      <c r="GP47" s="431">
        <f>'Concentration Limits'!$J$68</f>
        <v>34949505.547294997</v>
      </c>
      <c r="GQ47" s="429" t="str">
        <f t="shared" si="64"/>
        <v>No</v>
      </c>
      <c r="GR47" s="431">
        <f t="shared" si="65"/>
        <v>0</v>
      </c>
      <c r="GS47" s="431">
        <f t="shared" si="66"/>
        <v>0</v>
      </c>
      <c r="GT47" s="431">
        <f t="shared" si="67"/>
        <v>10331560.995420478</v>
      </c>
      <c r="GU47" s="429">
        <f>'Concentration Limits'!$J$69</f>
        <v>34949505.547294997</v>
      </c>
      <c r="GV47" s="429" t="str">
        <f t="shared" si="68"/>
        <v>No</v>
      </c>
      <c r="GW47" s="429">
        <f t="shared" si="69"/>
        <v>0</v>
      </c>
      <c r="GX47" s="429">
        <f t="shared" si="70"/>
        <v>0</v>
      </c>
      <c r="GY47" s="429">
        <f t="shared" si="71"/>
        <v>10331560.995420478</v>
      </c>
      <c r="GZ47" s="429">
        <f>'Concentration Limits'!$J$70</f>
        <v>23299670.364863332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35">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46599340.729726665</v>
      </c>
      <c r="EM48" s="429" t="str">
        <f>IF(OR(D48="Second Lien",AND(D48="FILO",DI48&gt;AGENT!$C$57)), "Yes", "No")</f>
        <v>No</v>
      </c>
      <c r="EN48" s="429">
        <f t="shared" si="29"/>
        <v>0</v>
      </c>
      <c r="EO48" s="429">
        <f t="shared" si="30"/>
        <v>0</v>
      </c>
      <c r="EP48" s="429">
        <f t="shared" si="31"/>
        <v>12232030.652780918</v>
      </c>
      <c r="EQ48" s="429">
        <f>'Concentration Limits'!$J$50</f>
        <v>23299670.364863332</v>
      </c>
      <c r="ER48" s="429">
        <f t="shared" si="32"/>
        <v>0</v>
      </c>
      <c r="ES48" s="429">
        <f t="shared" si="84"/>
        <v>0</v>
      </c>
      <c r="ET48" s="429">
        <f t="shared" si="33"/>
        <v>12232030.652780918</v>
      </c>
      <c r="EU48" s="429">
        <f>'Concentration Limits'!$J$51</f>
        <v>69899011.094589993</v>
      </c>
      <c r="EV48" s="429" t="str">
        <f>IF(OR(D48="Second Lien", AND(D48="FILO",DI48&gt;AGENT!$C$59)), "Yes", "No")</f>
        <v>No</v>
      </c>
      <c r="EW48" s="429">
        <f t="shared" si="34"/>
        <v>0</v>
      </c>
      <c r="EX48" s="429">
        <f t="shared" si="35"/>
        <v>0</v>
      </c>
      <c r="EY48" s="429">
        <f t="shared" si="36"/>
        <v>12232030.652780918</v>
      </c>
      <c r="EZ48" s="429">
        <f>'Concentration Limits'!$J$52</f>
        <v>34949505.547294997</v>
      </c>
      <c r="FA48" s="429" t="str">
        <f>IF(CY48&gt;'Concentration Limits'!$E$52, "No", "Yes")</f>
        <v>No</v>
      </c>
      <c r="FB48" s="429">
        <f t="shared" si="37"/>
        <v>0</v>
      </c>
      <c r="FC48" s="429">
        <f t="shared" si="38"/>
        <v>0</v>
      </c>
      <c r="FD48" s="429">
        <f t="shared" si="39"/>
        <v>12232030.652780918</v>
      </c>
      <c r="FE48" s="430">
        <f>'Concentration Limits'!$J$54</f>
        <v>232996703.6486333</v>
      </c>
      <c r="FF48" s="430">
        <f>'Concentration Limits'!$J$55</f>
        <v>232996703.6486333</v>
      </c>
      <c r="FG48" s="430">
        <f>'Concentration Limits'!$J$56</f>
        <v>232996703.6486333</v>
      </c>
      <c r="FH48" s="431">
        <f>'Concentration Limits'!$J$57</f>
        <v>17474752.773647498</v>
      </c>
      <c r="FI48" s="431">
        <f t="shared" si="40"/>
        <v>12232030.652780918</v>
      </c>
      <c r="FJ48" s="431">
        <f t="shared" si="41"/>
        <v>12232030.652780918</v>
      </c>
      <c r="FK48" s="431">
        <f t="shared" si="42"/>
        <v>5</v>
      </c>
      <c r="FL48" s="431">
        <f>IF(FJ48&gt;0,RANK(FJ48,$FJ$9:$FJ$60)+COUNTIF($FJ$9:FJ48,FJ48)-1,0)</f>
        <v>5</v>
      </c>
      <c r="FM48" s="430">
        <f t="shared" si="43"/>
        <v>0</v>
      </c>
      <c r="FN48" s="430">
        <f t="shared" si="44"/>
        <v>0</v>
      </c>
      <c r="FO48" s="430">
        <f t="shared" si="45"/>
        <v>0</v>
      </c>
      <c r="FP48" s="431">
        <f t="shared" si="46"/>
        <v>0</v>
      </c>
      <c r="FQ48" s="431">
        <f t="shared" si="47"/>
        <v>12232030.652780918</v>
      </c>
      <c r="FR48" s="431">
        <f>'Concentration Limits'!$J$58</f>
        <v>46599340.729726665</v>
      </c>
      <c r="FS48" s="431">
        <f t="shared" si="48"/>
        <v>46042971.865242489</v>
      </c>
      <c r="FT48" s="431">
        <f>VLOOKUP(BR48,'Concentration Limits'!$E$81:$H$153,4,FALSE)</f>
        <v>1</v>
      </c>
      <c r="FU48" s="431">
        <f t="shared" si="49"/>
        <v>0</v>
      </c>
      <c r="FV48" s="431">
        <f t="shared" si="50"/>
        <v>12232030.652780918</v>
      </c>
      <c r="FW48" s="431">
        <f>'Concentration Limits'!$J$59</f>
        <v>34949505.547294997</v>
      </c>
      <c r="FX48" s="431">
        <f t="shared" si="51"/>
        <v>46042971.865242489</v>
      </c>
      <c r="FY48" s="431">
        <f>VLOOKUP(BR48,'Concentration Limits'!$E$81:$H$153,4,FALSE)</f>
        <v>1</v>
      </c>
      <c r="FZ48" s="431">
        <f t="shared" si="52"/>
        <v>0</v>
      </c>
      <c r="GA48" s="431">
        <f t="shared" si="53"/>
        <v>12232030.652780918</v>
      </c>
      <c r="GB48" s="431">
        <f>'Concentration Limits'!$J$61</f>
        <v>23299670.364863332</v>
      </c>
      <c r="GC48" s="431">
        <f t="shared" si="54"/>
        <v>46042971.865242489</v>
      </c>
      <c r="GD48" s="429">
        <f>VLOOKUP(BR48,'Concentration Limits'!$E$81:$H$153,4,FALSE)</f>
        <v>1</v>
      </c>
      <c r="GE48" s="431">
        <f t="shared" si="55"/>
        <v>0</v>
      </c>
      <c r="GF48" s="431">
        <f t="shared" si="56"/>
        <v>12232030.652780918</v>
      </c>
      <c r="GG48" s="431">
        <f>'Concentration Limits'!$J$64</f>
        <v>23299670.364863332</v>
      </c>
      <c r="GH48" s="431">
        <f t="shared" si="57"/>
        <v>0</v>
      </c>
      <c r="GI48" s="431">
        <f t="shared" si="58"/>
        <v>0</v>
      </c>
      <c r="GJ48" s="431">
        <f t="shared" si="59"/>
        <v>12232030.652780918</v>
      </c>
      <c r="GK48" s="431">
        <f>'Concentration Limits'!$J$67</f>
        <v>23299670.364863332</v>
      </c>
      <c r="GL48" s="429" t="str">
        <f t="shared" si="60"/>
        <v>No</v>
      </c>
      <c r="GM48" s="431">
        <f t="shared" si="61"/>
        <v>0</v>
      </c>
      <c r="GN48" s="431">
        <f t="shared" si="62"/>
        <v>0</v>
      </c>
      <c r="GO48" s="431">
        <f t="shared" si="63"/>
        <v>12232030.652780918</v>
      </c>
      <c r="GP48" s="431">
        <f>'Concentration Limits'!$J$68</f>
        <v>34949505.547294997</v>
      </c>
      <c r="GQ48" s="429" t="str">
        <f t="shared" si="64"/>
        <v>No</v>
      </c>
      <c r="GR48" s="431">
        <f t="shared" si="65"/>
        <v>0</v>
      </c>
      <c r="GS48" s="431">
        <f t="shared" si="66"/>
        <v>0</v>
      </c>
      <c r="GT48" s="431">
        <f t="shared" si="67"/>
        <v>12232030.652780918</v>
      </c>
      <c r="GU48" s="429">
        <f>'Concentration Limits'!$J$69</f>
        <v>34949505.547294997</v>
      </c>
      <c r="GV48" s="429" t="str">
        <f t="shared" si="68"/>
        <v>No</v>
      </c>
      <c r="GW48" s="429">
        <f t="shared" si="69"/>
        <v>0</v>
      </c>
      <c r="GX48" s="429">
        <f t="shared" si="70"/>
        <v>0</v>
      </c>
      <c r="GY48" s="429">
        <f t="shared" si="71"/>
        <v>12232030.652780918</v>
      </c>
      <c r="GZ48" s="429">
        <f>'Concentration Limits'!$J$70</f>
        <v>23299670.364863332</v>
      </c>
      <c r="HA48" s="429" t="str">
        <f t="shared" si="72"/>
        <v>No</v>
      </c>
      <c r="HB48" s="429">
        <f t="shared" si="73"/>
        <v>0</v>
      </c>
      <c r="HC48" s="429">
        <f t="shared" si="74"/>
        <v>0</v>
      </c>
      <c r="HD48" s="429">
        <f t="shared" si="75"/>
        <v>12232030.652780918</v>
      </c>
      <c r="HE48" s="431">
        <f t="shared" si="76"/>
        <v>12232030.652780917</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35">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46599340.729726665</v>
      </c>
      <c r="EM49" s="429" t="str">
        <f>IF(OR(D49="Second Lien",AND(D49="FILO",DI49&gt;AGENT!$C$57)), "Yes", "No")</f>
        <v>No</v>
      </c>
      <c r="EN49" s="429">
        <f t="shared" si="29"/>
        <v>0</v>
      </c>
      <c r="EO49" s="429">
        <f t="shared" si="30"/>
        <v>0</v>
      </c>
      <c r="EP49" s="429">
        <f t="shared" si="31"/>
        <v>1883560.9969692549</v>
      </c>
      <c r="EQ49" s="429">
        <f>'Concentration Limits'!$J$50</f>
        <v>23299670.364863332</v>
      </c>
      <c r="ER49" s="429">
        <f t="shared" si="32"/>
        <v>0</v>
      </c>
      <c r="ES49" s="429">
        <f t="shared" si="84"/>
        <v>0</v>
      </c>
      <c r="ET49" s="429">
        <f t="shared" si="33"/>
        <v>1883560.9969692549</v>
      </c>
      <c r="EU49" s="429">
        <f>'Concentration Limits'!$J$51</f>
        <v>69899011.094589993</v>
      </c>
      <c r="EV49" s="429" t="str">
        <f>IF(OR(D49="Second Lien", AND(D49="FILO",DI49&gt;AGENT!$C$59)), "Yes", "No")</f>
        <v>No</v>
      </c>
      <c r="EW49" s="429">
        <f t="shared" si="34"/>
        <v>0</v>
      </c>
      <c r="EX49" s="429">
        <f t="shared" si="35"/>
        <v>0</v>
      </c>
      <c r="EY49" s="429">
        <f t="shared" si="36"/>
        <v>1883560.9969692549</v>
      </c>
      <c r="EZ49" s="429">
        <f>'Concentration Limits'!$J$52</f>
        <v>34949505.547294997</v>
      </c>
      <c r="FA49" s="429" t="str">
        <f>IF(CY49&gt;'Concentration Limits'!$E$52, "No", "Yes")</f>
        <v>No</v>
      </c>
      <c r="FB49" s="429">
        <f t="shared" si="37"/>
        <v>0</v>
      </c>
      <c r="FC49" s="429">
        <f t="shared" si="38"/>
        <v>0</v>
      </c>
      <c r="FD49" s="429">
        <f t="shared" si="39"/>
        <v>1883560.9969692549</v>
      </c>
      <c r="FE49" s="430">
        <f>'Concentration Limits'!$J$54</f>
        <v>232996703.6486333</v>
      </c>
      <c r="FF49" s="430">
        <f>'Concentration Limits'!$J$55</f>
        <v>232996703.6486333</v>
      </c>
      <c r="FG49" s="430">
        <f>'Concentration Limits'!$J$56</f>
        <v>232996703.6486333</v>
      </c>
      <c r="FH49" s="431">
        <f>'Concentration Limits'!$J$57</f>
        <v>17474752.773647498</v>
      </c>
      <c r="FI49" s="431">
        <f t="shared" si="40"/>
        <v>1883560.9969692549</v>
      </c>
      <c r="FJ49" s="431">
        <f t="shared" si="41"/>
        <v>1883560.9969692549</v>
      </c>
      <c r="FK49" s="431">
        <f t="shared" si="42"/>
        <v>27</v>
      </c>
      <c r="FL49" s="431">
        <f>IF(FJ49&gt;0,RANK(FJ49,$FJ$9:$FJ$60)+COUNTIF($FJ$9:FJ49,FJ49)-1,0)</f>
        <v>27</v>
      </c>
      <c r="FM49" s="430">
        <f t="shared" si="43"/>
        <v>0</v>
      </c>
      <c r="FN49" s="430">
        <f t="shared" si="44"/>
        <v>0</v>
      </c>
      <c r="FO49" s="430">
        <f t="shared" si="45"/>
        <v>0</v>
      </c>
      <c r="FP49" s="431">
        <f t="shared" si="46"/>
        <v>0</v>
      </c>
      <c r="FQ49" s="431">
        <f t="shared" si="47"/>
        <v>1883560.9969692549</v>
      </c>
      <c r="FR49" s="431">
        <f>'Concentration Limits'!$J$58</f>
        <v>46599340.729726665</v>
      </c>
      <c r="FS49" s="431">
        <f t="shared" si="48"/>
        <v>1883560.9969692549</v>
      </c>
      <c r="FT49" s="431">
        <f>VLOOKUP(BR49,'Concentration Limits'!$E$81:$H$153,4,FALSE)</f>
        <v>17</v>
      </c>
      <c r="FU49" s="431">
        <f t="shared" si="49"/>
        <v>0</v>
      </c>
      <c r="FV49" s="431">
        <f t="shared" si="50"/>
        <v>1883560.9969692549</v>
      </c>
      <c r="FW49" s="431">
        <f>'Concentration Limits'!$J$59</f>
        <v>34949505.547294997</v>
      </c>
      <c r="FX49" s="431">
        <f t="shared" si="51"/>
        <v>1883560.9969692549</v>
      </c>
      <c r="FY49" s="431">
        <f>VLOOKUP(BR49,'Concentration Limits'!$E$81:$H$153,4,FALSE)</f>
        <v>17</v>
      </c>
      <c r="FZ49" s="431">
        <f t="shared" si="52"/>
        <v>0</v>
      </c>
      <c r="GA49" s="431">
        <f t="shared" si="53"/>
        <v>1883560.9969692549</v>
      </c>
      <c r="GB49" s="431">
        <f>'Concentration Limits'!$J$61</f>
        <v>23299670.364863332</v>
      </c>
      <c r="GC49" s="431">
        <f t="shared" si="54"/>
        <v>1883560.9969692549</v>
      </c>
      <c r="GD49" s="429">
        <f>VLOOKUP(BR49,'Concentration Limits'!$E$81:$H$153,4,FALSE)</f>
        <v>17</v>
      </c>
      <c r="GE49" s="431">
        <f t="shared" si="55"/>
        <v>0</v>
      </c>
      <c r="GF49" s="431">
        <f t="shared" si="56"/>
        <v>1883560.9969692549</v>
      </c>
      <c r="GG49" s="431">
        <f>'Concentration Limits'!$J$64</f>
        <v>23299670.364863332</v>
      </c>
      <c r="GH49" s="431">
        <f t="shared" si="57"/>
        <v>0</v>
      </c>
      <c r="GI49" s="431">
        <f t="shared" si="58"/>
        <v>0</v>
      </c>
      <c r="GJ49" s="431">
        <f t="shared" si="59"/>
        <v>1883560.9969692549</v>
      </c>
      <c r="GK49" s="431">
        <f>'Concentration Limits'!$J$67</f>
        <v>23299670.364863332</v>
      </c>
      <c r="GL49" s="429" t="str">
        <f t="shared" si="60"/>
        <v>No</v>
      </c>
      <c r="GM49" s="431">
        <f t="shared" si="61"/>
        <v>0</v>
      </c>
      <c r="GN49" s="431">
        <f t="shared" si="62"/>
        <v>0</v>
      </c>
      <c r="GO49" s="431">
        <f t="shared" si="63"/>
        <v>1883560.9969692549</v>
      </c>
      <c r="GP49" s="431">
        <f>'Concentration Limits'!$J$68</f>
        <v>34949505.547294997</v>
      </c>
      <c r="GQ49" s="429" t="str">
        <f t="shared" si="64"/>
        <v>No</v>
      </c>
      <c r="GR49" s="431">
        <f t="shared" si="65"/>
        <v>0</v>
      </c>
      <c r="GS49" s="431">
        <f t="shared" si="66"/>
        <v>0</v>
      </c>
      <c r="GT49" s="431">
        <f t="shared" si="67"/>
        <v>1883560.9969692549</v>
      </c>
      <c r="GU49" s="429">
        <f>'Concentration Limits'!$J$69</f>
        <v>34949505.547294997</v>
      </c>
      <c r="GV49" s="429" t="str">
        <f t="shared" si="68"/>
        <v>No</v>
      </c>
      <c r="GW49" s="429">
        <f t="shared" si="69"/>
        <v>0</v>
      </c>
      <c r="GX49" s="429">
        <f t="shared" si="70"/>
        <v>0</v>
      </c>
      <c r="GY49" s="429">
        <f t="shared" si="71"/>
        <v>1883560.9969692549</v>
      </c>
      <c r="GZ49" s="429">
        <f>'Concentration Limits'!$J$70</f>
        <v>23299670.364863332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35">
      <c r="A50" s="291"/>
      <c r="B50" s="404"/>
      <c r="C50" s="404"/>
      <c r="D50" s="405"/>
      <c r="E50" s="406"/>
      <c r="F50" s="406"/>
      <c r="G50" s="406"/>
      <c r="H50" s="406"/>
      <c r="I50" s="406"/>
      <c r="J50" s="406"/>
      <c r="K50" s="406"/>
      <c r="L50" s="406"/>
      <c r="M50" s="406"/>
      <c r="N50" s="406"/>
      <c r="O50" s="453"/>
      <c r="P50" s="709"/>
      <c r="Q50" s="680"/>
      <c r="R50" s="407"/>
      <c r="S50" s="407"/>
      <c r="T50" s="408"/>
      <c r="U50" s="409"/>
      <c r="V50" s="410"/>
      <c r="W50" s="448"/>
      <c r="X50" s="449"/>
      <c r="Y50" s="411"/>
      <c r="Z50" s="449"/>
      <c r="AA50" s="411"/>
      <c r="AB50" s="411"/>
      <c r="AC50" s="450"/>
      <c r="AD50" s="412"/>
      <c r="AE50" s="413"/>
      <c r="AF50" s="413"/>
      <c r="AG50" s="414"/>
      <c r="AH50" s="414"/>
      <c r="AI50" s="414"/>
      <c r="AJ50" s="415"/>
      <c r="AK50" s="416"/>
      <c r="AL50" s="413"/>
      <c r="AM50" s="410"/>
      <c r="AN50" s="410"/>
      <c r="AO50" s="410"/>
      <c r="AP50" s="410"/>
      <c r="AQ50" s="410"/>
      <c r="AR50" s="410"/>
      <c r="AS50" s="410"/>
      <c r="AT50" s="410"/>
      <c r="AU50" s="410"/>
      <c r="AV50" s="410"/>
      <c r="AW50" s="410"/>
      <c r="AX50" s="410"/>
      <c r="AY50" s="410"/>
      <c r="AZ50" s="410"/>
      <c r="BA50" s="410"/>
      <c r="BB50" s="410"/>
      <c r="BC50" s="410"/>
      <c r="BD50" s="410"/>
      <c r="BE50" s="410"/>
      <c r="BF50" s="410"/>
      <c r="BG50" s="410"/>
      <c r="BH50" s="410"/>
      <c r="BI50" s="410"/>
      <c r="BJ50" s="410"/>
      <c r="BK50" s="509"/>
      <c r="BL50" s="509"/>
      <c r="BM50" s="509"/>
      <c r="BN50" s="510"/>
      <c r="BO50" s="510"/>
      <c r="BP50" s="511"/>
      <c r="BQ50" s="510"/>
      <c r="BR50" s="512"/>
      <c r="BS50" s="510"/>
      <c r="BT50" s="513"/>
      <c r="BU50" s="510"/>
      <c r="BV50" s="514"/>
      <c r="BW50" s="514"/>
      <c r="BX50" s="506"/>
      <c r="BY50" s="510"/>
      <c r="BZ50" s="514"/>
      <c r="CA50" s="514"/>
      <c r="CB50" s="510"/>
      <c r="CC50" s="510"/>
      <c r="CD50" s="514"/>
      <c r="CE50" s="510"/>
      <c r="CF50" s="510"/>
      <c r="CG50" s="510"/>
      <c r="CH50" s="510"/>
      <c r="CI50" s="515"/>
      <c r="CJ50" s="508"/>
      <c r="CK50" s="516"/>
      <c r="CL50" s="516"/>
      <c r="CM50" s="417"/>
      <c r="CN50" s="418"/>
      <c r="CO50" s="418"/>
      <c r="CP50" s="419"/>
      <c r="CQ50" s="420"/>
      <c r="CR50" s="419"/>
      <c r="CS50" s="421"/>
      <c r="CT50" s="422"/>
      <c r="CU50" s="516"/>
      <c r="CV50" s="423"/>
      <c r="CW50" s="652"/>
      <c r="CX50" s="517"/>
      <c r="CY50" s="658"/>
      <c r="CZ50" s="656"/>
      <c r="DA50" s="518"/>
      <c r="DB50" s="519"/>
      <c r="DC50" s="853"/>
      <c r="DD50" s="853"/>
      <c r="DE50" s="659"/>
      <c r="DF50" s="656"/>
      <c r="DG50" s="518"/>
      <c r="DH50" s="519"/>
      <c r="DI50" s="424"/>
      <c r="DJ50" s="522"/>
      <c r="DK50" s="649"/>
      <c r="DL50" s="651"/>
      <c r="DM50" s="433"/>
      <c r="DN50" s="425"/>
      <c r="DO50" s="426"/>
      <c r="DP50" s="854"/>
      <c r="DQ50" s="427"/>
      <c r="DR50" s="855"/>
      <c r="DS50" s="428"/>
      <c r="DT50" s="428"/>
      <c r="DU50" s="647"/>
      <c r="DV50" s="648"/>
      <c r="DW50" s="648"/>
      <c r="DX50" s="685"/>
      <c r="DY50" s="685"/>
      <c r="DZ50" s="686"/>
      <c r="EA50" s="686"/>
      <c r="EB50" s="686"/>
      <c r="EC50" s="686"/>
      <c r="ED50" s="686"/>
      <c r="EE50" s="686"/>
      <c r="EF50" s="409"/>
      <c r="EG50" s="686"/>
      <c r="EH50" s="691"/>
      <c r="EI50" s="856"/>
      <c r="EJ50" s="856"/>
      <c r="EK50" s="429"/>
      <c r="EL50" s="429"/>
      <c r="EM50" s="429"/>
      <c r="EN50" s="429"/>
      <c r="EO50" s="429"/>
      <c r="EP50" s="429"/>
      <c r="EQ50" s="429"/>
      <c r="ER50" s="429"/>
      <c r="ES50" s="429"/>
      <c r="ET50" s="429"/>
      <c r="EU50" s="429"/>
      <c r="EV50" s="429"/>
      <c r="EW50" s="429"/>
      <c r="EX50" s="429"/>
      <c r="EY50" s="429"/>
      <c r="EZ50" s="429"/>
      <c r="FA50" s="429"/>
      <c r="FB50" s="429"/>
      <c r="FC50" s="429"/>
      <c r="FD50" s="429"/>
      <c r="FE50" s="430"/>
      <c r="FF50" s="430"/>
      <c r="FG50" s="430"/>
      <c r="FH50" s="431"/>
      <c r="FI50" s="431"/>
      <c r="FJ50" s="431"/>
      <c r="FK50" s="431"/>
      <c r="FL50" s="431"/>
      <c r="FM50" s="430"/>
      <c r="FN50" s="430"/>
      <c r="FO50" s="430"/>
      <c r="FP50" s="431"/>
      <c r="FQ50" s="431"/>
      <c r="FR50" s="431"/>
      <c r="FS50" s="431"/>
      <c r="FT50" s="431"/>
      <c r="FU50" s="431"/>
      <c r="FV50" s="431"/>
      <c r="FW50" s="431"/>
      <c r="FX50" s="431"/>
      <c r="FY50" s="431"/>
      <c r="FZ50" s="431"/>
      <c r="GA50" s="431"/>
      <c r="GB50" s="431"/>
      <c r="GC50" s="431"/>
      <c r="GD50" s="429"/>
      <c r="GE50" s="431"/>
      <c r="GF50" s="431"/>
      <c r="GG50" s="431"/>
      <c r="GH50" s="431"/>
      <c r="GI50" s="431"/>
      <c r="GJ50" s="431"/>
      <c r="GK50" s="431"/>
      <c r="GL50" s="429"/>
      <c r="GM50" s="431"/>
      <c r="GN50" s="431"/>
      <c r="GO50" s="431"/>
      <c r="GP50" s="431"/>
      <c r="GQ50" s="429"/>
      <c r="GR50" s="431"/>
      <c r="GS50" s="431"/>
      <c r="GT50" s="431"/>
      <c r="GU50" s="429"/>
      <c r="GV50" s="429"/>
      <c r="GW50" s="429"/>
      <c r="GX50" s="429"/>
      <c r="GY50" s="429"/>
      <c r="GZ50" s="429"/>
      <c r="HA50" s="429"/>
      <c r="HB50" s="429"/>
      <c r="HC50" s="429"/>
      <c r="HD50" s="429"/>
      <c r="HE50" s="431"/>
      <c r="HF50" s="431"/>
      <c r="HG50" s="431"/>
      <c r="HH50" s="431"/>
      <c r="HI50" s="431"/>
      <c r="HJ50" s="431"/>
      <c r="HK50" s="857"/>
      <c r="HL50" s="431"/>
      <c r="HM50" s="431"/>
      <c r="HN50" s="431"/>
    </row>
    <row r="51" spans="1:224" s="432" customFormat="1" ht="12.75" customHeight="1" x14ac:dyDescent="0.35">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35">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35">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35">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35">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35">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35">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35">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35">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4">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35">
      <c r="C61" s="295" t="s">
        <v>247</v>
      </c>
      <c r="P61" s="682"/>
      <c r="Q61" s="682"/>
      <c r="U61" s="434">
        <f>SUMPRODUCT(U9:U60,Y9:Y60)/SUM(Y9:Y60)</f>
        <v>0.61778227639275241</v>
      </c>
      <c r="V61" s="435">
        <f>SUM(V9:V60)</f>
        <v>232996703.6486333</v>
      </c>
      <c r="W61" s="435">
        <f>SUM(W9:W60)</f>
        <v>330231191.00440776</v>
      </c>
      <c r="X61" s="435"/>
      <c r="Y61" s="435">
        <f>SUM(Y9:Y60)</f>
        <v>330231191.00440776</v>
      </c>
      <c r="Z61" s="435"/>
      <c r="AA61" s="435"/>
      <c r="AB61" s="435"/>
      <c r="AC61" s="435"/>
      <c r="AE61" s="436"/>
      <c r="AF61" s="436"/>
      <c r="AG61" s="343"/>
      <c r="AH61" s="343"/>
      <c r="AI61" s="343"/>
      <c r="AJ61" s="343"/>
      <c r="AK61" s="343"/>
      <c r="AL61" s="434">
        <f>AVERAGE(AL9:AL60)</f>
        <v>0.61643846320866857</v>
      </c>
      <c r="AM61" s="436">
        <f t="shared" ref="AM61:BI61" si="85">SUM(AM9:AM60)</f>
        <v>0</v>
      </c>
      <c r="AN61" s="436">
        <f t="shared" si="85"/>
        <v>0</v>
      </c>
      <c r="AO61" s="436">
        <f t="shared" si="85"/>
        <v>153097953.55428821</v>
      </c>
      <c r="AP61" s="436">
        <f t="shared" si="85"/>
        <v>56801870.473609172</v>
      </c>
      <c r="AQ61" s="436">
        <f t="shared" si="85"/>
        <v>134989734.57689992</v>
      </c>
      <c r="AR61" s="436">
        <f t="shared" si="85"/>
        <v>0</v>
      </c>
      <c r="AS61" s="436">
        <f t="shared" si="85"/>
        <v>0</v>
      </c>
      <c r="AT61" s="436">
        <f t="shared" si="85"/>
        <v>0</v>
      </c>
      <c r="AU61" s="436">
        <f t="shared" si="85"/>
        <v>120331366.97651047</v>
      </c>
      <c r="AV61" s="436">
        <f t="shared" si="85"/>
        <v>0</v>
      </c>
      <c r="AW61" s="436">
        <f t="shared" si="85"/>
        <v>98006969.07173337</v>
      </c>
      <c r="AX61" s="436">
        <f t="shared" si="85"/>
        <v>0</v>
      </c>
      <c r="AY61" s="436">
        <f t="shared" si="85"/>
        <v>0</v>
      </c>
      <c r="AZ61" s="436">
        <f t="shared" si="85"/>
        <v>0</v>
      </c>
      <c r="BA61" s="436">
        <f t="shared" si="85"/>
        <v>0</v>
      </c>
      <c r="BB61" s="436">
        <f t="shared" si="85"/>
        <v>0</v>
      </c>
      <c r="BC61" s="436">
        <f t="shared" si="85"/>
        <v>0</v>
      </c>
      <c r="BD61" s="436">
        <f t="shared" si="85"/>
        <v>0</v>
      </c>
      <c r="BE61" s="436">
        <f t="shared" si="85"/>
        <v>0</v>
      </c>
      <c r="BF61" s="436">
        <f t="shared" si="85"/>
        <v>0</v>
      </c>
      <c r="BG61" s="436">
        <f t="shared" si="85"/>
        <v>0</v>
      </c>
      <c r="BH61" s="436">
        <f t="shared" si="85"/>
        <v>0</v>
      </c>
      <c r="BI61" s="436">
        <f t="shared" si="85"/>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232996703.6486333</v>
      </c>
      <c r="EL61" s="435"/>
      <c r="EM61" s="435"/>
      <c r="EN61" s="435">
        <f>MAX(EN9:EN60)</f>
        <v>4121303.4157976536</v>
      </c>
      <c r="EO61" s="435">
        <f>SUM(EO9:EO60)</f>
        <v>0</v>
      </c>
      <c r="EP61" s="435"/>
      <c r="EQ61" s="435"/>
      <c r="ER61" s="435">
        <f>MAX(ER9:ER60)</f>
        <v>0</v>
      </c>
      <c r="ES61" s="435">
        <f>SUM(ES9:ES60)</f>
        <v>0</v>
      </c>
      <c r="ET61" s="435">
        <f>SUM(ET9:ET60)</f>
        <v>232996703.6486333</v>
      </c>
      <c r="EU61" s="435"/>
      <c r="EV61" s="435"/>
      <c r="EW61" s="435">
        <f>MAX(EW9:EW60)</f>
        <v>53940434.707607172</v>
      </c>
      <c r="EX61" s="435">
        <f>SUM(EX9:EX60)</f>
        <v>0</v>
      </c>
      <c r="EY61" s="435">
        <f>SUM(EY9:EY60)</f>
        <v>232996703.6486333</v>
      </c>
      <c r="EZ61" s="435"/>
      <c r="FA61" s="435"/>
      <c r="FB61" s="435">
        <f>MAX(FB9:FB60)</f>
        <v>0</v>
      </c>
      <c r="FC61" s="435">
        <f>SUM(FC9:FC60)</f>
        <v>0</v>
      </c>
      <c r="FD61" s="435">
        <f>SUM(FD9:FD60)</f>
        <v>232996703.6486333</v>
      </c>
      <c r="FE61" s="435"/>
      <c r="FF61" s="435"/>
      <c r="FG61" s="435"/>
      <c r="FH61" s="335"/>
      <c r="FI61" s="437">
        <f>MAX(FI9:FI60)</f>
        <v>19507632.143256925</v>
      </c>
      <c r="FJ61" s="437"/>
      <c r="FK61" s="437"/>
      <c r="FL61" s="437"/>
      <c r="FM61" s="435">
        <f>SUM(FM9:FM60)</f>
        <v>0</v>
      </c>
      <c r="FN61" s="435">
        <f>SUM(FN9:FN60)</f>
        <v>0</v>
      </c>
      <c r="FO61" s="435">
        <f>SUM(FO9:FO60)</f>
        <v>0</v>
      </c>
      <c r="FP61" s="435">
        <f>SUM(FP9:FP60)</f>
        <v>2295693.0350094065</v>
      </c>
      <c r="FQ61" s="435">
        <f>SUM(FQ9:FQ60)</f>
        <v>230701010.61362389</v>
      </c>
      <c r="FR61" s="437"/>
      <c r="FS61" s="437">
        <f>INDEX(FS9:FS60,MATCH(1,FT9:FT60,0))</f>
        <v>46042971.865242489</v>
      </c>
      <c r="FT61" s="437"/>
      <c r="FU61" s="435">
        <f>SUM(FU9:FU60)</f>
        <v>0</v>
      </c>
      <c r="FV61" s="435">
        <f>SUM(FV9:FV60)</f>
        <v>230701010.61362389</v>
      </c>
      <c r="FW61" s="437"/>
      <c r="FX61" s="437">
        <f>INDEX(FX9:FX60,MATCH(2,FY9:FY60,0))</f>
        <v>24394399.03040082</v>
      </c>
      <c r="FY61" s="437"/>
      <c r="FZ61" s="435">
        <f>SUM(FZ9:FZ60)</f>
        <v>0</v>
      </c>
      <c r="GA61" s="435">
        <f>SUM(GA9:GA60)</f>
        <v>230701010.61362389</v>
      </c>
      <c r="GB61" s="437"/>
      <c r="GC61" s="437">
        <f>INDEX(GC9:GC60,MATCH(3,GD9:GD60,0))</f>
        <v>22141695.704820283</v>
      </c>
      <c r="GD61" s="437"/>
      <c r="GE61" s="435">
        <f>SUM(GE9:GE60)</f>
        <v>0</v>
      </c>
      <c r="GF61" s="435">
        <f>SUM(GF9:GF60)</f>
        <v>230701010.61362389</v>
      </c>
      <c r="GG61" s="437"/>
      <c r="GH61" s="437">
        <f>MAX(GH9:GH60)</f>
        <v>0</v>
      </c>
      <c r="GI61" s="435">
        <f>SUM(GI9:GI60)</f>
        <v>0</v>
      </c>
      <c r="GJ61" s="435">
        <f>SUM(GJ9:GJ60)</f>
        <v>230701010.61362389</v>
      </c>
      <c r="GK61" s="437"/>
      <c r="GL61" s="437"/>
      <c r="GM61" s="437">
        <f>MAX(GM9:GM60)</f>
        <v>8077912.1877550166</v>
      </c>
      <c r="GN61" s="435">
        <f>SUM(GN9:GN60)</f>
        <v>0</v>
      </c>
      <c r="GO61" s="435">
        <f>SUM(GO9:GO60)</f>
        <v>230701010.61362389</v>
      </c>
      <c r="GP61" s="437"/>
      <c r="GQ61" s="437"/>
      <c r="GR61" s="437">
        <f>MAX(GR8:GR60)</f>
        <v>0</v>
      </c>
      <c r="GS61" s="435">
        <f>SUM(GS9:GS60)</f>
        <v>0</v>
      </c>
      <c r="GT61" s="435">
        <f>SUM(GT9:GT60)</f>
        <v>230701010.61362389</v>
      </c>
      <c r="GU61" s="437"/>
      <c r="GV61" s="437"/>
      <c r="GW61" s="435">
        <f>MAX(GW9:GW60)</f>
        <v>12656117.589817706</v>
      </c>
      <c r="GX61" s="435">
        <f>SUM(GX9:GX60)</f>
        <v>0</v>
      </c>
      <c r="GY61" s="435">
        <f>SUM(GY9:GY60)</f>
        <v>230701010.61362389</v>
      </c>
      <c r="GZ61" s="435"/>
      <c r="HA61" s="435"/>
      <c r="HB61" s="435">
        <f>MAX(HB9:HB60)</f>
        <v>0</v>
      </c>
      <c r="HC61" s="435">
        <f>SUM(HC9:HC60)</f>
        <v>0</v>
      </c>
      <c r="HD61" s="435">
        <f>SUM(HD9:HD60)</f>
        <v>230701010.61362389</v>
      </c>
      <c r="HE61" s="435">
        <f>SUM(HE9:HE60)</f>
        <v>134726920.91149995</v>
      </c>
      <c r="HF61" s="435"/>
      <c r="HG61" s="435">
        <f>SUM(HG9:HG60)</f>
        <v>95974089.70212394</v>
      </c>
      <c r="HH61" s="435"/>
      <c r="HI61" s="435">
        <f>SUM(HI9:HI60)</f>
        <v>0</v>
      </c>
      <c r="HJ61" s="435">
        <f>SUM(HJ9:HJ60)</f>
        <v>0</v>
      </c>
      <c r="HK61" s="435">
        <f>SUM(HK9:HK60)</f>
        <v>0</v>
      </c>
      <c r="HL61" s="435">
        <f>SUM(HL9:HL60)</f>
        <v>0</v>
      </c>
      <c r="HM61" s="435">
        <f>SUM(HM9:HM60)</f>
        <v>0</v>
      </c>
      <c r="HN61" s="437"/>
    </row>
    <row r="62" spans="1:224" s="295" customFormat="1" ht="14.25" customHeight="1" x14ac:dyDescent="0.35">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4">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35">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45">
      <c r="A65">
        <v>1</v>
      </c>
      <c r="B65" t="s">
        <v>249</v>
      </c>
      <c r="P65" s="684"/>
      <c r="Q65" s="684"/>
      <c r="DK65" s="30"/>
      <c r="DL65" s="152"/>
      <c r="DX65" s="690"/>
      <c r="DY65" s="690"/>
      <c r="DZ65" s="684"/>
      <c r="EA65" s="684"/>
      <c r="EB65" s="684"/>
      <c r="EC65" s="684"/>
      <c r="ED65" s="684"/>
      <c r="EE65" s="684"/>
      <c r="EG65" s="684"/>
      <c r="EH65" s="684"/>
      <c r="FJ65" s="175"/>
    </row>
    <row r="66" spans="1:166" x14ac:dyDescent="0.45">
      <c r="P66" s="684"/>
      <c r="Q66" s="684"/>
      <c r="W66" s="53"/>
      <c r="DL66" s="152"/>
      <c r="DO66" s="50"/>
      <c r="DP66" s="50"/>
      <c r="DX66" s="690"/>
      <c r="DY66" s="690"/>
      <c r="DZ66" s="684"/>
      <c r="EA66" s="684"/>
      <c r="EB66" s="684"/>
      <c r="EC66" s="684"/>
      <c r="ED66" s="684"/>
      <c r="EE66" s="684"/>
      <c r="EG66" s="684"/>
      <c r="EH66" s="684"/>
      <c r="FJ66" s="175"/>
    </row>
    <row r="67" spans="1:166" x14ac:dyDescent="0.45">
      <c r="P67" s="684"/>
      <c r="Q67" s="684"/>
      <c r="DX67" s="690"/>
      <c r="DY67" s="690"/>
      <c r="DZ67" s="684"/>
      <c r="EA67" s="684"/>
      <c r="EB67" s="684"/>
      <c r="EC67" s="684"/>
      <c r="ED67" s="684"/>
      <c r="EE67" s="684"/>
      <c r="EG67" s="684"/>
      <c r="EH67" s="684"/>
      <c r="FJ67" s="175"/>
    </row>
    <row r="68" spans="1:166" x14ac:dyDescent="0.45">
      <c r="P68" s="684"/>
      <c r="Q68" s="684"/>
      <c r="DX68" s="690"/>
      <c r="DY68" s="690"/>
      <c r="DZ68" s="684"/>
      <c r="EA68" s="684"/>
      <c r="EB68" s="684"/>
      <c r="EC68" s="684"/>
      <c r="ED68" s="684"/>
      <c r="EE68" s="684"/>
      <c r="EG68" s="684"/>
      <c r="EH68" s="684"/>
      <c r="FJ68" s="175"/>
    </row>
    <row r="69" spans="1:166" x14ac:dyDescent="0.45">
      <c r="P69" s="684"/>
      <c r="Q69" s="684"/>
      <c r="V69" s="707"/>
      <c r="W69" s="707"/>
      <c r="DX69" s="690"/>
      <c r="DY69" s="690"/>
      <c r="DZ69" s="684"/>
      <c r="EA69" s="684"/>
      <c r="EB69" s="684"/>
      <c r="EC69" s="684"/>
      <c r="ED69" s="684"/>
      <c r="EE69" s="684"/>
      <c r="EG69" s="684"/>
      <c r="EH69" s="684"/>
      <c r="FJ69" s="175"/>
    </row>
    <row r="70" spans="1:166" x14ac:dyDescent="0.45">
      <c r="P70" s="684"/>
      <c r="Q70" s="684"/>
      <c r="V70" s="707"/>
      <c r="W70" s="707"/>
      <c r="DX70" s="690"/>
      <c r="DY70" s="690"/>
      <c r="DZ70" s="684"/>
      <c r="EA70" s="684"/>
      <c r="EB70" s="684"/>
      <c r="EC70" s="684"/>
      <c r="ED70" s="684"/>
      <c r="EE70" s="684"/>
      <c r="EG70" s="684"/>
      <c r="EH70" s="684"/>
      <c r="FJ70" s="175"/>
    </row>
    <row r="71" spans="1:166" x14ac:dyDescent="0.45">
      <c r="P71" s="684"/>
      <c r="Q71" s="684"/>
      <c r="V71" s="707"/>
      <c r="W71" s="707"/>
      <c r="DX71" s="690"/>
      <c r="DY71" s="690"/>
      <c r="DZ71" s="684"/>
      <c r="EA71" s="684"/>
      <c r="EB71" s="684"/>
      <c r="EC71" s="684"/>
      <c r="ED71" s="684"/>
      <c r="EE71" s="684"/>
      <c r="EG71" s="684"/>
      <c r="EH71" s="684"/>
      <c r="FJ71" s="175"/>
    </row>
    <row r="72" spans="1:166" x14ac:dyDescent="0.45">
      <c r="P72" s="684"/>
      <c r="Q72" s="684"/>
      <c r="DX72" s="690"/>
      <c r="DY72" s="690"/>
      <c r="DZ72" s="684"/>
      <c r="EA72" s="684"/>
      <c r="EB72" s="684"/>
      <c r="EC72" s="684"/>
      <c r="ED72" s="684"/>
      <c r="EE72" s="684"/>
      <c r="EG72" s="684"/>
      <c r="EH72" s="684"/>
      <c r="FJ72" s="175"/>
    </row>
    <row r="73" spans="1:166" x14ac:dyDescent="0.45">
      <c r="P73" s="684"/>
      <c r="Q73" s="684"/>
      <c r="DX73" s="690"/>
      <c r="DY73" s="690"/>
      <c r="DZ73" s="684"/>
      <c r="EA73" s="684"/>
      <c r="EB73" s="684"/>
      <c r="EC73" s="684"/>
      <c r="ED73" s="684"/>
      <c r="EE73" s="684"/>
      <c r="EG73" s="684"/>
      <c r="EH73" s="684"/>
      <c r="FJ73" s="175"/>
    </row>
    <row r="74" spans="1:166" x14ac:dyDescent="0.45">
      <c r="P74" s="684"/>
      <c r="Q74" s="684"/>
      <c r="DX74" s="690"/>
      <c r="DY74" s="690"/>
      <c r="DZ74" s="684"/>
      <c r="EA74" s="684"/>
      <c r="EB74" s="684"/>
      <c r="EC74" s="684"/>
      <c r="ED74" s="684"/>
      <c r="EE74" s="684"/>
      <c r="EG74" s="684"/>
      <c r="EH74" s="684"/>
      <c r="FJ74" s="175"/>
    </row>
    <row r="75" spans="1:166" x14ac:dyDescent="0.45">
      <c r="P75" s="684"/>
      <c r="Q75" s="684"/>
      <c r="DX75" s="690"/>
      <c r="DY75" s="690"/>
      <c r="DZ75" s="684"/>
      <c r="EA75" s="684"/>
      <c r="EB75" s="684"/>
      <c r="EC75" s="684"/>
      <c r="ED75" s="684"/>
      <c r="EE75" s="684"/>
      <c r="EG75" s="684"/>
      <c r="EH75" s="684"/>
      <c r="FJ75" s="175"/>
    </row>
    <row r="76" spans="1:166" x14ac:dyDescent="0.45">
      <c r="P76" s="684"/>
      <c r="Q76" s="684"/>
      <c r="DX76" s="690"/>
      <c r="DY76" s="690"/>
      <c r="DZ76" s="684"/>
      <c r="EA76" s="684"/>
      <c r="EB76" s="684"/>
      <c r="EC76" s="684"/>
      <c r="ED76" s="684"/>
      <c r="EE76" s="684"/>
      <c r="EG76" s="684"/>
      <c r="EH76" s="684"/>
      <c r="FJ76" s="175"/>
    </row>
    <row r="77" spans="1:166" x14ac:dyDescent="0.45">
      <c r="P77" s="684"/>
      <c r="Q77" s="684"/>
      <c r="DX77" s="690"/>
      <c r="DY77" s="690"/>
      <c r="DZ77" s="684"/>
      <c r="EA77" s="684"/>
      <c r="EB77" s="684"/>
      <c r="EC77" s="684"/>
      <c r="ED77" s="684"/>
      <c r="EE77" s="684"/>
      <c r="EG77" s="684"/>
      <c r="EH77" s="684"/>
      <c r="FJ77" s="175"/>
    </row>
    <row r="78" spans="1:166" x14ac:dyDescent="0.45">
      <c r="P78" s="684"/>
      <c r="Q78" s="684"/>
      <c r="DX78" s="690"/>
      <c r="DY78" s="690"/>
      <c r="DZ78" s="684"/>
      <c r="EA78" s="684"/>
      <c r="EB78" s="684"/>
      <c r="EC78" s="684"/>
      <c r="ED78" s="684"/>
      <c r="EE78" s="684"/>
      <c r="EG78" s="684"/>
      <c r="EH78" s="684"/>
      <c r="FJ78" s="175"/>
    </row>
    <row r="79" spans="1:166" x14ac:dyDescent="0.45">
      <c r="P79" s="684"/>
      <c r="Q79" s="684"/>
      <c r="DX79" s="690"/>
      <c r="DY79" s="690"/>
      <c r="DZ79" s="684"/>
      <c r="EA79" s="684"/>
      <c r="EB79" s="684"/>
      <c r="EC79" s="684"/>
      <c r="ED79" s="684"/>
      <c r="EE79" s="684"/>
      <c r="EG79" s="684"/>
      <c r="EH79" s="684"/>
      <c r="FJ79" s="175"/>
    </row>
    <row r="80" spans="1:166" x14ac:dyDescent="0.45">
      <c r="P80" s="684"/>
      <c r="Q80" s="684"/>
      <c r="DX80" s="690"/>
      <c r="DY80" s="690"/>
      <c r="DZ80" s="684"/>
      <c r="EA80" s="684"/>
      <c r="EB80" s="684"/>
      <c r="EC80" s="684"/>
      <c r="ED80" s="684"/>
      <c r="EE80" s="684"/>
      <c r="EG80" s="684"/>
      <c r="EH80" s="684"/>
    </row>
    <row r="81" spans="16:138" x14ac:dyDescent="0.45">
      <c r="P81" s="684"/>
      <c r="Q81" s="684"/>
      <c r="DX81" s="690"/>
      <c r="DY81" s="690"/>
      <c r="DZ81" s="684"/>
      <c r="EA81" s="684"/>
      <c r="EB81" s="684"/>
      <c r="EC81" s="684"/>
      <c r="ED81" s="684"/>
      <c r="EE81" s="684"/>
      <c r="EG81" s="684"/>
      <c r="EH81" s="684"/>
    </row>
    <row r="82" spans="16:138" x14ac:dyDescent="0.45">
      <c r="P82" s="684"/>
      <c r="Q82" s="684"/>
      <c r="DX82" s="690"/>
      <c r="DY82" s="690"/>
      <c r="DZ82" s="684"/>
      <c r="EA82" s="684"/>
      <c r="EB82" s="684"/>
      <c r="EC82" s="684"/>
      <c r="ED82" s="684"/>
      <c r="EE82" s="684"/>
      <c r="EG82" s="684"/>
      <c r="EH82" s="684"/>
    </row>
    <row r="83" spans="16:138" x14ac:dyDescent="0.45">
      <c r="P83" s="684"/>
      <c r="Q83" s="684"/>
      <c r="DX83" s="690"/>
      <c r="DY83" s="690"/>
      <c r="DZ83" s="684"/>
      <c r="EA83" s="684"/>
      <c r="EB83" s="684"/>
      <c r="EC83" s="684"/>
      <c r="ED83" s="684"/>
      <c r="EE83" s="684"/>
      <c r="EG83" s="684"/>
      <c r="EH83" s="684"/>
    </row>
    <row r="84" spans="16:138" x14ac:dyDescent="0.45">
      <c r="P84" s="684"/>
      <c r="Q84" s="684"/>
      <c r="DX84" s="690"/>
      <c r="DY84" s="690"/>
      <c r="DZ84" s="684"/>
      <c r="EA84" s="684"/>
      <c r="EB84" s="684"/>
      <c r="EC84" s="684"/>
      <c r="ED84" s="684"/>
      <c r="EE84" s="684"/>
      <c r="EG84" s="684"/>
      <c r="EH84" s="684"/>
    </row>
    <row r="85" spans="16:138" x14ac:dyDescent="0.45">
      <c r="P85" s="684"/>
      <c r="Q85" s="684"/>
      <c r="DX85" s="690"/>
      <c r="DY85" s="690"/>
      <c r="DZ85" s="684"/>
      <c r="EA85" s="684"/>
      <c r="EB85" s="684"/>
      <c r="EC85" s="684"/>
      <c r="ED85" s="684"/>
      <c r="EE85" s="684"/>
      <c r="EG85" s="684"/>
      <c r="EH85" s="684"/>
    </row>
    <row r="86" spans="16:138" x14ac:dyDescent="0.45">
      <c r="P86" s="684"/>
      <c r="Q86" s="684"/>
      <c r="DX86" s="690"/>
      <c r="DY86" s="690"/>
      <c r="DZ86" s="684"/>
      <c r="EA86" s="684"/>
      <c r="EB86" s="684"/>
      <c r="EC86" s="684"/>
      <c r="ED86" s="684"/>
      <c r="EE86" s="684"/>
      <c r="EG86" s="684"/>
      <c r="EH86" s="684"/>
    </row>
    <row r="87" spans="16:138" x14ac:dyDescent="0.45">
      <c r="P87" s="684"/>
      <c r="Q87" s="684"/>
      <c r="DX87" s="690"/>
      <c r="DY87" s="690"/>
      <c r="DZ87" s="684"/>
      <c r="EA87" s="684"/>
      <c r="EB87" s="684"/>
      <c r="EC87" s="684"/>
      <c r="ED87" s="684"/>
      <c r="EE87" s="684"/>
      <c r="EG87" s="684"/>
      <c r="EH87" s="684"/>
    </row>
    <row r="88" spans="16:138" x14ac:dyDescent="0.45">
      <c r="P88" s="684"/>
      <c r="Q88" s="684"/>
      <c r="DX88" s="690"/>
      <c r="DY88" s="690"/>
      <c r="DZ88" s="684"/>
      <c r="EA88" s="684"/>
      <c r="EB88" s="684"/>
      <c r="EC88" s="684"/>
      <c r="ED88" s="684"/>
      <c r="EE88" s="684"/>
      <c r="EG88" s="684"/>
      <c r="EH88" s="684"/>
    </row>
    <row r="89" spans="16:138" x14ac:dyDescent="0.45">
      <c r="P89" s="684"/>
      <c r="Q89" s="684"/>
      <c r="DX89" s="690"/>
      <c r="DY89" s="690"/>
      <c r="DZ89" s="684"/>
      <c r="EA89" s="684"/>
      <c r="EB89" s="684"/>
      <c r="EC89" s="684"/>
      <c r="ED89" s="684"/>
      <c r="EE89" s="684"/>
      <c r="EG89" s="684"/>
      <c r="EH89" s="684"/>
    </row>
    <row r="90" spans="16:138" x14ac:dyDescent="0.45">
      <c r="P90" s="684"/>
      <c r="Q90" s="684"/>
      <c r="DX90" s="690"/>
      <c r="DY90" s="690"/>
      <c r="DZ90" s="684"/>
      <c r="EA90" s="684"/>
      <c r="EB90" s="684"/>
      <c r="EC90" s="684"/>
      <c r="ED90" s="684"/>
      <c r="EE90" s="684"/>
      <c r="EG90" s="684"/>
      <c r="EH90" s="684"/>
    </row>
    <row r="91" spans="16:138" x14ac:dyDescent="0.45">
      <c r="P91" s="684"/>
      <c r="Q91" s="684"/>
      <c r="DX91" s="690"/>
      <c r="DY91" s="690"/>
      <c r="DZ91" s="684"/>
      <c r="EA91" s="684"/>
      <c r="EB91" s="684"/>
      <c r="EC91" s="684"/>
      <c r="ED91" s="684"/>
      <c r="EE91" s="684"/>
      <c r="EG91" s="684"/>
      <c r="EH91" s="684"/>
    </row>
    <row r="92" spans="16:138" x14ac:dyDescent="0.45">
      <c r="P92" s="684"/>
      <c r="Q92" s="684"/>
      <c r="DX92" s="690"/>
      <c r="DY92" s="690"/>
      <c r="DZ92" s="684"/>
      <c r="EA92" s="684"/>
      <c r="EB92" s="684"/>
      <c r="EC92" s="684"/>
      <c r="ED92" s="684"/>
      <c r="EE92" s="684"/>
      <c r="EG92" s="684"/>
      <c r="EH92" s="684"/>
    </row>
    <row r="93" spans="16:138" x14ac:dyDescent="0.45">
      <c r="P93" s="684"/>
      <c r="Q93" s="684"/>
      <c r="DX93" s="690"/>
      <c r="DY93" s="690"/>
      <c r="DZ93" s="684"/>
      <c r="EA93" s="684"/>
      <c r="EB93" s="684"/>
      <c r="EC93" s="684"/>
      <c r="ED93" s="684"/>
      <c r="EE93" s="684"/>
      <c r="EG93" s="684"/>
      <c r="EH93" s="684"/>
    </row>
    <row r="94" spans="16:138" x14ac:dyDescent="0.45">
      <c r="P94" s="684"/>
      <c r="Q94" s="684"/>
      <c r="DX94" s="690"/>
      <c r="DY94" s="690"/>
      <c r="DZ94" s="684"/>
      <c r="EA94" s="684"/>
      <c r="EB94" s="684"/>
      <c r="EC94" s="684"/>
      <c r="ED94" s="684"/>
      <c r="EE94" s="684"/>
      <c r="EG94" s="684"/>
      <c r="EH94" s="684"/>
    </row>
    <row r="95" spans="16:138" x14ac:dyDescent="0.45">
      <c r="P95" s="684"/>
      <c r="Q95" s="684"/>
      <c r="DX95" s="690"/>
      <c r="DY95" s="690"/>
      <c r="DZ95" s="684"/>
      <c r="EA95" s="684"/>
      <c r="EB95" s="684"/>
      <c r="EC95" s="684"/>
      <c r="ED95" s="684"/>
      <c r="EE95" s="684"/>
      <c r="EG95" s="684"/>
      <c r="EH95" s="684"/>
    </row>
    <row r="96" spans="16:138" x14ac:dyDescent="0.45">
      <c r="P96" s="684"/>
      <c r="Q96" s="684"/>
      <c r="DX96" s="690"/>
      <c r="DY96" s="690"/>
      <c r="DZ96" s="684"/>
      <c r="EA96" s="684"/>
      <c r="EB96" s="684"/>
      <c r="EC96" s="684"/>
      <c r="ED96" s="684"/>
      <c r="EE96" s="684"/>
      <c r="EG96" s="684"/>
      <c r="EH96" s="684"/>
    </row>
    <row r="97" spans="16:138" x14ac:dyDescent="0.45">
      <c r="P97" s="684"/>
      <c r="Q97" s="684"/>
      <c r="DX97" s="690"/>
      <c r="DY97" s="690"/>
      <c r="DZ97" s="684"/>
      <c r="EA97" s="684"/>
      <c r="EB97" s="684"/>
      <c r="EC97" s="684"/>
      <c r="ED97" s="684"/>
      <c r="EE97" s="684"/>
      <c r="EG97" s="684"/>
      <c r="EH97" s="684"/>
    </row>
    <row r="98" spans="16:138" x14ac:dyDescent="0.45">
      <c r="P98" s="684"/>
      <c r="Q98" s="684"/>
      <c r="DX98" s="690"/>
      <c r="DY98" s="690"/>
      <c r="DZ98" s="684"/>
      <c r="EA98" s="684"/>
      <c r="EB98" s="684"/>
      <c r="EC98" s="684"/>
      <c r="ED98" s="684"/>
      <c r="EE98" s="684"/>
      <c r="EG98" s="684"/>
      <c r="EH98" s="684"/>
    </row>
    <row r="99" spans="16:138" x14ac:dyDescent="0.45">
      <c r="P99" s="684"/>
      <c r="Q99" s="684"/>
      <c r="DX99" s="690"/>
      <c r="DY99" s="690"/>
      <c r="DZ99" s="684"/>
      <c r="EA99" s="684"/>
      <c r="EB99" s="684"/>
      <c r="EC99" s="684"/>
      <c r="ED99" s="684"/>
      <c r="EE99" s="684"/>
      <c r="EG99" s="684"/>
      <c r="EH99" s="684"/>
    </row>
    <row r="100" spans="16:138" x14ac:dyDescent="0.45">
      <c r="P100" s="684"/>
      <c r="Q100" s="684"/>
      <c r="DX100" s="690"/>
      <c r="DY100" s="690"/>
      <c r="DZ100" s="684"/>
      <c r="EA100" s="684"/>
      <c r="EB100" s="684"/>
      <c r="EC100" s="684"/>
      <c r="ED100" s="684"/>
      <c r="EE100" s="684"/>
      <c r="EG100" s="684"/>
      <c r="EH100" s="684"/>
    </row>
    <row r="101" spans="16:138" x14ac:dyDescent="0.45">
      <c r="P101" s="684"/>
      <c r="Q101" s="684"/>
      <c r="DX101" s="690"/>
      <c r="DY101" s="690"/>
      <c r="DZ101" s="684"/>
      <c r="EA101" s="684"/>
      <c r="EB101" s="684"/>
      <c r="EC101" s="684"/>
      <c r="ED101" s="684"/>
      <c r="EE101" s="684"/>
      <c r="EG101" s="684"/>
      <c r="EH101" s="684"/>
    </row>
    <row r="102" spans="16:138" x14ac:dyDescent="0.45">
      <c r="P102" s="684"/>
      <c r="Q102" s="684"/>
      <c r="DX102" s="690"/>
      <c r="DY102" s="690"/>
      <c r="DZ102" s="684"/>
      <c r="EA102" s="684"/>
      <c r="EB102" s="684"/>
      <c r="EC102" s="684"/>
      <c r="ED102" s="684"/>
      <c r="EE102" s="684"/>
      <c r="EG102" s="684"/>
      <c r="EH102" s="684"/>
    </row>
    <row r="103" spans="16:138" x14ac:dyDescent="0.45">
      <c r="P103" s="684"/>
      <c r="Q103" s="684"/>
      <c r="DX103" s="690"/>
      <c r="DY103" s="690"/>
      <c r="DZ103" s="684"/>
      <c r="EA103" s="684"/>
      <c r="EB103" s="684"/>
      <c r="EC103" s="684"/>
      <c r="ED103" s="684"/>
      <c r="EE103" s="684"/>
      <c r="EG103" s="684"/>
      <c r="EH103" s="684"/>
    </row>
    <row r="104" spans="16:138" x14ac:dyDescent="0.45">
      <c r="P104" s="684"/>
      <c r="Q104" s="684"/>
      <c r="DX104" s="690"/>
      <c r="DY104" s="690"/>
      <c r="DZ104" s="684"/>
      <c r="EA104" s="684"/>
      <c r="EB104" s="684"/>
      <c r="EC104" s="684"/>
      <c r="ED104" s="684"/>
      <c r="EE104" s="684"/>
      <c r="EG104" s="684"/>
      <c r="EH104" s="684"/>
    </row>
    <row r="105" spans="16:138" x14ac:dyDescent="0.45">
      <c r="P105" s="684"/>
      <c r="Q105" s="684"/>
      <c r="DX105" s="690"/>
      <c r="DY105" s="690"/>
      <c r="DZ105" s="684"/>
      <c r="EA105" s="684"/>
      <c r="EB105" s="684"/>
      <c r="EC105" s="684"/>
      <c r="ED105" s="684"/>
      <c r="EE105" s="684"/>
      <c r="EG105" s="684"/>
      <c r="EH105" s="684"/>
    </row>
    <row r="106" spans="16:138" x14ac:dyDescent="0.45">
      <c r="P106" s="684"/>
      <c r="Q106" s="684"/>
      <c r="DX106" s="690"/>
      <c r="DY106" s="690"/>
      <c r="DZ106" s="684"/>
      <c r="EA106" s="684"/>
      <c r="EB106" s="684"/>
      <c r="EC106" s="684"/>
      <c r="ED106" s="684"/>
      <c r="EE106" s="684"/>
      <c r="EG106" s="684"/>
      <c r="EH106" s="684"/>
    </row>
    <row r="107" spans="16:138" x14ac:dyDescent="0.45">
      <c r="P107" s="684"/>
      <c r="Q107" s="684"/>
      <c r="DX107" s="690"/>
      <c r="DY107" s="690"/>
      <c r="DZ107" s="684"/>
      <c r="EA107" s="684"/>
      <c r="EB107" s="684"/>
      <c r="EC107" s="684"/>
      <c r="ED107" s="684"/>
      <c r="EE107" s="684"/>
      <c r="EG107" s="684"/>
      <c r="EH107" s="684"/>
    </row>
    <row r="108" spans="16:138" x14ac:dyDescent="0.45">
      <c r="P108" s="684"/>
      <c r="Q108" s="684"/>
      <c r="DX108" s="690"/>
      <c r="DY108" s="690"/>
      <c r="DZ108" s="684"/>
      <c r="EA108" s="684"/>
      <c r="EB108" s="684"/>
      <c r="EC108" s="684"/>
      <c r="ED108" s="684"/>
      <c r="EE108" s="684"/>
      <c r="EG108" s="684"/>
      <c r="EH108" s="684"/>
    </row>
    <row r="109" spans="16:138" x14ac:dyDescent="0.45">
      <c r="P109" s="684"/>
      <c r="Q109" s="684"/>
      <c r="DX109" s="690"/>
      <c r="DY109" s="690"/>
      <c r="DZ109" s="684"/>
      <c r="EA109" s="684"/>
      <c r="EB109" s="684"/>
      <c r="EC109" s="684"/>
      <c r="ED109" s="684"/>
      <c r="EE109" s="684"/>
      <c r="EG109" s="684"/>
      <c r="EH109" s="684"/>
    </row>
    <row r="110" spans="16:138" x14ac:dyDescent="0.45">
      <c r="P110" s="684"/>
      <c r="Q110" s="684"/>
      <c r="DX110" s="690"/>
      <c r="DY110" s="690"/>
      <c r="DZ110" s="684"/>
      <c r="EA110" s="684"/>
      <c r="EB110" s="684"/>
      <c r="EC110" s="684"/>
      <c r="ED110" s="684"/>
      <c r="EE110" s="684"/>
      <c r="EG110" s="684"/>
      <c r="EH110" s="684"/>
    </row>
    <row r="111" spans="16:138" x14ac:dyDescent="0.45">
      <c r="P111" s="684"/>
      <c r="Q111" s="684"/>
      <c r="DX111" s="690"/>
      <c r="DY111" s="690"/>
      <c r="DZ111" s="684"/>
      <c r="EA111" s="684"/>
      <c r="EB111" s="684"/>
      <c r="EC111" s="684"/>
      <c r="ED111" s="684"/>
      <c r="EE111" s="684"/>
      <c r="EG111" s="684"/>
      <c r="EH111" s="684"/>
    </row>
    <row r="112" spans="16:138" x14ac:dyDescent="0.45">
      <c r="P112" s="684"/>
      <c r="Q112" s="684"/>
      <c r="DX112" s="690"/>
      <c r="DY112" s="690"/>
      <c r="DZ112" s="684"/>
      <c r="EA112" s="684"/>
      <c r="EB112" s="684"/>
      <c r="EC112" s="684"/>
      <c r="ED112" s="684"/>
      <c r="EE112" s="684"/>
      <c r="EG112" s="684"/>
      <c r="EH112" s="684"/>
    </row>
    <row r="113" spans="16:138" x14ac:dyDescent="0.45">
      <c r="P113" s="684"/>
      <c r="Q113" s="684"/>
      <c r="DX113" s="690"/>
      <c r="DY113" s="690"/>
      <c r="DZ113" s="684"/>
      <c r="EA113" s="684"/>
      <c r="EB113" s="684"/>
      <c r="EC113" s="684"/>
      <c r="ED113" s="684"/>
      <c r="EE113" s="684"/>
      <c r="EG113" s="684"/>
      <c r="EH113" s="684"/>
    </row>
    <row r="114" spans="16:138" x14ac:dyDescent="0.45">
      <c r="P114" s="684"/>
      <c r="Q114" s="684"/>
      <c r="DX114" s="690"/>
      <c r="DY114" s="690"/>
      <c r="DZ114" s="684"/>
      <c r="EA114" s="684"/>
      <c r="EB114" s="684"/>
      <c r="EC114" s="684"/>
      <c r="ED114" s="684"/>
      <c r="EE114" s="684"/>
      <c r="EG114" s="684"/>
      <c r="EH114" s="684"/>
    </row>
    <row r="115" spans="16:138" x14ac:dyDescent="0.45">
      <c r="P115" s="684"/>
      <c r="Q115" s="684"/>
      <c r="DX115" s="690"/>
      <c r="DY115" s="690"/>
      <c r="DZ115" s="684"/>
      <c r="EA115" s="684"/>
      <c r="EB115" s="684"/>
      <c r="EC115" s="684"/>
      <c r="ED115" s="684"/>
      <c r="EE115" s="684"/>
      <c r="EG115" s="684"/>
      <c r="EH115" s="684"/>
    </row>
    <row r="116" spans="16:138" x14ac:dyDescent="0.45">
      <c r="P116" s="684"/>
      <c r="Q116" s="684"/>
      <c r="DX116" s="690"/>
      <c r="DY116" s="690"/>
      <c r="DZ116" s="684"/>
      <c r="EA116" s="684"/>
      <c r="EB116" s="684"/>
      <c r="EC116" s="684"/>
      <c r="ED116" s="684"/>
      <c r="EE116" s="684"/>
      <c r="EG116" s="684"/>
      <c r="EH116" s="684"/>
    </row>
    <row r="117" spans="16:138" x14ac:dyDescent="0.45">
      <c r="P117" s="684"/>
      <c r="Q117" s="684"/>
      <c r="DX117" s="690"/>
      <c r="DY117" s="690"/>
      <c r="DZ117" s="684"/>
      <c r="EA117" s="684"/>
      <c r="EB117" s="684"/>
      <c r="EC117" s="684"/>
      <c r="ED117" s="684"/>
      <c r="EE117" s="684"/>
      <c r="EG117" s="684"/>
      <c r="EH117" s="684"/>
    </row>
    <row r="118" spans="16:138" x14ac:dyDescent="0.45">
      <c r="P118" s="684"/>
      <c r="Q118" s="684"/>
      <c r="DX118" s="690"/>
      <c r="DY118" s="690"/>
      <c r="DZ118" s="684"/>
      <c r="EA118" s="684"/>
      <c r="EB118" s="684"/>
      <c r="EC118" s="684"/>
      <c r="ED118" s="684"/>
      <c r="EE118" s="684"/>
      <c r="EG118" s="684"/>
      <c r="EH118" s="684"/>
    </row>
    <row r="119" spans="16:138" x14ac:dyDescent="0.45">
      <c r="P119" s="684"/>
      <c r="Q119" s="684"/>
      <c r="DX119" s="690"/>
      <c r="DY119" s="690"/>
      <c r="DZ119" s="684"/>
      <c r="EA119" s="684"/>
      <c r="EB119" s="684"/>
      <c r="EC119" s="684"/>
      <c r="ED119" s="684"/>
      <c r="EE119" s="684"/>
      <c r="EG119" s="684"/>
      <c r="EH119" s="684"/>
    </row>
    <row r="120" spans="16:138" x14ac:dyDescent="0.45">
      <c r="P120" s="684"/>
      <c r="Q120" s="684"/>
      <c r="DX120" s="690"/>
      <c r="DY120" s="690"/>
      <c r="DZ120" s="684"/>
      <c r="EA120" s="684"/>
      <c r="EB120" s="684"/>
      <c r="EC120" s="684"/>
      <c r="ED120" s="684"/>
      <c r="EE120" s="684"/>
      <c r="EG120" s="684"/>
      <c r="EH120" s="684"/>
    </row>
    <row r="121" spans="16:138" x14ac:dyDescent="0.45">
      <c r="P121" s="684"/>
      <c r="Q121" s="684"/>
      <c r="DX121" s="690"/>
      <c r="DY121" s="690"/>
      <c r="DZ121" s="684"/>
      <c r="EA121" s="684"/>
      <c r="EB121" s="684"/>
      <c r="EC121" s="684"/>
      <c r="ED121" s="684"/>
      <c r="EE121" s="684"/>
      <c r="EG121" s="684"/>
      <c r="EH121" s="684"/>
    </row>
    <row r="122" spans="16:138" x14ac:dyDescent="0.45">
      <c r="P122" s="684"/>
      <c r="Q122" s="684"/>
      <c r="DX122" s="690"/>
      <c r="DY122" s="690"/>
      <c r="DZ122" s="684"/>
      <c r="EA122" s="684"/>
      <c r="EB122" s="684"/>
      <c r="EC122" s="684"/>
      <c r="ED122" s="684"/>
      <c r="EE122" s="684"/>
      <c r="EG122" s="684"/>
      <c r="EH122" s="684"/>
    </row>
    <row r="123" spans="16:138" x14ac:dyDescent="0.45">
      <c r="P123" s="684"/>
      <c r="Q123" s="684"/>
      <c r="DX123" s="690"/>
      <c r="DY123" s="690"/>
      <c r="DZ123" s="684"/>
      <c r="EA123" s="684"/>
      <c r="EB123" s="684"/>
      <c r="EC123" s="684"/>
      <c r="ED123" s="684"/>
      <c r="EE123" s="684"/>
      <c r="EG123" s="684"/>
      <c r="EH123" s="684"/>
    </row>
    <row r="124" spans="16:138" x14ac:dyDescent="0.45">
      <c r="P124" s="684"/>
      <c r="Q124" s="684"/>
      <c r="DX124" s="690"/>
      <c r="DY124" s="690"/>
      <c r="DZ124" s="684"/>
      <c r="EA124" s="684"/>
      <c r="EB124" s="684"/>
      <c r="EC124" s="684"/>
      <c r="ED124" s="684"/>
      <c r="EE124" s="684"/>
      <c r="EG124" s="684"/>
      <c r="EH124" s="684"/>
    </row>
    <row r="125" spans="16:138" x14ac:dyDescent="0.45">
      <c r="P125" s="684"/>
      <c r="Q125" s="684"/>
      <c r="DX125" s="690"/>
      <c r="DY125" s="690"/>
      <c r="DZ125" s="684"/>
      <c r="EA125" s="684"/>
      <c r="EB125" s="684"/>
      <c r="EC125" s="684"/>
      <c r="ED125" s="684"/>
      <c r="EE125" s="684"/>
      <c r="EG125" s="684"/>
      <c r="EH125" s="684"/>
    </row>
    <row r="126" spans="16:138" x14ac:dyDescent="0.45">
      <c r="P126" s="684"/>
      <c r="Q126" s="684"/>
      <c r="DX126" s="690"/>
      <c r="DY126" s="690"/>
      <c r="DZ126" s="684"/>
      <c r="EA126" s="684"/>
      <c r="EB126" s="684"/>
      <c r="EC126" s="684"/>
      <c r="ED126" s="684"/>
      <c r="EE126" s="684"/>
      <c r="EG126" s="684"/>
      <c r="EH126" s="684"/>
    </row>
    <row r="127" spans="16:138" x14ac:dyDescent="0.45">
      <c r="P127" s="684"/>
      <c r="Q127" s="684"/>
      <c r="DX127" s="690"/>
      <c r="DY127" s="690"/>
      <c r="DZ127" s="684"/>
      <c r="EA127" s="684"/>
      <c r="EB127" s="684"/>
      <c r="EC127" s="684"/>
      <c r="ED127" s="684"/>
      <c r="EE127" s="684"/>
      <c r="EG127" s="684"/>
      <c r="EH127" s="684"/>
    </row>
    <row r="128" spans="16:138" x14ac:dyDescent="0.45">
      <c r="P128" s="684"/>
      <c r="Q128" s="684"/>
      <c r="DX128" s="690"/>
      <c r="DY128" s="690"/>
      <c r="DZ128" s="684"/>
      <c r="EA128" s="684"/>
      <c r="EB128" s="684"/>
      <c r="EC128" s="684"/>
      <c r="ED128" s="684"/>
      <c r="EE128" s="684"/>
      <c r="EG128" s="684"/>
      <c r="EH128" s="684"/>
    </row>
    <row r="129" spans="16:138" x14ac:dyDescent="0.45">
      <c r="P129" s="684"/>
      <c r="Q129" s="684"/>
      <c r="DX129" s="690"/>
      <c r="DY129" s="690"/>
      <c r="DZ129" s="684"/>
      <c r="EA129" s="684"/>
      <c r="EB129" s="684"/>
      <c r="EC129" s="684"/>
      <c r="ED129" s="684"/>
      <c r="EE129" s="684"/>
      <c r="EG129" s="684"/>
      <c r="EH129" s="684"/>
    </row>
    <row r="130" spans="16:138" x14ac:dyDescent="0.45">
      <c r="P130" s="684"/>
      <c r="Q130" s="684"/>
      <c r="DX130" s="690"/>
      <c r="DY130" s="690"/>
      <c r="DZ130" s="684"/>
      <c r="EA130" s="684"/>
      <c r="EB130" s="684"/>
      <c r="EC130" s="684"/>
      <c r="ED130" s="684"/>
      <c r="EE130" s="684"/>
      <c r="EG130" s="684"/>
      <c r="EH130" s="684"/>
    </row>
    <row r="131" spans="16:138" x14ac:dyDescent="0.45">
      <c r="P131" s="684"/>
      <c r="Q131" s="684"/>
      <c r="DX131" s="690"/>
      <c r="DY131" s="690"/>
      <c r="DZ131" s="684"/>
      <c r="EA131" s="684"/>
      <c r="EB131" s="684"/>
      <c r="EC131" s="684"/>
      <c r="ED131" s="684"/>
      <c r="EE131" s="684"/>
      <c r="EG131" s="684"/>
      <c r="EH131" s="684"/>
    </row>
    <row r="132" spans="16:138" x14ac:dyDescent="0.45">
      <c r="P132" s="684"/>
      <c r="Q132" s="684"/>
      <c r="DX132" s="690"/>
      <c r="DY132" s="690"/>
      <c r="DZ132" s="684"/>
      <c r="EA132" s="684"/>
      <c r="EB132" s="684"/>
      <c r="EC132" s="684"/>
      <c r="ED132" s="684"/>
      <c r="EE132" s="684"/>
      <c r="EG132" s="684"/>
      <c r="EH132" s="684"/>
    </row>
    <row r="133" spans="16:138" x14ac:dyDescent="0.45">
      <c r="P133" s="684"/>
      <c r="Q133" s="684"/>
      <c r="DX133" s="690"/>
      <c r="DY133" s="690"/>
      <c r="DZ133" s="684"/>
      <c r="EA133" s="684"/>
      <c r="EB133" s="684"/>
      <c r="EC133" s="684"/>
      <c r="ED133" s="684"/>
      <c r="EE133" s="684"/>
      <c r="EG133" s="684"/>
      <c r="EH133" s="684"/>
    </row>
    <row r="134" spans="16:138" x14ac:dyDescent="0.45">
      <c r="P134" s="684"/>
      <c r="Q134" s="684"/>
      <c r="DX134" s="690"/>
      <c r="DY134" s="690"/>
      <c r="DZ134" s="684"/>
      <c r="EA134" s="684"/>
      <c r="EB134" s="684"/>
      <c r="EC134" s="684"/>
      <c r="ED134" s="684"/>
      <c r="EE134" s="684"/>
      <c r="EG134" s="684"/>
      <c r="EH134" s="684"/>
    </row>
    <row r="135" spans="16:138" x14ac:dyDescent="0.45">
      <c r="P135" s="684"/>
      <c r="Q135" s="684"/>
      <c r="DX135" s="690"/>
      <c r="DY135" s="690"/>
      <c r="DZ135" s="684"/>
      <c r="EA135" s="684"/>
      <c r="EB135" s="684"/>
      <c r="EC135" s="684"/>
      <c r="ED135" s="684"/>
      <c r="EE135" s="684"/>
      <c r="EG135" s="684"/>
      <c r="EH135" s="684"/>
    </row>
    <row r="136" spans="16:138" x14ac:dyDescent="0.45">
      <c r="P136" s="684"/>
      <c r="Q136" s="684"/>
      <c r="DX136" s="690"/>
      <c r="DY136" s="690"/>
      <c r="DZ136" s="684"/>
      <c r="EA136" s="684"/>
      <c r="EB136" s="684"/>
      <c r="EC136" s="684"/>
      <c r="ED136" s="684"/>
      <c r="EE136" s="684"/>
      <c r="EG136" s="684"/>
      <c r="EH136" s="684"/>
    </row>
    <row r="137" spans="16:138" x14ac:dyDescent="0.45">
      <c r="P137" s="684"/>
      <c r="Q137" s="684"/>
      <c r="DX137" s="690"/>
      <c r="DY137" s="690"/>
      <c r="DZ137" s="684"/>
      <c r="EA137" s="684"/>
      <c r="EB137" s="684"/>
      <c r="EC137" s="684"/>
      <c r="ED137" s="684"/>
      <c r="EE137" s="684"/>
      <c r="EG137" s="684"/>
      <c r="EH137" s="684"/>
    </row>
    <row r="138" spans="16:138" x14ac:dyDescent="0.45">
      <c r="P138" s="684"/>
      <c r="Q138" s="684"/>
      <c r="DX138" s="690"/>
      <c r="DY138" s="690"/>
      <c r="DZ138" s="684"/>
      <c r="EA138" s="684"/>
      <c r="EB138" s="684"/>
      <c r="EC138" s="684"/>
      <c r="ED138" s="684"/>
      <c r="EE138" s="684"/>
      <c r="EG138" s="684"/>
      <c r="EH138" s="684"/>
    </row>
    <row r="139" spans="16:138" x14ac:dyDescent="0.45">
      <c r="P139" s="684"/>
      <c r="Q139" s="684"/>
      <c r="DX139" s="690"/>
      <c r="DY139" s="690"/>
      <c r="DZ139" s="684"/>
      <c r="EA139" s="684"/>
      <c r="EB139" s="684"/>
      <c r="EC139" s="684"/>
      <c r="ED139" s="684"/>
      <c r="EE139" s="684"/>
      <c r="EG139" s="684"/>
      <c r="EH139" s="684"/>
    </row>
    <row r="140" spans="16:138" x14ac:dyDescent="0.45">
      <c r="P140" s="684"/>
      <c r="Q140" s="684"/>
      <c r="DX140" s="690"/>
      <c r="DY140" s="690"/>
      <c r="DZ140" s="684"/>
      <c r="EA140" s="684"/>
      <c r="EB140" s="684"/>
      <c r="EC140" s="684"/>
      <c r="ED140" s="684"/>
      <c r="EE140" s="684"/>
      <c r="EG140" s="684"/>
      <c r="EH140" s="684"/>
    </row>
    <row r="141" spans="16:138" x14ac:dyDescent="0.45">
      <c r="P141" s="684"/>
      <c r="Q141" s="684"/>
      <c r="DX141" s="690"/>
      <c r="DY141" s="690"/>
      <c r="DZ141" s="684"/>
      <c r="EA141" s="684"/>
      <c r="EB141" s="684"/>
      <c r="EC141" s="684"/>
      <c r="ED141" s="684"/>
      <c r="EE141" s="684"/>
      <c r="EG141" s="684"/>
      <c r="EH141" s="684"/>
    </row>
    <row r="142" spans="16:138" x14ac:dyDescent="0.45">
      <c r="P142" s="684"/>
      <c r="Q142" s="684"/>
      <c r="DX142" s="690"/>
      <c r="DY142" s="690"/>
      <c r="DZ142" s="684"/>
      <c r="EA142" s="684"/>
      <c r="EB142" s="684"/>
      <c r="EC142" s="684"/>
      <c r="ED142" s="684"/>
      <c r="EE142" s="684"/>
      <c r="EG142" s="684"/>
      <c r="EH142" s="684"/>
    </row>
    <row r="143" spans="16:138" x14ac:dyDescent="0.45">
      <c r="P143" s="684"/>
      <c r="Q143" s="684"/>
      <c r="DX143" s="690"/>
      <c r="DY143" s="690"/>
      <c r="DZ143" s="684"/>
      <c r="EA143" s="684"/>
      <c r="EB143" s="684"/>
      <c r="EC143" s="684"/>
      <c r="ED143" s="684"/>
      <c r="EE143" s="684"/>
      <c r="EG143" s="684"/>
      <c r="EH143" s="684"/>
    </row>
    <row r="144" spans="16:138" x14ac:dyDescent="0.45">
      <c r="P144" s="684"/>
      <c r="Q144" s="684"/>
      <c r="DX144" s="690"/>
      <c r="DY144" s="690"/>
      <c r="DZ144" s="684"/>
      <c r="EA144" s="684"/>
      <c r="EB144" s="684"/>
      <c r="EC144" s="684"/>
      <c r="ED144" s="684"/>
      <c r="EE144" s="684"/>
      <c r="EG144" s="684"/>
      <c r="EH144" s="684"/>
    </row>
    <row r="145" spans="16:138" x14ac:dyDescent="0.45">
      <c r="P145" s="684"/>
      <c r="Q145" s="684"/>
      <c r="DX145" s="690"/>
      <c r="DY145" s="690"/>
      <c r="DZ145" s="684"/>
      <c r="EA145" s="684"/>
      <c r="EB145" s="684"/>
      <c r="EC145" s="684"/>
      <c r="ED145" s="684"/>
      <c r="EE145" s="684"/>
      <c r="EG145" s="684"/>
      <c r="EH145" s="684"/>
    </row>
    <row r="146" spans="16:138" x14ac:dyDescent="0.45">
      <c r="P146" s="684"/>
      <c r="Q146" s="684"/>
      <c r="DX146" s="690"/>
      <c r="DY146" s="690"/>
      <c r="DZ146" s="684"/>
      <c r="EA146" s="684"/>
      <c r="EB146" s="684"/>
      <c r="EC146" s="684"/>
      <c r="ED146" s="684"/>
      <c r="EE146" s="684"/>
      <c r="EG146" s="684"/>
      <c r="EH146" s="684"/>
    </row>
    <row r="147" spans="16:138" x14ac:dyDescent="0.45">
      <c r="P147" s="684"/>
      <c r="Q147" s="684"/>
      <c r="DX147" s="690"/>
      <c r="DY147" s="690"/>
      <c r="DZ147" s="684"/>
      <c r="EA147" s="684"/>
      <c r="EB147" s="684"/>
      <c r="EC147" s="684"/>
      <c r="ED147" s="684"/>
      <c r="EE147" s="684"/>
      <c r="EG147" s="684"/>
      <c r="EH147" s="684"/>
    </row>
    <row r="148" spans="16:138" x14ac:dyDescent="0.45">
      <c r="P148" s="684"/>
      <c r="Q148" s="684"/>
      <c r="DX148" s="690"/>
      <c r="DY148" s="690"/>
      <c r="DZ148" s="684"/>
      <c r="EA148" s="684"/>
      <c r="EB148" s="684"/>
      <c r="EC148" s="684"/>
      <c r="ED148" s="684"/>
      <c r="EE148" s="684"/>
      <c r="EG148" s="684"/>
      <c r="EH148" s="684"/>
    </row>
    <row r="149" spans="16:138" x14ac:dyDescent="0.45">
      <c r="P149" s="684"/>
      <c r="Q149" s="684"/>
      <c r="DX149" s="690"/>
      <c r="DY149" s="690"/>
      <c r="DZ149" s="684"/>
      <c r="EA149" s="684"/>
      <c r="EB149" s="684"/>
      <c r="EC149" s="684"/>
      <c r="ED149" s="684"/>
      <c r="EE149" s="684"/>
      <c r="EG149" s="684"/>
      <c r="EH149" s="684"/>
    </row>
    <row r="150" spans="16:138" x14ac:dyDescent="0.45">
      <c r="P150" s="684"/>
      <c r="Q150" s="684"/>
      <c r="DX150" s="690"/>
      <c r="DY150" s="690"/>
      <c r="DZ150" s="684"/>
      <c r="EA150" s="684"/>
      <c r="EB150" s="684"/>
      <c r="EC150" s="684"/>
      <c r="ED150" s="684"/>
      <c r="EE150" s="684"/>
      <c r="EG150" s="684"/>
      <c r="EH150" s="684"/>
    </row>
    <row r="151" spans="16:138" x14ac:dyDescent="0.45">
      <c r="P151" s="684"/>
      <c r="Q151" s="684"/>
      <c r="DX151" s="690"/>
      <c r="DY151" s="690"/>
      <c r="DZ151" s="684"/>
      <c r="EA151" s="684"/>
      <c r="EB151" s="684"/>
      <c r="EC151" s="684"/>
      <c r="ED151" s="684"/>
      <c r="EE151" s="684"/>
      <c r="EG151" s="684"/>
      <c r="EH151" s="684"/>
    </row>
    <row r="152" spans="16:138" x14ac:dyDescent="0.45">
      <c r="P152" s="684"/>
      <c r="Q152" s="684"/>
      <c r="DX152" s="690"/>
      <c r="DY152" s="690"/>
      <c r="DZ152" s="684"/>
      <c r="EA152" s="684"/>
      <c r="EB152" s="684"/>
      <c r="EC152" s="684"/>
      <c r="ED152" s="684"/>
      <c r="EE152" s="684"/>
      <c r="EG152" s="684"/>
      <c r="EH152" s="684"/>
    </row>
    <row r="153" spans="16:138" x14ac:dyDescent="0.45">
      <c r="P153" s="684"/>
      <c r="Q153" s="684"/>
      <c r="DX153" s="690"/>
      <c r="DY153" s="690"/>
      <c r="DZ153" s="684"/>
      <c r="EA153" s="684"/>
      <c r="EB153" s="684"/>
      <c r="EC153" s="684"/>
      <c r="ED153" s="684"/>
      <c r="EE153" s="684"/>
      <c r="EG153" s="684"/>
      <c r="EH153" s="684"/>
    </row>
    <row r="154" spans="16:138" x14ac:dyDescent="0.45">
      <c r="P154" s="684"/>
      <c r="Q154" s="684"/>
      <c r="DX154" s="690"/>
      <c r="DY154" s="690"/>
      <c r="DZ154" s="684"/>
      <c r="EA154" s="684"/>
      <c r="EB154" s="684"/>
      <c r="EC154" s="684"/>
      <c r="ED154" s="684"/>
      <c r="EE154" s="684"/>
      <c r="EG154" s="684"/>
      <c r="EH154" s="684"/>
    </row>
    <row r="155" spans="16:138" x14ac:dyDescent="0.45">
      <c r="P155" s="684"/>
      <c r="Q155" s="684"/>
      <c r="DX155" s="690"/>
      <c r="DY155" s="690"/>
      <c r="DZ155" s="684"/>
      <c r="EA155" s="684"/>
      <c r="EB155" s="684"/>
      <c r="EC155" s="684"/>
      <c r="ED155" s="684"/>
      <c r="EE155" s="684"/>
      <c r="EG155" s="684"/>
      <c r="EH155" s="684"/>
    </row>
    <row r="156" spans="16:138" x14ac:dyDescent="0.45">
      <c r="P156" s="684"/>
      <c r="Q156" s="684"/>
      <c r="DX156" s="690"/>
      <c r="DY156" s="690"/>
      <c r="DZ156" s="684"/>
      <c r="EA156" s="684"/>
      <c r="EB156" s="684"/>
      <c r="EC156" s="684"/>
      <c r="ED156" s="684"/>
      <c r="EE156" s="684"/>
      <c r="EG156" s="684"/>
      <c r="EH156" s="684"/>
    </row>
    <row r="157" spans="16:138" x14ac:dyDescent="0.45">
      <c r="P157" s="684"/>
      <c r="Q157" s="684"/>
      <c r="DX157" s="690"/>
      <c r="DY157" s="690"/>
      <c r="DZ157" s="684"/>
      <c r="EA157" s="684"/>
      <c r="EB157" s="684"/>
      <c r="EC157" s="684"/>
      <c r="ED157" s="684"/>
      <c r="EE157" s="684"/>
      <c r="EG157" s="684"/>
      <c r="EH157" s="684"/>
    </row>
    <row r="158" spans="16:138" x14ac:dyDescent="0.45">
      <c r="P158" s="684"/>
      <c r="Q158" s="684"/>
      <c r="DX158" s="690"/>
      <c r="DY158" s="690"/>
      <c r="DZ158" s="684"/>
      <c r="EA158" s="684"/>
      <c r="EB158" s="684"/>
      <c r="EC158" s="684"/>
      <c r="ED158" s="684"/>
      <c r="EE158" s="684"/>
      <c r="EG158" s="684"/>
      <c r="EH158" s="684"/>
    </row>
    <row r="159" spans="16:138" x14ac:dyDescent="0.45">
      <c r="P159" s="684"/>
      <c r="Q159" s="684"/>
      <c r="DX159" s="690"/>
      <c r="DY159" s="690"/>
      <c r="DZ159" s="684"/>
      <c r="EA159" s="684"/>
      <c r="EB159" s="684"/>
      <c r="EC159" s="684"/>
      <c r="ED159" s="684"/>
      <c r="EE159" s="684"/>
      <c r="EG159" s="684"/>
      <c r="EH159" s="684"/>
    </row>
    <row r="160" spans="16:138" x14ac:dyDescent="0.45">
      <c r="P160" s="684"/>
      <c r="Q160" s="684"/>
      <c r="DX160" s="690"/>
      <c r="DY160" s="690"/>
      <c r="DZ160" s="684"/>
      <c r="EA160" s="684"/>
      <c r="EB160" s="684"/>
      <c r="EC160" s="684"/>
      <c r="ED160" s="684"/>
      <c r="EE160" s="684"/>
      <c r="EG160" s="684"/>
      <c r="EH160" s="684"/>
    </row>
    <row r="161" spans="16:138" x14ac:dyDescent="0.45">
      <c r="P161" s="684"/>
      <c r="Q161" s="684"/>
      <c r="DX161" s="690"/>
      <c r="DY161" s="690"/>
      <c r="DZ161" s="684"/>
      <c r="EA161" s="684"/>
      <c r="EB161" s="684"/>
      <c r="EC161" s="684"/>
      <c r="ED161" s="684"/>
      <c r="EE161" s="684"/>
      <c r="EG161" s="684"/>
      <c r="EH161" s="684"/>
    </row>
    <row r="162" spans="16:138" x14ac:dyDescent="0.45">
      <c r="P162" s="684"/>
      <c r="Q162" s="684"/>
      <c r="DX162" s="690"/>
      <c r="DY162" s="690"/>
      <c r="DZ162" s="684"/>
      <c r="EA162" s="684"/>
      <c r="EB162" s="684"/>
      <c r="EC162" s="684"/>
      <c r="ED162" s="684"/>
      <c r="EE162" s="684"/>
      <c r="EG162" s="684"/>
      <c r="EH162" s="684"/>
    </row>
    <row r="163" spans="16:138" x14ac:dyDescent="0.45">
      <c r="P163" s="684"/>
      <c r="Q163" s="684"/>
      <c r="DX163" s="690"/>
      <c r="DY163" s="690"/>
      <c r="DZ163" s="684"/>
      <c r="EA163" s="684"/>
      <c r="EB163" s="684"/>
      <c r="EC163" s="684"/>
      <c r="ED163" s="684"/>
      <c r="EE163" s="684"/>
      <c r="EG163" s="684"/>
      <c r="EH163" s="684"/>
    </row>
    <row r="164" spans="16:138" x14ac:dyDescent="0.45">
      <c r="P164" s="684"/>
      <c r="Q164" s="684"/>
      <c r="DX164" s="690"/>
      <c r="DY164" s="690"/>
      <c r="DZ164" s="684"/>
      <c r="EA164" s="684"/>
      <c r="EB164" s="684"/>
      <c r="EC164" s="684"/>
      <c r="ED164" s="684"/>
      <c r="EE164" s="684"/>
      <c r="EG164" s="684"/>
      <c r="EH164" s="684"/>
    </row>
    <row r="165" spans="16:138" x14ac:dyDescent="0.45">
      <c r="P165" s="684"/>
      <c r="Q165" s="684"/>
      <c r="DX165" s="690"/>
      <c r="DY165" s="690"/>
      <c r="DZ165" s="684"/>
      <c r="EA165" s="684"/>
      <c r="EB165" s="684"/>
      <c r="EC165" s="684"/>
      <c r="ED165" s="684"/>
      <c r="EE165" s="684"/>
      <c r="EG165" s="684"/>
      <c r="EH165" s="684"/>
    </row>
    <row r="166" spans="16:138" x14ac:dyDescent="0.45">
      <c r="P166" s="684"/>
      <c r="Q166" s="684"/>
      <c r="DX166" s="690"/>
      <c r="DY166" s="690"/>
      <c r="DZ166" s="684"/>
      <c r="EA166" s="684"/>
      <c r="EB166" s="684"/>
      <c r="EC166" s="684"/>
      <c r="ED166" s="684"/>
      <c r="EE166" s="684"/>
      <c r="EG166" s="684"/>
      <c r="EH166" s="684"/>
    </row>
    <row r="167" spans="16:138" x14ac:dyDescent="0.45">
      <c r="P167" s="684"/>
      <c r="Q167" s="684"/>
      <c r="DX167" s="690"/>
      <c r="DY167" s="690"/>
      <c r="DZ167" s="684"/>
      <c r="EA167" s="684"/>
      <c r="EB167" s="684"/>
      <c r="EC167" s="684"/>
      <c r="ED167" s="684"/>
      <c r="EE167" s="684"/>
      <c r="EG167" s="684"/>
      <c r="EH167" s="684"/>
    </row>
    <row r="168" spans="16:138" x14ac:dyDescent="0.45">
      <c r="P168" s="684"/>
      <c r="Q168" s="684"/>
      <c r="DX168" s="690"/>
      <c r="DY168" s="690"/>
      <c r="DZ168" s="684"/>
      <c r="EA168" s="684"/>
      <c r="EB168" s="684"/>
      <c r="EC168" s="684"/>
      <c r="ED168" s="684"/>
      <c r="EE168" s="684"/>
      <c r="EG168" s="684"/>
      <c r="EH168" s="684"/>
    </row>
    <row r="169" spans="16:138" x14ac:dyDescent="0.45">
      <c r="P169" s="684"/>
      <c r="Q169" s="684"/>
      <c r="DX169" s="690"/>
      <c r="DY169" s="690"/>
      <c r="DZ169" s="684"/>
      <c r="EA169" s="684"/>
      <c r="EB169" s="684"/>
      <c r="EC169" s="684"/>
      <c r="ED169" s="684"/>
      <c r="EE169" s="684"/>
      <c r="EG169" s="684"/>
      <c r="EH169" s="684"/>
    </row>
    <row r="170" spans="16:138" x14ac:dyDescent="0.45">
      <c r="P170" s="684"/>
      <c r="Q170" s="684"/>
      <c r="DX170" s="690"/>
      <c r="DY170" s="690"/>
      <c r="DZ170" s="684"/>
      <c r="EA170" s="684"/>
      <c r="EB170" s="684"/>
      <c r="EC170" s="684"/>
      <c r="ED170" s="684"/>
      <c r="EE170" s="684"/>
      <c r="EG170" s="684"/>
      <c r="EH170" s="684"/>
    </row>
    <row r="171" spans="16:138" x14ac:dyDescent="0.45">
      <c r="P171" s="684"/>
      <c r="Q171" s="684"/>
      <c r="DX171" s="690"/>
      <c r="DY171" s="690"/>
      <c r="DZ171" s="684"/>
      <c r="EA171" s="684"/>
      <c r="EB171" s="684"/>
      <c r="EC171" s="684"/>
      <c r="ED171" s="684"/>
      <c r="EE171" s="684"/>
      <c r="EG171" s="684"/>
      <c r="EH171" s="684"/>
    </row>
    <row r="172" spans="16:138" x14ac:dyDescent="0.45">
      <c r="P172" s="684"/>
      <c r="Q172" s="684"/>
      <c r="DX172" s="690"/>
      <c r="DY172" s="690"/>
      <c r="DZ172" s="684"/>
      <c r="EA172" s="684"/>
      <c r="EB172" s="684"/>
      <c r="EC172" s="684"/>
      <c r="ED172" s="684"/>
      <c r="EE172" s="684"/>
      <c r="EG172" s="684"/>
      <c r="EH172" s="684"/>
    </row>
    <row r="173" spans="16:138" x14ac:dyDescent="0.45">
      <c r="P173" s="684"/>
      <c r="Q173" s="684"/>
      <c r="DX173" s="690"/>
      <c r="DY173" s="690"/>
      <c r="DZ173" s="684"/>
      <c r="EA173" s="684"/>
      <c r="EB173" s="684"/>
      <c r="EC173" s="684"/>
      <c r="ED173" s="684"/>
      <c r="EE173" s="684"/>
      <c r="EG173" s="684"/>
      <c r="EH173" s="684"/>
    </row>
    <row r="174" spans="16:138" x14ac:dyDescent="0.45">
      <c r="P174" s="684"/>
      <c r="Q174" s="684"/>
      <c r="DX174" s="690"/>
      <c r="DY174" s="690"/>
      <c r="DZ174" s="684"/>
      <c r="EA174" s="684"/>
      <c r="EB174" s="684"/>
      <c r="EC174" s="684"/>
      <c r="ED174" s="684"/>
      <c r="EE174" s="684"/>
      <c r="EG174" s="684"/>
      <c r="EH174" s="684"/>
    </row>
    <row r="175" spans="16:138" x14ac:dyDescent="0.45">
      <c r="P175" s="684"/>
      <c r="Q175" s="684"/>
      <c r="DX175" s="690"/>
      <c r="DY175" s="690"/>
      <c r="DZ175" s="684"/>
      <c r="EA175" s="684"/>
      <c r="EB175" s="684"/>
      <c r="EC175" s="684"/>
      <c r="ED175" s="684"/>
      <c r="EE175" s="684"/>
      <c r="EG175" s="684"/>
      <c r="EH175" s="684"/>
    </row>
    <row r="176" spans="16:138" x14ac:dyDescent="0.45">
      <c r="P176" s="684"/>
      <c r="Q176" s="684"/>
      <c r="DX176" s="690"/>
      <c r="DY176" s="690"/>
      <c r="DZ176" s="684"/>
      <c r="EA176" s="684"/>
      <c r="EB176" s="684"/>
      <c r="EC176" s="684"/>
      <c r="ED176" s="684"/>
      <c r="EE176" s="684"/>
      <c r="EG176" s="684"/>
      <c r="EH176" s="684"/>
    </row>
    <row r="177" spans="16:138" x14ac:dyDescent="0.45">
      <c r="P177" s="684"/>
      <c r="Q177" s="684"/>
      <c r="DX177" s="690"/>
      <c r="DY177" s="690"/>
      <c r="DZ177" s="684"/>
      <c r="EA177" s="684"/>
      <c r="EB177" s="684"/>
      <c r="EC177" s="684"/>
      <c r="ED177" s="684"/>
      <c r="EE177" s="684"/>
      <c r="EG177" s="684"/>
      <c r="EH177" s="684"/>
    </row>
    <row r="178" spans="16:138" x14ac:dyDescent="0.45">
      <c r="P178" s="684"/>
      <c r="Q178" s="684"/>
      <c r="DX178" s="690"/>
      <c r="DY178" s="690"/>
      <c r="DZ178" s="684"/>
      <c r="EA178" s="684"/>
      <c r="EB178" s="684"/>
      <c r="EC178" s="684"/>
      <c r="ED178" s="684"/>
      <c r="EE178" s="684"/>
      <c r="EG178" s="684"/>
      <c r="EH178" s="684"/>
    </row>
    <row r="179" spans="16:138" x14ac:dyDescent="0.45">
      <c r="P179" s="684"/>
      <c r="Q179" s="684"/>
      <c r="DX179" s="690"/>
      <c r="DY179" s="690"/>
      <c r="DZ179" s="684"/>
      <c r="EA179" s="684"/>
      <c r="EB179" s="684"/>
      <c r="EC179" s="684"/>
      <c r="ED179" s="684"/>
      <c r="EE179" s="684"/>
      <c r="EG179" s="684"/>
      <c r="EH179" s="684"/>
    </row>
    <row r="180" spans="16:138" x14ac:dyDescent="0.45">
      <c r="P180" s="684"/>
      <c r="Q180" s="684"/>
      <c r="DX180" s="690"/>
      <c r="DY180" s="690"/>
      <c r="DZ180" s="684"/>
      <c r="EA180" s="684"/>
      <c r="EB180" s="684"/>
      <c r="EC180" s="684"/>
      <c r="ED180" s="684"/>
      <c r="EE180" s="684"/>
      <c r="EG180" s="684"/>
      <c r="EH180" s="684"/>
    </row>
    <row r="181" spans="16:138" x14ac:dyDescent="0.45">
      <c r="P181" s="684"/>
      <c r="Q181" s="684"/>
      <c r="DX181" s="690"/>
      <c r="DY181" s="690"/>
      <c r="DZ181" s="684"/>
      <c r="EA181" s="684"/>
      <c r="EB181" s="684"/>
      <c r="EC181" s="684"/>
      <c r="ED181" s="684"/>
      <c r="EE181" s="684"/>
      <c r="EG181" s="684"/>
      <c r="EH181" s="684"/>
    </row>
    <row r="182" spans="16:138" x14ac:dyDescent="0.45">
      <c r="P182" s="684"/>
      <c r="Q182" s="684"/>
      <c r="DX182" s="690"/>
      <c r="DY182" s="690"/>
      <c r="DZ182" s="684"/>
      <c r="EA182" s="684"/>
      <c r="EB182" s="684"/>
      <c r="EC182" s="684"/>
      <c r="ED182" s="684"/>
      <c r="EE182" s="684"/>
      <c r="EG182" s="684"/>
      <c r="EH182" s="684"/>
    </row>
    <row r="183" spans="16:138" x14ac:dyDescent="0.45">
      <c r="P183" s="684"/>
      <c r="Q183" s="684"/>
      <c r="DX183" s="690"/>
      <c r="DY183" s="690"/>
      <c r="DZ183" s="684"/>
      <c r="EA183" s="684"/>
      <c r="EB183" s="684"/>
      <c r="EC183" s="684"/>
      <c r="ED183" s="684"/>
      <c r="EE183" s="684"/>
      <c r="EG183" s="684"/>
      <c r="EH183" s="684"/>
    </row>
    <row r="184" spans="16:138" x14ac:dyDescent="0.45">
      <c r="P184" s="684"/>
      <c r="Q184" s="684"/>
      <c r="DX184" s="690"/>
      <c r="DY184" s="690"/>
      <c r="DZ184" s="684"/>
      <c r="EA184" s="684"/>
      <c r="EB184" s="684"/>
      <c r="EC184" s="684"/>
      <c r="ED184" s="684"/>
      <c r="EE184" s="684"/>
      <c r="EG184" s="684"/>
      <c r="EH184" s="684"/>
    </row>
    <row r="185" spans="16:138" x14ac:dyDescent="0.45">
      <c r="P185" s="684"/>
      <c r="Q185" s="684"/>
      <c r="DX185" s="690"/>
      <c r="DY185" s="690"/>
      <c r="DZ185" s="684"/>
      <c r="EA185" s="684"/>
      <c r="EB185" s="684"/>
      <c r="EC185" s="684"/>
      <c r="ED185" s="684"/>
      <c r="EE185" s="684"/>
      <c r="EG185" s="684"/>
      <c r="EH185" s="684"/>
    </row>
    <row r="186" spans="16:138" x14ac:dyDescent="0.45">
      <c r="P186" s="684"/>
      <c r="Q186" s="684"/>
      <c r="DX186" s="690"/>
      <c r="DY186" s="690"/>
      <c r="DZ186" s="684"/>
      <c r="EA186" s="684"/>
      <c r="EB186" s="684"/>
      <c r="EC186" s="684"/>
      <c r="ED186" s="684"/>
      <c r="EE186" s="684"/>
      <c r="EG186" s="684"/>
      <c r="EH186" s="684"/>
    </row>
    <row r="187" spans="16:138" x14ac:dyDescent="0.45">
      <c r="P187" s="684"/>
      <c r="Q187" s="684"/>
      <c r="DX187" s="690"/>
      <c r="DY187" s="690"/>
      <c r="DZ187" s="684"/>
      <c r="EA187" s="684"/>
      <c r="EB187" s="684"/>
      <c r="EC187" s="684"/>
      <c r="ED187" s="684"/>
      <c r="EE187" s="684"/>
      <c r="EG187" s="684"/>
      <c r="EH187" s="684"/>
    </row>
    <row r="188" spans="16:138" x14ac:dyDescent="0.45">
      <c r="P188" s="684"/>
      <c r="Q188" s="684"/>
      <c r="DX188" s="690"/>
      <c r="DY188" s="690"/>
      <c r="DZ188" s="684"/>
      <c r="EA188" s="684"/>
      <c r="EB188" s="684"/>
      <c r="EC188" s="684"/>
      <c r="ED188" s="684"/>
      <c r="EE188" s="684"/>
      <c r="EG188" s="684"/>
      <c r="EH188" s="684"/>
    </row>
    <row r="189" spans="16:138" x14ac:dyDescent="0.45">
      <c r="P189" s="684"/>
      <c r="Q189" s="684"/>
      <c r="DX189" s="690"/>
      <c r="DY189" s="690"/>
      <c r="DZ189" s="684"/>
      <c r="EA189" s="684"/>
      <c r="EB189" s="684"/>
      <c r="EC189" s="684"/>
      <c r="ED189" s="684"/>
      <c r="EE189" s="684"/>
      <c r="EG189" s="684"/>
      <c r="EH189" s="684"/>
    </row>
    <row r="190" spans="16:138" x14ac:dyDescent="0.45">
      <c r="P190" s="684"/>
      <c r="Q190" s="684"/>
      <c r="DX190" s="690"/>
      <c r="DY190" s="690"/>
      <c r="DZ190" s="684"/>
      <c r="EA190" s="684"/>
      <c r="EB190" s="684"/>
      <c r="EC190" s="684"/>
      <c r="ED190" s="684"/>
      <c r="EE190" s="684"/>
      <c r="EG190" s="684"/>
      <c r="EH190" s="684"/>
    </row>
    <row r="191" spans="16:138" x14ac:dyDescent="0.45">
      <c r="P191" s="684"/>
      <c r="Q191" s="684"/>
      <c r="DX191" s="690"/>
      <c r="DY191" s="690"/>
      <c r="DZ191" s="684"/>
      <c r="EA191" s="684"/>
      <c r="EB191" s="684"/>
      <c r="EC191" s="684"/>
      <c r="ED191" s="684"/>
      <c r="EE191" s="684"/>
      <c r="EG191" s="684"/>
      <c r="EH191" s="684"/>
    </row>
    <row r="192" spans="16:138" x14ac:dyDescent="0.45">
      <c r="P192" s="684"/>
      <c r="Q192" s="684"/>
      <c r="DX192" s="690"/>
      <c r="DY192" s="690"/>
      <c r="DZ192" s="684"/>
      <c r="EA192" s="684"/>
      <c r="EB192" s="684"/>
      <c r="EC192" s="684"/>
      <c r="ED192" s="684"/>
      <c r="EE192" s="684"/>
      <c r="EG192" s="684"/>
      <c r="EH192" s="684"/>
    </row>
    <row r="193" spans="16:138" x14ac:dyDescent="0.45">
      <c r="P193" s="684"/>
      <c r="Q193" s="684"/>
      <c r="DX193" s="690"/>
      <c r="DY193" s="690"/>
      <c r="DZ193" s="684"/>
      <c r="EA193" s="684"/>
      <c r="EB193" s="684"/>
      <c r="EC193" s="684"/>
      <c r="ED193" s="684"/>
      <c r="EE193" s="684"/>
      <c r="EG193" s="684"/>
      <c r="EH193" s="684"/>
    </row>
    <row r="194" spans="16:138" x14ac:dyDescent="0.45">
      <c r="P194" s="684"/>
      <c r="Q194" s="684"/>
      <c r="DX194" s="690"/>
      <c r="DY194" s="690"/>
      <c r="DZ194" s="684"/>
      <c r="EA194" s="684"/>
      <c r="EB194" s="684"/>
      <c r="EC194" s="684"/>
      <c r="ED194" s="684"/>
      <c r="EE194" s="684"/>
      <c r="EG194" s="684"/>
      <c r="EH194" s="684"/>
    </row>
    <row r="195" spans="16:138" x14ac:dyDescent="0.45">
      <c r="P195" s="684"/>
      <c r="Q195" s="684"/>
      <c r="DX195" s="690"/>
      <c r="DY195" s="690"/>
      <c r="DZ195" s="684"/>
      <c r="EA195" s="684"/>
      <c r="EB195" s="684"/>
      <c r="EC195" s="684"/>
      <c r="ED195" s="684"/>
      <c r="EE195" s="684"/>
      <c r="EG195" s="684"/>
      <c r="EH195" s="684"/>
    </row>
    <row r="196" spans="16:138" x14ac:dyDescent="0.45">
      <c r="P196" s="684"/>
      <c r="Q196" s="684"/>
      <c r="DX196" s="690"/>
      <c r="DY196" s="690"/>
      <c r="DZ196" s="684"/>
      <c r="EA196" s="684"/>
      <c r="EB196" s="684"/>
      <c r="EC196" s="684"/>
      <c r="ED196" s="684"/>
      <c r="EE196" s="684"/>
      <c r="EG196" s="684"/>
      <c r="EH196" s="684"/>
    </row>
    <row r="197" spans="16:138" x14ac:dyDescent="0.45">
      <c r="P197" s="684"/>
      <c r="Q197" s="684"/>
      <c r="DX197" s="690"/>
      <c r="DY197" s="690"/>
      <c r="DZ197" s="684"/>
      <c r="EA197" s="684"/>
      <c r="EB197" s="684"/>
      <c r="EC197" s="684"/>
      <c r="ED197" s="684"/>
      <c r="EE197" s="684"/>
      <c r="EG197" s="684"/>
      <c r="EH197" s="684"/>
    </row>
    <row r="198" spans="16:138" x14ac:dyDescent="0.45">
      <c r="P198" s="684"/>
      <c r="Q198" s="684"/>
      <c r="DX198" s="690"/>
      <c r="DY198" s="690"/>
      <c r="DZ198" s="684"/>
      <c r="EA198" s="684"/>
      <c r="EB198" s="684"/>
      <c r="EC198" s="684"/>
      <c r="ED198" s="684"/>
      <c r="EE198" s="684"/>
      <c r="EG198" s="684"/>
      <c r="EH198" s="684"/>
    </row>
    <row r="199" spans="16:138" x14ac:dyDescent="0.45">
      <c r="P199" s="684"/>
      <c r="Q199" s="684"/>
      <c r="DX199" s="690"/>
      <c r="DY199" s="690"/>
      <c r="DZ199" s="684"/>
      <c r="EA199" s="684"/>
      <c r="EB199" s="684"/>
      <c r="EC199" s="684"/>
      <c r="ED199" s="684"/>
      <c r="EE199" s="684"/>
      <c r="EG199" s="684"/>
      <c r="EH199" s="684"/>
    </row>
    <row r="200" spans="16:138" x14ac:dyDescent="0.45">
      <c r="P200" s="684"/>
      <c r="Q200" s="684"/>
      <c r="DX200" s="690"/>
      <c r="DY200" s="690"/>
      <c r="DZ200" s="684"/>
      <c r="EA200" s="684"/>
      <c r="EB200" s="684"/>
      <c r="EC200" s="684"/>
      <c r="ED200" s="684"/>
      <c r="EE200" s="684"/>
      <c r="EG200" s="684"/>
      <c r="EH200" s="684"/>
    </row>
    <row r="201" spans="16:138" x14ac:dyDescent="0.45">
      <c r="P201" s="684"/>
      <c r="Q201" s="684"/>
      <c r="DX201" s="690"/>
      <c r="DY201" s="690"/>
      <c r="DZ201" s="684"/>
      <c r="EA201" s="684"/>
      <c r="EB201" s="684"/>
      <c r="EC201" s="684"/>
      <c r="ED201" s="684"/>
      <c r="EE201" s="684"/>
      <c r="EG201" s="684"/>
      <c r="EH201" s="684"/>
    </row>
    <row r="202" spans="16:138" x14ac:dyDescent="0.45">
      <c r="P202" s="684"/>
      <c r="Q202" s="684"/>
      <c r="DX202" s="690"/>
      <c r="DY202" s="690"/>
      <c r="DZ202" s="684"/>
      <c r="EA202" s="684"/>
      <c r="EB202" s="684"/>
      <c r="EC202" s="684"/>
      <c r="ED202" s="684"/>
      <c r="EE202" s="684"/>
      <c r="EG202" s="684"/>
      <c r="EH202" s="684"/>
    </row>
    <row r="203" spans="16:138" x14ac:dyDescent="0.45">
      <c r="P203" s="684"/>
      <c r="Q203" s="684"/>
      <c r="DX203" s="690"/>
      <c r="DY203" s="690"/>
      <c r="DZ203" s="684"/>
      <c r="EA203" s="684"/>
      <c r="EB203" s="684"/>
      <c r="EC203" s="684"/>
      <c r="ED203" s="684"/>
      <c r="EE203" s="684"/>
      <c r="EG203" s="684"/>
      <c r="EH203" s="684"/>
    </row>
    <row r="204" spans="16:138" x14ac:dyDescent="0.45">
      <c r="P204" s="684"/>
      <c r="Q204" s="684"/>
      <c r="DX204" s="690"/>
      <c r="DY204" s="690"/>
      <c r="DZ204" s="684"/>
      <c r="EA204" s="684"/>
      <c r="EB204" s="684"/>
      <c r="EC204" s="684"/>
      <c r="ED204" s="684"/>
      <c r="EE204" s="684"/>
      <c r="EG204" s="684"/>
      <c r="EH204" s="684"/>
    </row>
    <row r="205" spans="16:138" x14ac:dyDescent="0.45">
      <c r="P205" s="684"/>
      <c r="Q205" s="684"/>
      <c r="DX205" s="690"/>
      <c r="DY205" s="690"/>
      <c r="DZ205" s="684"/>
      <c r="EA205" s="684"/>
      <c r="EB205" s="684"/>
      <c r="EC205" s="684"/>
      <c r="ED205" s="684"/>
      <c r="EE205" s="684"/>
      <c r="EG205" s="684"/>
      <c r="EH205" s="684"/>
    </row>
    <row r="206" spans="16:138" x14ac:dyDescent="0.45">
      <c r="P206" s="684"/>
      <c r="Q206" s="684"/>
      <c r="DX206" s="690"/>
      <c r="DY206" s="690"/>
      <c r="DZ206" s="684"/>
      <c r="EA206" s="684"/>
      <c r="EB206" s="684"/>
      <c r="EC206" s="684"/>
      <c r="ED206" s="684"/>
      <c r="EE206" s="684"/>
      <c r="EG206" s="684"/>
      <c r="EH206" s="684"/>
    </row>
    <row r="207" spans="16:138" x14ac:dyDescent="0.45">
      <c r="P207" s="684"/>
      <c r="Q207" s="684"/>
      <c r="DX207" s="690"/>
      <c r="DY207" s="690"/>
      <c r="DZ207" s="684"/>
      <c r="EA207" s="684"/>
      <c r="EB207" s="684"/>
      <c r="EC207" s="684"/>
      <c r="ED207" s="684"/>
      <c r="EE207" s="684"/>
      <c r="EG207" s="684"/>
      <c r="EH207" s="684"/>
    </row>
  </sheetData>
  <mergeCells count="26">
    <mergeCell ref="CU5:CY5"/>
    <mergeCell ref="DF5:DM5"/>
    <mergeCell ref="HG7:HM7"/>
    <mergeCell ref="HE6:HM6"/>
    <mergeCell ref="GB5:GF7"/>
    <mergeCell ref="GP5:GT7"/>
    <mergeCell ref="DO5:DQ5"/>
    <mergeCell ref="DZ5:EF5"/>
    <mergeCell ref="FH5:FQ7"/>
    <mergeCell ref="CZ5:DE5"/>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Q9:CQ59 CW9:CW59" xr:uid="{00000000-0002-0000-0100-000000000000}">
      <formula1>"N,Y"</formula1>
    </dataValidation>
    <dataValidation type="list" allowBlank="1" showInputMessage="1" showErrorMessage="1" sqref="Q9:Q59 S9:S59 BV9:BX59 BZ9:CA59 CD9:CD59 CG9:CH59 DX9:DY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65625" defaultRowHeight="13.15" outlineLevelRow="1" x14ac:dyDescent="0.4"/>
  <cols>
    <col min="1" max="1" width="2.265625" style="2" customWidth="1"/>
    <col min="2" max="2" width="2" style="2" customWidth="1"/>
    <col min="3" max="3" width="3.59765625" style="2" customWidth="1"/>
    <col min="4" max="4" width="8.59765625" style="2" customWidth="1"/>
    <col min="5" max="5" width="53.59765625" style="2" bestFit="1" customWidth="1"/>
    <col min="6" max="6" width="19.59765625" style="2" customWidth="1"/>
    <col min="7" max="7" width="26.265625" style="2" bestFit="1" customWidth="1"/>
    <col min="8" max="8" width="19.265625" style="2" customWidth="1"/>
    <col min="9" max="9" width="14.59765625" style="2" bestFit="1" customWidth="1"/>
    <col min="10" max="10" width="12.265625" style="2" bestFit="1" customWidth="1"/>
    <col min="11" max="11" width="12.265625" style="2" customWidth="1"/>
    <col min="12" max="12" width="14" style="2" bestFit="1" customWidth="1"/>
    <col min="13" max="13" width="17" style="2" bestFit="1" customWidth="1"/>
    <col min="14" max="14" width="18.59765625" style="2" customWidth="1"/>
    <col min="15" max="15" width="16.265625" style="2" bestFit="1" customWidth="1"/>
    <col min="16" max="16" width="9.265625" style="2" customWidth="1"/>
    <col min="17" max="17" width="14.59765625" style="2" bestFit="1" customWidth="1"/>
    <col min="18" max="18" width="13.59765625" style="2" bestFit="1" customWidth="1"/>
    <col min="19" max="19" width="14.59765625" style="2" bestFit="1" customWidth="1"/>
    <col min="20" max="20" width="9.265625" style="2" customWidth="1"/>
    <col min="21" max="16384" width="9.265625" style="2"/>
  </cols>
  <sheetData>
    <row r="1" spans="2:14" x14ac:dyDescent="0.4">
      <c r="B1" s="12"/>
      <c r="C1" s="525" t="s">
        <v>250</v>
      </c>
      <c r="D1" s="525"/>
      <c r="E1" s="525"/>
      <c r="F1" s="525"/>
      <c r="G1" s="525"/>
      <c r="H1" s="525"/>
      <c r="I1" s="525"/>
      <c r="J1" s="525"/>
      <c r="K1" s="525"/>
      <c r="L1" s="525"/>
      <c r="M1" s="525"/>
      <c r="N1" s="13"/>
    </row>
    <row r="2" spans="2:14" x14ac:dyDescent="0.4">
      <c r="B2" s="12"/>
      <c r="C2" s="12"/>
      <c r="I2" s="14" t="s">
        <v>94</v>
      </c>
      <c r="J2" s="15"/>
      <c r="K2" s="14" t="s">
        <v>251</v>
      </c>
      <c r="L2" s="15"/>
    </row>
    <row r="3" spans="2:14" x14ac:dyDescent="0.4">
      <c r="B3" s="12"/>
      <c r="C3" s="12"/>
      <c r="G3" s="11" t="s">
        <v>252</v>
      </c>
      <c r="H3" s="11" t="s">
        <v>253</v>
      </c>
      <c r="I3" s="16" t="s">
        <v>254</v>
      </c>
      <c r="J3" s="17"/>
      <c r="K3" s="16" t="s">
        <v>255</v>
      </c>
      <c r="L3" s="17"/>
    </row>
    <row r="4" spans="2:14" x14ac:dyDescent="0.4">
      <c r="B4" s="12"/>
      <c r="D4" s="18" t="s">
        <v>256</v>
      </c>
      <c r="G4" s="19" t="s">
        <v>257</v>
      </c>
      <c r="H4" s="19" t="s">
        <v>258</v>
      </c>
      <c r="I4" s="20" t="s">
        <v>259</v>
      </c>
      <c r="J4" s="21" t="s">
        <v>260</v>
      </c>
      <c r="K4" s="20" t="s">
        <v>259</v>
      </c>
      <c r="L4" s="21" t="s">
        <v>260</v>
      </c>
    </row>
    <row r="5" spans="2:14" x14ac:dyDescent="0.4">
      <c r="B5" s="12"/>
      <c r="D5" s="2" t="s">
        <v>261</v>
      </c>
      <c r="G5" s="22">
        <f>AGENT!D25</f>
        <v>0.625</v>
      </c>
      <c r="H5" s="23">
        <f>COUNTIF(Portfolio!$T$9:$T$60, 'Concentration Limits'!D5)</f>
        <v>11</v>
      </c>
      <c r="I5" s="24">
        <f>SUMIF(Portfolio!$T$9:$T$60, 'Concentration Limits'!$D$5, Portfolio!$AO$9:$AO$60)</f>
        <v>12455729.764371179</v>
      </c>
      <c r="J5" s="25">
        <f t="shared" ref="J5:J30" si="0">I5/I$32</f>
        <v>3.7718211070513097E-2</v>
      </c>
      <c r="K5" s="24">
        <f>SUMIF(Portfolio!$T$9:$T$60, 'Concentration Limits'!D5, Portfolio!$HE$9:$HE$60)</f>
        <v>4666942.9311727853</v>
      </c>
      <c r="L5" s="25">
        <f>K5/K$32</f>
        <v>2.0229399597164934E-2</v>
      </c>
    </row>
    <row r="6" spans="2:14" hidden="1" x14ac:dyDescent="0.4">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4">
      <c r="B7" s="12"/>
      <c r="E7" s="141"/>
      <c r="G7" s="22"/>
      <c r="H7" s="23"/>
      <c r="I7" s="24">
        <f>SUMIF(Portfolio!$T$9:$T$60, 'Concentration Limits'!$D$5, Portfolio!$AN$9:$AN$60)</f>
        <v>0</v>
      </c>
      <c r="J7" s="25">
        <f t="shared" si="0"/>
        <v>0</v>
      </c>
      <c r="K7" s="24"/>
      <c r="L7" s="25"/>
    </row>
    <row r="8" spans="2:14" x14ac:dyDescent="0.4">
      <c r="B8" s="12"/>
      <c r="E8" s="2" t="s">
        <v>262</v>
      </c>
      <c r="G8" s="22"/>
      <c r="H8" s="23"/>
      <c r="I8" s="24">
        <f>SUMIF(Portfolio!$T$9:$T$60, 'Concentration Limits'!$D$5, Portfolio!$AP$9:$AP$60)</f>
        <v>37888648.1875493</v>
      </c>
      <c r="J8" s="25">
        <f t="shared" si="0"/>
        <v>0.11473370541501508</v>
      </c>
      <c r="K8" s="24"/>
      <c r="L8" s="25"/>
    </row>
    <row r="9" spans="2:14" x14ac:dyDescent="0.4">
      <c r="B9" s="12"/>
      <c r="D9" s="2" t="s">
        <v>263</v>
      </c>
      <c r="G9" s="22">
        <f>AGENT!D24</f>
        <v>0.65</v>
      </c>
      <c r="H9" s="23">
        <f>COUNTIF(Portfolio!$T$9:$T$60, 'Concentration Limits'!D9)</f>
        <v>8</v>
      </c>
      <c r="I9" s="24">
        <f>SUMIF(Portfolio!$T$9:$T$60, 'Concentration Limits'!$D$9, Portfolio!$AO$9:$AO$60)</f>
        <v>70092185.513582498</v>
      </c>
      <c r="J9" s="25">
        <f t="shared" si="0"/>
        <v>0.21225186300662599</v>
      </c>
      <c r="K9" s="24">
        <f>SUMIF(Portfolio!$T$9:$T$60, 'Concentration Limits'!D9, Portfolio!$HE$9:$HE$60)</f>
        <v>62826600.358250052</v>
      </c>
      <c r="L9" s="25">
        <f>K9/K$32</f>
        <v>0.27232910766685597</v>
      </c>
    </row>
    <row r="10" spans="2:14" hidden="1" x14ac:dyDescent="0.4">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4">
      <c r="B11" s="12"/>
      <c r="E11" s="141"/>
      <c r="G11" s="22"/>
      <c r="H11" s="23"/>
      <c r="I11" s="24">
        <f>SUMIF(Portfolio!$T$9:$T$60, 'Concentration Limits'!$D$9, Portfolio!$AN$9:$AN$60)</f>
        <v>0</v>
      </c>
      <c r="J11" s="25">
        <f t="shared" si="0"/>
        <v>0</v>
      </c>
      <c r="K11" s="24"/>
      <c r="L11" s="25"/>
    </row>
    <row r="12" spans="2:14" x14ac:dyDescent="0.4">
      <c r="B12" s="12"/>
      <c r="E12" s="2" t="s">
        <v>262</v>
      </c>
      <c r="G12" s="22"/>
      <c r="H12" s="23"/>
      <c r="I12" s="24">
        <f>SUMIF(Portfolio!$T$9:$T$60, 'Concentration Limits'!$D$9, Portfolio!$AP$9:$AP$60)</f>
        <v>0</v>
      </c>
      <c r="J12" s="25">
        <f t="shared" si="0"/>
        <v>0</v>
      </c>
      <c r="K12" s="24"/>
      <c r="L12" s="25"/>
    </row>
    <row r="13" spans="2:14" x14ac:dyDescent="0.4">
      <c r="B13" s="12"/>
      <c r="D13" s="2" t="s">
        <v>264</v>
      </c>
      <c r="G13" s="22">
        <f>AGENT!D23</f>
        <v>0.67500000000000004</v>
      </c>
      <c r="H13" s="23">
        <f>COUNTIF(Portfolio!$T$9:$T$60, 'Concentration Limits'!D13)</f>
        <v>8</v>
      </c>
      <c r="I13" s="24">
        <f>SUMIF(Portfolio!$T$9:$T$60, 'Concentration Limits'!$D$13, Portfolio!$AO$9:$AO$60)</f>
        <v>70550038.276334465</v>
      </c>
      <c r="J13" s="25">
        <f t="shared" si="0"/>
        <v>0.21363832429563809</v>
      </c>
      <c r="K13" s="24">
        <f>SUMIF(Portfolio!$T$9:$T$60, 'Concentration Limits'!D13, Portfolio!$HE$9:$HE$60)</f>
        <v>67233377.622077093</v>
      </c>
      <c r="L13" s="25">
        <f>K13/K$32</f>
        <v>0.29143078932878624</v>
      </c>
    </row>
    <row r="14" spans="2:14" hidden="1" x14ac:dyDescent="0.4">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4">
      <c r="B15" s="12"/>
      <c r="E15" s="141"/>
      <c r="G15" s="22"/>
      <c r="H15" s="23"/>
      <c r="I15" s="24">
        <f>SUMIF(Portfolio!$T$9:$T$60, 'Concentration Limits'!$D$13, Portfolio!$AN$9:$AN$60)</f>
        <v>0</v>
      </c>
      <c r="J15" s="25">
        <f t="shared" si="0"/>
        <v>0</v>
      </c>
      <c r="K15" s="24"/>
      <c r="L15" s="25"/>
    </row>
    <row r="16" spans="2:14" x14ac:dyDescent="0.4">
      <c r="B16" s="12"/>
      <c r="E16" s="2" t="s">
        <v>262</v>
      </c>
      <c r="G16" s="22"/>
      <c r="H16" s="23"/>
      <c r="I16" s="24">
        <f>SUMIF(Portfolio!$T$9:$T$60, 'Concentration Limits'!$D$13, Portfolio!$AP$9:$AP$60)</f>
        <v>18913222.286059871</v>
      </c>
      <c r="J16" s="25">
        <f t="shared" si="0"/>
        <v>5.7272670787198374E-2</v>
      </c>
      <c r="K16" s="24"/>
      <c r="L16" s="25"/>
    </row>
    <row r="17" spans="1:21" x14ac:dyDescent="0.4">
      <c r="B17" s="12"/>
      <c r="D17" s="2" t="s">
        <v>265</v>
      </c>
      <c r="G17" s="22">
        <f>AGENT!D27</f>
        <v>0.625</v>
      </c>
      <c r="H17" s="23">
        <f>COUNTIF(Portfolio!$T$9:$T$60, 'Concentration Limits'!D17)</f>
        <v>7</v>
      </c>
      <c r="I17" s="24">
        <f>SUMIF(Portfolio!$T$9:$T$60, 'Concentration Limits'!$D$17, Portfolio!$AU$9:$AU$60)</f>
        <v>44546771.745046124</v>
      </c>
      <c r="J17" s="25">
        <f t="shared" si="0"/>
        <v>0.13489571233279274</v>
      </c>
      <c r="K17" s="24">
        <f>SUMIF(Portfolio!$T$9:$T$60, 'Concentration Limits'!D17, Portfolio!$HG$9:$HG$60)</f>
        <v>27598469.639210325</v>
      </c>
      <c r="L17" s="25">
        <f>K17/K$32</f>
        <v>0.11962873316334108</v>
      </c>
    </row>
    <row r="18" spans="1:21" hidden="1" x14ac:dyDescent="0.4">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4">
      <c r="B19" s="12"/>
      <c r="E19" s="141"/>
      <c r="G19" s="22"/>
      <c r="H19" s="23"/>
      <c r="I19" s="24">
        <f>SUMIF(Portfolio!$T$9:$T$60, 'Concentration Limits'!$D$17, Portfolio!$AT$9:$AT$60)</f>
        <v>0</v>
      </c>
      <c r="J19" s="25">
        <f t="shared" si="0"/>
        <v>0</v>
      </c>
      <c r="K19" s="24"/>
      <c r="L19" s="25"/>
    </row>
    <row r="20" spans="1:21" x14ac:dyDescent="0.4">
      <c r="B20" s="12"/>
      <c r="E20" s="2" t="s">
        <v>262</v>
      </c>
      <c r="G20" s="22"/>
      <c r="H20" s="23"/>
      <c r="I20" s="24">
        <f>SUMIF(Portfolio!$T$9:$T$60, 'Concentration Limits'!$D$17, Portfolio!$AV$9:$AV$60)</f>
        <v>0</v>
      </c>
      <c r="J20" s="25">
        <f t="shared" si="0"/>
        <v>0</v>
      </c>
      <c r="K20" s="24"/>
      <c r="L20" s="25"/>
    </row>
    <row r="21" spans="1:21" x14ac:dyDescent="0.4">
      <c r="B21" s="12"/>
      <c r="D21" s="2" t="s">
        <v>266</v>
      </c>
      <c r="G21" s="22">
        <f>AGENT!D28</f>
        <v>0.57499999999999996</v>
      </c>
      <c r="H21" s="23">
        <f>COUNTIF(Portfolio!$T$9:$T$60, 'Concentration Limits'!D21)</f>
        <v>4</v>
      </c>
      <c r="I21" s="24">
        <f>SUMIF(Portfolio!$T$9:$T$60, 'Concentration Limits'!$D$21, Portfolio!$AU$9:$AU$60)</f>
        <v>37226552.291079536</v>
      </c>
      <c r="J21" s="25">
        <f t="shared" si="0"/>
        <v>0.11272875883666196</v>
      </c>
      <c r="K21" s="63">
        <f>SUMIF(Portfolio!$T$9:$T$60, 'Concentration Limits'!$D$21, Portfolio!$HG$9:$HG$60)</f>
        <v>35704429.068376541</v>
      </c>
      <c r="L21" s="64">
        <f>K21/K$32</f>
        <v>0.15476494434683696</v>
      </c>
    </row>
    <row r="22" spans="1:21" s="62" customFormat="1" hidden="1" x14ac:dyDescent="0.4">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4">
      <c r="B23" s="12"/>
      <c r="E23" s="141"/>
      <c r="G23" s="22"/>
      <c r="H23" s="23"/>
      <c r="I23" s="24">
        <f>SUMIF(Portfolio!$T$9:$T$60, 'Concentration Limits'!$D$21, Portfolio!$AZ$9:$AZ$60)</f>
        <v>0</v>
      </c>
      <c r="J23" s="25">
        <f t="shared" si="0"/>
        <v>0</v>
      </c>
      <c r="K23" s="63"/>
      <c r="L23" s="64"/>
    </row>
    <row r="24" spans="1:21" x14ac:dyDescent="0.4">
      <c r="B24" s="12"/>
      <c r="E24" s="2" t="s">
        <v>262</v>
      </c>
      <c r="G24" s="22"/>
      <c r="H24" s="23"/>
      <c r="I24" s="24">
        <f>SUMIF(Portfolio!$T$9:$T$60, D21, Portfolio!$AV$9:$AV$60)</f>
        <v>0</v>
      </c>
      <c r="J24" s="25">
        <f t="shared" si="0"/>
        <v>0</v>
      </c>
      <c r="K24" s="63"/>
      <c r="L24" s="64"/>
    </row>
    <row r="25" spans="1:21" x14ac:dyDescent="0.4">
      <c r="B25" s="12"/>
      <c r="D25" s="2" t="s">
        <v>267</v>
      </c>
      <c r="G25" s="22">
        <f>AGENT!D29</f>
        <v>0.45</v>
      </c>
      <c r="H25" s="23">
        <f>COUNTIF(Portfolio!$T$9:$T$60, 'Concentration Limits'!D25)</f>
        <v>3</v>
      </c>
      <c r="I25" s="24">
        <f>SUMIF(Portfolio!$T$9:$T$60, 'Concentration Limits'!$D$25, Portfolio!$AU$9:$AU$60)</f>
        <v>38558042.940384798</v>
      </c>
      <c r="J25" s="25">
        <f t="shared" si="0"/>
        <v>0.1167607542555547</v>
      </c>
      <c r="K25" s="63">
        <f>SUMIF(Portfolio!$T$9:$T$60, 'Concentration Limits'!$D$25, Portfolio!$HG$9:$HG$60)</f>
        <v>32671190.994537078</v>
      </c>
      <c r="L25" s="64">
        <f>K25/K$32</f>
        <v>0.14161702589701489</v>
      </c>
    </row>
    <row r="26" spans="1:21" s="62" customFormat="1" hidden="1" x14ac:dyDescent="0.4">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4">
      <c r="B27" s="12"/>
      <c r="E27" s="141"/>
      <c r="G27" s="22"/>
      <c r="H27" s="23"/>
      <c r="I27" s="24">
        <f>SUMIF(Portfolio!$T$9:$T$60, 'Concentration Limits'!$D$25, Portfolio!$AZ$9:$AZ$60)</f>
        <v>0</v>
      </c>
      <c r="J27" s="25">
        <f t="shared" si="0"/>
        <v>0</v>
      </c>
      <c r="K27" s="24"/>
      <c r="L27" s="25"/>
    </row>
    <row r="28" spans="1:21" x14ac:dyDescent="0.4">
      <c r="B28" s="12"/>
      <c r="E28" s="2" t="s">
        <v>262</v>
      </c>
      <c r="G28" s="22"/>
      <c r="H28" s="23"/>
      <c r="I28" s="24">
        <f>SUMIF(Portfolio!$T$9:$T$60, $D$25, Portfolio!$AV$9:$AV$60)</f>
        <v>0</v>
      </c>
      <c r="J28" s="25">
        <f t="shared" si="0"/>
        <v>0</v>
      </c>
      <c r="K28" s="24"/>
      <c r="L28" s="25"/>
    </row>
    <row r="29" spans="1:21" x14ac:dyDescent="0.4">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4">
      <c r="B30" s="12"/>
      <c r="E30" s="2" t="s">
        <v>262</v>
      </c>
      <c r="G30" s="22"/>
      <c r="H30" s="23"/>
      <c r="I30" s="54">
        <f>SUMIF(Portfolio!$T$9:$T$60, $D$29, Portfolio!$AZ$9:$AZ$60)</f>
        <v>0</v>
      </c>
      <c r="J30" s="25">
        <f t="shared" si="0"/>
        <v>0</v>
      </c>
      <c r="K30" s="54"/>
      <c r="L30" s="25"/>
    </row>
    <row r="31" spans="1:21" x14ac:dyDescent="0.4">
      <c r="B31" s="12"/>
      <c r="D31" s="6"/>
      <c r="E31" s="6"/>
      <c r="F31" s="6"/>
      <c r="G31" s="22"/>
      <c r="H31" s="23"/>
      <c r="I31" s="54"/>
      <c r="J31" s="25"/>
      <c r="K31" s="54"/>
      <c r="L31" s="25"/>
    </row>
    <row r="32" spans="1:21" x14ac:dyDescent="0.4">
      <c r="B32" s="12"/>
      <c r="D32" s="2" t="s">
        <v>42</v>
      </c>
      <c r="G32" s="858"/>
      <c r="H32" s="858">
        <f>SUM(H5:H29)</f>
        <v>41</v>
      </c>
      <c r="I32" s="859">
        <f>SUM(I5:I31)</f>
        <v>330231191.00440776</v>
      </c>
      <c r="J32" s="860">
        <f>SUM(J5:J31)</f>
        <v>1</v>
      </c>
      <c r="K32" s="859">
        <f>SUM(K5:K31)</f>
        <v>230701010.61362386</v>
      </c>
      <c r="L32" s="860">
        <f>SUM(L5:L31)</f>
        <v>1</v>
      </c>
    </row>
    <row r="33" spans="2:19" ht="13.5" customHeight="1" thickBot="1" x14ac:dyDescent="0.45">
      <c r="B33" s="12"/>
      <c r="D33" s="26"/>
      <c r="E33" s="26"/>
      <c r="F33" s="148"/>
      <c r="G33" s="27"/>
      <c r="H33" s="26"/>
      <c r="I33" s="28"/>
      <c r="J33" s="29"/>
      <c r="K33" s="29"/>
      <c r="L33" s="28"/>
      <c r="M33" s="30"/>
    </row>
    <row r="34" spans="2:19" ht="13.5" customHeight="1" thickTop="1" x14ac:dyDescent="0.4">
      <c r="B34" s="12"/>
      <c r="D34" s="2" t="s">
        <v>268</v>
      </c>
      <c r="G34" s="861">
        <f>COUNTA(_xlfn.UNIQUE(Portfolio!B9:B59))-1</f>
        <v>41</v>
      </c>
      <c r="I34" s="31"/>
      <c r="J34" s="31"/>
      <c r="K34" s="31"/>
      <c r="L34" s="31"/>
      <c r="M34" s="32"/>
    </row>
    <row r="35" spans="2:19" x14ac:dyDescent="0.4">
      <c r="B35" s="12"/>
      <c r="D35" s="147" t="s">
        <v>269</v>
      </c>
      <c r="E35" s="147"/>
      <c r="F35" s="149">
        <f>AGENT!C43</f>
        <v>12</v>
      </c>
      <c r="G35" s="197">
        <f>AGENT!D43</f>
        <v>0.55000000000000004</v>
      </c>
      <c r="I35" s="31"/>
      <c r="J35" s="31"/>
      <c r="K35" s="31"/>
      <c r="L35" s="31"/>
      <c r="M35" s="5"/>
    </row>
    <row r="36" spans="2:19" x14ac:dyDescent="0.4">
      <c r="B36" s="12"/>
      <c r="D36" s="147" t="s">
        <v>269</v>
      </c>
      <c r="E36" s="147"/>
      <c r="F36" s="150">
        <f>AGENT!B42</f>
        <v>12</v>
      </c>
      <c r="G36" s="197">
        <f>AGENT!D42</f>
        <v>0.625</v>
      </c>
      <c r="I36" s="31"/>
      <c r="J36" s="31"/>
      <c r="K36" s="31"/>
      <c r="L36" s="31"/>
      <c r="M36" s="5"/>
    </row>
    <row r="37" spans="2:19" x14ac:dyDescent="0.4">
      <c r="B37" s="12"/>
      <c r="D37" s="147" t="s">
        <v>269</v>
      </c>
      <c r="E37" s="147"/>
      <c r="F37" s="151">
        <f>AGENT!B41</f>
        <v>20</v>
      </c>
      <c r="G37" s="197">
        <f>AGENT!D41</f>
        <v>0.65</v>
      </c>
      <c r="I37" s="31"/>
      <c r="J37" s="31"/>
      <c r="K37" s="31"/>
      <c r="L37" s="31"/>
      <c r="M37" s="5"/>
    </row>
    <row r="38" spans="2:19" x14ac:dyDescent="0.4">
      <c r="B38" s="12"/>
      <c r="D38" s="2" t="s">
        <v>44</v>
      </c>
      <c r="G38" s="8">
        <f>SUMPRODUCT(G5:G31,L5:L31)</f>
        <v>0.61385854040879129</v>
      </c>
      <c r="I38" s="31"/>
      <c r="J38" s="31"/>
      <c r="K38" s="31"/>
      <c r="L38" s="31"/>
      <c r="M38" s="5"/>
    </row>
    <row r="39" spans="2:19" x14ac:dyDescent="0.4">
      <c r="B39" s="12"/>
      <c r="D39" s="2" t="s">
        <v>270</v>
      </c>
      <c r="G39" s="153">
        <f t="array" ref="G39">_xlfn.IFS(G34&lt;F35,Cap_1,AND(G34&gt;=F35,G34&lt;F37),Cap_2,G34&gt;=F37,Cap_3)</f>
        <v>0.65</v>
      </c>
      <c r="I39" s="31"/>
      <c r="J39" s="31"/>
      <c r="K39" s="31"/>
      <c r="L39" s="31"/>
      <c r="M39" s="5"/>
    </row>
    <row r="40" spans="2:19" x14ac:dyDescent="0.4">
      <c r="B40" s="12"/>
      <c r="C40" s="12"/>
      <c r="G40" s="23"/>
      <c r="H40" s="31"/>
      <c r="I40" s="31"/>
      <c r="J40" s="33"/>
      <c r="K40" s="33"/>
    </row>
    <row r="41" spans="2:19" x14ac:dyDescent="0.4">
      <c r="B41" s="12"/>
      <c r="C41" s="525" t="s">
        <v>271</v>
      </c>
      <c r="D41" s="525"/>
      <c r="E41" s="525"/>
      <c r="F41" s="525"/>
      <c r="G41" s="525"/>
      <c r="H41" s="525"/>
      <c r="I41" s="525"/>
      <c r="J41" s="525"/>
      <c r="K41" s="525"/>
      <c r="L41" s="525"/>
      <c r="M41" s="526"/>
    </row>
    <row r="42" spans="2:19" x14ac:dyDescent="0.4">
      <c r="B42" s="12"/>
      <c r="D42" s="1"/>
      <c r="F42" s="13"/>
      <c r="G42" s="13"/>
      <c r="H42" s="13"/>
      <c r="I42" s="34"/>
      <c r="J42" s="13"/>
      <c r="K42" s="13"/>
      <c r="L42" s="13"/>
    </row>
    <row r="43" spans="2:19" x14ac:dyDescent="0.4">
      <c r="B43" s="12"/>
      <c r="D43" s="1" t="s">
        <v>272</v>
      </c>
      <c r="F43" s="34"/>
      <c r="G43" s="34"/>
      <c r="H43" s="34"/>
      <c r="I43" s="34"/>
      <c r="J43" s="13"/>
      <c r="K43" s="13"/>
      <c r="L43" s="13"/>
      <c r="M43" s="35">
        <f>Portfolio!V61</f>
        <v>232996703.6486333</v>
      </c>
    </row>
    <row r="44" spans="2:19" x14ac:dyDescent="0.4">
      <c r="B44" s="12"/>
      <c r="D44" s="1" t="s">
        <v>273</v>
      </c>
      <c r="F44" s="13"/>
      <c r="G44" s="13"/>
      <c r="H44" s="13"/>
      <c r="I44" s="34"/>
      <c r="J44" s="13"/>
      <c r="K44" s="13"/>
      <c r="L44" s="13"/>
      <c r="M44" s="56">
        <f>K49+K50+K51+K52+K57+K58+K59+K61+K64+K67+K68+K69+K70</f>
        <v>2295693.0350094065</v>
      </c>
    </row>
    <row r="45" spans="2:19" x14ac:dyDescent="0.4">
      <c r="B45" s="12"/>
      <c r="D45" s="12"/>
      <c r="I45" s="7"/>
      <c r="L45" s="176"/>
      <c r="M45" s="55">
        <f>M43-M44</f>
        <v>230701010.61362389</v>
      </c>
    </row>
    <row r="46" spans="2:19" x14ac:dyDescent="0.4">
      <c r="B46" s="12"/>
      <c r="I46" s="36"/>
      <c r="J46" s="11"/>
      <c r="K46" s="11" t="s">
        <v>220</v>
      </c>
      <c r="M46" s="35"/>
    </row>
    <row r="47" spans="2:19" x14ac:dyDescent="0.4">
      <c r="B47" s="12"/>
      <c r="D47" s="12"/>
      <c r="H47" s="11"/>
      <c r="J47" s="11" t="s">
        <v>274</v>
      </c>
      <c r="K47" s="11" t="s">
        <v>275</v>
      </c>
      <c r="L47" s="15"/>
      <c r="Q47" s="32"/>
      <c r="R47" s="32"/>
      <c r="S47" s="32"/>
    </row>
    <row r="48" spans="2:19" x14ac:dyDescent="0.4">
      <c r="B48" s="12"/>
      <c r="D48" s="12"/>
      <c r="E48" s="19"/>
      <c r="F48" s="19"/>
      <c r="G48" s="19"/>
      <c r="H48" s="37" t="s">
        <v>276</v>
      </c>
      <c r="I48" s="37"/>
      <c r="J48" s="19" t="s">
        <v>277</v>
      </c>
      <c r="K48" s="19" t="s">
        <v>278</v>
      </c>
      <c r="L48" s="17" t="s">
        <v>279</v>
      </c>
      <c r="M48" s="19" t="s">
        <v>280</v>
      </c>
      <c r="O48" s="146"/>
      <c r="P48" s="146"/>
      <c r="Q48" s="146"/>
      <c r="R48" s="146"/>
      <c r="S48" s="146"/>
    </row>
    <row r="49" spans="2:19" x14ac:dyDescent="0.4">
      <c r="B49" s="12"/>
      <c r="D49" s="12" t="s">
        <v>281</v>
      </c>
      <c r="E49" s="192" t="s">
        <v>282</v>
      </c>
      <c r="F49" s="11"/>
      <c r="G49" s="11"/>
      <c r="H49" s="40">
        <f>AGENT!D57</f>
        <v>0.2</v>
      </c>
      <c r="I49" s="39"/>
      <c r="J49" s="623">
        <f t="shared" ref="J49:J59" si="1">MAX(H49*M$43,0)</f>
        <v>46599340.729726665</v>
      </c>
      <c r="K49" s="624">
        <f>Portfolio!EO61</f>
        <v>0</v>
      </c>
      <c r="L49" s="625">
        <f>Portfolio!EN61</f>
        <v>4121303.4157976536</v>
      </c>
      <c r="M49" s="25">
        <f t="shared" ref="M49:M59" si="2">L49/$M$43</f>
        <v>1.7688247735953875E-2</v>
      </c>
      <c r="O49" s="146"/>
      <c r="P49" s="146"/>
      <c r="Q49" s="146"/>
      <c r="R49" s="146"/>
      <c r="S49" s="146"/>
    </row>
    <row r="50" spans="2:19" x14ac:dyDescent="0.4">
      <c r="B50" s="12"/>
      <c r="D50" s="12" t="s">
        <v>283</v>
      </c>
      <c r="E50" s="38" t="s">
        <v>284</v>
      </c>
      <c r="F50" s="11"/>
      <c r="G50" s="11"/>
      <c r="H50" s="40">
        <f>AGENT!D58</f>
        <v>0.1</v>
      </c>
      <c r="I50" s="39"/>
      <c r="J50" s="623">
        <f t="shared" si="1"/>
        <v>23299670.364863332</v>
      </c>
      <c r="K50" s="624">
        <f>Portfolio!ES61</f>
        <v>0</v>
      </c>
      <c r="L50" s="625">
        <f>Portfolio!ER61</f>
        <v>0</v>
      </c>
      <c r="M50" s="25">
        <f t="shared" si="2"/>
        <v>0</v>
      </c>
      <c r="N50" s="5"/>
      <c r="O50" s="5"/>
      <c r="P50" s="5"/>
      <c r="Q50" s="32"/>
      <c r="R50" s="32"/>
      <c r="S50" s="32"/>
    </row>
    <row r="51" spans="2:19" x14ac:dyDescent="0.4">
      <c r="B51" s="12"/>
      <c r="D51" s="12" t="s">
        <v>285</v>
      </c>
      <c r="E51" s="38" t="s">
        <v>286</v>
      </c>
      <c r="F51" s="11"/>
      <c r="G51" s="11"/>
      <c r="H51" s="40">
        <f>AGENT!D59</f>
        <v>0.3</v>
      </c>
      <c r="I51" s="39"/>
      <c r="J51" s="623">
        <f t="shared" si="1"/>
        <v>69899011.094589993</v>
      </c>
      <c r="K51" s="624">
        <f>Portfolio!EX61</f>
        <v>0</v>
      </c>
      <c r="L51" s="625">
        <f>Portfolio!EW61</f>
        <v>53940434.707607172</v>
      </c>
      <c r="M51" s="25">
        <f t="shared" si="2"/>
        <v>0.23150728685394245</v>
      </c>
      <c r="N51" s="5"/>
      <c r="O51" s="5"/>
      <c r="P51" s="5"/>
      <c r="Q51" s="32"/>
      <c r="R51" s="32"/>
      <c r="S51" s="32"/>
    </row>
    <row r="52" spans="2:19" x14ac:dyDescent="0.4">
      <c r="B52" s="12"/>
      <c r="D52" s="12" t="s">
        <v>287</v>
      </c>
      <c r="E52" s="191">
        <f>AGENT!C60</f>
        <v>5</v>
      </c>
      <c r="F52" s="52"/>
      <c r="G52" s="52"/>
      <c r="H52" s="40">
        <f>AGENT!D60</f>
        <v>0.15</v>
      </c>
      <c r="I52" s="39"/>
      <c r="J52" s="623">
        <f t="shared" si="1"/>
        <v>34949505.547294997</v>
      </c>
      <c r="K52" s="624">
        <f>Portfolio!FC61</f>
        <v>0</v>
      </c>
      <c r="L52" s="625">
        <f>Portfolio!FB61</f>
        <v>0</v>
      </c>
      <c r="M52" s="25">
        <f t="shared" si="2"/>
        <v>0</v>
      </c>
      <c r="N52" s="5"/>
      <c r="O52" s="5"/>
      <c r="P52" s="5"/>
      <c r="Q52" s="32"/>
      <c r="R52" s="32"/>
      <c r="S52" s="32"/>
    </row>
    <row r="53" spans="2:19" hidden="1" outlineLevel="1" x14ac:dyDescent="0.4">
      <c r="B53" s="12"/>
      <c r="D53" s="12"/>
      <c r="E53" s="178">
        <v>5.5</v>
      </c>
      <c r="F53" s="179"/>
      <c r="G53" s="179"/>
      <c r="H53" s="180">
        <v>1</v>
      </c>
      <c r="I53" s="181"/>
      <c r="J53" s="626">
        <f t="shared" si="1"/>
        <v>232996703.6486333</v>
      </c>
      <c r="K53" s="627">
        <f>Portfolio!FC61</f>
        <v>0</v>
      </c>
      <c r="L53" s="628"/>
      <c r="M53" s="184">
        <f t="shared" si="2"/>
        <v>0</v>
      </c>
      <c r="N53" s="5"/>
      <c r="O53" s="5"/>
      <c r="P53" s="5"/>
      <c r="Q53" s="32"/>
      <c r="R53" s="32"/>
      <c r="S53" s="32"/>
    </row>
    <row r="54" spans="2:19" hidden="1" outlineLevel="1" x14ac:dyDescent="0.4">
      <c r="B54" s="12"/>
      <c r="D54" s="12"/>
      <c r="E54" s="177" t="s">
        <v>288</v>
      </c>
      <c r="F54" s="185"/>
      <c r="G54" s="185"/>
      <c r="H54" s="180">
        <v>1</v>
      </c>
      <c r="I54" s="186"/>
      <c r="J54" s="626">
        <f t="shared" si="1"/>
        <v>232996703.6486333</v>
      </c>
      <c r="K54" s="627">
        <f>Portfolio!FM61</f>
        <v>0</v>
      </c>
      <c r="L54" s="628"/>
      <c r="M54" s="184">
        <f t="shared" si="2"/>
        <v>0</v>
      </c>
      <c r="N54" s="5"/>
      <c r="O54" s="5"/>
      <c r="P54" s="5"/>
      <c r="Q54" s="32"/>
      <c r="R54" s="32"/>
      <c r="S54" s="32"/>
    </row>
    <row r="55" spans="2:19" hidden="1" outlineLevel="1" x14ac:dyDescent="0.4">
      <c r="B55" s="12"/>
      <c r="D55" s="12"/>
      <c r="E55" s="177" t="s">
        <v>289</v>
      </c>
      <c r="F55" s="185"/>
      <c r="G55" s="185"/>
      <c r="H55" s="180">
        <v>1</v>
      </c>
      <c r="I55" s="186"/>
      <c r="J55" s="626">
        <f t="shared" si="1"/>
        <v>232996703.6486333</v>
      </c>
      <c r="K55" s="627">
        <f>Portfolio!FN61</f>
        <v>0</v>
      </c>
      <c r="L55" s="628"/>
      <c r="M55" s="184">
        <f t="shared" si="2"/>
        <v>0</v>
      </c>
      <c r="N55" s="5"/>
      <c r="O55" s="5"/>
      <c r="P55" s="5"/>
      <c r="Q55" s="32"/>
      <c r="R55" s="32"/>
      <c r="S55" s="32"/>
    </row>
    <row r="56" spans="2:19" hidden="1" outlineLevel="1" x14ac:dyDescent="0.4">
      <c r="B56" s="12"/>
      <c r="D56" s="12"/>
      <c r="E56" s="177" t="s">
        <v>290</v>
      </c>
      <c r="F56" s="185"/>
      <c r="G56" s="185"/>
      <c r="H56" s="180">
        <v>1</v>
      </c>
      <c r="I56" s="186"/>
      <c r="J56" s="626">
        <f t="shared" si="1"/>
        <v>232996703.6486333</v>
      </c>
      <c r="K56" s="627">
        <f>Portfolio!FO61</f>
        <v>0</v>
      </c>
      <c r="L56" s="628"/>
      <c r="M56" s="184">
        <f t="shared" si="2"/>
        <v>0</v>
      </c>
      <c r="N56" s="5"/>
      <c r="O56" s="5"/>
      <c r="P56" s="5"/>
      <c r="Q56" s="32"/>
      <c r="R56" s="32"/>
      <c r="S56" s="32"/>
    </row>
    <row r="57" spans="2:19" collapsed="1" x14ac:dyDescent="0.4">
      <c r="B57" s="12"/>
      <c r="D57" s="12" t="s">
        <v>291</v>
      </c>
      <c r="E57" s="1" t="s">
        <v>292</v>
      </c>
      <c r="F57" s="144"/>
      <c r="G57" s="144"/>
      <c r="H57" s="145">
        <f>AGENT!D61</f>
        <v>7.4999999999999997E-2</v>
      </c>
      <c r="I57" s="41"/>
      <c r="J57" s="623">
        <f t="shared" si="1"/>
        <v>17474752.773647498</v>
      </c>
      <c r="K57" s="624">
        <f>Portfolio!FP61</f>
        <v>2295693.0350094065</v>
      </c>
      <c r="L57" s="625">
        <f>IF(K57=0,Portfolio!FI61,K57+J57)</f>
        <v>19770445.808656905</v>
      </c>
      <c r="M57" s="25">
        <f t="shared" si="2"/>
        <v>8.485289920011653E-2</v>
      </c>
      <c r="N57" s="5"/>
      <c r="O57" s="5"/>
      <c r="P57" s="5"/>
      <c r="Q57" s="32"/>
      <c r="R57" s="32"/>
      <c r="S57" s="32"/>
    </row>
    <row r="58" spans="2:19" x14ac:dyDescent="0.4">
      <c r="B58" s="12"/>
      <c r="D58" s="12" t="s">
        <v>293</v>
      </c>
      <c r="E58" s="1" t="s">
        <v>294</v>
      </c>
      <c r="H58" s="40">
        <f>AGENT!D62</f>
        <v>0.2</v>
      </c>
      <c r="I58" s="41"/>
      <c r="J58" s="623">
        <f t="shared" si="1"/>
        <v>46599340.729726665</v>
      </c>
      <c r="K58" s="624">
        <f>Portfolio!FU61</f>
        <v>0</v>
      </c>
      <c r="L58" s="625">
        <f>Portfolio!FS61</f>
        <v>46042971.865242489</v>
      </c>
      <c r="M58" s="25">
        <f t="shared" si="2"/>
        <v>0.19761211701379608</v>
      </c>
      <c r="N58" s="5"/>
      <c r="O58" s="5"/>
      <c r="P58" s="5"/>
      <c r="Q58" s="32"/>
      <c r="R58" s="32"/>
      <c r="S58" s="32"/>
    </row>
    <row r="59" spans="2:19" x14ac:dyDescent="0.4">
      <c r="B59" s="12"/>
      <c r="D59" s="12" t="s">
        <v>295</v>
      </c>
      <c r="E59" s="1" t="s">
        <v>296</v>
      </c>
      <c r="H59" s="40">
        <f>AGENT!D63</f>
        <v>0.15</v>
      </c>
      <c r="I59" s="41"/>
      <c r="J59" s="623">
        <f t="shared" si="1"/>
        <v>34949505.547294997</v>
      </c>
      <c r="K59" s="624">
        <f>Portfolio!FZ61</f>
        <v>0</v>
      </c>
      <c r="L59" s="625">
        <f>Portfolio!FX61</f>
        <v>24394399.03040082</v>
      </c>
      <c r="M59" s="25">
        <f t="shared" si="2"/>
        <v>0.10469847276117854</v>
      </c>
      <c r="N59" s="5"/>
      <c r="O59" s="32"/>
      <c r="Q59" s="32"/>
      <c r="R59" s="32"/>
      <c r="S59" s="32"/>
    </row>
    <row r="60" spans="2:19" hidden="1" outlineLevel="1" x14ac:dyDescent="0.4">
      <c r="B60" s="12"/>
      <c r="D60" s="12"/>
      <c r="E60" s="618"/>
      <c r="F60" s="185"/>
      <c r="G60" s="185"/>
      <c r="H60" s="180"/>
      <c r="I60" s="186"/>
      <c r="J60" s="626"/>
      <c r="K60" s="627"/>
      <c r="L60" s="628"/>
      <c r="M60" s="184"/>
      <c r="N60" s="5"/>
      <c r="O60" s="32"/>
      <c r="Q60" s="32"/>
      <c r="R60" s="32"/>
      <c r="S60" s="32"/>
    </row>
    <row r="61" spans="2:19" collapsed="1" x14ac:dyDescent="0.4">
      <c r="B61" s="12"/>
      <c r="D61" s="12" t="s">
        <v>297</v>
      </c>
      <c r="E61" s="1" t="s">
        <v>298</v>
      </c>
      <c r="H61" s="40">
        <f>AGENT!D64</f>
        <v>0.1</v>
      </c>
      <c r="I61" s="41"/>
      <c r="J61" s="623">
        <f>MAX(H61*M$43,0)</f>
        <v>23299670.364863332</v>
      </c>
      <c r="K61" s="624">
        <f>Portfolio!GE61</f>
        <v>0</v>
      </c>
      <c r="L61" s="625">
        <f>IF(K61=0,Portfolio!GC61,K61+J61 )</f>
        <v>22141695.704820283</v>
      </c>
      <c r="M61" s="25">
        <f>L61/$M$43</f>
        <v>9.503008136205518E-2</v>
      </c>
      <c r="N61" s="5"/>
      <c r="O61" s="32"/>
      <c r="Q61" s="32"/>
      <c r="R61" s="32"/>
      <c r="S61" s="32"/>
    </row>
    <row r="62" spans="2:19" hidden="1" outlineLevel="1" x14ac:dyDescent="0.4">
      <c r="B62" s="12"/>
      <c r="D62" s="12"/>
      <c r="E62" s="177" t="s">
        <v>284</v>
      </c>
      <c r="F62" s="185"/>
      <c r="G62" s="185"/>
      <c r="H62" s="180">
        <v>1</v>
      </c>
      <c r="I62" s="186"/>
      <c r="J62" s="626">
        <f>MAX(H62*M$43,0)</f>
        <v>232996703.6486333</v>
      </c>
      <c r="K62" s="627" t="e">
        <f>Portfolio!#REF!</f>
        <v>#REF!</v>
      </c>
      <c r="L62" s="628"/>
      <c r="M62" s="184">
        <f>L62/$M$43</f>
        <v>0</v>
      </c>
      <c r="N62" s="5"/>
      <c r="O62" s="32"/>
      <c r="Q62" s="32"/>
      <c r="R62" s="32"/>
      <c r="S62" s="32"/>
    </row>
    <row r="63" spans="2:19" hidden="1" outlineLevel="1" x14ac:dyDescent="0.4">
      <c r="B63" s="12"/>
      <c r="D63" s="12"/>
      <c r="E63" s="177" t="s">
        <v>299</v>
      </c>
      <c r="F63" s="185"/>
      <c r="G63" s="185"/>
      <c r="H63" s="180">
        <v>1</v>
      </c>
      <c r="I63" s="186"/>
      <c r="J63" s="626">
        <f>MAX(H63*M$43,0)</f>
        <v>232996703.6486333</v>
      </c>
      <c r="K63" s="627" t="e">
        <f>Portfolio!#REF!</f>
        <v>#REF!</v>
      </c>
      <c r="L63" s="628"/>
      <c r="M63" s="184">
        <f>L63/$M$43</f>
        <v>0</v>
      </c>
      <c r="N63" s="5"/>
      <c r="O63" s="32"/>
      <c r="Q63" s="32"/>
      <c r="R63" s="32"/>
      <c r="S63" s="32"/>
    </row>
    <row r="64" spans="2:19" collapsed="1" x14ac:dyDescent="0.4">
      <c r="B64" s="12"/>
      <c r="D64" s="12" t="s">
        <v>300</v>
      </c>
      <c r="E64" s="1" t="s">
        <v>301</v>
      </c>
      <c r="H64" s="40">
        <f>AGENT!D65</f>
        <v>0.1</v>
      </c>
      <c r="I64" s="41"/>
      <c r="J64" s="623">
        <f>MAX(H64*M$43,0)</f>
        <v>23299670.364863332</v>
      </c>
      <c r="K64" s="624">
        <f>Portfolio!GI61</f>
        <v>0</v>
      </c>
      <c r="L64" s="625">
        <f>Portfolio!GH61</f>
        <v>0</v>
      </c>
      <c r="M64" s="25">
        <f>L64/$M$43</f>
        <v>0</v>
      </c>
      <c r="N64" s="5"/>
      <c r="O64" s="32"/>
      <c r="Q64" s="32"/>
      <c r="R64" s="32"/>
      <c r="S64" s="32"/>
    </row>
    <row r="65" spans="2:14" hidden="1" outlineLevel="1" x14ac:dyDescent="0.4">
      <c r="D65" s="144"/>
      <c r="E65" s="142"/>
      <c r="F65" s="51"/>
      <c r="H65" s="40"/>
      <c r="I65" s="41"/>
      <c r="J65" s="623"/>
      <c r="K65" s="624"/>
      <c r="L65" s="625"/>
      <c r="M65" s="25"/>
      <c r="N65" s="5"/>
    </row>
    <row r="66" spans="2:14" hidden="1" outlineLevel="1" x14ac:dyDescent="0.4">
      <c r="D66" s="144"/>
      <c r="E66" s="142"/>
      <c r="H66" s="40"/>
      <c r="I66" s="41"/>
      <c r="J66" s="623"/>
      <c r="K66" s="624"/>
      <c r="L66" s="625"/>
      <c r="M66" s="25"/>
      <c r="N66" s="5"/>
    </row>
    <row r="67" spans="2:14" collapsed="1" x14ac:dyDescent="0.4">
      <c r="D67" s="144" t="s">
        <v>302</v>
      </c>
      <c r="E67" s="34" t="s">
        <v>303</v>
      </c>
      <c r="H67" s="40">
        <f>AGENT!D66</f>
        <v>0.1</v>
      </c>
      <c r="I67" s="41"/>
      <c r="J67" s="623">
        <f>MAX(H67*M$43,0)</f>
        <v>23299670.364863332</v>
      </c>
      <c r="K67" s="624">
        <f>Portfolio!GN61</f>
        <v>0</v>
      </c>
      <c r="L67" s="629">
        <f>Portfolio!GM61</f>
        <v>8077912.1877550166</v>
      </c>
      <c r="M67" s="25">
        <f>L67/$M$43</f>
        <v>3.4669641506760433E-2</v>
      </c>
      <c r="N67" s="5"/>
    </row>
    <row r="68" spans="2:14" x14ac:dyDescent="0.4">
      <c r="D68" s="2" t="s">
        <v>304</v>
      </c>
      <c r="E68" s="34" t="s">
        <v>305</v>
      </c>
      <c r="H68" s="40">
        <f>AGENT!D67</f>
        <v>0.15</v>
      </c>
      <c r="I68" s="41"/>
      <c r="J68" s="623">
        <f>MAX(H68*M$43,0)</f>
        <v>34949505.547294997</v>
      </c>
      <c r="K68" s="624">
        <f>Portfolio!GS61</f>
        <v>0</v>
      </c>
      <c r="L68" s="629">
        <f>Portfolio!GR61</f>
        <v>0</v>
      </c>
      <c r="M68" s="25">
        <f>L68/$M$43</f>
        <v>0</v>
      </c>
      <c r="N68" s="5"/>
    </row>
    <row r="69" spans="2:14" x14ac:dyDescent="0.4">
      <c r="D69" s="2" t="s">
        <v>306</v>
      </c>
      <c r="E69" s="1" t="s">
        <v>307</v>
      </c>
      <c r="F69" s="51"/>
      <c r="H69" s="40">
        <f>AGENT!D68</f>
        <v>0.15</v>
      </c>
      <c r="I69" s="41"/>
      <c r="J69" s="623">
        <f>MAX(H69*M$43,0)</f>
        <v>34949505.547294997</v>
      </c>
      <c r="K69" s="624">
        <f>Portfolio!GX61</f>
        <v>0</v>
      </c>
      <c r="L69" s="625">
        <f>Portfolio!GW61</f>
        <v>12656117.589817706</v>
      </c>
      <c r="M69" s="25">
        <f>L69/$M$43</f>
        <v>5.4318869716301003E-2</v>
      </c>
      <c r="N69" s="5"/>
    </row>
    <row r="70" spans="2:14" x14ac:dyDescent="0.4">
      <c r="D70" s="2" t="s">
        <v>308</v>
      </c>
      <c r="E70" s="1" t="s">
        <v>309</v>
      </c>
      <c r="H70" s="40">
        <f>AGENT!D69</f>
        <v>0.1</v>
      </c>
      <c r="I70" s="41"/>
      <c r="J70" s="623">
        <f>MAX(H70*M$43,0)</f>
        <v>23299670.364863332</v>
      </c>
      <c r="K70" s="624">
        <f>Portfolio!HC61</f>
        <v>0</v>
      </c>
      <c r="L70" s="625">
        <f>Portfolio!HB61</f>
        <v>0</v>
      </c>
      <c r="M70" s="25">
        <f>L70/$M$43</f>
        <v>0</v>
      </c>
      <c r="N70" s="5"/>
    </row>
    <row r="71" spans="2:14" hidden="1" outlineLevel="1" x14ac:dyDescent="0.4">
      <c r="E71" s="187"/>
      <c r="F71" s="185"/>
      <c r="G71" s="185"/>
      <c r="H71" s="180"/>
      <c r="I71" s="186"/>
      <c r="J71" s="182"/>
      <c r="K71" s="183"/>
      <c r="L71" s="185"/>
      <c r="M71" s="188"/>
    </row>
    <row r="72" spans="2:14" hidden="1" outlineLevel="1" x14ac:dyDescent="0.4">
      <c r="E72" s="187"/>
      <c r="F72" s="185"/>
      <c r="G72" s="185"/>
      <c r="H72" s="180"/>
      <c r="I72" s="186"/>
      <c r="J72" s="182"/>
      <c r="K72" s="183"/>
      <c r="L72" s="185"/>
      <c r="M72" s="188"/>
    </row>
    <row r="73" spans="2:14" hidden="1" outlineLevel="1" x14ac:dyDescent="0.4">
      <c r="E73" s="187"/>
      <c r="F73" s="185"/>
      <c r="G73" s="185"/>
      <c r="H73" s="180"/>
      <c r="I73" s="186"/>
      <c r="J73" s="182"/>
      <c r="K73" s="183"/>
      <c r="L73" s="185"/>
      <c r="M73" s="188"/>
    </row>
    <row r="74" spans="2:14" hidden="1" outlineLevel="1" x14ac:dyDescent="0.4">
      <c r="E74" s="187"/>
      <c r="F74" s="185"/>
      <c r="G74" s="185"/>
      <c r="H74" s="180"/>
      <c r="I74" s="186"/>
      <c r="J74" s="182"/>
      <c r="K74" s="183"/>
      <c r="L74" s="185"/>
      <c r="M74" s="188"/>
    </row>
    <row r="75" spans="2:14" hidden="1" outlineLevel="1" x14ac:dyDescent="0.4">
      <c r="E75" s="187"/>
      <c r="F75" s="185"/>
      <c r="G75" s="185"/>
      <c r="H75" s="180"/>
      <c r="I75" s="186"/>
      <c r="J75" s="182"/>
      <c r="K75" s="183"/>
      <c r="L75" s="185"/>
      <c r="M75" s="188"/>
    </row>
    <row r="76" spans="2:14" collapsed="1" x14ac:dyDescent="0.4">
      <c r="E76" s="34"/>
      <c r="H76" s="40"/>
      <c r="I76" s="41"/>
      <c r="J76" s="36"/>
      <c r="K76" s="35"/>
    </row>
    <row r="77" spans="2:14" x14ac:dyDescent="0.4">
      <c r="E77" s="1"/>
      <c r="H77" s="40"/>
      <c r="I77" s="41"/>
      <c r="J77" s="36"/>
      <c r="K77" s="35"/>
    </row>
    <row r="78" spans="2:14" x14ac:dyDescent="0.4">
      <c r="B78" s="12"/>
      <c r="C78" s="525" t="s">
        <v>310</v>
      </c>
      <c r="D78" s="525"/>
      <c r="E78" s="525"/>
      <c r="F78" s="525"/>
      <c r="G78" s="525"/>
      <c r="H78" s="525"/>
      <c r="I78" s="525"/>
      <c r="J78" s="525"/>
      <c r="K78" s="525"/>
      <c r="L78" s="525"/>
      <c r="M78" s="525"/>
    </row>
    <row r="79" spans="2:14" x14ac:dyDescent="0.4">
      <c r="B79" s="12"/>
      <c r="C79" s="12"/>
      <c r="F79" s="31"/>
    </row>
    <row r="80" spans="2:14" x14ac:dyDescent="0.4">
      <c r="B80" s="12"/>
      <c r="E80" s="42" t="s">
        <v>311</v>
      </c>
      <c r="F80" s="43" t="s">
        <v>312</v>
      </c>
      <c r="G80" s="43"/>
      <c r="H80" s="43" t="s">
        <v>313</v>
      </c>
    </row>
    <row r="81" spans="2:8" x14ac:dyDescent="0.4">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4">
      <c r="B82" s="12"/>
      <c r="D82" s="44">
        <f t="shared" ref="D82:D113" si="5">D81+1</f>
        <v>2</v>
      </c>
      <c r="E82" s="45" t="s">
        <v>315</v>
      </c>
      <c r="F82" s="46">
        <f>SUMIF(Portfolio!$BR$9:$BR$60, 'Concentration Limits'!E82, Portfolio!$V$9:$V$60)</f>
        <v>0</v>
      </c>
      <c r="G82" s="25">
        <f t="shared" si="3"/>
        <v>0</v>
      </c>
      <c r="H82" s="23" t="str">
        <f t="shared" si="4"/>
        <v/>
      </c>
    </row>
    <row r="83" spans="2:8" x14ac:dyDescent="0.4">
      <c r="B83" s="12"/>
      <c r="D83" s="44">
        <f t="shared" si="5"/>
        <v>3</v>
      </c>
      <c r="E83" s="45" t="s">
        <v>316</v>
      </c>
      <c r="F83" s="46">
        <f>SUMIF(Portfolio!$BR$9:$BR$60, 'Concentration Limits'!E83, Portfolio!$V$9:$V$60)</f>
        <v>0</v>
      </c>
      <c r="G83" s="25">
        <f t="shared" si="3"/>
        <v>0</v>
      </c>
      <c r="H83" s="23" t="str">
        <f t="shared" si="4"/>
        <v/>
      </c>
    </row>
    <row r="84" spans="2:8" x14ac:dyDescent="0.4">
      <c r="B84" s="12"/>
      <c r="D84" s="44">
        <f t="shared" si="5"/>
        <v>4</v>
      </c>
      <c r="E84" s="45" t="s">
        <v>317</v>
      </c>
      <c r="F84" s="46">
        <f>SUMIF(Portfolio!$BR$9:$BR$60, 'Concentration Limits'!E84, Portfolio!$V$9:$V$60)</f>
        <v>0</v>
      </c>
      <c r="G84" s="25">
        <f t="shared" si="3"/>
        <v>0</v>
      </c>
      <c r="H84" s="23" t="str">
        <f t="shared" si="4"/>
        <v/>
      </c>
    </row>
    <row r="85" spans="2:8" x14ac:dyDescent="0.4">
      <c r="B85" s="12"/>
      <c r="D85" s="44">
        <f t="shared" si="5"/>
        <v>5</v>
      </c>
      <c r="E85" s="45" t="s">
        <v>318</v>
      </c>
      <c r="F85" s="46">
        <f>SUMIF(Portfolio!$BR$9:$BR$60, 'Concentration Limits'!E85, Portfolio!$V$9:$V$60)</f>
        <v>0</v>
      </c>
      <c r="G85" s="25">
        <f t="shared" si="3"/>
        <v>0</v>
      </c>
      <c r="H85" s="23" t="str">
        <f t="shared" si="4"/>
        <v/>
      </c>
    </row>
    <row r="86" spans="2:8" x14ac:dyDescent="0.4">
      <c r="B86" s="12"/>
      <c r="D86" s="44">
        <f t="shared" si="5"/>
        <v>6</v>
      </c>
      <c r="E86" s="45" t="s">
        <v>319</v>
      </c>
      <c r="F86" s="46">
        <f>SUMIF(Portfolio!$BR$9:$BR$60, 'Concentration Limits'!E86, Portfolio!$V$9:$V$60)</f>
        <v>0</v>
      </c>
      <c r="G86" s="25">
        <f t="shared" si="3"/>
        <v>0</v>
      </c>
      <c r="H86" s="23" t="str">
        <f t="shared" si="4"/>
        <v/>
      </c>
    </row>
    <row r="87" spans="2:8" x14ac:dyDescent="0.4">
      <c r="B87" s="12"/>
      <c r="D87" s="44">
        <f t="shared" si="5"/>
        <v>7</v>
      </c>
      <c r="E87" s="45" t="s">
        <v>320</v>
      </c>
      <c r="F87" s="46">
        <f>SUMIF(Portfolio!$BR$9:$BR$60, 'Concentration Limits'!E87, Portfolio!$V$9:$V$60)</f>
        <v>0</v>
      </c>
      <c r="G87" s="25">
        <f t="shared" si="3"/>
        <v>0</v>
      </c>
      <c r="H87" s="23" t="str">
        <f t="shared" si="4"/>
        <v/>
      </c>
    </row>
    <row r="88" spans="2:8" x14ac:dyDescent="0.4">
      <c r="B88" s="12"/>
      <c r="D88" s="44">
        <f t="shared" si="5"/>
        <v>8</v>
      </c>
      <c r="E88" s="45" t="s">
        <v>321</v>
      </c>
      <c r="F88" s="46">
        <f>SUMIF(Portfolio!$BR$9:$BR$60, 'Concentration Limits'!E88, Portfolio!$V$9:$V$60)</f>
        <v>0</v>
      </c>
      <c r="G88" s="25">
        <f t="shared" si="3"/>
        <v>0</v>
      </c>
      <c r="H88" s="23" t="str">
        <f t="shared" si="4"/>
        <v/>
      </c>
    </row>
    <row r="89" spans="2:8" x14ac:dyDescent="0.4">
      <c r="B89" s="12"/>
      <c r="D89" s="44">
        <f t="shared" si="5"/>
        <v>9</v>
      </c>
      <c r="E89" s="45" t="s">
        <v>322</v>
      </c>
      <c r="F89" s="46">
        <f>SUMIF(Portfolio!$BR$9:$BR$60, 'Concentration Limits'!E89, Portfolio!$V$9:$V$60)</f>
        <v>1883560.9969692549</v>
      </c>
      <c r="G89" s="25">
        <f t="shared" si="3"/>
        <v>7.6468151747370204E-3</v>
      </c>
      <c r="H89" s="23">
        <f t="shared" si="4"/>
        <v>17</v>
      </c>
    </row>
    <row r="90" spans="2:8" x14ac:dyDescent="0.4">
      <c r="B90" s="12"/>
      <c r="D90" s="44">
        <f t="shared" si="5"/>
        <v>10</v>
      </c>
      <c r="E90" s="45" t="s">
        <v>323</v>
      </c>
      <c r="F90" s="46">
        <f>SUMIF(Portfolio!$BR$9:$BR$60, 'Concentration Limits'!E90, Portfolio!$V$9:$V$60)</f>
        <v>0</v>
      </c>
      <c r="G90" s="25">
        <f t="shared" si="3"/>
        <v>0</v>
      </c>
      <c r="H90" s="23" t="str">
        <f t="shared" si="4"/>
        <v/>
      </c>
    </row>
    <row r="91" spans="2:8" x14ac:dyDescent="0.4">
      <c r="B91" s="12"/>
      <c r="D91" s="44">
        <f t="shared" si="5"/>
        <v>11</v>
      </c>
      <c r="E91" s="45" t="s">
        <v>324</v>
      </c>
      <c r="F91" s="46">
        <f>SUMIF(Portfolio!$BR$9:$BR$60, 'Concentration Limits'!E91, Portfolio!$V$9:$V$60)</f>
        <v>19507632.143256925</v>
      </c>
      <c r="G91" s="25">
        <f t="shared" si="3"/>
        <v>7.9196403905298973E-2</v>
      </c>
      <c r="H91" s="23">
        <f t="shared" si="4"/>
        <v>4</v>
      </c>
    </row>
    <row r="92" spans="2:8" x14ac:dyDescent="0.4">
      <c r="B92" s="12"/>
      <c r="D92" s="44">
        <f t="shared" si="5"/>
        <v>12</v>
      </c>
      <c r="E92" s="45" t="s">
        <v>325</v>
      </c>
      <c r="F92" s="46">
        <f>SUMIF(Portfolio!$BR$9:$BR$60, 'Concentration Limits'!E92, Portfolio!$V$9:$V$60)</f>
        <v>13322967.211468514</v>
      </c>
      <c r="G92" s="25">
        <f t="shared" si="3"/>
        <v>5.4088117140410369E-2</v>
      </c>
      <c r="H92" s="23">
        <f t="shared" si="4"/>
        <v>8</v>
      </c>
    </row>
    <row r="93" spans="2:8" x14ac:dyDescent="0.4">
      <c r="B93" s="12"/>
      <c r="D93" s="44">
        <f t="shared" si="5"/>
        <v>13</v>
      </c>
      <c r="E93" s="45" t="s">
        <v>326</v>
      </c>
      <c r="F93" s="46">
        <f>SUMIF(Portfolio!$BR$9:$BR$60, 'Concentration Limits'!E93, Portfolio!$V$9:$V$60)</f>
        <v>0</v>
      </c>
      <c r="G93" s="25">
        <f t="shared" si="3"/>
        <v>0</v>
      </c>
      <c r="H93" s="23" t="str">
        <f t="shared" si="4"/>
        <v/>
      </c>
    </row>
    <row r="94" spans="2:8" x14ac:dyDescent="0.4">
      <c r="B94" s="12"/>
      <c r="D94" s="44">
        <f t="shared" si="5"/>
        <v>14</v>
      </c>
      <c r="E94" s="45" t="s">
        <v>327</v>
      </c>
      <c r="F94" s="46">
        <f>SUMIF(Portfolio!$BR$9:$BR$60, 'Concentration Limits'!E94, Portfolio!$V$9:$V$60)</f>
        <v>46042971.865242489</v>
      </c>
      <c r="G94" s="25">
        <f t="shared" si="3"/>
        <v>0.18692364968038938</v>
      </c>
      <c r="H94" s="23">
        <f t="shared" si="4"/>
        <v>1</v>
      </c>
    </row>
    <row r="95" spans="2:8" x14ac:dyDescent="0.4">
      <c r="B95" s="12"/>
      <c r="D95" s="44">
        <f t="shared" si="5"/>
        <v>15</v>
      </c>
      <c r="E95" s="45" t="s">
        <v>328</v>
      </c>
      <c r="F95" s="46">
        <f>SUMIF(Portfolio!$BR$9:$BR$60, 'Concentration Limits'!E95, Portfolio!$V$9:$V$60)</f>
        <v>0</v>
      </c>
      <c r="G95" s="25">
        <f t="shared" si="3"/>
        <v>0</v>
      </c>
      <c r="H95" s="23" t="str">
        <f t="shared" si="4"/>
        <v/>
      </c>
    </row>
    <row r="96" spans="2:8" x14ac:dyDescent="0.4">
      <c r="B96" s="12"/>
      <c r="D96" s="44">
        <f t="shared" si="5"/>
        <v>16</v>
      </c>
      <c r="E96" s="45" t="s">
        <v>329</v>
      </c>
      <c r="F96" s="46">
        <f>SUMIF(Portfolio!$BR$9:$BR$60, 'Concentration Limits'!E96, Portfolio!$V$9:$V$60)</f>
        <v>0</v>
      </c>
      <c r="G96" s="25">
        <f t="shared" si="3"/>
        <v>0</v>
      </c>
      <c r="H96" s="23" t="str">
        <f t="shared" si="4"/>
        <v/>
      </c>
    </row>
    <row r="97" spans="2:8" x14ac:dyDescent="0.4">
      <c r="B97" s="12"/>
      <c r="D97" s="44">
        <f t="shared" si="5"/>
        <v>17</v>
      </c>
      <c r="E97" s="45" t="s">
        <v>330</v>
      </c>
      <c r="F97" s="46">
        <f>SUMIF(Portfolio!$BR$9:$BR$60, 'Concentration Limits'!E97, Portfolio!$V$9:$V$60)</f>
        <v>0</v>
      </c>
      <c r="G97" s="25">
        <f t="shared" si="3"/>
        <v>0</v>
      </c>
      <c r="H97" s="23" t="str">
        <f t="shared" si="4"/>
        <v/>
      </c>
    </row>
    <row r="98" spans="2:8" x14ac:dyDescent="0.4">
      <c r="B98" s="12"/>
      <c r="D98" s="44">
        <f t="shared" si="5"/>
        <v>18</v>
      </c>
      <c r="E98" s="45" t="s">
        <v>331</v>
      </c>
      <c r="F98" s="46">
        <f>SUMIF(Portfolio!$BR$9:$BR$60, 'Concentration Limits'!E98, Portfolio!$V$9:$V$60)</f>
        <v>0</v>
      </c>
      <c r="G98" s="25">
        <f t="shared" si="3"/>
        <v>0</v>
      </c>
      <c r="H98" s="23" t="str">
        <f t="shared" si="4"/>
        <v/>
      </c>
    </row>
    <row r="99" spans="2:8" x14ac:dyDescent="0.4">
      <c r="B99" s="12"/>
      <c r="D99" s="44">
        <f t="shared" si="5"/>
        <v>19</v>
      </c>
      <c r="E99" s="45" t="s">
        <v>332</v>
      </c>
      <c r="F99" s="46">
        <f>SUMIF(Portfolio!$BR$9:$BR$60, 'Concentration Limits'!E99, Portfolio!$V$9:$V$60)</f>
        <v>0</v>
      </c>
      <c r="G99" s="25">
        <f t="shared" si="3"/>
        <v>0</v>
      </c>
      <c r="H99" s="23" t="str">
        <f t="shared" si="4"/>
        <v/>
      </c>
    </row>
    <row r="100" spans="2:8" x14ac:dyDescent="0.4">
      <c r="B100" s="12"/>
      <c r="D100" s="44">
        <f t="shared" si="5"/>
        <v>20</v>
      </c>
      <c r="E100" s="45" t="s">
        <v>333</v>
      </c>
      <c r="F100" s="46">
        <f>SUMIF(Portfolio!$BR$9:$BR$60, 'Concentration Limits'!E100, Portfolio!$V$9:$V$60)</f>
        <v>0</v>
      </c>
      <c r="G100" s="25">
        <f t="shared" si="3"/>
        <v>0</v>
      </c>
      <c r="H100" s="23" t="str">
        <f t="shared" si="4"/>
        <v/>
      </c>
    </row>
    <row r="101" spans="2:8" x14ac:dyDescent="0.4">
      <c r="B101" s="12"/>
      <c r="D101" s="44">
        <f t="shared" si="5"/>
        <v>21</v>
      </c>
      <c r="E101" s="45" t="s">
        <v>334</v>
      </c>
      <c r="F101" s="46">
        <f>SUMIF(Portfolio!$BR$9:$BR$60, 'Concentration Limits'!E101, Portfolio!$V$9:$V$60)</f>
        <v>11328458.381135054</v>
      </c>
      <c r="G101" s="25">
        <f t="shared" si="3"/>
        <v>4.5990879825302686E-2</v>
      </c>
      <c r="H101" s="23">
        <f t="shared" si="4"/>
        <v>11</v>
      </c>
    </row>
    <row r="102" spans="2:8" x14ac:dyDescent="0.4">
      <c r="B102" s="12"/>
      <c r="D102" s="44">
        <f t="shared" si="5"/>
        <v>22</v>
      </c>
      <c r="E102" s="45" t="s">
        <v>335</v>
      </c>
      <c r="F102" s="46">
        <f>SUMIF(Portfolio!$BR$9:$BR$60, 'Concentration Limits'!E102, Portfolio!$V$9:$V$60)</f>
        <v>0</v>
      </c>
      <c r="G102" s="25">
        <f t="shared" si="3"/>
        <v>0</v>
      </c>
      <c r="H102" s="23" t="str">
        <f t="shared" si="4"/>
        <v/>
      </c>
    </row>
    <row r="103" spans="2:8" x14ac:dyDescent="0.4">
      <c r="B103" s="12"/>
      <c r="D103" s="44">
        <f t="shared" si="5"/>
        <v>23</v>
      </c>
      <c r="E103" s="45" t="s">
        <v>336</v>
      </c>
      <c r="F103" s="46">
        <f>SUMIF(Portfolio!$BR$9:$BR$60, 'Concentration Limits'!E103, Portfolio!$V$9:$V$60)</f>
        <v>0</v>
      </c>
      <c r="G103" s="25">
        <f t="shared" si="3"/>
        <v>0</v>
      </c>
      <c r="H103" s="23" t="str">
        <f t="shared" si="4"/>
        <v/>
      </c>
    </row>
    <row r="104" spans="2:8" x14ac:dyDescent="0.4">
      <c r="B104" s="12"/>
      <c r="D104" s="44">
        <f t="shared" si="5"/>
        <v>24</v>
      </c>
      <c r="E104" s="45" t="s">
        <v>337</v>
      </c>
      <c r="F104" s="46">
        <f>SUMIF(Portfolio!$BR$9:$BR$60, 'Concentration Limits'!E104, Portfolio!$V$9:$V$60)</f>
        <v>0</v>
      </c>
      <c r="G104" s="25">
        <f t="shared" si="3"/>
        <v>0</v>
      </c>
      <c r="H104" s="23" t="str">
        <f t="shared" si="4"/>
        <v/>
      </c>
    </row>
    <row r="105" spans="2:8" x14ac:dyDescent="0.4">
      <c r="B105" s="12"/>
      <c r="D105" s="44">
        <f t="shared" si="5"/>
        <v>25</v>
      </c>
      <c r="E105" s="45" t="s">
        <v>338</v>
      </c>
      <c r="F105" s="46">
        <f>SUMIF(Portfolio!$BR$9:$BR$60, 'Concentration Limits'!E105, Portfolio!$V$9:$V$60)</f>
        <v>0</v>
      </c>
      <c r="G105" s="25">
        <f t="shared" si="3"/>
        <v>0</v>
      </c>
      <c r="H105" s="23" t="str">
        <f t="shared" si="4"/>
        <v/>
      </c>
    </row>
    <row r="106" spans="2:8" x14ac:dyDescent="0.4">
      <c r="B106" s="12"/>
      <c r="D106" s="44">
        <f t="shared" si="5"/>
        <v>26</v>
      </c>
      <c r="E106" s="45" t="s">
        <v>339</v>
      </c>
      <c r="F106" s="46">
        <f>SUMIF(Portfolio!$BR$9:$BR$60, 'Concentration Limits'!E106, Portfolio!$V$9:$V$60)</f>
        <v>0</v>
      </c>
      <c r="G106" s="25">
        <f t="shared" si="3"/>
        <v>0</v>
      </c>
      <c r="H106" s="23" t="str">
        <f t="shared" si="4"/>
        <v/>
      </c>
    </row>
    <row r="107" spans="2:8" x14ac:dyDescent="0.4">
      <c r="B107" s="12"/>
      <c r="D107" s="44">
        <f t="shared" si="5"/>
        <v>27</v>
      </c>
      <c r="E107" s="45" t="s">
        <v>340</v>
      </c>
      <c r="F107" s="46">
        <f>SUMIF(Portfolio!$BR$9:$BR$60, 'Concentration Limits'!E107, Portfolio!$V$9:$V$60)</f>
        <v>0</v>
      </c>
      <c r="G107" s="25">
        <f t="shared" si="3"/>
        <v>0</v>
      </c>
      <c r="H107" s="23" t="str">
        <f t="shared" si="4"/>
        <v/>
      </c>
    </row>
    <row r="108" spans="2:8" x14ac:dyDescent="0.4">
      <c r="B108" s="12"/>
      <c r="D108" s="44">
        <f t="shared" si="5"/>
        <v>28</v>
      </c>
      <c r="E108" s="45" t="s">
        <v>341</v>
      </c>
      <c r="F108" s="46">
        <f>SUMIF(Portfolio!$BR$9:$BR$60, 'Concentration Limits'!E108, Portfolio!$V$9:$V$60)</f>
        <v>0</v>
      </c>
      <c r="G108" s="25">
        <f t="shared" si="3"/>
        <v>0</v>
      </c>
      <c r="H108" s="23" t="str">
        <f t="shared" si="4"/>
        <v/>
      </c>
    </row>
    <row r="109" spans="2:8" x14ac:dyDescent="0.4">
      <c r="B109" s="12"/>
      <c r="D109" s="44">
        <f t="shared" si="5"/>
        <v>29</v>
      </c>
      <c r="E109" s="45" t="s">
        <v>342</v>
      </c>
      <c r="F109" s="46">
        <f>SUMIF(Portfolio!$BR$9:$BR$60, 'Concentration Limits'!E109, Portfolio!$V$9:$V$60)</f>
        <v>6815322.9192201942</v>
      </c>
      <c r="G109" s="25">
        <f t="shared" si="3"/>
        <v>2.7668610044103956E-2</v>
      </c>
      <c r="H109" s="23">
        <f t="shared" si="4"/>
        <v>15</v>
      </c>
    </row>
    <row r="110" spans="2:8" x14ac:dyDescent="0.4">
      <c r="B110" s="12"/>
      <c r="D110" s="44">
        <f t="shared" si="5"/>
        <v>30</v>
      </c>
      <c r="E110" s="45" t="s">
        <v>343</v>
      </c>
      <c r="F110" s="46">
        <f>SUMIF(Portfolio!$BR$9:$BR$60, 'Concentration Limits'!E110, Portfolio!$V$9:$V$60)</f>
        <v>0</v>
      </c>
      <c r="G110" s="25">
        <f t="shared" si="3"/>
        <v>0</v>
      </c>
      <c r="H110" s="23" t="str">
        <f t="shared" si="4"/>
        <v/>
      </c>
    </row>
    <row r="111" spans="2:8" x14ac:dyDescent="0.4">
      <c r="B111" s="12"/>
      <c r="D111" s="44">
        <f t="shared" si="5"/>
        <v>31</v>
      </c>
      <c r="E111" s="45" t="s">
        <v>344</v>
      </c>
      <c r="F111" s="46">
        <f>SUMIF(Portfolio!$BR$9:$BR$60, 'Concentration Limits'!E111, Portfolio!$V$9:$V$60)</f>
        <v>0</v>
      </c>
      <c r="G111" s="25">
        <f t="shared" si="3"/>
        <v>0</v>
      </c>
      <c r="H111" s="23" t="str">
        <f t="shared" si="4"/>
        <v/>
      </c>
    </row>
    <row r="112" spans="2:8" x14ac:dyDescent="0.4">
      <c r="B112" s="12"/>
      <c r="D112" s="44">
        <f t="shared" si="5"/>
        <v>32</v>
      </c>
      <c r="E112" s="45" t="s">
        <v>345</v>
      </c>
      <c r="F112" s="46">
        <f>SUMIF(Portfolio!$BR$9:$BR$60, 'Concentration Limits'!E112, Portfolio!$V$9:$V$60)</f>
        <v>16096607.119937314</v>
      </c>
      <c r="G112" s="25">
        <f t="shared" si="3"/>
        <v>6.5348443604731202E-2</v>
      </c>
      <c r="H112" s="23">
        <f t="shared" si="4"/>
        <v>5</v>
      </c>
    </row>
    <row r="113" spans="2:8" x14ac:dyDescent="0.4">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4">
      <c r="B114" s="12"/>
      <c r="D114" s="44">
        <f t="shared" ref="D114:D145" si="8">D113+1</f>
        <v>34</v>
      </c>
      <c r="E114" s="45" t="s">
        <v>347</v>
      </c>
      <c r="F114" s="46">
        <f>SUMIF(Portfolio!$BR$9:$BR$60, 'Concentration Limits'!E114, Portfolio!$V$9:$V$60)</f>
        <v>8077912.1877550166</v>
      </c>
      <c r="G114" s="25">
        <f t="shared" si="6"/>
        <v>3.2794425875726736E-2</v>
      </c>
      <c r="H114" s="23">
        <f t="shared" si="7"/>
        <v>13</v>
      </c>
    </row>
    <row r="115" spans="2:8" x14ac:dyDescent="0.4">
      <c r="B115" s="12"/>
      <c r="D115" s="44">
        <f t="shared" si="8"/>
        <v>35</v>
      </c>
      <c r="E115" s="45" t="s">
        <v>348</v>
      </c>
      <c r="F115" s="46">
        <f>SUMIF(Portfolio!$BR$9:$BR$60, 'Concentration Limits'!E115, Portfolio!$V$9:$V$60)</f>
        <v>0</v>
      </c>
      <c r="G115" s="25">
        <f t="shared" si="6"/>
        <v>0</v>
      </c>
      <c r="H115" s="23" t="str">
        <f t="shared" si="7"/>
        <v/>
      </c>
    </row>
    <row r="116" spans="2:8" x14ac:dyDescent="0.4">
      <c r="B116" s="12"/>
      <c r="D116" s="44">
        <f t="shared" si="8"/>
        <v>36</v>
      </c>
      <c r="E116" s="45" t="s">
        <v>349</v>
      </c>
      <c r="F116" s="46">
        <f>SUMIF(Portfolio!$BR$9:$BR$60, 'Concentration Limits'!E116, Portfolio!$V$9:$V$60)</f>
        <v>12656117.589817706</v>
      </c>
      <c r="G116" s="25">
        <f t="shared" si="6"/>
        <v>5.1380864328151025E-2</v>
      </c>
      <c r="H116" s="23">
        <f t="shared" si="7"/>
        <v>10</v>
      </c>
    </row>
    <row r="117" spans="2:8" x14ac:dyDescent="0.4">
      <c r="B117" s="12"/>
      <c r="D117" s="44">
        <f t="shared" si="8"/>
        <v>37</v>
      </c>
      <c r="E117" s="45" t="s">
        <v>350</v>
      </c>
      <c r="F117" s="46">
        <f>SUMIF(Portfolio!$BR$9:$BR$60, 'Concentration Limits'!E117, Portfolio!$V$9:$V$60)</f>
        <v>0</v>
      </c>
      <c r="G117" s="25">
        <f t="shared" si="6"/>
        <v>0</v>
      </c>
      <c r="H117" s="23" t="str">
        <f t="shared" si="7"/>
        <v/>
      </c>
    </row>
    <row r="118" spans="2:8" x14ac:dyDescent="0.4">
      <c r="B118" s="12"/>
      <c r="D118" s="44">
        <f t="shared" si="8"/>
        <v>38</v>
      </c>
      <c r="E118" s="45" t="s">
        <v>351</v>
      </c>
      <c r="F118" s="46">
        <f>SUMIF(Portfolio!$BR$9:$BR$60, 'Concentration Limits'!E118, Portfolio!$V$9:$V$60)</f>
        <v>0</v>
      </c>
      <c r="G118" s="25">
        <f t="shared" si="6"/>
        <v>0</v>
      </c>
      <c r="H118" s="23" t="str">
        <f t="shared" si="7"/>
        <v/>
      </c>
    </row>
    <row r="119" spans="2:8" x14ac:dyDescent="0.4">
      <c r="B119" s="12"/>
      <c r="D119" s="44">
        <f t="shared" si="8"/>
        <v>39</v>
      </c>
      <c r="E119" s="45" t="s">
        <v>352</v>
      </c>
      <c r="F119" s="46">
        <f>SUMIF(Portfolio!$BR$9:$BR$60, 'Concentration Limits'!E119, Portfolio!$V$9:$V$60)</f>
        <v>0</v>
      </c>
      <c r="G119" s="25">
        <f t="shared" si="6"/>
        <v>0</v>
      </c>
      <c r="H119" s="23" t="str">
        <f t="shared" si="7"/>
        <v/>
      </c>
    </row>
    <row r="120" spans="2:8" x14ac:dyDescent="0.4">
      <c r="B120" s="12"/>
      <c r="D120" s="44">
        <f t="shared" si="8"/>
        <v>40</v>
      </c>
      <c r="E120" s="45" t="s">
        <v>353</v>
      </c>
      <c r="F120" s="46">
        <f>SUMIF(Portfolio!$BR$9:$BR$60, 'Concentration Limits'!E120, Portfolio!$V$9:$V$60)</f>
        <v>0</v>
      </c>
      <c r="G120" s="25">
        <f t="shared" si="6"/>
        <v>0</v>
      </c>
      <c r="H120" s="23" t="str">
        <f t="shared" si="7"/>
        <v/>
      </c>
    </row>
    <row r="121" spans="2:8" x14ac:dyDescent="0.4">
      <c r="B121" s="12"/>
      <c r="D121" s="44">
        <f t="shared" si="8"/>
        <v>41</v>
      </c>
      <c r="E121" s="45" t="s">
        <v>354</v>
      </c>
      <c r="F121" s="46">
        <f>SUMIF(Portfolio!$BR$9:$BR$60, 'Concentration Limits'!E121, Portfolio!$V$9:$V$60)</f>
        <v>0</v>
      </c>
      <c r="G121" s="25">
        <f t="shared" si="6"/>
        <v>0</v>
      </c>
      <c r="H121" s="23" t="str">
        <f t="shared" si="7"/>
        <v/>
      </c>
    </row>
    <row r="122" spans="2:8" x14ac:dyDescent="0.4">
      <c r="B122" s="12"/>
      <c r="D122" s="44">
        <f t="shared" si="8"/>
        <v>42</v>
      </c>
      <c r="E122" s="2" t="s">
        <v>355</v>
      </c>
      <c r="F122" s="46">
        <f>SUMIF(Portfolio!$BR$9:$BR$60, 'Concentration Limits'!E122, Portfolio!$V$9:$V$60)</f>
        <v>0</v>
      </c>
      <c r="G122" s="25">
        <f t="shared" si="6"/>
        <v>0</v>
      </c>
      <c r="H122" s="23" t="str">
        <f t="shared" si="7"/>
        <v/>
      </c>
    </row>
    <row r="123" spans="2:8" x14ac:dyDescent="0.4">
      <c r="B123" s="12"/>
      <c r="D123" s="44">
        <f t="shared" si="8"/>
        <v>43</v>
      </c>
      <c r="E123" s="2" t="s">
        <v>356</v>
      </c>
      <c r="F123" s="46">
        <f>SUMIF(Portfolio!$BR$9:$BR$60, 'Concentration Limits'!E123, Portfolio!$V$9:$V$60)</f>
        <v>14364237.751482427</v>
      </c>
      <c r="G123" s="25">
        <f t="shared" si="6"/>
        <v>5.831543092488399E-2</v>
      </c>
      <c r="H123" s="23">
        <f t="shared" si="7"/>
        <v>6</v>
      </c>
    </row>
    <row r="124" spans="2:8" x14ac:dyDescent="0.4">
      <c r="B124" s="12"/>
      <c r="D124" s="44">
        <f t="shared" si="8"/>
        <v>44</v>
      </c>
      <c r="E124" s="2" t="s">
        <v>357</v>
      </c>
      <c r="F124" s="46">
        <f>SUMIF(Portfolio!$BR$9:$BR$60, 'Concentration Limits'!E124, Portfolio!$V$9:$V$60)</f>
        <v>0</v>
      </c>
      <c r="G124" s="25">
        <f t="shared" si="6"/>
        <v>0</v>
      </c>
      <c r="H124" s="23" t="str">
        <f t="shared" si="7"/>
        <v/>
      </c>
    </row>
    <row r="125" spans="2:8" x14ac:dyDescent="0.4">
      <c r="B125" s="12"/>
      <c r="D125" s="44">
        <f t="shared" si="8"/>
        <v>45</v>
      </c>
      <c r="E125" s="2" t="s">
        <v>358</v>
      </c>
      <c r="F125" s="46">
        <f>SUMIF(Portfolio!$BR$9:$BR$60, 'Concentration Limits'!E125, Portfolio!$V$9:$V$60)</f>
        <v>0</v>
      </c>
      <c r="G125" s="25">
        <f t="shared" si="6"/>
        <v>0</v>
      </c>
      <c r="H125" s="23" t="str">
        <f t="shared" si="7"/>
        <v/>
      </c>
    </row>
    <row r="126" spans="2:8" x14ac:dyDescent="0.4">
      <c r="B126" s="12"/>
      <c r="D126" s="44">
        <f t="shared" si="8"/>
        <v>46</v>
      </c>
      <c r="E126" s="2" t="s">
        <v>359</v>
      </c>
      <c r="F126" s="46">
        <f>SUMIF(Portfolio!$BR$9:$BR$60, 'Concentration Limits'!E126, Portfolio!$V$9:$V$60)</f>
        <v>0</v>
      </c>
      <c r="G126" s="25">
        <f t="shared" si="6"/>
        <v>0</v>
      </c>
      <c r="H126" s="23" t="str">
        <f t="shared" si="7"/>
        <v/>
      </c>
    </row>
    <row r="127" spans="2:8" x14ac:dyDescent="0.4">
      <c r="B127" s="12"/>
      <c r="D127" s="44">
        <f t="shared" si="8"/>
        <v>47</v>
      </c>
      <c r="E127" s="2" t="s">
        <v>360</v>
      </c>
      <c r="F127" s="46">
        <f>SUMIF(Portfolio!$BR$9:$BR$60, 'Concentration Limits'!E127, Portfolio!$V$9:$V$60)</f>
        <v>0</v>
      </c>
      <c r="G127" s="25">
        <f t="shared" si="6"/>
        <v>0</v>
      </c>
      <c r="H127" s="23" t="str">
        <f t="shared" si="7"/>
        <v/>
      </c>
    </row>
    <row r="128" spans="2:8" x14ac:dyDescent="0.4">
      <c r="B128" s="12"/>
      <c r="D128" s="44">
        <f t="shared" si="8"/>
        <v>48</v>
      </c>
      <c r="E128" s="2" t="s">
        <v>361</v>
      </c>
      <c r="F128" s="46">
        <f>SUMIF(Portfolio!$BR$9:$BR$60, 'Concentration Limits'!E128, Portfolio!$V$9:$V$60)</f>
        <v>13656662.095759427</v>
      </c>
      <c r="G128" s="25">
        <f t="shared" si="6"/>
        <v>5.5442839981366246E-2</v>
      </c>
      <c r="H128" s="23">
        <f t="shared" si="7"/>
        <v>7</v>
      </c>
    </row>
    <row r="129" spans="2:8" x14ac:dyDescent="0.4">
      <c r="B129" s="12"/>
      <c r="D129" s="44">
        <f t="shared" si="8"/>
        <v>49</v>
      </c>
      <c r="E129" s="2" t="s">
        <v>362</v>
      </c>
      <c r="F129" s="46">
        <f>SUMIF(Portfolio!$BR$9:$BR$60, 'Concentration Limits'!E129, Portfolio!$V$9:$V$60)</f>
        <v>0</v>
      </c>
      <c r="G129" s="25">
        <f t="shared" si="6"/>
        <v>0</v>
      </c>
      <c r="H129" s="23" t="str">
        <f t="shared" si="7"/>
        <v/>
      </c>
    </row>
    <row r="130" spans="2:8" x14ac:dyDescent="0.4">
      <c r="B130" s="12"/>
      <c r="D130" s="44">
        <f t="shared" si="8"/>
        <v>50</v>
      </c>
      <c r="E130" s="2" t="s">
        <v>363</v>
      </c>
      <c r="F130" s="46">
        <f>SUMIF(Portfolio!$BR$9:$BR$60, 'Concentration Limits'!E130, Portfolio!$V$9:$V$60)</f>
        <v>0</v>
      </c>
      <c r="G130" s="25">
        <f t="shared" si="6"/>
        <v>0</v>
      </c>
      <c r="H130" s="23" t="str">
        <f t="shared" si="7"/>
        <v/>
      </c>
    </row>
    <row r="131" spans="2:8" x14ac:dyDescent="0.4">
      <c r="B131" s="12"/>
      <c r="D131" s="44">
        <f t="shared" si="8"/>
        <v>51</v>
      </c>
      <c r="E131" s="2" t="s">
        <v>364</v>
      </c>
      <c r="F131" s="46">
        <f>SUMIF(Portfolio!$BR$9:$BR$60, 'Concentration Limits'!E131, Portfolio!$V$9:$V$60)</f>
        <v>0</v>
      </c>
      <c r="G131" s="25">
        <f t="shared" si="6"/>
        <v>0</v>
      </c>
      <c r="H131" s="23" t="str">
        <f t="shared" si="7"/>
        <v/>
      </c>
    </row>
    <row r="132" spans="2:8" x14ac:dyDescent="0.4">
      <c r="B132" s="12"/>
      <c r="D132" s="44">
        <f t="shared" si="8"/>
        <v>52</v>
      </c>
      <c r="E132" s="2" t="s">
        <v>365</v>
      </c>
      <c r="F132" s="46">
        <f>SUMIF(Portfolio!$BR$9:$BR$60, 'Concentration Limits'!E132, Portfolio!$V$9:$V$60)</f>
        <v>0</v>
      </c>
      <c r="G132" s="25">
        <f t="shared" si="6"/>
        <v>0</v>
      </c>
      <c r="H132" s="23" t="str">
        <f t="shared" si="7"/>
        <v/>
      </c>
    </row>
    <row r="133" spans="2:8" x14ac:dyDescent="0.4">
      <c r="B133" s="12"/>
      <c r="D133" s="44">
        <f t="shared" si="8"/>
        <v>53</v>
      </c>
      <c r="E133" s="2" t="s">
        <v>366</v>
      </c>
      <c r="F133" s="46">
        <f>SUMIF(Portfolio!$BR$9:$BR$60, 'Concentration Limits'!E133, Portfolio!$V$9:$V$60)</f>
        <v>0</v>
      </c>
      <c r="G133" s="25">
        <f t="shared" si="6"/>
        <v>0</v>
      </c>
      <c r="H133" s="23" t="str">
        <f t="shared" si="7"/>
        <v/>
      </c>
    </row>
    <row r="134" spans="2:8" x14ac:dyDescent="0.4">
      <c r="B134" s="12"/>
      <c r="D134" s="44">
        <f t="shared" si="8"/>
        <v>54</v>
      </c>
      <c r="E134" s="2" t="s">
        <v>367</v>
      </c>
      <c r="F134" s="46">
        <f>SUMIF(Portfolio!$BR$9:$BR$60, 'Concentration Limits'!E134, Portfolio!$V$9:$V$60)</f>
        <v>0</v>
      </c>
      <c r="G134" s="25">
        <f t="shared" si="6"/>
        <v>0</v>
      </c>
      <c r="H134" s="23" t="str">
        <f t="shared" si="7"/>
        <v/>
      </c>
    </row>
    <row r="135" spans="2:8" x14ac:dyDescent="0.4">
      <c r="B135" s="12"/>
      <c r="D135" s="44">
        <f t="shared" si="8"/>
        <v>55</v>
      </c>
      <c r="E135" s="2" t="s">
        <v>368</v>
      </c>
      <c r="F135" s="46">
        <f>SUMIF(Portfolio!$BR$9:$BR$60, 'Concentration Limits'!E135, Portfolio!$V$9:$V$60)</f>
        <v>4121303.4157976536</v>
      </c>
      <c r="G135" s="25">
        <f t="shared" si="6"/>
        <v>1.6731523720403003E-2</v>
      </c>
      <c r="H135" s="23">
        <f t="shared" si="7"/>
        <v>16</v>
      </c>
    </row>
    <row r="136" spans="2:8" x14ac:dyDescent="0.4">
      <c r="B136" s="12"/>
      <c r="D136" s="44">
        <f t="shared" si="8"/>
        <v>56</v>
      </c>
      <c r="E136" s="2" t="s">
        <v>369</v>
      </c>
      <c r="F136" s="46">
        <f>SUMIF(Portfolio!$BR$9:$BR$60, 'Concentration Limits'!E136, Portfolio!$V$9:$V$60)</f>
        <v>0</v>
      </c>
      <c r="G136" s="25">
        <f t="shared" si="6"/>
        <v>0</v>
      </c>
      <c r="H136" s="23" t="str">
        <f t="shared" si="7"/>
        <v/>
      </c>
    </row>
    <row r="137" spans="2:8" x14ac:dyDescent="0.4">
      <c r="B137" s="12"/>
      <c r="D137" s="44">
        <f t="shared" si="8"/>
        <v>57</v>
      </c>
      <c r="E137" s="2" t="s">
        <v>370</v>
      </c>
      <c r="F137" s="46">
        <f>SUMIF(Portfolio!$BR$9:$BR$60, 'Concentration Limits'!E137, Portfolio!$V$9:$V$60)</f>
        <v>24394399.03040082</v>
      </c>
      <c r="G137" s="25">
        <f t="shared" si="6"/>
        <v>9.9035529502049843E-2</v>
      </c>
      <c r="H137" s="23">
        <f t="shared" si="7"/>
        <v>2</v>
      </c>
    </row>
    <row r="138" spans="2:8" x14ac:dyDescent="0.4">
      <c r="B138" s="12"/>
      <c r="D138" s="44">
        <f t="shared" si="8"/>
        <v>58</v>
      </c>
      <c r="E138" s="2" t="s">
        <v>371</v>
      </c>
      <c r="F138" s="46">
        <f>SUMIF(Portfolio!$BR$9:$BR$60, 'Concentration Limits'!E138, Portfolio!$V$9:$V$60)</f>
        <v>0</v>
      </c>
      <c r="G138" s="25">
        <f t="shared" si="6"/>
        <v>0</v>
      </c>
      <c r="H138" s="23" t="str">
        <f t="shared" si="7"/>
        <v/>
      </c>
    </row>
    <row r="139" spans="2:8" x14ac:dyDescent="0.4">
      <c r="B139" s="12"/>
      <c r="D139" s="44">
        <f t="shared" si="8"/>
        <v>59</v>
      </c>
      <c r="E139" s="2" t="s">
        <v>372</v>
      </c>
      <c r="F139" s="46">
        <f>SUMIF(Portfolio!$BR$9:$BR$60, 'Concentration Limits'!E139, Portfolio!$V$9:$V$60)</f>
        <v>0</v>
      </c>
      <c r="G139" s="25">
        <f t="shared" si="6"/>
        <v>0</v>
      </c>
      <c r="H139" s="23" t="str">
        <f t="shared" si="7"/>
        <v/>
      </c>
    </row>
    <row r="140" spans="2:8" x14ac:dyDescent="0.4">
      <c r="B140" s="12"/>
      <c r="D140" s="44">
        <f t="shared" si="8"/>
        <v>60</v>
      </c>
      <c r="E140" s="2" t="s">
        <v>373</v>
      </c>
      <c r="F140" s="46">
        <f>SUMIF(Portfolio!$BR$9:$BR$60, 'Concentration Limits'!E140, Portfolio!$V$9:$V$60)</f>
        <v>0</v>
      </c>
      <c r="G140" s="25">
        <f t="shared" si="6"/>
        <v>0</v>
      </c>
      <c r="H140" s="23" t="str">
        <f t="shared" si="7"/>
        <v/>
      </c>
    </row>
    <row r="141" spans="2:8" x14ac:dyDescent="0.4">
      <c r="B141" s="12"/>
      <c r="D141" s="44">
        <f t="shared" si="8"/>
        <v>61</v>
      </c>
      <c r="E141" s="2" t="s">
        <v>374</v>
      </c>
      <c r="F141" s="46">
        <f>SUMIF(Portfolio!$BR$9:$BR$60, 'Concentration Limits'!E141, Portfolio!$V$9:$V$60)</f>
        <v>0</v>
      </c>
      <c r="G141" s="25">
        <f t="shared" si="6"/>
        <v>0</v>
      </c>
      <c r="H141" s="23" t="str">
        <f t="shared" si="7"/>
        <v/>
      </c>
    </row>
    <row r="142" spans="2:8" x14ac:dyDescent="0.4">
      <c r="B142" s="12"/>
      <c r="D142" s="44">
        <f t="shared" si="8"/>
        <v>62</v>
      </c>
      <c r="E142" s="2" t="s">
        <v>375</v>
      </c>
      <c r="F142" s="46">
        <f>SUMIF(Portfolio!$BR$9:$BR$60, 'Concentration Limits'!E142, Portfolio!$V$9:$V$60)</f>
        <v>0</v>
      </c>
      <c r="G142" s="25">
        <f t="shared" si="6"/>
        <v>0</v>
      </c>
      <c r="H142" s="23" t="str">
        <f t="shared" si="7"/>
        <v/>
      </c>
    </row>
    <row r="143" spans="2:8" x14ac:dyDescent="0.4">
      <c r="B143" s="12"/>
      <c r="D143" s="44">
        <f t="shared" si="8"/>
        <v>63</v>
      </c>
      <c r="E143" s="2" t="s">
        <v>376</v>
      </c>
      <c r="F143" s="46">
        <f>SUMIF(Portfolio!$BR$9:$BR$60, 'Concentration Limits'!E143, Portfolio!$V$9:$V$60)</f>
        <v>0</v>
      </c>
      <c r="G143" s="25">
        <f t="shared" si="6"/>
        <v>0</v>
      </c>
      <c r="H143" s="23" t="str">
        <f t="shared" si="7"/>
        <v/>
      </c>
    </row>
    <row r="144" spans="2:8" x14ac:dyDescent="0.4">
      <c r="B144" s="12"/>
      <c r="D144" s="44">
        <f t="shared" si="8"/>
        <v>64</v>
      </c>
      <c r="E144" s="2" t="s">
        <v>377</v>
      </c>
      <c r="F144" s="46">
        <f>SUMIF(Portfolio!$BR$9:$BR$60, 'Concentration Limits'!E144, Portfolio!$V$9:$V$60)</f>
        <v>0</v>
      </c>
      <c r="G144" s="25">
        <f t="shared" si="6"/>
        <v>0</v>
      </c>
      <c r="H144" s="23" t="str">
        <f t="shared" si="7"/>
        <v/>
      </c>
    </row>
    <row r="145" spans="2:13" x14ac:dyDescent="0.4">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4">
      <c r="B146" s="12"/>
      <c r="D146" s="44">
        <f t="shared" ref="D146:D153" si="11">D145+1</f>
        <v>66</v>
      </c>
      <c r="E146" s="2" t="s">
        <v>379</v>
      </c>
      <c r="F146" s="46">
        <f>SUMIF(Portfolio!$BR$9:$BR$60, 'Concentration Limits'!E146, Portfolio!$V$9:$V$60)</f>
        <v>10331560.995420478</v>
      </c>
      <c r="G146" s="25">
        <f t="shared" si="9"/>
        <v>4.1943710623453728E-2</v>
      </c>
      <c r="H146" s="23">
        <f t="shared" si="10"/>
        <v>12</v>
      </c>
    </row>
    <row r="147" spans="2:13" x14ac:dyDescent="0.4">
      <c r="B147" s="12"/>
      <c r="D147" s="44">
        <f t="shared" si="11"/>
        <v>67</v>
      </c>
      <c r="E147" s="2" t="s">
        <v>380</v>
      </c>
      <c r="F147" s="46">
        <f>SUMIF(Portfolio!$BR$9:$BR$60, 'Concentration Limits'!E147, Portfolio!$V$9:$V$60)</f>
        <v>7992480.5747497557</v>
      </c>
      <c r="G147" s="25">
        <f t="shared" si="9"/>
        <v>3.2447593595921601E-2</v>
      </c>
      <c r="H147" s="23">
        <f t="shared" si="10"/>
        <v>14</v>
      </c>
    </row>
    <row r="148" spans="2:13" x14ac:dyDescent="0.4">
      <c r="B148" s="12"/>
      <c r="D148" s="44">
        <f t="shared" si="11"/>
        <v>68</v>
      </c>
      <c r="E148" s="2" t="s">
        <v>381</v>
      </c>
      <c r="F148" s="46">
        <f>SUMIF(Portfolio!$BR$9:$BR$60, 'Concentration Limits'!E148, Portfolio!$V$9:$V$60)</f>
        <v>0</v>
      </c>
      <c r="G148" s="25">
        <f t="shared" si="9"/>
        <v>0</v>
      </c>
      <c r="H148" s="23" t="str">
        <f t="shared" si="10"/>
        <v/>
      </c>
    </row>
    <row r="149" spans="2:13" x14ac:dyDescent="0.4">
      <c r="B149" s="12"/>
      <c r="D149" s="44">
        <f t="shared" si="11"/>
        <v>69</v>
      </c>
      <c r="E149" s="2" t="s">
        <v>382</v>
      </c>
      <c r="F149" s="46">
        <f>SUMIF(Portfolio!$BR$9:$BR$60, 'Concentration Limits'!E149, Portfolio!$V$9:$V$60)</f>
        <v>0</v>
      </c>
      <c r="G149" s="25">
        <f t="shared" si="9"/>
        <v>0</v>
      </c>
      <c r="H149" s="23" t="str">
        <f t="shared" si="10"/>
        <v/>
      </c>
    </row>
    <row r="150" spans="2:13" x14ac:dyDescent="0.4">
      <c r="B150" s="12"/>
      <c r="D150" s="44">
        <f t="shared" si="11"/>
        <v>70</v>
      </c>
      <c r="E150" s="2" t="s">
        <v>383</v>
      </c>
      <c r="F150" s="46">
        <f>SUMIF(Portfolio!$BR$9:$BR$60, 'Concentration Limits'!E150, Portfolio!$V$9:$V$60)</f>
        <v>22404509.370220263</v>
      </c>
      <c r="G150" s="25">
        <f t="shared" si="9"/>
        <v>9.0957044932659839E-2</v>
      </c>
      <c r="H150" s="23">
        <f t="shared" si="10"/>
        <v>3</v>
      </c>
    </row>
    <row r="151" spans="2:13" x14ac:dyDescent="0.4">
      <c r="B151" s="12"/>
      <c r="D151" s="44">
        <f t="shared" si="11"/>
        <v>71</v>
      </c>
      <c r="E151" s="2" t="s">
        <v>325</v>
      </c>
      <c r="F151" s="46">
        <f>SUMIF(Portfolio!$BR$9:$BR$60, 'Concentration Limits'!E151, Portfolio!$V$9:$V$60)</f>
        <v>13322967.211468514</v>
      </c>
      <c r="G151" s="25">
        <f t="shared" si="9"/>
        <v>5.4088117140410369E-2</v>
      </c>
      <c r="H151" s="23">
        <f t="shared" si="10"/>
        <v>8</v>
      </c>
    </row>
    <row r="152" spans="2:13" x14ac:dyDescent="0.4">
      <c r="B152" s="12"/>
      <c r="D152" s="44">
        <f t="shared" si="11"/>
        <v>72</v>
      </c>
      <c r="E152" s="2" t="s">
        <v>384</v>
      </c>
      <c r="F152" s="46">
        <f>SUMIF(Portfolio!$BR$9:$BR$60, 'Concentration Limits'!E152, Portfolio!$V$9:$V$60)</f>
        <v>0</v>
      </c>
      <c r="G152" s="25">
        <f t="shared" si="9"/>
        <v>0</v>
      </c>
      <c r="H152" s="23" t="str">
        <f t="shared" si="10"/>
        <v/>
      </c>
    </row>
    <row r="153" spans="2:13" x14ac:dyDescent="0.4">
      <c r="B153" s="12"/>
      <c r="D153" s="44">
        <f t="shared" si="11"/>
        <v>73</v>
      </c>
      <c r="E153" s="2" t="s">
        <v>385</v>
      </c>
      <c r="F153" s="46">
        <f>SUMIF(Portfolio!$BR$9:$BR$60, 'Concentration Limits'!E153, Portfolio!$V$9:$V$60)</f>
        <v>0</v>
      </c>
      <c r="G153" s="25">
        <f t="shared" si="9"/>
        <v>0</v>
      </c>
      <c r="H153" s="23" t="str">
        <f t="shared" si="10"/>
        <v/>
      </c>
    </row>
    <row r="154" spans="2:13" x14ac:dyDescent="0.4">
      <c r="B154" s="12"/>
      <c r="D154" s="44"/>
      <c r="F154" s="46"/>
      <c r="G154" s="25"/>
      <c r="H154" s="23"/>
    </row>
    <row r="155" spans="2:13" x14ac:dyDescent="0.4">
      <c r="B155" s="12"/>
      <c r="D155" s="44"/>
      <c r="F155" s="46"/>
      <c r="G155" s="25"/>
      <c r="H155" s="23"/>
    </row>
    <row r="156" spans="2:13" x14ac:dyDescent="0.4">
      <c r="B156" s="12"/>
      <c r="D156" s="44"/>
      <c r="F156" s="46"/>
      <c r="G156" s="25"/>
      <c r="H156" s="23"/>
    </row>
    <row r="157" spans="2:13" x14ac:dyDescent="0.4">
      <c r="D157" s="44"/>
      <c r="E157" s="862" t="s">
        <v>42</v>
      </c>
      <c r="F157" s="863">
        <f>SUM(F81:F153)</f>
        <v>246319670.86010182</v>
      </c>
      <c r="G157" s="860">
        <f>SUM(G81:G153)</f>
        <v>1</v>
      </c>
      <c r="H157" s="863"/>
    </row>
    <row r="160" spans="2:13" x14ac:dyDescent="0.4">
      <c r="C160" s="525" t="s">
        <v>386</v>
      </c>
      <c r="D160" s="525"/>
      <c r="E160" s="525"/>
      <c r="F160" s="525"/>
      <c r="G160" s="525"/>
      <c r="H160" s="525"/>
      <c r="I160" s="525"/>
      <c r="J160" s="525"/>
      <c r="K160" s="525"/>
      <c r="L160" s="525"/>
      <c r="M160" s="525"/>
    </row>
    <row r="162" spans="3:13" x14ac:dyDescent="0.4">
      <c r="D162" s="47" t="s">
        <v>94</v>
      </c>
      <c r="E162" s="19" t="s">
        <v>387</v>
      </c>
      <c r="F162" s="19" t="s">
        <v>388</v>
      </c>
      <c r="G162" s="19" t="s">
        <v>122</v>
      </c>
    </row>
    <row r="163" spans="3:13" x14ac:dyDescent="0.4">
      <c r="D163" s="2" t="s">
        <v>389</v>
      </c>
      <c r="E163" s="189">
        <f>AGENT!B49</f>
        <v>3.25</v>
      </c>
      <c r="F163" s="189">
        <f>AGENT!C49</f>
        <v>3.75</v>
      </c>
      <c r="G163" s="40">
        <f>AGENT!D49</f>
        <v>1</v>
      </c>
    </row>
    <row r="164" spans="3:13" x14ac:dyDescent="0.4">
      <c r="D164" s="2" t="s">
        <v>390</v>
      </c>
      <c r="E164" s="189">
        <f>AGENT!B50</f>
        <v>4</v>
      </c>
      <c r="F164" s="189">
        <f>AGENT!C50</f>
        <v>4.25</v>
      </c>
      <c r="G164" s="40">
        <f>AGENT!D50</f>
        <v>0.92500000000000004</v>
      </c>
    </row>
    <row r="165" spans="3:13" x14ac:dyDescent="0.4">
      <c r="D165" s="2" t="s">
        <v>391</v>
      </c>
      <c r="E165" s="189">
        <f>AGENT!B51</f>
        <v>5</v>
      </c>
      <c r="F165" s="189">
        <f>AGENT!C51</f>
        <v>5</v>
      </c>
      <c r="G165" s="40">
        <f>AGENT!D51</f>
        <v>0.85</v>
      </c>
    </row>
    <row r="166" spans="3:13" x14ac:dyDescent="0.4">
      <c r="G166" s="143"/>
    </row>
    <row r="172" spans="3:13" hidden="1" outlineLevel="1" x14ac:dyDescent="0.4">
      <c r="C172" s="57"/>
      <c r="D172" s="57"/>
      <c r="E172" s="57"/>
      <c r="F172" s="57"/>
      <c r="G172" s="57"/>
      <c r="H172" s="57"/>
      <c r="I172" s="57"/>
      <c r="J172" s="57"/>
      <c r="K172" s="57"/>
      <c r="L172" s="57"/>
      <c r="M172" s="57"/>
    </row>
    <row r="173" spans="3:13" hidden="1" outlineLevel="1" x14ac:dyDescent="0.4">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4">
      <c r="C174" s="57"/>
      <c r="D174" s="57"/>
      <c r="E174" s="57"/>
      <c r="F174" s="57"/>
      <c r="G174" s="59" t="str">
        <f>IF(AND(G34&lt;11,G38&gt;G35),"Yes","No")</f>
        <v>No</v>
      </c>
      <c r="H174" s="57"/>
      <c r="I174" s="57"/>
      <c r="J174" s="57"/>
      <c r="K174" s="57"/>
      <c r="L174" s="57"/>
      <c r="M174" s="57"/>
    </row>
    <row r="175" spans="3:13" hidden="1" outlineLevel="1" x14ac:dyDescent="0.4">
      <c r="C175" s="57"/>
      <c r="D175" s="57"/>
      <c r="E175" s="57"/>
      <c r="F175" s="57"/>
      <c r="G175" s="60">
        <f>IF(AND(G174="Yes",G173&gt;0.5),G35,G173)</f>
        <v>0</v>
      </c>
      <c r="H175" s="57"/>
      <c r="I175" s="57"/>
      <c r="J175" s="57"/>
      <c r="K175" s="57"/>
      <c r="L175" s="57"/>
      <c r="M175" s="57"/>
    </row>
    <row r="176" spans="3:13" hidden="1" outlineLevel="1" x14ac:dyDescent="0.4">
      <c r="C176" s="57"/>
      <c r="D176" s="57"/>
      <c r="E176" s="57"/>
      <c r="F176" s="57"/>
      <c r="G176" s="60"/>
      <c r="H176" s="57"/>
      <c r="I176" s="57"/>
      <c r="J176" s="57"/>
      <c r="K176" s="57"/>
      <c r="L176" s="57"/>
      <c r="M176" s="57"/>
    </row>
    <row r="177" spans="3:13" hidden="1" outlineLevel="1" x14ac:dyDescent="0.4">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4">
      <c r="C178" s="57"/>
      <c r="D178" s="57"/>
      <c r="E178" s="57"/>
      <c r="F178" s="57"/>
      <c r="G178" s="57"/>
      <c r="H178" s="57"/>
      <c r="I178" s="57"/>
      <c r="J178" s="57"/>
      <c r="K178" s="57"/>
      <c r="L178" s="57"/>
      <c r="M178" s="57"/>
    </row>
    <row r="179" spans="3:13" hidden="1" outlineLevel="1" x14ac:dyDescent="0.4">
      <c r="C179" s="57"/>
      <c r="D179" s="57"/>
      <c r="E179" s="57"/>
      <c r="F179" s="57"/>
      <c r="G179" s="57"/>
      <c r="H179" s="57"/>
      <c r="I179" s="57"/>
      <c r="J179" s="57"/>
      <c r="K179" s="57"/>
      <c r="L179" s="57"/>
      <c r="M179" s="57"/>
    </row>
    <row r="180" spans="3:13" hidden="1" outlineLevel="1" x14ac:dyDescent="0.4">
      <c r="C180" s="57"/>
      <c r="D180" s="57"/>
      <c r="E180" s="57"/>
      <c r="F180" s="57"/>
      <c r="G180" s="57"/>
      <c r="H180" s="57"/>
      <c r="I180" s="57"/>
      <c r="J180" s="57"/>
      <c r="K180" s="57"/>
      <c r="L180" s="57"/>
      <c r="M180" s="57"/>
    </row>
    <row r="181" spans="3:13" hidden="1" outlineLevel="1" x14ac:dyDescent="0.4">
      <c r="C181" s="4" t="s">
        <v>392</v>
      </c>
      <c r="D181" s="4"/>
      <c r="E181" s="4"/>
      <c r="F181" s="4"/>
      <c r="G181" s="4"/>
      <c r="H181" s="4"/>
      <c r="I181" s="4"/>
      <c r="J181" s="4"/>
      <c r="K181" s="4"/>
      <c r="L181" s="4"/>
      <c r="M181" s="4"/>
    </row>
    <row r="182" spans="3:13" hidden="1" outlineLevel="1" x14ac:dyDescent="0.4">
      <c r="C182" s="2" t="s">
        <v>393</v>
      </c>
    </row>
    <row r="183" spans="3:13" collapsed="1" x14ac:dyDescent="0.4"/>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65625" defaultRowHeight="14.25" x14ac:dyDescent="0.45"/>
  <cols>
    <col min="2" max="2" width="1.265625" customWidth="1"/>
    <col min="3" max="3" width="16.265625" bestFit="1" customWidth="1"/>
    <col min="4" max="4" width="35.59765625" customWidth="1"/>
    <col min="5" max="5" width="11.59765625" bestFit="1" customWidth="1"/>
    <col min="6" max="6" width="12.265625" bestFit="1" customWidth="1"/>
    <col min="7" max="7" width="79.265625" bestFit="1" customWidth="1"/>
    <col min="8" max="8" width="24.59765625" bestFit="1" customWidth="1"/>
    <col min="9" max="9" width="16.265625" bestFit="1" customWidth="1"/>
    <col min="10" max="10" width="13.59765625" customWidth="1"/>
    <col min="11" max="11" width="15.59765625" bestFit="1" customWidth="1"/>
    <col min="12" max="12" width="14.265625" bestFit="1" customWidth="1"/>
    <col min="13" max="13" width="14.265625" customWidth="1"/>
    <col min="14" max="14" width="14.265625" bestFit="1" customWidth="1"/>
    <col min="15" max="15" width="12.59765625" bestFit="1" customWidth="1"/>
    <col min="16" max="16" width="14.265625" bestFit="1" customWidth="1"/>
    <col min="17" max="17" width="9.265625" bestFit="1" customWidth="1"/>
    <col min="18" max="19" width="8.265625" bestFit="1" customWidth="1"/>
    <col min="20" max="20" width="7.265625" bestFit="1" customWidth="1"/>
    <col min="21" max="21" width="8.265625" bestFit="1" customWidth="1"/>
    <col min="22" max="22" width="16.265625" bestFit="1" customWidth="1"/>
    <col min="23" max="23" width="11.59765625" bestFit="1" customWidth="1"/>
    <col min="24" max="24" width="9.59765625" bestFit="1" customWidth="1"/>
    <col min="25" max="26" width="12.265625" bestFit="1" customWidth="1"/>
    <col min="27" max="27" width="10" bestFit="1" customWidth="1"/>
    <col min="28" max="28" width="9.59765625" bestFit="1" customWidth="1" collapsed="1"/>
    <col min="29" max="29" width="12.59765625" bestFit="1" customWidth="1"/>
    <col min="30" max="30" width="13.59765625" bestFit="1" customWidth="1"/>
    <col min="31" max="31" width="16.265625" customWidth="1"/>
    <col min="32" max="32" width="11.265625" customWidth="1"/>
    <col min="33" max="33" width="13.265625" bestFit="1" customWidth="1"/>
    <col min="34" max="34" width="19.265625" bestFit="1" customWidth="1"/>
    <col min="35" max="35" width="22.59765625" bestFit="1" customWidth="1"/>
    <col min="36" max="36" width="16.59765625" bestFit="1" customWidth="1"/>
  </cols>
  <sheetData>
    <row r="1" spans="2:36" ht="23.25" customHeight="1" x14ac:dyDescent="0.7">
      <c r="B1" s="65" t="s">
        <v>394</v>
      </c>
      <c r="C1" s="66"/>
      <c r="D1" s="66"/>
      <c r="E1" s="66"/>
    </row>
    <row r="3" spans="2:36" x14ac:dyDescent="0.45">
      <c r="B3" s="67" t="s">
        <v>395</v>
      </c>
      <c r="C3" s="68"/>
      <c r="D3" s="68"/>
      <c r="E3" s="68"/>
    </row>
    <row r="4" spans="2:36" ht="21" customHeight="1" x14ac:dyDescent="0.8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8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8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8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5">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5">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5">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5">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5">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5">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5">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5">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5">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5">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5">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5">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5">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5">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5">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5">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55000000000000004">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45"/>
    <row r="26" spans="1:36" s="103" customFormat="1" ht="53.25" customHeight="1" x14ac:dyDescent="0.5">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55000000000000004">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45"/>
    <row r="29" spans="1:36" s="104" customFormat="1" ht="39" customHeight="1" x14ac:dyDescent="0.55000000000000004">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45"/>
    <row r="31" spans="1:36" x14ac:dyDescent="0.4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4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4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4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45">
      <c r="B35" s="138" t="s">
        <v>510</v>
      </c>
    </row>
    <row r="36" spans="2:36" x14ac:dyDescent="0.4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4.25" x14ac:dyDescent="0.45"/>
  <cols>
    <col min="1" max="1" width="36.265625" bestFit="1" customWidth="1"/>
    <col min="2" max="2" width="71.265625" bestFit="1" customWidth="1"/>
    <col min="3" max="3" width="25.265625" customWidth="1"/>
    <col min="4" max="4" width="14.59765625" bestFit="1" customWidth="1"/>
    <col min="5" max="5" width="22.59765625" bestFit="1" customWidth="1"/>
    <col min="6" max="6" width="14.265625" customWidth="1"/>
    <col min="7" max="7" width="14" customWidth="1"/>
    <col min="8" max="8" width="35.265625" bestFit="1" customWidth="1"/>
    <col min="9" max="9" width="17.59765625" customWidth="1"/>
    <col min="10" max="10" width="11.59765625" customWidth="1"/>
    <col min="11" max="11" width="22.59765625" bestFit="1" customWidth="1"/>
  </cols>
  <sheetData>
    <row r="1" spans="1:10" s="343" customFormat="1" ht="15.75" customHeight="1" thickBot="1" x14ac:dyDescent="0.45">
      <c r="A1" s="555" t="s">
        <v>512</v>
      </c>
      <c r="B1" s="556"/>
      <c r="C1" s="556"/>
      <c r="D1" s="556"/>
      <c r="E1" s="556"/>
      <c r="F1" s="556"/>
      <c r="G1" s="556"/>
      <c r="H1" s="557"/>
    </row>
    <row r="2" spans="1:10" s="343" customFormat="1" ht="14.25" customHeight="1" x14ac:dyDescent="0.35"/>
    <row r="3" spans="1:10" s="559" customFormat="1" ht="57" customHeight="1" x14ac:dyDescent="0.35">
      <c r="A3" s="558" t="s">
        <v>513</v>
      </c>
      <c r="B3" s="558" t="s">
        <v>514</v>
      </c>
      <c r="C3" s="558" t="s">
        <v>515</v>
      </c>
      <c r="D3" s="558" t="s">
        <v>516</v>
      </c>
      <c r="E3" s="558" t="s">
        <v>517</v>
      </c>
      <c r="F3" s="558" t="s">
        <v>518</v>
      </c>
      <c r="G3" s="558" t="s">
        <v>103</v>
      </c>
      <c r="H3" s="558" t="s">
        <v>519</v>
      </c>
    </row>
    <row r="4" spans="1:10" s="343" customFormat="1" ht="14.25" customHeight="1" x14ac:dyDescent="0.35">
      <c r="A4" s="560" t="s">
        <v>239</v>
      </c>
      <c r="B4" s="561">
        <v>10</v>
      </c>
      <c r="C4" s="562" t="s">
        <v>520</v>
      </c>
      <c r="D4" s="562">
        <v>6.5</v>
      </c>
      <c r="E4" s="563">
        <v>0.9</v>
      </c>
      <c r="F4" s="562">
        <v>7</v>
      </c>
      <c r="G4" s="564" t="s">
        <v>393</v>
      </c>
      <c r="H4" s="560" t="s">
        <v>521</v>
      </c>
      <c r="I4" s="565"/>
      <c r="J4" s="565"/>
    </row>
    <row r="5" spans="1:10" s="343" customFormat="1" ht="14.25" customHeight="1" x14ac:dyDescent="0.35">
      <c r="A5" s="566" t="s">
        <v>240</v>
      </c>
      <c r="H5" s="566" t="s">
        <v>522</v>
      </c>
    </row>
    <row r="6" spans="1:10" s="343" customFormat="1" ht="14.25" customHeight="1" x14ac:dyDescent="0.35">
      <c r="A6" s="566" t="s">
        <v>523</v>
      </c>
      <c r="H6" s="566" t="s">
        <v>524</v>
      </c>
    </row>
    <row r="7" spans="1:10" s="343" customFormat="1" ht="14.25" customHeight="1" x14ac:dyDescent="0.35">
      <c r="A7" s="566" t="s">
        <v>525</v>
      </c>
      <c r="H7" s="566" t="s">
        <v>526</v>
      </c>
    </row>
    <row r="8" spans="1:10" s="343" customFormat="1" ht="14.25" customHeight="1" x14ac:dyDescent="0.35">
      <c r="A8" s="566" t="s">
        <v>241</v>
      </c>
      <c r="H8" s="566" t="s">
        <v>527</v>
      </c>
    </row>
    <row r="9" spans="1:10" s="343" customFormat="1" ht="14.25" customHeight="1" x14ac:dyDescent="0.35">
      <c r="A9" s="566"/>
      <c r="H9" s="566" t="s">
        <v>410</v>
      </c>
    </row>
    <row r="10" spans="1:10" s="343" customFormat="1" ht="14.25" customHeight="1" x14ac:dyDescent="0.35">
      <c r="A10" s="566"/>
      <c r="H10" s="566" t="s">
        <v>528</v>
      </c>
    </row>
    <row r="11" spans="1:10" s="343" customFormat="1" ht="14.25" customHeight="1" x14ac:dyDescent="0.35">
      <c r="H11" s="566" t="s">
        <v>529</v>
      </c>
    </row>
    <row r="12" spans="1:10" s="343" customFormat="1" ht="14.25" customHeight="1" x14ac:dyDescent="0.35">
      <c r="H12" s="566" t="s">
        <v>530</v>
      </c>
    </row>
    <row r="13" spans="1:10" s="343" customFormat="1" ht="14.25" customHeight="1" x14ac:dyDescent="0.35">
      <c r="H13" s="566" t="s">
        <v>531</v>
      </c>
    </row>
    <row r="14" spans="1:10" s="343" customFormat="1" ht="14.25" customHeight="1" x14ac:dyDescent="0.35">
      <c r="H14" s="566" t="s">
        <v>532</v>
      </c>
    </row>
    <row r="15" spans="1:10" s="343" customFormat="1" ht="14.25" customHeight="1" x14ac:dyDescent="0.35">
      <c r="H15" s="566" t="s">
        <v>533</v>
      </c>
    </row>
    <row r="16" spans="1:10" s="343" customFormat="1" ht="14.25" customHeight="1" x14ac:dyDescent="0.35">
      <c r="H16" s="566" t="s">
        <v>534</v>
      </c>
    </row>
    <row r="17" spans="1:8" s="343" customFormat="1" ht="14.25" customHeight="1" x14ac:dyDescent="0.35">
      <c r="H17" s="566" t="s">
        <v>535</v>
      </c>
    </row>
    <row r="18" spans="1:8" s="343" customFormat="1" ht="14.25" customHeight="1" x14ac:dyDescent="0.35"/>
    <row r="19" spans="1:8" s="343" customFormat="1" ht="14.25" customHeight="1" x14ac:dyDescent="0.35"/>
    <row r="20" spans="1:8" s="343" customFormat="1" ht="13.9" thickBot="1" x14ac:dyDescent="0.4"/>
    <row r="21" spans="1:8" s="343" customFormat="1" ht="15.75" customHeight="1" thickBot="1" x14ac:dyDescent="0.45">
      <c r="A21" s="555" t="s">
        <v>112</v>
      </c>
      <c r="B21" s="567"/>
      <c r="C21" s="567"/>
      <c r="D21" s="568"/>
    </row>
    <row r="22" spans="1:8" s="343" customFormat="1" ht="14.25" customHeight="1" x14ac:dyDescent="0.35">
      <c r="A22" s="569" t="s">
        <v>536</v>
      </c>
      <c r="B22" s="570" t="s">
        <v>537</v>
      </c>
      <c r="C22" s="570" t="s">
        <v>538</v>
      </c>
    </row>
    <row r="23" spans="1:8" s="343" customFormat="1" ht="14.25" customHeight="1" x14ac:dyDescent="0.35">
      <c r="A23" s="571" t="s">
        <v>539</v>
      </c>
      <c r="B23" s="572">
        <v>20</v>
      </c>
      <c r="C23" s="573"/>
      <c r="D23" s="574">
        <v>0.67500000000000004</v>
      </c>
    </row>
    <row r="24" spans="1:8" s="343" customFormat="1" ht="14.25" customHeight="1" x14ac:dyDescent="0.35">
      <c r="A24" s="571" t="s">
        <v>540</v>
      </c>
      <c r="B24" s="572">
        <v>10</v>
      </c>
      <c r="C24" s="572">
        <v>20</v>
      </c>
      <c r="D24" s="575">
        <v>0.65</v>
      </c>
    </row>
    <row r="25" spans="1:8" s="343" customFormat="1" ht="14.25" customHeight="1" x14ac:dyDescent="0.35">
      <c r="A25" s="571" t="s">
        <v>540</v>
      </c>
      <c r="B25" s="572"/>
      <c r="C25" s="572">
        <v>10</v>
      </c>
      <c r="D25" s="574">
        <v>0.625</v>
      </c>
    </row>
    <row r="26" spans="1:8" s="343" customFormat="1" ht="14.25" customHeight="1" x14ac:dyDescent="0.35">
      <c r="A26" s="569" t="s">
        <v>541</v>
      </c>
      <c r="B26" s="576"/>
      <c r="C26" s="576"/>
    </row>
    <row r="27" spans="1:8" s="343" customFormat="1" ht="14.25" customHeight="1" x14ac:dyDescent="0.35">
      <c r="A27" s="571" t="s">
        <v>542</v>
      </c>
      <c r="B27" s="573"/>
      <c r="C27" s="573">
        <v>0.75</v>
      </c>
      <c r="D27" s="577">
        <v>0.625</v>
      </c>
    </row>
    <row r="28" spans="1:8" s="343" customFormat="1" ht="14.25" customHeight="1" x14ac:dyDescent="0.35">
      <c r="A28" s="571" t="s">
        <v>542</v>
      </c>
      <c r="B28" s="573">
        <v>0.75</v>
      </c>
      <c r="C28" s="573">
        <v>1.25</v>
      </c>
      <c r="D28" s="577">
        <v>0.57499999999999996</v>
      </c>
    </row>
    <row r="29" spans="1:8" s="343" customFormat="1" ht="14.25" customHeight="1" x14ac:dyDescent="0.35">
      <c r="A29" s="571" t="s">
        <v>542</v>
      </c>
      <c r="B29" s="573">
        <v>1.25</v>
      </c>
      <c r="C29" s="573"/>
      <c r="D29" s="577">
        <v>0.45</v>
      </c>
    </row>
    <row r="30" spans="1:8" s="343" customFormat="1" ht="14.25" customHeight="1" x14ac:dyDescent="0.35">
      <c r="D30" s="578"/>
    </row>
    <row r="31" spans="1:8" s="343" customFormat="1" ht="14.25" customHeight="1" x14ac:dyDescent="0.35">
      <c r="A31" s="571" t="s">
        <v>543</v>
      </c>
      <c r="B31" s="573" t="s">
        <v>544</v>
      </c>
      <c r="C31" s="573" t="s">
        <v>544</v>
      </c>
      <c r="D31" s="577">
        <v>0.45</v>
      </c>
    </row>
    <row r="32" spans="1:8" s="343" customFormat="1" ht="14.25" customHeight="1" x14ac:dyDescent="0.35"/>
    <row r="33" spans="1:4" s="581" customFormat="1" ht="14.25" hidden="1" customHeight="1" x14ac:dyDescent="0.35">
      <c r="A33" s="579" t="s">
        <v>545</v>
      </c>
      <c r="B33" s="580"/>
      <c r="C33" s="870"/>
      <c r="D33" s="871"/>
    </row>
    <row r="34" spans="1:4" s="581" customFormat="1" ht="14.25" hidden="1" customHeight="1" x14ac:dyDescent="0.35">
      <c r="A34" s="582" t="s">
        <v>546</v>
      </c>
      <c r="B34" s="583"/>
      <c r="D34" s="584"/>
    </row>
    <row r="35" spans="1:4" s="581" customFormat="1" ht="14.25" hidden="1" customHeight="1" x14ac:dyDescent="0.35">
      <c r="A35" s="582" t="s">
        <v>547</v>
      </c>
      <c r="B35" s="583"/>
      <c r="C35" s="581" t="s">
        <v>548</v>
      </c>
      <c r="D35" s="584"/>
    </row>
    <row r="36" spans="1:4" s="581" customFormat="1" ht="14.25" hidden="1" customHeight="1" x14ac:dyDescent="0.35">
      <c r="A36" s="585" t="s">
        <v>549</v>
      </c>
      <c r="B36" s="586"/>
      <c r="C36" s="587"/>
      <c r="D36" s="588"/>
    </row>
    <row r="37" spans="1:4" s="343" customFormat="1" ht="14.25" customHeight="1" x14ac:dyDescent="0.35">
      <c r="A37" s="589"/>
    </row>
    <row r="38" spans="1:4" s="343" customFormat="1" ht="13.9" thickBot="1" x14ac:dyDescent="0.4"/>
    <row r="39" spans="1:4" s="343" customFormat="1" ht="15.75" customHeight="1" thickBot="1" x14ac:dyDescent="0.45">
      <c r="A39" s="555" t="s">
        <v>550</v>
      </c>
      <c r="B39" s="567"/>
      <c r="C39" s="567"/>
      <c r="D39" s="568"/>
    </row>
    <row r="40" spans="1:4" s="343" customFormat="1" ht="14.25" customHeight="1" x14ac:dyDescent="0.35">
      <c r="B40" s="590" t="s">
        <v>551</v>
      </c>
      <c r="C40" s="590" t="s">
        <v>552</v>
      </c>
    </row>
    <row r="41" spans="1:4" s="343" customFormat="1" ht="14.25" customHeight="1" x14ac:dyDescent="0.35">
      <c r="A41" s="591" t="s">
        <v>553</v>
      </c>
      <c r="B41" s="592">
        <v>20</v>
      </c>
      <c r="C41" s="592"/>
      <c r="D41" s="593">
        <v>0.65</v>
      </c>
    </row>
    <row r="42" spans="1:4" s="343" customFormat="1" ht="14.25" customHeight="1" x14ac:dyDescent="0.35">
      <c r="A42" s="591" t="s">
        <v>553</v>
      </c>
      <c r="B42" s="592">
        <v>12</v>
      </c>
      <c r="C42" s="592">
        <v>20</v>
      </c>
      <c r="D42" s="593">
        <v>0.625</v>
      </c>
    </row>
    <row r="43" spans="1:4" s="343" customFormat="1" ht="14.25" customHeight="1" x14ac:dyDescent="0.35">
      <c r="A43" s="591" t="s">
        <v>553</v>
      </c>
      <c r="B43" s="592"/>
      <c r="C43" s="592">
        <v>12</v>
      </c>
      <c r="D43" s="593">
        <v>0.55000000000000004</v>
      </c>
    </row>
    <row r="44" spans="1:4" s="343" customFormat="1" ht="14.25" customHeight="1" x14ac:dyDescent="0.35"/>
    <row r="45" spans="1:4" s="343" customFormat="1" ht="13.9" thickBot="1" x14ac:dyDescent="0.4"/>
    <row r="46" spans="1:4" s="343" customFormat="1" ht="15.75" customHeight="1" thickBot="1" x14ac:dyDescent="0.45">
      <c r="A46" s="555" t="s">
        <v>554</v>
      </c>
      <c r="B46" s="567"/>
      <c r="C46" s="567"/>
      <c r="D46" s="568"/>
    </row>
    <row r="47" spans="1:4" s="343" customFormat="1" ht="14.25" customHeight="1" x14ac:dyDescent="0.35"/>
    <row r="48" spans="1:4" s="559" customFormat="1" ht="38.25" customHeight="1" x14ac:dyDescent="0.4">
      <c r="A48" s="494" t="s">
        <v>94</v>
      </c>
      <c r="B48" s="493" t="s">
        <v>555</v>
      </c>
      <c r="C48" s="493" t="s">
        <v>556</v>
      </c>
      <c r="D48" s="493" t="s">
        <v>122</v>
      </c>
    </row>
    <row r="49" spans="1:9" s="343" customFormat="1" ht="14.25" customHeight="1" x14ac:dyDescent="0.35">
      <c r="A49" s="594" t="s">
        <v>389</v>
      </c>
      <c r="B49" s="595">
        <v>3.25</v>
      </c>
      <c r="C49" s="595">
        <v>3.75</v>
      </c>
      <c r="D49" s="596">
        <v>1</v>
      </c>
    </row>
    <row r="50" spans="1:9" s="343" customFormat="1" ht="14.25" customHeight="1" x14ac:dyDescent="0.35">
      <c r="A50" s="594" t="s">
        <v>390</v>
      </c>
      <c r="B50" s="595">
        <v>4</v>
      </c>
      <c r="C50" s="595">
        <v>4.25</v>
      </c>
      <c r="D50" s="596">
        <v>0.92500000000000004</v>
      </c>
    </row>
    <row r="51" spans="1:9" s="343" customFormat="1" ht="13.9" thickBot="1" x14ac:dyDescent="0.4">
      <c r="A51" s="597" t="s">
        <v>391</v>
      </c>
      <c r="B51" s="598">
        <v>5</v>
      </c>
      <c r="C51" s="598">
        <v>5</v>
      </c>
      <c r="D51" s="599">
        <v>0.85</v>
      </c>
    </row>
    <row r="52" spans="1:9" s="343" customFormat="1" ht="13.9" thickBot="1" x14ac:dyDescent="0.4">
      <c r="A52" s="600" t="s">
        <v>557</v>
      </c>
      <c r="B52" s="601" t="s">
        <v>551</v>
      </c>
      <c r="C52" s="602">
        <v>5</v>
      </c>
      <c r="D52" s="603">
        <v>0</v>
      </c>
    </row>
    <row r="53" spans="1:9" s="343" customFormat="1" ht="14.25" customHeight="1" x14ac:dyDescent="0.35">
      <c r="A53" s="295" t="s">
        <v>558</v>
      </c>
      <c r="B53" s="569" t="s">
        <v>537</v>
      </c>
      <c r="C53" s="604">
        <v>6.5</v>
      </c>
      <c r="D53" s="605">
        <v>0</v>
      </c>
    </row>
    <row r="54" spans="1:9" s="343" customFormat="1" ht="13.9" thickBot="1" x14ac:dyDescent="0.4">
      <c r="I54" s="606"/>
    </row>
    <row r="55" spans="1:9" s="343" customFormat="1" ht="15.75" customHeight="1" thickBot="1" x14ac:dyDescent="0.45">
      <c r="A55" s="555" t="s">
        <v>559</v>
      </c>
      <c r="B55" s="567"/>
      <c r="C55" s="567"/>
      <c r="D55" s="568"/>
    </row>
    <row r="56" spans="1:9" s="343" customFormat="1" ht="14.25" customHeight="1" x14ac:dyDescent="0.35"/>
    <row r="57" spans="1:9" s="343" customFormat="1" ht="14.25" customHeight="1" x14ac:dyDescent="0.35">
      <c r="A57" s="527" t="s">
        <v>560</v>
      </c>
      <c r="B57" s="343" t="s">
        <v>282</v>
      </c>
      <c r="C57" s="607">
        <v>1.5</v>
      </c>
      <c r="D57" s="608">
        <v>0.2</v>
      </c>
    </row>
    <row r="58" spans="1:9" s="343" customFormat="1" ht="14.25" customHeight="1" x14ac:dyDescent="0.35">
      <c r="A58" s="527" t="s">
        <v>561</v>
      </c>
      <c r="B58" s="343" t="s">
        <v>284</v>
      </c>
      <c r="D58" s="608">
        <v>0.1</v>
      </c>
    </row>
    <row r="59" spans="1:9" s="343" customFormat="1" ht="14.25" customHeight="1" x14ac:dyDescent="0.35">
      <c r="A59" s="527">
        <v>2</v>
      </c>
      <c r="B59" s="343" t="s">
        <v>562</v>
      </c>
      <c r="C59" s="607">
        <v>1</v>
      </c>
      <c r="D59" s="608">
        <v>0.3</v>
      </c>
    </row>
    <row r="60" spans="1:9" s="343" customFormat="1" ht="14.25" customHeight="1" x14ac:dyDescent="0.35">
      <c r="A60" s="527">
        <v>3</v>
      </c>
      <c r="B60" s="343" t="s">
        <v>563</v>
      </c>
      <c r="C60" s="609">
        <v>5</v>
      </c>
      <c r="D60" s="608">
        <v>0.15</v>
      </c>
      <c r="I60" s="606"/>
    </row>
    <row r="61" spans="1:9" s="343" customFormat="1" ht="14.25" customHeight="1" x14ac:dyDescent="0.35">
      <c r="A61" s="527">
        <v>4</v>
      </c>
      <c r="B61" s="343" t="s">
        <v>292</v>
      </c>
      <c r="D61" s="608">
        <v>7.4999999999999997E-2</v>
      </c>
    </row>
    <row r="62" spans="1:9" s="343" customFormat="1" ht="14.25" customHeight="1" x14ac:dyDescent="0.35">
      <c r="A62" s="527" t="s">
        <v>564</v>
      </c>
      <c r="B62" s="343" t="s">
        <v>294</v>
      </c>
      <c r="D62" s="608">
        <v>0.2</v>
      </c>
    </row>
    <row r="63" spans="1:9" s="343" customFormat="1" ht="14.25" customHeight="1" x14ac:dyDescent="0.35">
      <c r="A63" s="527" t="s">
        <v>565</v>
      </c>
      <c r="B63" s="343" t="s">
        <v>296</v>
      </c>
      <c r="D63" s="608">
        <v>0.15</v>
      </c>
    </row>
    <row r="64" spans="1:9" s="343" customFormat="1" ht="14.25" customHeight="1" x14ac:dyDescent="0.35">
      <c r="A64" s="527" t="s">
        <v>566</v>
      </c>
      <c r="B64" s="343" t="s">
        <v>298</v>
      </c>
      <c r="D64" s="608">
        <v>0.1</v>
      </c>
    </row>
    <row r="65" spans="1:4" s="343" customFormat="1" ht="14.25" customHeight="1" x14ac:dyDescent="0.35">
      <c r="A65" s="527">
        <v>6</v>
      </c>
      <c r="B65" s="343" t="s">
        <v>567</v>
      </c>
      <c r="D65" s="608">
        <v>0.1</v>
      </c>
    </row>
    <row r="66" spans="1:4" s="343" customFormat="1" ht="14.25" customHeight="1" x14ac:dyDescent="0.35">
      <c r="A66" s="527">
        <v>7</v>
      </c>
      <c r="B66" s="343" t="s">
        <v>303</v>
      </c>
      <c r="D66" s="608">
        <v>0.1</v>
      </c>
    </row>
    <row r="67" spans="1:4" s="343" customFormat="1" ht="14.25" customHeight="1" x14ac:dyDescent="0.35">
      <c r="A67" s="527">
        <v>8</v>
      </c>
      <c r="B67" s="343" t="s">
        <v>305</v>
      </c>
      <c r="D67" s="608">
        <v>0.15</v>
      </c>
    </row>
    <row r="68" spans="1:4" s="343" customFormat="1" ht="14.25" customHeight="1" x14ac:dyDescent="0.35">
      <c r="A68" s="527" t="s">
        <v>568</v>
      </c>
      <c r="B68" s="343" t="s">
        <v>307</v>
      </c>
      <c r="D68" s="608">
        <v>0.15</v>
      </c>
    </row>
    <row r="69" spans="1:4" s="343" customFormat="1" ht="14.25" customHeight="1" x14ac:dyDescent="0.35">
      <c r="A69" s="527" t="s">
        <v>569</v>
      </c>
      <c r="B69" s="343" t="s">
        <v>309</v>
      </c>
      <c r="D69" s="608">
        <v>0.1</v>
      </c>
    </row>
    <row r="70" spans="1:4" s="343" customFormat="1" ht="14.25" customHeight="1" x14ac:dyDescent="0.35">
      <c r="A70" s="527"/>
      <c r="D70" s="610"/>
    </row>
    <row r="71" spans="1:4" s="343" customFormat="1" ht="14.25" customHeight="1" x14ac:dyDescent="0.35">
      <c r="A71" s="528" t="s">
        <v>570</v>
      </c>
      <c r="D71" s="610"/>
    </row>
    <row r="72" spans="1:4" s="343" customFormat="1" ht="14.25" customHeight="1" x14ac:dyDescent="0.35">
      <c r="A72" s="576" t="s">
        <v>571</v>
      </c>
      <c r="D72" s="610"/>
    </row>
    <row r="73" spans="1:4" s="343" customFormat="1" ht="14.25" customHeight="1" x14ac:dyDescent="0.35">
      <c r="A73" s="573" t="s">
        <v>572</v>
      </c>
      <c r="D73" s="610"/>
    </row>
    <row r="74" spans="1:4" s="343" customFormat="1" ht="14.25" customHeight="1" x14ac:dyDescent="0.35">
      <c r="A74" s="573" t="s">
        <v>573</v>
      </c>
      <c r="D74" s="610"/>
    </row>
    <row r="75" spans="1:4" s="343" customFormat="1" ht="14.25" customHeight="1" x14ac:dyDescent="0.35">
      <c r="A75" s="573" t="s">
        <v>574</v>
      </c>
      <c r="D75" s="610"/>
    </row>
    <row r="76" spans="1:4" s="343" customFormat="1" ht="14.25" customHeight="1" x14ac:dyDescent="0.35">
      <c r="A76" s="573" t="s">
        <v>575</v>
      </c>
      <c r="D76" s="610"/>
    </row>
    <row r="77" spans="1:4" s="343" customFormat="1" ht="14.25" customHeight="1" x14ac:dyDescent="0.35">
      <c r="A77" s="527"/>
      <c r="D77" s="610"/>
    </row>
    <row r="78" spans="1:4" s="343" customFormat="1" ht="14.25" customHeight="1" x14ac:dyDescent="0.35"/>
    <row r="79" spans="1:4" s="343" customFormat="1" ht="14.25" customHeight="1" x14ac:dyDescent="0.35"/>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7.265625" style="10" customWidth="1"/>
    <col min="9" max="9" width="14.265625" style="10" customWidth="1"/>
    <col min="10" max="10" width="15" style="10" bestFit="1" customWidth="1"/>
    <col min="11" max="12" width="16.86328125" bestFit="1" customWidth="1"/>
    <col min="13" max="13" width="10.265625" style="10" customWidth="1"/>
    <col min="14" max="14" width="13" style="10" customWidth="1"/>
    <col min="15" max="15" width="20.265625" style="61" customWidth="1"/>
    <col min="16" max="16" width="18.59765625" bestFit="1" customWidth="1"/>
    <col min="17" max="17" width="44.59765625" style="617" bestFit="1" customWidth="1"/>
  </cols>
  <sheetData>
    <row r="1" spans="3:17" s="295" customFormat="1" ht="12.75" customHeight="1" x14ac:dyDescent="0.35">
      <c r="H1" s="342"/>
      <c r="I1" s="342"/>
      <c r="J1" s="342"/>
      <c r="K1" s="342"/>
      <c r="L1" s="342"/>
      <c r="M1" s="342"/>
      <c r="N1" s="342"/>
      <c r="O1" s="529"/>
      <c r="Q1" s="613"/>
    </row>
    <row r="2" spans="3:17" s="295" customFormat="1" ht="38.25" customHeight="1" x14ac:dyDescent="0.45">
      <c r="F2" s="530"/>
      <c r="H2" s="915" t="s">
        <v>576</v>
      </c>
      <c r="I2" s="884"/>
      <c r="J2" s="885"/>
      <c r="K2" s="915" t="s">
        <v>577</v>
      </c>
      <c r="L2" s="884"/>
      <c r="M2" s="884"/>
      <c r="N2" s="885"/>
      <c r="O2" s="524" t="s">
        <v>578</v>
      </c>
      <c r="P2" s="342"/>
      <c r="Q2" s="614"/>
    </row>
    <row r="3" spans="3:17" s="295" customFormat="1" ht="12.75" customHeight="1" x14ac:dyDescent="0.4">
      <c r="E3" s="531"/>
      <c r="F3" s="531"/>
      <c r="H3" s="542"/>
      <c r="I3" s="542"/>
      <c r="J3" s="542"/>
      <c r="K3" s="542"/>
      <c r="L3" s="542"/>
      <c r="M3" s="542"/>
      <c r="N3" s="542"/>
      <c r="O3" s="543"/>
      <c r="P3" s="344"/>
      <c r="Q3" s="615"/>
    </row>
    <row r="4" spans="3:17" s="295" customFormat="1" ht="36.75" customHeight="1" x14ac:dyDescent="0.35">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35">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35">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35">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35">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35">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35">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35">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35">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35">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35">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35">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35">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35">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35">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35">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35">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35">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35">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35">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35">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35">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35">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35">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35">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35">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35">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35">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35">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35">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35">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35">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35">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35">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35">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35">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35">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35">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35">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35">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35">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35">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35">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35">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35">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35">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35">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35">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35">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35">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35">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35">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35">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35">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35">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35">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35">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35">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35">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35">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35">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35">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35">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35">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35">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35">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35">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35">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35">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35">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35">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35">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35">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35">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35">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35">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35">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35">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35">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35">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35">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35">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35">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35">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35">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35">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35">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35">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35">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35">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35">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35">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35">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35">
      <c r="C97" s="541"/>
      <c r="H97" s="342"/>
      <c r="I97" s="342"/>
      <c r="J97" s="342"/>
      <c r="M97" s="342"/>
      <c r="N97" s="342"/>
      <c r="O97" s="529"/>
      <c r="Q97" s="613"/>
    </row>
    <row r="98" spans="3:17" s="295" customFormat="1" ht="12.75" customHeight="1" x14ac:dyDescent="0.35">
      <c r="C98" s="541"/>
      <c r="H98" s="342"/>
      <c r="I98" s="342"/>
      <c r="J98" s="342"/>
      <c r="M98" s="342"/>
      <c r="N98" s="342"/>
      <c r="O98" s="529"/>
      <c r="Q98" s="613"/>
    </row>
    <row r="99" spans="3:17" s="295" customFormat="1" ht="12.75" customHeight="1" x14ac:dyDescent="0.35">
      <c r="C99" s="541"/>
      <c r="H99" s="342"/>
      <c r="I99" s="342"/>
      <c r="J99" s="342"/>
      <c r="M99" s="342"/>
      <c r="N99" s="342"/>
      <c r="O99" s="529"/>
      <c r="Q99" s="613"/>
    </row>
    <row r="100" spans="3:17" s="295" customFormat="1" ht="12.75" customHeight="1" x14ac:dyDescent="0.35">
      <c r="C100" s="541"/>
      <c r="H100" s="342"/>
      <c r="I100" s="342"/>
      <c r="J100" s="342"/>
      <c r="M100" s="342"/>
      <c r="N100" s="342"/>
      <c r="O100" s="529"/>
      <c r="Q100" s="613"/>
    </row>
    <row r="101" spans="3:17" s="295" customFormat="1" ht="12.75" customHeight="1" x14ac:dyDescent="0.35">
      <c r="C101" s="541"/>
      <c r="H101" s="342"/>
      <c r="I101" s="342"/>
      <c r="J101" s="342"/>
      <c r="M101" s="342"/>
      <c r="N101" s="342"/>
      <c r="O101" s="529"/>
      <c r="Q101" s="613"/>
    </row>
    <row r="102" spans="3:17" s="295" customFormat="1" ht="12.75" customHeight="1" x14ac:dyDescent="0.35">
      <c r="C102" s="541"/>
      <c r="H102" s="342"/>
      <c r="I102" s="342"/>
      <c r="J102" s="342"/>
      <c r="M102" s="342"/>
      <c r="N102" s="342"/>
      <c r="O102" s="529"/>
      <c r="Q102" s="613"/>
    </row>
    <row r="103" spans="3:17" s="295" customFormat="1" ht="12.75" customHeight="1" x14ac:dyDescent="0.35">
      <c r="C103" s="541"/>
      <c r="H103" s="342"/>
      <c r="I103" s="342"/>
      <c r="J103" s="342"/>
      <c r="M103" s="342"/>
      <c r="N103" s="342"/>
      <c r="O103" s="529"/>
      <c r="Q103" s="613"/>
    </row>
    <row r="104" spans="3:17" s="295" customFormat="1" ht="12.75" customHeight="1" x14ac:dyDescent="0.35">
      <c r="C104" s="541"/>
      <c r="H104" s="342"/>
      <c r="I104" s="342"/>
      <c r="J104" s="342"/>
      <c r="M104" s="342"/>
      <c r="N104" s="342"/>
      <c r="O104" s="529"/>
      <c r="Q104" s="613"/>
    </row>
    <row r="105" spans="3:17" s="295" customFormat="1" ht="12.75" customHeight="1" x14ac:dyDescent="0.35">
      <c r="C105" s="541"/>
      <c r="H105" s="342"/>
      <c r="I105" s="342"/>
      <c r="J105" s="342"/>
      <c r="M105" s="342"/>
      <c r="N105" s="342"/>
      <c r="O105" s="529"/>
      <c r="Q105" s="613"/>
    </row>
    <row r="106" spans="3:17" s="295" customFormat="1" ht="12.75" customHeight="1" x14ac:dyDescent="0.35">
      <c r="C106" s="541"/>
      <c r="H106" s="342"/>
      <c r="I106" s="342"/>
      <c r="J106" s="342"/>
      <c r="M106" s="342"/>
      <c r="N106" s="342"/>
      <c r="O106" s="529"/>
      <c r="Q106" s="613"/>
    </row>
    <row r="107" spans="3:17" s="295" customFormat="1" ht="12.75" customHeight="1" x14ac:dyDescent="0.35">
      <c r="C107" s="541"/>
      <c r="H107" s="342"/>
      <c r="I107" s="342"/>
      <c r="J107" s="342"/>
      <c r="M107" s="342"/>
      <c r="N107" s="342"/>
      <c r="O107" s="529"/>
      <c r="Q107" s="613"/>
    </row>
    <row r="108" spans="3:17" s="295" customFormat="1" ht="12.75" customHeight="1" x14ac:dyDescent="0.35">
      <c r="C108" s="541"/>
      <c r="H108" s="342"/>
      <c r="I108" s="342"/>
      <c r="J108" s="342"/>
      <c r="M108" s="342"/>
      <c r="N108" s="342"/>
      <c r="O108" s="529"/>
      <c r="Q108" s="613"/>
    </row>
    <row r="109" spans="3:17" s="295" customFormat="1" ht="12.75" customHeight="1" x14ac:dyDescent="0.35">
      <c r="C109" s="541"/>
      <c r="H109" s="342"/>
      <c r="I109" s="342"/>
      <c r="J109" s="342"/>
      <c r="M109" s="342"/>
      <c r="N109" s="342"/>
      <c r="O109" s="529"/>
      <c r="Q109" s="613"/>
    </row>
    <row r="110" spans="3:17" s="295" customFormat="1" ht="12.75" customHeight="1" x14ac:dyDescent="0.35">
      <c r="C110" s="541"/>
      <c r="H110" s="342"/>
      <c r="I110" s="342"/>
      <c r="J110" s="342"/>
      <c r="M110" s="342"/>
      <c r="N110" s="342"/>
      <c r="O110" s="529"/>
      <c r="Q110" s="613"/>
    </row>
    <row r="111" spans="3:17" s="295" customFormat="1" ht="12.75" customHeight="1" x14ac:dyDescent="0.35">
      <c r="C111" s="541"/>
      <c r="H111" s="342"/>
      <c r="I111" s="342"/>
      <c r="J111" s="342"/>
      <c r="M111" s="342"/>
      <c r="N111" s="342"/>
      <c r="O111" s="529"/>
      <c r="Q111" s="613"/>
    </row>
    <row r="112" spans="3:17" s="295" customFormat="1" ht="12.75" customHeight="1" x14ac:dyDescent="0.35">
      <c r="C112" s="541"/>
      <c r="H112" s="342"/>
      <c r="I112" s="342"/>
      <c r="J112" s="342"/>
      <c r="M112" s="342"/>
      <c r="N112" s="342"/>
      <c r="O112" s="529"/>
      <c r="Q112" s="613"/>
    </row>
    <row r="113" spans="3:17" s="295" customFormat="1" ht="12.75" customHeight="1" x14ac:dyDescent="0.35">
      <c r="C113" s="541"/>
      <c r="H113" s="342"/>
      <c r="I113" s="342"/>
      <c r="J113" s="342"/>
      <c r="M113" s="342"/>
      <c r="N113" s="342"/>
      <c r="O113" s="529"/>
      <c r="Q113" s="613"/>
    </row>
    <row r="114" spans="3:17" s="295" customFormat="1" ht="12.75" customHeight="1" x14ac:dyDescent="0.35">
      <c r="C114" s="541"/>
      <c r="H114" s="342"/>
      <c r="I114" s="342"/>
      <c r="J114" s="342"/>
      <c r="M114" s="342"/>
      <c r="N114" s="342"/>
      <c r="O114" s="529"/>
      <c r="Q114" s="613"/>
    </row>
    <row r="115" spans="3:17" s="295" customFormat="1" ht="12.75" customHeight="1" x14ac:dyDescent="0.35">
      <c r="C115" s="541"/>
      <c r="H115" s="342"/>
      <c r="I115" s="342"/>
      <c r="J115" s="342"/>
      <c r="M115" s="342"/>
      <c r="N115" s="342"/>
      <c r="O115" s="529"/>
      <c r="Q115" s="613"/>
    </row>
    <row r="116" spans="3:17" s="295" customFormat="1" ht="12.75" customHeight="1" x14ac:dyDescent="0.35">
      <c r="C116" s="541"/>
      <c r="H116" s="342"/>
      <c r="I116" s="342"/>
      <c r="J116" s="342"/>
      <c r="M116" s="342"/>
      <c r="N116" s="342"/>
      <c r="O116" s="529"/>
      <c r="Q116" s="613"/>
    </row>
    <row r="117" spans="3:17" s="295" customFormat="1" ht="12.75" customHeight="1" x14ac:dyDescent="0.35">
      <c r="C117" s="541"/>
      <c r="H117" s="342"/>
      <c r="I117" s="342"/>
      <c r="J117" s="342"/>
      <c r="M117" s="342"/>
      <c r="N117" s="342"/>
      <c r="O117" s="529"/>
      <c r="Q117" s="613"/>
    </row>
    <row r="118" spans="3:17" s="295" customFormat="1" ht="12.75" customHeight="1" x14ac:dyDescent="0.35">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4.25" x14ac:dyDescent="0.45"/>
  <cols>
    <col min="1" max="1" width="40.59765625" hidden="1" customWidth="1"/>
    <col min="2" max="2" width="7.265625" customWidth="1"/>
    <col min="3" max="3" width="35.86328125" style="9" bestFit="1" customWidth="1"/>
    <col min="4" max="4" width="24.86328125" customWidth="1"/>
    <col min="5" max="5" width="29.86328125" bestFit="1" customWidth="1"/>
    <col min="6" max="6" width="20" bestFit="1" customWidth="1"/>
    <col min="7" max="7" width="12" bestFit="1" customWidth="1"/>
    <col min="8" max="8" width="12" customWidth="1"/>
    <col min="9" max="9" width="15" style="10" bestFit="1" customWidth="1"/>
    <col min="10" max="10" width="14.265625" style="10" customWidth="1"/>
    <col min="11" max="11" width="15" style="10" bestFit="1" customWidth="1"/>
    <col min="12" max="13" width="16.86328125" bestFit="1" customWidth="1"/>
    <col min="14" max="14" width="10.265625" style="10" customWidth="1"/>
    <col min="15" max="15" width="13" style="10" customWidth="1"/>
    <col min="16" max="16" width="20.265625" style="61" customWidth="1"/>
    <col min="17" max="17" width="18.59765625" bestFit="1" customWidth="1"/>
    <col min="18" max="18" width="44.59765625" style="617" bestFit="1" customWidth="1"/>
  </cols>
  <sheetData>
    <row r="1" spans="3:18" s="295" customFormat="1" ht="12.75" customHeight="1" x14ac:dyDescent="0.35">
      <c r="I1" s="342"/>
      <c r="J1" s="342"/>
      <c r="K1" s="342"/>
      <c r="L1" s="342"/>
      <c r="M1" s="342"/>
      <c r="N1" s="342"/>
      <c r="O1" s="342"/>
      <c r="P1" s="529"/>
      <c r="R1" s="613"/>
    </row>
    <row r="2" spans="3:18" s="295" customFormat="1" ht="25.5" customHeight="1" x14ac:dyDescent="0.45">
      <c r="F2" s="530"/>
      <c r="I2" s="915" t="s">
        <v>630</v>
      </c>
      <c r="J2" s="884"/>
      <c r="K2" s="885"/>
      <c r="L2" s="915" t="s">
        <v>631</v>
      </c>
      <c r="M2" s="884"/>
      <c r="N2" s="884"/>
      <c r="O2" s="885"/>
      <c r="P2" s="524" t="s">
        <v>632</v>
      </c>
      <c r="Q2" s="342"/>
      <c r="R2" s="614"/>
    </row>
    <row r="3" spans="3:18" s="295" customFormat="1" ht="12.75" customHeight="1" x14ac:dyDescent="0.4">
      <c r="E3" s="531"/>
      <c r="F3" s="531"/>
      <c r="I3" s="542"/>
      <c r="J3" s="542"/>
      <c r="K3" s="542"/>
      <c r="L3" s="542"/>
      <c r="M3" s="542"/>
      <c r="N3" s="542"/>
      <c r="O3" s="542"/>
      <c r="P3" s="543"/>
      <c r="Q3" s="344"/>
      <c r="R3" s="615"/>
    </row>
    <row r="4" spans="3:18" s="295" customFormat="1" ht="36.75" customHeight="1" x14ac:dyDescent="0.35">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35">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35">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35">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35">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35">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35">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35">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35">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35">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35">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35">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35">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35">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35">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35">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35">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35">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35">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35">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35">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35">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35">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35">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35">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35">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35">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35">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35">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35">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35">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35">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35">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35">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35">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35">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35">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35">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35">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35">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35">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35">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35">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35">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35">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35">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35">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35">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35">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35">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35">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35">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35">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35">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35">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35">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35">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35">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35">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35">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35">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35">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35">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35">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35">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35">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35">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35">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35">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35">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35">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35">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35">
      <c r="C76" s="541"/>
      <c r="I76" s="342"/>
      <c r="J76" s="342"/>
      <c r="K76" s="342"/>
      <c r="N76" s="342"/>
      <c r="O76" s="342"/>
      <c r="P76" s="529"/>
      <c r="R76" s="613"/>
    </row>
    <row r="77" spans="3:18" s="295" customFormat="1" ht="12.75" customHeight="1" x14ac:dyDescent="0.35">
      <c r="C77" s="541"/>
      <c r="I77" s="342"/>
      <c r="J77" s="342"/>
      <c r="K77" s="342"/>
      <c r="N77" s="342"/>
      <c r="O77" s="342"/>
      <c r="P77" s="529"/>
      <c r="R77" s="613"/>
    </row>
    <row r="78" spans="3:18" s="295" customFormat="1" ht="12.75" customHeight="1" x14ac:dyDescent="0.35">
      <c r="C78" s="541"/>
      <c r="I78" s="342"/>
      <c r="J78" s="342"/>
      <c r="K78" s="342"/>
      <c r="N78" s="342"/>
      <c r="O78" s="342"/>
      <c r="P78" s="529"/>
      <c r="R78" s="613"/>
    </row>
    <row r="79" spans="3:18" s="295" customFormat="1" ht="12.75" customHeight="1" x14ac:dyDescent="0.35">
      <c r="C79" s="541"/>
      <c r="I79" s="342"/>
      <c r="J79" s="342"/>
      <c r="K79" s="342"/>
      <c r="N79" s="342"/>
      <c r="O79" s="342"/>
      <c r="P79" s="529"/>
      <c r="R79" s="613"/>
    </row>
    <row r="80" spans="3:18" s="295" customFormat="1" ht="12.75" customHeight="1" x14ac:dyDescent="0.35">
      <c r="C80" s="541"/>
      <c r="I80" s="342"/>
      <c r="J80" s="342"/>
      <c r="K80" s="342"/>
      <c r="N80" s="342"/>
      <c r="O80" s="342"/>
      <c r="P80" s="529"/>
      <c r="R80" s="613"/>
    </row>
    <row r="81" spans="3:18" s="295" customFormat="1" ht="12.75" customHeight="1" x14ac:dyDescent="0.35">
      <c r="C81" s="541"/>
      <c r="I81" s="342"/>
      <c r="J81" s="342"/>
      <c r="K81" s="342"/>
      <c r="N81" s="342"/>
      <c r="O81" s="342"/>
      <c r="P81" s="529"/>
      <c r="R81" s="613"/>
    </row>
    <row r="82" spans="3:18" s="295" customFormat="1" ht="12.75" customHeight="1" x14ac:dyDescent="0.35">
      <c r="C82" s="541"/>
      <c r="I82" s="342"/>
      <c r="J82" s="342"/>
      <c r="K82" s="342"/>
      <c r="N82" s="342"/>
      <c r="O82" s="342"/>
      <c r="P82" s="529"/>
      <c r="R82" s="613"/>
    </row>
    <row r="83" spans="3:18" s="295" customFormat="1" ht="12.75" customHeight="1" x14ac:dyDescent="0.35">
      <c r="C83" s="541"/>
      <c r="I83" s="342"/>
      <c r="J83" s="342"/>
      <c r="K83" s="342"/>
      <c r="N83" s="342"/>
      <c r="O83" s="342"/>
      <c r="P83" s="529"/>
      <c r="R83" s="613"/>
    </row>
    <row r="84" spans="3:18" s="295" customFormat="1" ht="12.75" customHeight="1" x14ac:dyDescent="0.35">
      <c r="C84" s="541"/>
      <c r="I84" s="342"/>
      <c r="J84" s="342"/>
      <c r="K84" s="342"/>
      <c r="N84" s="342"/>
      <c r="O84" s="342"/>
      <c r="P84" s="529"/>
      <c r="R84" s="613"/>
    </row>
    <row r="85" spans="3:18" s="295" customFormat="1" ht="12.75" customHeight="1" x14ac:dyDescent="0.35">
      <c r="C85" s="541"/>
      <c r="I85" s="342"/>
      <c r="J85" s="342"/>
      <c r="K85" s="342"/>
      <c r="N85" s="342"/>
      <c r="O85" s="342"/>
      <c r="P85" s="529"/>
      <c r="R85" s="613"/>
    </row>
    <row r="86" spans="3:18" s="295" customFormat="1" ht="12.75" customHeight="1" x14ac:dyDescent="0.35">
      <c r="C86" s="541"/>
      <c r="I86" s="342"/>
      <c r="J86" s="342"/>
      <c r="K86" s="342"/>
      <c r="N86" s="342"/>
      <c r="O86" s="342"/>
      <c r="P86" s="529"/>
      <c r="R86" s="613"/>
    </row>
    <row r="87" spans="3:18" s="295" customFormat="1" ht="12.75" customHeight="1" x14ac:dyDescent="0.35">
      <c r="C87" s="541"/>
      <c r="I87" s="342"/>
      <c r="J87" s="342"/>
      <c r="K87" s="342"/>
      <c r="N87" s="342"/>
      <c r="O87" s="342"/>
      <c r="P87" s="529"/>
      <c r="R87" s="613"/>
    </row>
    <row r="88" spans="3:18" s="295" customFormat="1" ht="12.75" customHeight="1" x14ac:dyDescent="0.35">
      <c r="C88" s="541"/>
      <c r="I88" s="342"/>
      <c r="J88" s="342"/>
      <c r="K88" s="342"/>
      <c r="N88" s="342"/>
      <c r="O88" s="342"/>
      <c r="P88" s="529"/>
      <c r="R88" s="613"/>
    </row>
    <row r="89" spans="3:18" s="295" customFormat="1" ht="12.75" customHeight="1" x14ac:dyDescent="0.35">
      <c r="C89" s="541"/>
      <c r="I89" s="342"/>
      <c r="J89" s="342"/>
      <c r="K89" s="342"/>
      <c r="N89" s="342"/>
      <c r="O89" s="342"/>
      <c r="P89" s="529"/>
      <c r="R89" s="613"/>
    </row>
    <row r="90" spans="3:18" s="295" customFormat="1" ht="12.75" customHeight="1" x14ac:dyDescent="0.35">
      <c r="C90" s="541"/>
      <c r="I90" s="342"/>
      <c r="J90" s="342"/>
      <c r="K90" s="342"/>
      <c r="N90" s="342"/>
      <c r="O90" s="342"/>
      <c r="P90" s="529"/>
      <c r="R90" s="613"/>
    </row>
    <row r="91" spans="3:18" s="295" customFormat="1" ht="12.75" customHeight="1" x14ac:dyDescent="0.35">
      <c r="C91" s="541"/>
      <c r="I91" s="342"/>
      <c r="J91" s="342"/>
      <c r="K91" s="342"/>
      <c r="N91" s="342"/>
      <c r="O91" s="342"/>
      <c r="P91" s="529"/>
      <c r="R91" s="613"/>
    </row>
    <row r="92" spans="3:18" s="295" customFormat="1" ht="12.75" customHeight="1" x14ac:dyDescent="0.35">
      <c r="C92" s="541"/>
      <c r="I92" s="342"/>
      <c r="J92" s="342"/>
      <c r="K92" s="342"/>
      <c r="N92" s="342"/>
      <c r="O92" s="342"/>
      <c r="P92" s="529"/>
      <c r="R92" s="613"/>
    </row>
    <row r="93" spans="3:18" s="295" customFormat="1" ht="12.75" customHeight="1" x14ac:dyDescent="0.35">
      <c r="C93" s="541"/>
      <c r="I93" s="342"/>
      <c r="J93" s="342"/>
      <c r="K93" s="342"/>
      <c r="N93" s="342"/>
      <c r="O93" s="342"/>
      <c r="P93" s="529"/>
      <c r="R93" s="613"/>
    </row>
    <row r="94" spans="3:18" s="295" customFormat="1" ht="12.75" customHeight="1" x14ac:dyDescent="0.35">
      <c r="C94" s="541"/>
      <c r="I94" s="342"/>
      <c r="J94" s="342"/>
      <c r="K94" s="342"/>
      <c r="N94" s="342"/>
      <c r="O94" s="342"/>
      <c r="P94" s="529"/>
      <c r="R94" s="613"/>
    </row>
    <row r="95" spans="3:18" s="295" customFormat="1" ht="12.75" customHeight="1" x14ac:dyDescent="0.35">
      <c r="C95" s="541"/>
      <c r="I95" s="342"/>
      <c r="J95" s="342"/>
      <c r="K95" s="342"/>
      <c r="N95" s="342"/>
      <c r="O95" s="342"/>
      <c r="P95" s="529"/>
      <c r="R95" s="613"/>
    </row>
    <row r="96" spans="3:18" s="295" customFormat="1" ht="12.75" customHeight="1" x14ac:dyDescent="0.35">
      <c r="C96" s="541"/>
      <c r="I96" s="342"/>
      <c r="J96" s="342"/>
      <c r="K96" s="342"/>
      <c r="N96" s="342"/>
      <c r="O96" s="342"/>
      <c r="P96" s="529"/>
      <c r="R96" s="613"/>
    </row>
    <row r="97" spans="3:18" s="295" customFormat="1" ht="12.75" customHeight="1" x14ac:dyDescent="0.35">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6328125" defaultRowHeight="14.25" x14ac:dyDescent="0.45"/>
  <cols>
    <col min="1" max="1" width="11.59765625" bestFit="1" customWidth="1"/>
    <col min="2" max="2" width="10.59765625" customWidth="1"/>
    <col min="3" max="3" width="5.59765625" customWidth="1"/>
    <col min="4" max="4" width="46.265625" customWidth="1"/>
    <col min="5" max="5" width="7.59765625" bestFit="1" customWidth="1"/>
    <col min="6" max="6" width="9.59765625" bestFit="1" customWidth="1"/>
    <col min="7" max="7" width="42.59765625" bestFit="1" customWidth="1"/>
    <col min="8" max="8" width="9" bestFit="1" customWidth="1"/>
    <col min="9" max="9" width="9.265625" hidden="1" customWidth="1"/>
    <col min="10" max="10" width="12.265625" bestFit="1" customWidth="1"/>
    <col min="11" max="11" width="12.59765625" bestFit="1" customWidth="1"/>
    <col min="12" max="12" width="13.265625" bestFit="1" customWidth="1"/>
    <col min="13" max="13" width="14.59765625" bestFit="1" customWidth="1"/>
    <col min="14" max="14" width="11.59765625" bestFit="1" customWidth="1"/>
    <col min="15" max="15" width="11.265625" hidden="1" customWidth="1"/>
    <col min="16" max="16" width="11" hidden="1" customWidth="1"/>
    <col min="17" max="17" width="8.86328125" bestFit="1" customWidth="1"/>
    <col min="18" max="18" width="4.265625" hidden="1" customWidth="1"/>
    <col min="19" max="19" width="5.59765625" bestFit="1" customWidth="1"/>
    <col min="20" max="20" width="14" bestFit="1" customWidth="1"/>
    <col min="21" max="22" width="11.265625" bestFit="1" customWidth="1"/>
    <col min="23" max="23" width="9.59765625" bestFit="1" customWidth="1"/>
    <col min="24" max="24" width="40.265625" bestFit="1" customWidth="1"/>
    <col min="25" max="25" width="10.265625" bestFit="1" customWidth="1"/>
    <col min="26" max="26" width="8.265625" customWidth="1"/>
    <col min="27" max="27" width="21" hidden="1" customWidth="1"/>
    <col min="28" max="28" width="15.265625" hidden="1" customWidth="1"/>
    <col min="29" max="29" width="9.59765625" hidden="1" customWidth="1"/>
    <col min="30" max="30" width="8.86328125" bestFit="1" customWidth="1"/>
    <col min="31" max="31" width="11" bestFit="1" customWidth="1"/>
    <col min="32" max="32" width="12.59765625" bestFit="1" customWidth="1"/>
    <col min="33" max="33" width="8.265625" hidden="1" customWidth="1"/>
    <col min="34" max="34" width="6" hidden="1" customWidth="1"/>
    <col min="35" max="35" width="5.59765625" hidden="1" customWidth="1"/>
    <col min="36" max="36" width="8.265625" hidden="1" customWidth="1"/>
    <col min="37" max="37" width="14.59765625" hidden="1" customWidth="1"/>
    <col min="38" max="38" width="11.265625" hidden="1" customWidth="1"/>
    <col min="39" max="39" width="14" hidden="1" customWidth="1"/>
    <col min="40" max="41" width="11.59765625" style="203" customWidth="1"/>
    <col min="42" max="42" width="6" customWidth="1"/>
    <col min="43" max="44" width="46" customWidth="1"/>
    <col min="45" max="45" width="8.86328125" customWidth="1"/>
    <col min="46" max="46" width="12.265625" customWidth="1"/>
    <col min="47" max="47" width="29" customWidth="1"/>
    <col min="48" max="48" width="12.59765625" customWidth="1"/>
    <col min="49" max="49" width="14.59765625" customWidth="1"/>
    <col min="50" max="50" width="12.59765625" customWidth="1"/>
    <col min="51" max="51" width="11" customWidth="1"/>
    <col min="52" max="52" width="12.59765625" customWidth="1"/>
    <col min="53" max="53" width="13" customWidth="1"/>
    <col min="54" max="54" width="10.59765625" customWidth="1"/>
    <col min="55" max="55" width="14" customWidth="1"/>
    <col min="56" max="56" width="9.265625" customWidth="1"/>
    <col min="57" max="58" width="9.59765625" customWidth="1"/>
    <col min="59" max="60" width="8.86328125" customWidth="1"/>
    <col min="61" max="61" width="12.265625" customWidth="1"/>
    <col min="62" max="62" width="11.59765625" customWidth="1"/>
    <col min="63" max="63" width="8.86328125" customWidth="1"/>
  </cols>
  <sheetData>
    <row r="1" spans="1:62" ht="15.75" customHeight="1" thickBot="1" x14ac:dyDescent="0.5">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329363620.89276171</v>
      </c>
      <c r="AR1" s="208">
        <f>SUM(AR6:AR55)</f>
        <v>329363620.89276171</v>
      </c>
      <c r="AS1" s="205"/>
    </row>
    <row r="2" spans="1:62" x14ac:dyDescent="0.4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5">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4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45">
      <c r="A5" s="227" t="str">
        <f t="shared" ref="A5:A45" si="0">CONCATENATE(C5,E5)</f>
        <v>smc1</v>
      </c>
      <c r="B5" s="228">
        <f t="shared" ref="B5:B45"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5" si="3">IF($D5=$AQ$3,$M5-$AP5,0)</f>
        <v>867570.11164605082</v>
      </c>
      <c r="AR5" s="249">
        <f t="shared" ref="AR5:AR45"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4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5"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45">
      <c r="A7" s="227" t="str">
        <f t="shared" si="0"/>
        <v>smc3</v>
      </c>
      <c r="B7" s="228">
        <f t="shared" si="1"/>
        <v>46022</v>
      </c>
      <c r="C7" s="259" t="s">
        <v>60</v>
      </c>
      <c r="D7" s="260" t="s">
        <v>1</v>
      </c>
      <c r="E7" s="261">
        <f t="shared" ref="E7:E45" si="10">+E6+1</f>
        <v>3</v>
      </c>
      <c r="F7" s="287">
        <f t="shared" ref="F7:F45"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4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4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4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4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4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4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4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4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4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4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4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4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4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4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4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4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4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4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4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4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4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4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4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4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4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4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4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4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4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4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4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4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4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4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4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4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4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4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45">
      <c r="A46" s="227"/>
      <c r="B46" s="228"/>
      <c r="C46" s="259"/>
      <c r="D46" s="260"/>
      <c r="E46" s="261"/>
      <c r="F46" s="287"/>
      <c r="G46" s="230"/>
      <c r="H46" s="230"/>
      <c r="I46" s="231"/>
      <c r="J46" s="232"/>
      <c r="K46" s="232"/>
      <c r="L46" s="264"/>
      <c r="M46" s="233"/>
      <c r="N46" s="234"/>
      <c r="O46" s="235"/>
      <c r="P46" s="235"/>
      <c r="Q46" s="236"/>
      <c r="R46" s="268"/>
      <c r="S46" s="238"/>
      <c r="T46" s="230"/>
      <c r="U46" s="277"/>
      <c r="V46" s="293"/>
      <c r="W46" s="230"/>
      <c r="X46" s="294"/>
      <c r="Y46" s="230"/>
      <c r="Z46" s="240"/>
      <c r="AA46" s="241"/>
      <c r="AB46" s="241"/>
      <c r="AC46" s="242"/>
      <c r="AD46" s="290"/>
      <c r="AE46" s="290"/>
      <c r="AF46" s="290"/>
      <c r="AG46" s="243"/>
      <c r="AH46" s="243"/>
      <c r="AI46" s="244"/>
      <c r="AJ46" s="245"/>
      <c r="AK46" s="245"/>
      <c r="AL46" s="245"/>
      <c r="AM46" s="245"/>
      <c r="AN46" s="246"/>
      <c r="AO46" s="246"/>
      <c r="AP46" s="247"/>
      <c r="AQ46" s="248"/>
      <c r="AR46" s="249"/>
      <c r="AT46" s="634"/>
      <c r="AU46" s="635"/>
      <c r="AV46" s="634"/>
      <c r="AW46" s="636"/>
      <c r="AX46" s="637"/>
      <c r="AY46" s="638"/>
      <c r="AZ46" s="639"/>
      <c r="BA46" s="636"/>
      <c r="BB46" s="640"/>
      <c r="BC46" s="641"/>
      <c r="BD46" s="638"/>
      <c r="BE46" s="642"/>
      <c r="BF46" s="643"/>
      <c r="BG46" s="640"/>
      <c r="BH46" s="640"/>
      <c r="BI46" s="644"/>
      <c r="BJ46" s="644"/>
    </row>
    <row r="47" spans="1:62" ht="15" customHeight="1" x14ac:dyDescent="0.4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4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4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4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4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4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4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4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4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45">
      <c r="AD56" s="745"/>
      <c r="AE56" s="745"/>
      <c r="AF56" s="745"/>
      <c r="AG56" s="746"/>
      <c r="AH56" s="746"/>
      <c r="AI56" s="747"/>
      <c r="AJ56" s="748"/>
      <c r="AK56" s="748"/>
      <c r="AL56" s="748"/>
      <c r="AM56" s="748"/>
      <c r="AN56" s="749"/>
      <c r="AO56" s="749"/>
    </row>
    <row r="57" spans="1:62" x14ac:dyDescent="0.45">
      <c r="V57" s="633"/>
      <c r="AD57" s="290"/>
      <c r="AE57" s="290"/>
      <c r="AF57" s="290"/>
      <c r="AG57" s="243"/>
      <c r="AH57" s="243"/>
      <c r="AI57" s="244"/>
      <c r="AJ57" s="245"/>
      <c r="AK57" s="245"/>
      <c r="AL57" s="245"/>
      <c r="AM57" s="245"/>
      <c r="AN57" s="246"/>
      <c r="AO57" s="246"/>
    </row>
    <row r="58" spans="1:62" x14ac:dyDescent="0.45">
      <c r="AD58" s="290"/>
      <c r="AE58" s="290"/>
      <c r="AF58" s="290"/>
      <c r="AG58" s="243"/>
      <c r="AH58" s="243"/>
      <c r="AI58" s="244"/>
      <c r="AJ58" s="245"/>
      <c r="AK58" s="245"/>
      <c r="AL58" s="245"/>
      <c r="AM58" s="245"/>
      <c r="AN58" s="246"/>
      <c r="AO58" s="246"/>
    </row>
    <row r="59" spans="1:62" x14ac:dyDescent="0.45">
      <c r="AD59" s="290"/>
      <c r="AE59" s="290"/>
      <c r="AF59" s="290"/>
      <c r="AG59" s="243"/>
      <c r="AH59" s="243"/>
      <c r="AI59" s="244"/>
      <c r="AJ59" s="245"/>
      <c r="AK59" s="245"/>
      <c r="AL59" s="245"/>
      <c r="AM59" s="245"/>
      <c r="AN59" s="246"/>
      <c r="AO59" s="246"/>
    </row>
    <row r="60" spans="1:62" x14ac:dyDescent="0.45">
      <c r="AD60" s="290"/>
      <c r="AE60" s="290"/>
      <c r="AF60" s="290"/>
      <c r="AG60" s="243"/>
      <c r="AH60" s="243"/>
      <c r="AI60" s="244"/>
      <c r="AJ60" s="245"/>
      <c r="AK60" s="245"/>
      <c r="AL60" s="245"/>
      <c r="AM60" s="245"/>
      <c r="AN60" s="246"/>
      <c r="AO60" s="246"/>
    </row>
    <row r="61" spans="1:62" x14ac:dyDescent="0.45">
      <c r="AD61" s="290"/>
      <c r="AE61" s="290"/>
      <c r="AF61" s="290"/>
      <c r="AG61" s="243"/>
      <c r="AH61" s="243"/>
      <c r="AI61" s="244"/>
      <c r="AJ61" s="245"/>
      <c r="AK61" s="245"/>
      <c r="AL61" s="245"/>
      <c r="AM61" s="245"/>
      <c r="AN61" s="269"/>
      <c r="AO61" s="269"/>
    </row>
    <row r="62" spans="1:62" x14ac:dyDescent="0.45">
      <c r="AD62" s="290"/>
      <c r="AE62" s="290"/>
      <c r="AF62" s="290"/>
      <c r="AG62" s="243"/>
      <c r="AH62" s="243"/>
      <c r="AI62" s="244"/>
      <c r="AJ62" s="245"/>
      <c r="AK62" s="245"/>
      <c r="AL62" s="245"/>
      <c r="AM62" s="245"/>
      <c r="AN62" s="269"/>
      <c r="AO62" s="269"/>
    </row>
    <row r="63" spans="1:62" x14ac:dyDescent="0.45">
      <c r="AD63" s="290"/>
      <c r="AE63" s="290"/>
      <c r="AF63" s="290"/>
      <c r="AG63" s="243"/>
      <c r="AH63" s="243"/>
      <c r="AI63" s="244"/>
      <c r="AJ63" s="245"/>
      <c r="AK63" s="245"/>
      <c r="AL63" s="245"/>
      <c r="AM63" s="245"/>
      <c r="AN63" s="269"/>
      <c r="AO63" s="269"/>
    </row>
    <row r="64" spans="1:62" x14ac:dyDescent="0.45">
      <c r="AD64" s="290"/>
      <c r="AE64" s="290"/>
      <c r="AF64" s="290"/>
      <c r="AG64" s="243"/>
      <c r="AH64" s="243"/>
      <c r="AI64" s="244"/>
      <c r="AJ64" s="245"/>
      <c r="AK64" s="245"/>
      <c r="AL64" s="245"/>
      <c r="AM64" s="245"/>
      <c r="AN64" s="269"/>
      <c r="AO64" s="269"/>
    </row>
    <row r="65" spans="30:41" x14ac:dyDescent="0.45">
      <c r="AD65" s="290"/>
      <c r="AE65" s="290"/>
      <c r="AF65" s="290"/>
      <c r="AG65" s="243"/>
      <c r="AH65" s="243"/>
      <c r="AI65" s="244"/>
      <c r="AJ65" s="245"/>
      <c r="AK65" s="245"/>
      <c r="AL65" s="245"/>
      <c r="AM65" s="245"/>
      <c r="AN65" s="269"/>
      <c r="AO65" s="269"/>
    </row>
    <row r="66" spans="30:41" x14ac:dyDescent="0.45">
      <c r="AD66" s="290"/>
      <c r="AE66" s="290"/>
      <c r="AF66" s="290"/>
      <c r="AG66" s="243"/>
      <c r="AH66" s="243"/>
      <c r="AI66" s="244"/>
      <c r="AJ66" s="245"/>
      <c r="AK66" s="245"/>
      <c r="AL66" s="245"/>
      <c r="AM66" s="245"/>
      <c r="AN66" s="281"/>
      <c r="AO66" s="281"/>
    </row>
    <row r="67" spans="30:41" x14ac:dyDescent="0.45">
      <c r="AD67" s="290"/>
      <c r="AE67" s="290"/>
      <c r="AF67" s="290"/>
      <c r="AG67" s="243"/>
      <c r="AH67" s="243"/>
      <c r="AI67" s="244"/>
      <c r="AJ67" s="245"/>
      <c r="AK67" s="245"/>
      <c r="AL67" s="245"/>
      <c r="AM67" s="245"/>
      <c r="AN67" s="281"/>
      <c r="AO67" s="281"/>
    </row>
    <row r="68" spans="30:41" x14ac:dyDescent="0.45">
      <c r="AD68" s="290"/>
      <c r="AE68" s="290"/>
      <c r="AF68" s="290"/>
      <c r="AG68" s="243"/>
      <c r="AH68" s="243"/>
      <c r="AI68" s="244"/>
      <c r="AJ68" s="245"/>
      <c r="AK68" s="245"/>
      <c r="AL68" s="245"/>
      <c r="AM68" s="245"/>
      <c r="AN68" s="281"/>
      <c r="AO68" s="281"/>
    </row>
    <row r="69" spans="30:41" x14ac:dyDescent="0.45">
      <c r="AD69" s="290"/>
      <c r="AE69" s="290"/>
      <c r="AF69" s="290"/>
      <c r="AG69" s="282"/>
      <c r="AH69" s="282"/>
      <c r="AI69" s="283"/>
      <c r="AJ69" s="265"/>
      <c r="AK69" s="265"/>
      <c r="AL69" s="265"/>
      <c r="AM69" s="265"/>
      <c r="AN69" s="281"/>
      <c r="AO69" s="281"/>
    </row>
    <row r="70" spans="30:41" x14ac:dyDescent="0.45">
      <c r="AD70" s="290"/>
      <c r="AE70" s="290"/>
      <c r="AF70" s="290"/>
      <c r="AG70" s="282"/>
      <c r="AH70" s="282"/>
      <c r="AI70" s="283"/>
      <c r="AJ70" s="265"/>
      <c r="AK70" s="265"/>
      <c r="AL70" s="265"/>
      <c r="AM70" s="265"/>
      <c r="AN70" s="281"/>
      <c r="AO70" s="281"/>
    </row>
    <row r="71" spans="30:41" x14ac:dyDescent="0.45">
      <c r="AD71" s="290"/>
      <c r="AE71" s="290"/>
      <c r="AF71" s="290"/>
      <c r="AG71" s="243"/>
      <c r="AH71" s="243"/>
      <c r="AI71" s="244"/>
      <c r="AJ71" s="245"/>
      <c r="AK71" s="245"/>
      <c r="AL71" s="245"/>
      <c r="AM71" s="245"/>
      <c r="AN71" s="281"/>
      <c r="AO71" s="281"/>
    </row>
    <row r="72" spans="30:41" x14ac:dyDescent="0.45">
      <c r="AD72" s="290"/>
      <c r="AE72" s="290"/>
      <c r="AF72" s="290"/>
      <c r="AG72" s="243"/>
      <c r="AH72" s="243"/>
      <c r="AI72" s="244"/>
      <c r="AJ72" s="245"/>
      <c r="AK72" s="245"/>
      <c r="AL72" s="245"/>
      <c r="AM72" s="245"/>
      <c r="AN72" s="281"/>
      <c r="AO72" s="281"/>
    </row>
    <row r="73" spans="30:41" x14ac:dyDescent="0.45">
      <c r="AD73" s="290"/>
      <c r="AE73" s="290"/>
      <c r="AF73" s="290"/>
      <c r="AG73" s="243"/>
      <c r="AH73" s="243"/>
      <c r="AI73" s="244"/>
      <c r="AJ73" s="245"/>
      <c r="AK73" s="245"/>
      <c r="AL73" s="245"/>
      <c r="AM73" s="245"/>
      <c r="AN73" s="281"/>
      <c r="AO73" s="281"/>
    </row>
    <row r="74" spans="30:41" x14ac:dyDescent="0.45">
      <c r="AD74" s="290"/>
      <c r="AE74" s="290"/>
      <c r="AF74" s="290"/>
      <c r="AG74" s="243"/>
      <c r="AH74" s="243"/>
      <c r="AI74" s="244"/>
      <c r="AJ74" s="245"/>
      <c r="AK74" s="245"/>
      <c r="AL74" s="245"/>
      <c r="AM74" s="245"/>
      <c r="AN74" s="281"/>
      <c r="AO74" s="281"/>
    </row>
    <row r="75" spans="30:41" x14ac:dyDescent="0.45">
      <c r="AD75" s="290"/>
      <c r="AE75" s="290"/>
      <c r="AF75" s="290"/>
      <c r="AG75" s="243"/>
      <c r="AH75" s="243"/>
      <c r="AI75" s="244"/>
      <c r="AJ75" s="245"/>
      <c r="AK75" s="245"/>
      <c r="AL75" s="245"/>
      <c r="AM75" s="245"/>
      <c r="AN75" s="281"/>
      <c r="AO75" s="281"/>
    </row>
    <row r="76" spans="30:41" x14ac:dyDescent="0.45">
      <c r="AD76" s="290"/>
      <c r="AE76" s="290"/>
      <c r="AF76" s="290"/>
      <c r="AG76" s="243"/>
      <c r="AH76" s="243"/>
      <c r="AI76" s="244"/>
      <c r="AJ76" s="245"/>
      <c r="AK76" s="245"/>
      <c r="AL76" s="245"/>
      <c r="AM76" s="245"/>
      <c r="AN76" s="281"/>
      <c r="AO76" s="281"/>
    </row>
    <row r="77" spans="30:41" x14ac:dyDescent="0.45">
      <c r="AD77" s="290"/>
      <c r="AE77" s="290"/>
      <c r="AF77" s="290"/>
      <c r="AG77" s="243"/>
      <c r="AH77" s="243"/>
      <c r="AI77" s="244"/>
      <c r="AJ77" s="245"/>
      <c r="AK77" s="245"/>
      <c r="AL77" s="245"/>
      <c r="AM77" s="245"/>
      <c r="AN77" s="281"/>
      <c r="AO77" s="281"/>
    </row>
    <row r="78" spans="30:41" x14ac:dyDescent="0.45">
      <c r="AD78" s="290"/>
      <c r="AE78" s="290"/>
      <c r="AF78" s="290"/>
      <c r="AG78" s="243"/>
      <c r="AH78" s="243"/>
      <c r="AI78" s="244"/>
      <c r="AJ78" s="245"/>
      <c r="AK78" s="245"/>
      <c r="AL78" s="245"/>
      <c r="AM78" s="245"/>
      <c r="AN78" s="281"/>
      <c r="AO78" s="281"/>
    </row>
    <row r="79" spans="30:41" x14ac:dyDescent="0.45">
      <c r="AD79" s="290"/>
      <c r="AE79" s="290"/>
      <c r="AF79" s="290"/>
      <c r="AG79" s="243"/>
      <c r="AH79" s="243"/>
      <c r="AI79" s="244"/>
      <c r="AJ79" s="245"/>
      <c r="AK79" s="245"/>
      <c r="AL79" s="245"/>
      <c r="AM79" s="245"/>
      <c r="AN79" s="281"/>
      <c r="AO79" s="281"/>
    </row>
    <row r="80" spans="30:41" x14ac:dyDescent="0.45">
      <c r="AD80" s="290"/>
      <c r="AE80" s="290"/>
      <c r="AF80" s="290"/>
      <c r="AG80" s="243"/>
      <c r="AH80" s="243"/>
      <c r="AI80" s="244"/>
      <c r="AJ80" s="245"/>
      <c r="AK80" s="245"/>
      <c r="AL80" s="245"/>
      <c r="AM80" s="245"/>
      <c r="AN80" s="281"/>
      <c r="AO80" s="281"/>
    </row>
    <row r="81" spans="30:41" x14ac:dyDescent="0.45">
      <c r="AD81" s="290"/>
      <c r="AE81" s="290"/>
      <c r="AF81" s="290"/>
      <c r="AG81" s="243"/>
      <c r="AH81" s="243"/>
      <c r="AI81" s="244"/>
      <c r="AJ81" s="245"/>
      <c r="AK81" s="245"/>
      <c r="AL81" s="245"/>
      <c r="AM81" s="245"/>
      <c r="AN81" s="281"/>
      <c r="AO81" s="281"/>
    </row>
    <row r="82" spans="30:41" x14ac:dyDescent="0.45">
      <c r="AD82" s="290"/>
      <c r="AE82" s="290"/>
      <c r="AF82" s="290"/>
      <c r="AG82" s="243"/>
      <c r="AH82" s="243"/>
      <c r="AI82" s="244"/>
      <c r="AJ82" s="245"/>
      <c r="AK82" s="245"/>
      <c r="AL82" s="245"/>
      <c r="AM82" s="245"/>
      <c r="AN82" s="281"/>
      <c r="AO82" s="281"/>
    </row>
    <row r="84" spans="30:41" x14ac:dyDescent="0.45">
      <c r="AD84" s="667"/>
      <c r="AE84" s="667"/>
    </row>
    <row r="85" spans="30:41" x14ac:dyDescent="0.45">
      <c r="AD85" s="667"/>
      <c r="AE85" s="667"/>
    </row>
    <row r="86" spans="30:41" x14ac:dyDescent="0.45">
      <c r="AD86" s="667"/>
      <c r="AE86" s="667"/>
    </row>
    <row r="87" spans="30:41" x14ac:dyDescent="0.45">
      <c r="AD87" s="667"/>
      <c r="AE87" s="667"/>
    </row>
    <row r="88" spans="30:41" x14ac:dyDescent="0.45">
      <c r="AD88" s="667"/>
      <c r="AE88" s="667"/>
    </row>
    <row r="89" spans="30:41" x14ac:dyDescent="0.45">
      <c r="AD89" s="667"/>
      <c r="AE89" s="667"/>
    </row>
    <row r="90" spans="30:41" x14ac:dyDescent="0.45">
      <c r="AD90" s="667"/>
      <c r="AE90" s="667"/>
    </row>
    <row r="91" spans="30:41" x14ac:dyDescent="0.45">
      <c r="AD91" s="667"/>
      <c r="AE91" s="667"/>
    </row>
    <row r="92" spans="30:41" x14ac:dyDescent="0.45">
      <c r="AD92" s="667"/>
      <c r="AE92" s="667"/>
    </row>
    <row r="93" spans="30:41" x14ac:dyDescent="0.45">
      <c r="AD93" s="667"/>
      <c r="AE93" s="667"/>
    </row>
    <row r="94" spans="30:41" x14ac:dyDescent="0.45">
      <c r="AD94" s="667"/>
      <c r="AE94" s="667"/>
    </row>
    <row r="95" spans="30:41" x14ac:dyDescent="0.45">
      <c r="AD95" s="667"/>
      <c r="AE95" s="667"/>
    </row>
    <row r="96" spans="30:41" x14ac:dyDescent="0.45">
      <c r="AD96" s="667"/>
      <c r="AE96" s="667"/>
    </row>
    <row r="97" spans="30:31" x14ac:dyDescent="0.45">
      <c r="AD97" s="667"/>
      <c r="AE97" s="667"/>
    </row>
    <row r="98" spans="30:31" x14ac:dyDescent="0.45">
      <c r="AD98" s="667"/>
      <c r="AE98" s="667"/>
    </row>
    <row r="99" spans="30:31" x14ac:dyDescent="0.45">
      <c r="AD99" s="667"/>
      <c r="AE99" s="667"/>
    </row>
    <row r="100" spans="30:31" x14ac:dyDescent="0.45">
      <c r="AD100" s="667"/>
      <c r="AE100" s="667"/>
    </row>
    <row r="101" spans="30:31" x14ac:dyDescent="0.45">
      <c r="AD101" s="667"/>
      <c r="AE101" s="667"/>
    </row>
    <row r="102" spans="30:31" x14ac:dyDescent="0.45">
      <c r="AD102" s="667"/>
      <c r="AE102" s="667"/>
    </row>
    <row r="103" spans="30:31" x14ac:dyDescent="0.45">
      <c r="AD103" s="667"/>
      <c r="AE103" s="667"/>
    </row>
    <row r="104" spans="30:31" x14ac:dyDescent="0.45">
      <c r="AD104" s="667"/>
      <c r="AE104" s="667"/>
    </row>
    <row r="105" spans="30:31" x14ac:dyDescent="0.45">
      <c r="AD105" s="667"/>
      <c r="AE105" s="667"/>
    </row>
    <row r="106" spans="30:31" x14ac:dyDescent="0.45">
      <c r="AD106" s="667"/>
      <c r="AE106" s="667"/>
    </row>
    <row r="107" spans="30:31" x14ac:dyDescent="0.45">
      <c r="AD107" s="667"/>
      <c r="AE107" s="667"/>
    </row>
    <row r="108" spans="30:31" x14ac:dyDescent="0.45">
      <c r="AD108" s="667"/>
      <c r="AE108" s="667"/>
    </row>
    <row r="109" spans="30:31" x14ac:dyDescent="0.45">
      <c r="AD109" s="667"/>
      <c r="AE109" s="667"/>
    </row>
    <row r="110" spans="30:31" x14ac:dyDescent="0.45">
      <c r="AD110" s="667"/>
      <c r="AE110" s="667"/>
    </row>
    <row r="111" spans="30:31" x14ac:dyDescent="0.45">
      <c r="AD111" s="667"/>
      <c r="AE111" s="667"/>
    </row>
    <row r="112" spans="30:31" x14ac:dyDescent="0.45">
      <c r="AD112" s="667"/>
      <c r="AE112" s="667"/>
    </row>
    <row r="113" spans="30:31" x14ac:dyDescent="0.45">
      <c r="AD113" s="667"/>
      <c r="AE113" s="667"/>
    </row>
    <row r="114" spans="30:31" x14ac:dyDescent="0.45">
      <c r="AD114" s="667"/>
      <c r="AE114" s="667"/>
    </row>
    <row r="115" spans="30:31" x14ac:dyDescent="0.45">
      <c r="AD115" s="667"/>
      <c r="AE115" s="667"/>
    </row>
    <row r="116" spans="30:31" x14ac:dyDescent="0.45">
      <c r="AD116" s="667"/>
      <c r="AE116" s="667"/>
    </row>
    <row r="117" spans="30:31" x14ac:dyDescent="0.45">
      <c r="AD117" s="667"/>
      <c r="AE117" s="667"/>
    </row>
    <row r="118" spans="30:31" x14ac:dyDescent="0.45">
      <c r="AD118" s="667"/>
      <c r="AE118" s="667"/>
    </row>
    <row r="119" spans="30:31" x14ac:dyDescent="0.45">
      <c r="AD119" s="667"/>
      <c r="AE119" s="667"/>
    </row>
    <row r="120" spans="30:31" x14ac:dyDescent="0.45">
      <c r="AD120" s="667"/>
      <c r="AE120" s="667"/>
    </row>
    <row r="121" spans="30:31" x14ac:dyDescent="0.45">
      <c r="AD121" s="667"/>
      <c r="AE121" s="667"/>
    </row>
    <row r="122" spans="30:31" x14ac:dyDescent="0.45">
      <c r="AD122" s="667"/>
      <c r="AE122" s="667"/>
    </row>
    <row r="123" spans="30:31" x14ac:dyDescent="0.45">
      <c r="AD123" s="667"/>
      <c r="AE123" s="667"/>
    </row>
    <row r="124" spans="30:31" x14ac:dyDescent="0.4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4.25" x14ac:dyDescent="0.45"/>
  <cols>
    <col min="1" max="1" width="14.59765625" customWidth="1"/>
    <col min="2" max="2" width="42.59765625" bestFit="1" customWidth="1"/>
    <col min="3" max="3" width="14.59765625" style="154" bestFit="1" customWidth="1"/>
    <col min="4" max="4" width="18.59765625" style="154" bestFit="1" customWidth="1"/>
    <col min="5" max="5" width="27.86328125" style="154" customWidth="1"/>
    <col min="6" max="6" width="20.86328125" style="154" customWidth="1"/>
    <col min="7" max="7" width="18.59765625" style="154" bestFit="1" customWidth="1"/>
    <col min="8" max="8" width="21.265625" style="154" customWidth="1"/>
    <col min="9" max="9" width="24.59765625" style="154" customWidth="1"/>
    <col min="10" max="10" width="20.265625" style="154" customWidth="1"/>
    <col min="11" max="11" width="19.265625" style="154" customWidth="1"/>
    <col min="12" max="12" width="18.59765625" style="154" bestFit="1" customWidth="1"/>
    <col min="13" max="13" width="20.265625" bestFit="1" customWidth="1"/>
    <col min="14" max="14" width="19.59765625" bestFit="1" customWidth="1"/>
    <col min="15" max="15" width="24.59765625" bestFit="1" customWidth="1"/>
    <col min="17" max="17" width="12.86328125" bestFit="1" customWidth="1"/>
    <col min="18" max="18" width="12" bestFit="1" customWidth="1"/>
    <col min="19" max="19" width="34.86328125" bestFit="1" customWidth="1"/>
    <col min="20" max="20" width="16.86328125" bestFit="1" customWidth="1"/>
    <col min="21" max="21" width="21.59765625" customWidth="1"/>
    <col min="22" max="22" width="19.86328125" bestFit="1" customWidth="1"/>
    <col min="23" max="23" width="38.265625" bestFit="1" customWidth="1"/>
    <col min="25" max="25" width="14.265625" bestFit="1" customWidth="1"/>
    <col min="27" max="27" width="12.265625" customWidth="1"/>
  </cols>
  <sheetData>
    <row r="1" spans="1:31" s="168" customFormat="1" ht="39" customHeight="1" x14ac:dyDescent="0.4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4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4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4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4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4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4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4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4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4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4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4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4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4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4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4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4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4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4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4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4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4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4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4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4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4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4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4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4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4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4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4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4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4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4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4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4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4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4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4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4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4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45">
      <c r="A43" s="729"/>
      <c r="B43" s="730"/>
      <c r="C43" s="731"/>
      <c r="D43" s="732"/>
      <c r="E43" s="733"/>
      <c r="F43" s="734"/>
      <c r="G43" s="734"/>
      <c r="H43" s="734"/>
      <c r="I43" s="734"/>
      <c r="J43" s="734"/>
      <c r="K43" s="734"/>
      <c r="L43" s="734"/>
      <c r="M43" s="735"/>
      <c r="N43" s="735"/>
      <c r="O43" s="736"/>
      <c r="Q43" s="738"/>
      <c r="R43" s="739"/>
      <c r="S43" s="740"/>
      <c r="T43" s="740"/>
      <c r="U43" s="740"/>
      <c r="V43" s="663">
        <f t="shared" si="9"/>
        <v>0</v>
      </c>
      <c r="W43" s="741"/>
      <c r="Y43" s="742"/>
      <c r="Z43" s="742"/>
      <c r="AA43" s="743"/>
    </row>
    <row r="44" spans="1:27" s="737" customFormat="1" x14ac:dyDescent="0.4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4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4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4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4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4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4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4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4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4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4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4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4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4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4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4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4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4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4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4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45">
      <c r="B64" s="872" t="s">
        <v>750</v>
      </c>
      <c r="C64" s="873"/>
      <c r="D64" s="873">
        <f>SUM(D3:D62)</f>
        <v>380231191.00440782</v>
      </c>
      <c r="E64" s="873">
        <f>SUM(E3:E62)</f>
        <v>346151280.98247892</v>
      </c>
      <c r="F64" s="873">
        <f>SUMPRODUCT(F3:F62,$D$3:$D$62)/SUM($D$3:$D$62)</f>
        <v>190543355.06999794</v>
      </c>
      <c r="G64" s="873">
        <f>SUMPRODUCT(G3:G62,$D$3:$D$62)/SUM($D$3:$D$62)</f>
        <v>23207826.485119589</v>
      </c>
      <c r="H64" s="873"/>
      <c r="I64" s="873"/>
      <c r="J64" s="873"/>
      <c r="K64" s="873"/>
      <c r="L64" s="873"/>
      <c r="M64" s="874">
        <f>SUMPRODUCT(M3:M62,$D$3:$D$62)/SUM($D$3:$D$62)</f>
        <v>5.837136208782816</v>
      </c>
      <c r="N64" s="875">
        <f>SUMPRODUCT(N3:N62,$D$3:$D$62)/SUM($D$3:$D$62)</f>
        <v>0.77372000400454544</v>
      </c>
      <c r="O64" s="874">
        <f>SUMPRODUCT(O3:O62,$D$3:$D$62)/SUM($D$3:$D$62)</f>
        <v>1.7140700276902645</v>
      </c>
      <c r="S64" s="876">
        <f>SUM(S3:S63)</f>
        <v>307659547.18886173</v>
      </c>
      <c r="T64" s="876">
        <f>SUM(T3:T63)</f>
        <v>8725872.7029708326</v>
      </c>
      <c r="U64" s="876">
        <f>SUM(U3:U63)</f>
        <v>31297516.518516965</v>
      </c>
      <c r="V64" s="876">
        <f>SUM(V3:V63)</f>
        <v>330231191.00440782</v>
      </c>
      <c r="W64" s="669"/>
    </row>
    <row r="65" spans="2:21" x14ac:dyDescent="0.45">
      <c r="E65" s="284"/>
      <c r="M65" s="158"/>
      <c r="N65" s="158"/>
      <c r="O65" s="158"/>
    </row>
    <row r="66" spans="2:21" x14ac:dyDescent="0.45">
      <c r="M66" s="158"/>
      <c r="N66" s="158"/>
      <c r="O66" s="158"/>
    </row>
    <row r="67" spans="2:21" x14ac:dyDescent="0.45">
      <c r="B67" s="195" t="s">
        <v>239</v>
      </c>
      <c r="C67" s="154">
        <f>SUMIF($C$3:$C$62,B67,$D$3:$D$62)</f>
        <v>231207638.23737681</v>
      </c>
      <c r="D67" s="196">
        <f>+C67/$C$70</f>
        <v>0.65086525083465407</v>
      </c>
      <c r="E67" s="154" t="s">
        <v>597</v>
      </c>
      <c r="F67" s="705">
        <v>812617188.59429991</v>
      </c>
      <c r="G67" s="705">
        <v>89757112.481433406</v>
      </c>
      <c r="H67" s="705">
        <v>79850000</v>
      </c>
      <c r="I67" s="705">
        <v>45780000</v>
      </c>
      <c r="J67" s="705">
        <v>1751324612.62447</v>
      </c>
      <c r="K67" s="705">
        <v>15236387.3755295</v>
      </c>
      <c r="L67" s="705">
        <v>37631000</v>
      </c>
      <c r="M67" s="199">
        <f t="shared" ref="M67:M107" si="10">IF(SUM(H67:K67,-L67)/G67&lt;0,"N/M",SUM(H67:K67,-L67)/G67)</f>
        <v>20.661983755143886</v>
      </c>
      <c r="T67" s="632"/>
    </row>
    <row r="68" spans="2:21" x14ac:dyDescent="0.45">
      <c r="B68" s="195" t="s">
        <v>736</v>
      </c>
      <c r="C68" s="154">
        <f>SUMIF($C$3:$C$62,B68,$D$3:$D$62)</f>
        <v>124023552.76703103</v>
      </c>
      <c r="D68" s="196">
        <f>+C68/$C$70</f>
        <v>0.34913474916534598</v>
      </c>
      <c r="E68" s="154" t="s">
        <v>593</v>
      </c>
      <c r="F68" s="705">
        <v>86689801.220000029</v>
      </c>
      <c r="G68" s="705">
        <v>3365399.8700000071</v>
      </c>
      <c r="H68" s="705">
        <v>0</v>
      </c>
      <c r="I68" s="705">
        <v>5757265.6634297501</v>
      </c>
      <c r="J68" s="705">
        <v>0</v>
      </c>
      <c r="K68" s="705">
        <v>40212824.636718839</v>
      </c>
      <c r="L68" s="705">
        <v>1268672</v>
      </c>
      <c r="M68" s="199">
        <f t="shared" si="10"/>
        <v>13.282646944462055</v>
      </c>
      <c r="U68" s="704"/>
    </row>
    <row r="69" spans="2:21" x14ac:dyDescent="0.4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0"/>
        <v>N/M</v>
      </c>
      <c r="U69" s="631"/>
    </row>
    <row r="70" spans="2:21" x14ac:dyDescent="0.45">
      <c r="C70" s="877">
        <f>SUM(C67:C69)</f>
        <v>355231191.00440782</v>
      </c>
      <c r="D70" s="878">
        <f>SUM(D67:D69)</f>
        <v>1</v>
      </c>
      <c r="E70" s="154" t="s">
        <v>607</v>
      </c>
      <c r="F70" s="705">
        <v>745987</v>
      </c>
      <c r="G70" s="705">
        <v>745987</v>
      </c>
      <c r="H70" s="705">
        <v>0</v>
      </c>
      <c r="I70" s="705">
        <v>0</v>
      </c>
      <c r="J70" s="705">
        <v>15050702.748</v>
      </c>
      <c r="K70" s="705">
        <v>26849297.252</v>
      </c>
      <c r="L70" s="705">
        <v>30498</v>
      </c>
      <c r="M70" s="199">
        <f t="shared" si="10"/>
        <v>56.126315874137219</v>
      </c>
    </row>
    <row r="71" spans="2:21" x14ac:dyDescent="0.45">
      <c r="E71" s="154" t="s">
        <v>595</v>
      </c>
      <c r="F71" s="705">
        <v>31212408.32</v>
      </c>
      <c r="G71" s="705">
        <v>5668573.2105785096</v>
      </c>
      <c r="H71" s="705">
        <v>5507148.0899999999</v>
      </c>
      <c r="I71" s="705">
        <v>225625</v>
      </c>
      <c r="J71" s="705">
        <v>0</v>
      </c>
      <c r="K71" s="705">
        <v>27291631.234559301</v>
      </c>
      <c r="L71" s="705">
        <v>1999450.57</v>
      </c>
      <c r="M71" s="199">
        <f t="shared" si="10"/>
        <v>5.4731504034668772</v>
      </c>
    </row>
    <row r="72" spans="2:21" x14ac:dyDescent="0.45">
      <c r="E72" s="154" t="s">
        <v>450</v>
      </c>
      <c r="F72" s="705">
        <v>35430988.890000001</v>
      </c>
      <c r="G72" s="705">
        <v>290692.20000000211</v>
      </c>
      <c r="H72" s="705">
        <v>15852425.93</v>
      </c>
      <c r="I72" s="705">
        <v>0</v>
      </c>
      <c r="J72" s="705">
        <v>20282782.19582187</v>
      </c>
      <c r="K72" s="705">
        <v>59166702.668338053</v>
      </c>
      <c r="L72" s="705">
        <v>332853.39</v>
      </c>
      <c r="M72" s="199">
        <f t="shared" si="10"/>
        <v>326.69970987924421</v>
      </c>
    </row>
    <row r="73" spans="2:21" x14ac:dyDescent="0.4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0"/>
        <v>3.0789644857461158</v>
      </c>
    </row>
    <row r="74" spans="2:21" x14ac:dyDescent="0.45">
      <c r="E74" s="154" t="s">
        <v>738</v>
      </c>
      <c r="F74" s="705">
        <v>251516494.686277</v>
      </c>
      <c r="G74" s="705">
        <v>13430536.333625721</v>
      </c>
      <c r="H74" s="705">
        <v>25448687.199999999</v>
      </c>
      <c r="I74" s="705">
        <v>5156452.04</v>
      </c>
      <c r="J74" s="705">
        <v>0</v>
      </c>
      <c r="K74" s="705">
        <v>29689375.000000041</v>
      </c>
      <c r="L74" s="705">
        <v>2634019.4317100001</v>
      </c>
      <c r="M74" s="199">
        <f t="shared" si="10"/>
        <v>4.2932384363479814</v>
      </c>
    </row>
    <row r="75" spans="2:21" x14ac:dyDescent="0.45">
      <c r="E75" s="154" t="s">
        <v>706</v>
      </c>
      <c r="F75" s="705">
        <v>87330000</v>
      </c>
      <c r="G75" s="705">
        <v>33787000</v>
      </c>
      <c r="H75" s="705">
        <v>1100000</v>
      </c>
      <c r="I75" s="705">
        <v>34387500</v>
      </c>
      <c r="J75" s="705">
        <v>0</v>
      </c>
      <c r="K75" s="705">
        <v>90586499.999999985</v>
      </c>
      <c r="L75" s="705">
        <v>892000</v>
      </c>
      <c r="M75" s="199">
        <f t="shared" si="10"/>
        <v>3.7050344807174351</v>
      </c>
    </row>
    <row r="76" spans="2:21" x14ac:dyDescent="0.45">
      <c r="E76" s="154" t="s">
        <v>600</v>
      </c>
      <c r="F76" s="705">
        <v>61946604.369999997</v>
      </c>
      <c r="G76" s="705">
        <v>8998299.2970000003</v>
      </c>
      <c r="H76" s="705">
        <v>0</v>
      </c>
      <c r="I76" s="705">
        <v>0</v>
      </c>
      <c r="J76" s="705">
        <v>0</v>
      </c>
      <c r="K76" s="705">
        <v>19443750</v>
      </c>
      <c r="L76" s="705">
        <v>2228200</v>
      </c>
      <c r="M76" s="199">
        <f t="shared" si="10"/>
        <v>1.9132004206327746</v>
      </c>
    </row>
    <row r="77" spans="2:21" x14ac:dyDescent="0.45">
      <c r="E77" s="154" t="s">
        <v>482</v>
      </c>
      <c r="F77" s="705">
        <v>117988273.5948</v>
      </c>
      <c r="G77" s="705">
        <v>24987651.063099999</v>
      </c>
      <c r="H77" s="705">
        <v>1806586.36</v>
      </c>
      <c r="I77" s="705">
        <v>0</v>
      </c>
      <c r="J77" s="705">
        <v>34168383.330750093</v>
      </c>
      <c r="K77" s="705">
        <v>48004116.669503734</v>
      </c>
      <c r="L77" s="705">
        <v>3873450.34</v>
      </c>
      <c r="M77" s="199">
        <f t="shared" si="10"/>
        <v>3.2058089741195475</v>
      </c>
    </row>
    <row r="78" spans="2:21" x14ac:dyDescent="0.45">
      <c r="E78" s="154" t="s">
        <v>605</v>
      </c>
      <c r="F78" s="705">
        <v>204360960.53</v>
      </c>
      <c r="G78" s="705">
        <v>29422622.38000001</v>
      </c>
      <c r="H78" s="705">
        <v>3112476</v>
      </c>
      <c r="I78" s="705">
        <v>0</v>
      </c>
      <c r="J78" s="705">
        <v>40125027.158753403</v>
      </c>
      <c r="K78" s="705">
        <v>89567628.981246606</v>
      </c>
      <c r="L78" s="705">
        <v>2007849.8</v>
      </c>
      <c r="M78" s="199">
        <f t="shared" si="10"/>
        <v>4.4454665070544257</v>
      </c>
    </row>
    <row r="79" spans="2:21" x14ac:dyDescent="0.45">
      <c r="E79" s="154" t="s">
        <v>619</v>
      </c>
      <c r="F79" s="705">
        <v>77056137.904353902</v>
      </c>
      <c r="G79" s="705">
        <v>16482000</v>
      </c>
      <c r="H79" s="705">
        <v>0</v>
      </c>
      <c r="I79" s="705">
        <v>0</v>
      </c>
      <c r="J79" s="705">
        <v>14414473.685505711</v>
      </c>
      <c r="K79" s="705">
        <v>58399906.714494303</v>
      </c>
      <c r="L79" s="705">
        <v>4000000</v>
      </c>
      <c r="M79" s="199">
        <f t="shared" si="10"/>
        <v>4.175123188933382</v>
      </c>
    </row>
    <row r="80" spans="2:21" x14ac:dyDescent="0.45">
      <c r="E80" s="154" t="s">
        <v>626</v>
      </c>
      <c r="F80" s="705">
        <v>63553597.037780933</v>
      </c>
      <c r="G80" s="705">
        <v>10548165.897114251</v>
      </c>
      <c r="H80" s="705">
        <v>6680837.29</v>
      </c>
      <c r="I80" s="705">
        <v>11397560.0557593</v>
      </c>
      <c r="J80" s="705">
        <v>0</v>
      </c>
      <c r="K80" s="705">
        <v>29756783.338733781</v>
      </c>
      <c r="L80" s="705">
        <v>324445.36</v>
      </c>
      <c r="M80" s="199">
        <f t="shared" si="10"/>
        <v>4.5041702783126487</v>
      </c>
    </row>
    <row r="81" spans="5:13" x14ac:dyDescent="0.45">
      <c r="E81" s="154" t="s">
        <v>629</v>
      </c>
      <c r="F81" s="705">
        <v>57071775.619999997</v>
      </c>
      <c r="G81" s="705">
        <v>9021834.7600000072</v>
      </c>
      <c r="H81" s="705">
        <v>0</v>
      </c>
      <c r="I81" s="705">
        <v>14491250</v>
      </c>
      <c r="J81" s="705">
        <v>0</v>
      </c>
      <c r="K81" s="705">
        <v>22223555.60800514</v>
      </c>
      <c r="L81" s="705">
        <v>6509637.9400000004</v>
      </c>
      <c r="M81" s="199">
        <f t="shared" si="10"/>
        <v>3.3480071927193125</v>
      </c>
    </row>
    <row r="82" spans="5:13" x14ac:dyDescent="0.45">
      <c r="E82" s="154" t="s">
        <v>590</v>
      </c>
      <c r="F82" s="705">
        <v>72880420.920000002</v>
      </c>
      <c r="G82" s="705">
        <v>22832751.067209002</v>
      </c>
      <c r="H82" s="705">
        <v>0</v>
      </c>
      <c r="I82" s="705">
        <v>24587551.923110299</v>
      </c>
      <c r="J82" s="705">
        <v>78248127.337704048</v>
      </c>
      <c r="K82" s="705">
        <v>107519514.01688001</v>
      </c>
      <c r="L82" s="705">
        <v>8866398.8300000001</v>
      </c>
      <c r="M82" s="199">
        <f t="shared" si="10"/>
        <v>8.8245517964350864</v>
      </c>
    </row>
    <row r="83" spans="5:13" x14ac:dyDescent="0.45">
      <c r="E83" s="154" t="s">
        <v>699</v>
      </c>
      <c r="F83" s="705">
        <v>109540140.12</v>
      </c>
      <c r="G83" s="705">
        <v>11707432.546666659</v>
      </c>
      <c r="H83" s="705">
        <v>0</v>
      </c>
      <c r="I83" s="705">
        <v>10525055.991477</v>
      </c>
      <c r="J83" s="705">
        <v>0</v>
      </c>
      <c r="K83" s="705">
        <v>27002945.057273041</v>
      </c>
      <c r="L83" s="705">
        <v>5782267.4100000001</v>
      </c>
      <c r="M83" s="199">
        <f t="shared" si="10"/>
        <v>2.7115880029382438</v>
      </c>
    </row>
    <row r="84" spans="5:13" x14ac:dyDescent="0.45">
      <c r="E84" s="154" t="s">
        <v>476</v>
      </c>
      <c r="F84" s="705">
        <v>76503129.189999998</v>
      </c>
      <c r="G84" s="705">
        <v>32314396.840399958</v>
      </c>
      <c r="H84" s="705">
        <v>0</v>
      </c>
      <c r="I84" s="705">
        <v>14500535.687991301</v>
      </c>
      <c r="J84" s="705">
        <v>2853849.9068206032</v>
      </c>
      <c r="K84" s="705">
        <v>51582014.845188104</v>
      </c>
      <c r="L84" s="705">
        <v>10111472.08</v>
      </c>
      <c r="M84" s="199">
        <f t="shared" si="10"/>
        <v>1.820393821693004</v>
      </c>
    </row>
    <row r="85" spans="5:13" x14ac:dyDescent="0.45">
      <c r="E85" s="154" t="s">
        <v>599</v>
      </c>
      <c r="F85" s="705">
        <v>46395430.064459667</v>
      </c>
      <c r="G85" s="705">
        <v>-66000</v>
      </c>
      <c r="H85" s="705">
        <v>0</v>
      </c>
      <c r="I85" s="705">
        <v>4999950.9500000104</v>
      </c>
      <c r="J85" s="705">
        <v>13142296.83472478</v>
      </c>
      <c r="K85" s="705">
        <v>66229278.304351524</v>
      </c>
      <c r="L85" s="705">
        <v>3764744.9950618199</v>
      </c>
      <c r="M85" s="199" t="str">
        <f t="shared" si="10"/>
        <v>N/M</v>
      </c>
    </row>
    <row r="86" spans="5:13" x14ac:dyDescent="0.45">
      <c r="E86" s="154" t="s">
        <v>695</v>
      </c>
      <c r="F86" s="705">
        <v>108920925.84999999</v>
      </c>
      <c r="G86" s="705">
        <v>12100000</v>
      </c>
      <c r="H86" s="705">
        <v>2453371.7600000049</v>
      </c>
      <c r="I86" s="705">
        <v>0</v>
      </c>
      <c r="J86" s="705">
        <v>49210526.32</v>
      </c>
      <c r="K86" s="705">
        <v>6047723.3399999999</v>
      </c>
      <c r="L86" s="705">
        <v>0</v>
      </c>
      <c r="M86" s="199">
        <f t="shared" si="10"/>
        <v>4.7695554892561987</v>
      </c>
    </row>
    <row r="87" spans="5:13" x14ac:dyDescent="0.45">
      <c r="E87" s="154" t="s">
        <v>471</v>
      </c>
      <c r="F87" s="705">
        <v>42167015.340000004</v>
      </c>
      <c r="G87" s="705">
        <v>25320302.63999996</v>
      </c>
      <c r="H87" s="705">
        <v>53800000</v>
      </c>
      <c r="I87" s="705">
        <v>0</v>
      </c>
      <c r="J87" s="705">
        <v>0</v>
      </c>
      <c r="K87" s="705">
        <v>28012557.821366731</v>
      </c>
      <c r="L87" s="705">
        <v>2816161.5</v>
      </c>
      <c r="M87" s="199">
        <f t="shared" si="10"/>
        <v>3.1198835750316629</v>
      </c>
    </row>
    <row r="88" spans="5:13" x14ac:dyDescent="0.45">
      <c r="E88" s="154" t="s">
        <v>596</v>
      </c>
      <c r="F88" s="705">
        <v>29507241.568659149</v>
      </c>
      <c r="G88" s="705">
        <v>266047.47338196711</v>
      </c>
      <c r="H88" s="705">
        <v>7391922.0099999998</v>
      </c>
      <c r="I88" s="705">
        <v>0</v>
      </c>
      <c r="J88" s="705">
        <v>0</v>
      </c>
      <c r="K88" s="705">
        <v>13492917.867216211</v>
      </c>
      <c r="L88" s="705">
        <v>132661.35</v>
      </c>
      <c r="M88" s="199">
        <f t="shared" si="10"/>
        <v>78.001787663745617</v>
      </c>
    </row>
    <row r="89" spans="5:13" x14ac:dyDescent="0.45">
      <c r="E89" s="154" t="s">
        <v>617</v>
      </c>
      <c r="F89" s="705">
        <v>55501452.969999999</v>
      </c>
      <c r="G89" s="705">
        <v>8214755.4595000017</v>
      </c>
      <c r="H89" s="705">
        <v>4500000</v>
      </c>
      <c r="I89" s="705">
        <v>0</v>
      </c>
      <c r="J89" s="705">
        <v>3543750</v>
      </c>
      <c r="K89" s="705">
        <v>46068750</v>
      </c>
      <c r="L89" s="705">
        <v>1847459.97</v>
      </c>
      <c r="M89" s="199">
        <f t="shared" si="10"/>
        <v>6.3623366864265929</v>
      </c>
    </row>
    <row r="90" spans="5:13" x14ac:dyDescent="0.45">
      <c r="E90" s="154" t="s">
        <v>701</v>
      </c>
      <c r="F90" s="705">
        <v>47560220.399999999</v>
      </c>
      <c r="G90" s="705">
        <v>6332166.3499999968</v>
      </c>
      <c r="H90" s="705">
        <v>0</v>
      </c>
      <c r="I90" s="705">
        <v>8250000</v>
      </c>
      <c r="J90" s="705">
        <v>0</v>
      </c>
      <c r="K90" s="705">
        <v>15200000</v>
      </c>
      <c r="L90" s="705">
        <v>4786057.78</v>
      </c>
      <c r="M90" s="199">
        <f t="shared" si="10"/>
        <v>2.9474813497279659</v>
      </c>
    </row>
    <row r="91" spans="5:13" x14ac:dyDescent="0.45">
      <c r="E91" s="154" t="s">
        <v>606</v>
      </c>
      <c r="F91" s="705">
        <v>43432535.979999997</v>
      </c>
      <c r="G91" s="705">
        <v>8450009.8794886339</v>
      </c>
      <c r="H91" s="705">
        <v>2622624.62</v>
      </c>
      <c r="I91" s="705">
        <v>5775000</v>
      </c>
      <c r="J91" s="705">
        <v>0</v>
      </c>
      <c r="K91" s="705">
        <v>28955695.792202681</v>
      </c>
      <c r="L91" s="705">
        <v>355828.21</v>
      </c>
      <c r="M91" s="199">
        <f t="shared" si="10"/>
        <v>4.3783963249569178</v>
      </c>
    </row>
    <row r="92" spans="5:13" x14ac:dyDescent="0.45">
      <c r="E92" s="154" t="s">
        <v>707</v>
      </c>
      <c r="F92" s="705">
        <v>30464594</v>
      </c>
      <c r="G92" s="705">
        <v>9544317</v>
      </c>
      <c r="H92" s="705">
        <v>1600000</v>
      </c>
      <c r="I92" s="705">
        <v>0</v>
      </c>
      <c r="J92" s="705">
        <v>0</v>
      </c>
      <c r="K92" s="705">
        <v>21326249.999999981</v>
      </c>
      <c r="L92" s="705">
        <v>1580173</v>
      </c>
      <c r="M92" s="199">
        <f t="shared" si="10"/>
        <v>2.2365222152617084</v>
      </c>
    </row>
    <row r="93" spans="5:13" x14ac:dyDescent="0.45">
      <c r="E93" s="154" t="s">
        <v>458</v>
      </c>
      <c r="F93" s="705">
        <v>399134.77</v>
      </c>
      <c r="G93" s="705">
        <v>-8804510.4299999997</v>
      </c>
      <c r="H93" s="705">
        <v>0</v>
      </c>
      <c r="I93" s="705">
        <v>13781827.74</v>
      </c>
      <c r="J93" s="705">
        <v>20508126.400000021</v>
      </c>
      <c r="K93" s="705">
        <v>56575000.009999983</v>
      </c>
      <c r="L93" s="705">
        <v>248078.13</v>
      </c>
      <c r="M93" s="199" t="str">
        <f t="shared" si="10"/>
        <v>N/M</v>
      </c>
    </row>
    <row r="94" spans="5:13" x14ac:dyDescent="0.45">
      <c r="E94" s="154" t="s">
        <v>702</v>
      </c>
      <c r="F94" s="705">
        <v>32481795.609999999</v>
      </c>
      <c r="G94" s="705">
        <v>5544221.2000000002</v>
      </c>
      <c r="H94" s="705">
        <v>2500000</v>
      </c>
      <c r="I94" s="705">
        <v>2633801</v>
      </c>
      <c r="J94" s="705">
        <v>0</v>
      </c>
      <c r="K94" s="705">
        <v>5789200.9645400504</v>
      </c>
      <c r="L94" s="705">
        <v>2603143.5699999998</v>
      </c>
      <c r="M94" s="199">
        <f t="shared" si="10"/>
        <v>1.5006360847471325</v>
      </c>
    </row>
    <row r="95" spans="5:13" x14ac:dyDescent="0.45">
      <c r="E95" s="154" t="s">
        <v>602</v>
      </c>
      <c r="F95" s="705">
        <v>53460000</v>
      </c>
      <c r="G95" s="705">
        <v>18618569</v>
      </c>
      <c r="H95" s="705">
        <v>0</v>
      </c>
      <c r="I95" s="705">
        <v>0</v>
      </c>
      <c r="J95" s="705">
        <v>52311633.991422378</v>
      </c>
      <c r="K95" s="705">
        <v>21629491.965902619</v>
      </c>
      <c r="L95" s="705">
        <v>8928000</v>
      </c>
      <c r="M95" s="199">
        <f t="shared" si="10"/>
        <v>3.4918433289542818</v>
      </c>
    </row>
    <row r="96" spans="5:13" x14ac:dyDescent="0.45">
      <c r="E96" s="154" t="s">
        <v>624</v>
      </c>
      <c r="F96" s="705">
        <v>21612406.600000001</v>
      </c>
      <c r="G96" s="705">
        <v>2116919.919999999</v>
      </c>
      <c r="H96" s="705">
        <v>0</v>
      </c>
      <c r="I96" s="705">
        <v>559000</v>
      </c>
      <c r="J96" s="705">
        <v>235875.00000000931</v>
      </c>
      <c r="K96" s="705">
        <v>13805426.989999991</v>
      </c>
      <c r="L96" s="705">
        <v>1278666.98</v>
      </c>
      <c r="M96" s="199">
        <f t="shared" si="10"/>
        <v>6.2929328994173792</v>
      </c>
    </row>
    <row r="97" spans="5:13" x14ac:dyDescent="0.45">
      <c r="E97" s="154" t="s">
        <v>603</v>
      </c>
      <c r="F97" s="705">
        <v>123242000</v>
      </c>
      <c r="G97" s="705">
        <v>19440000</v>
      </c>
      <c r="H97" s="705">
        <v>13971000</v>
      </c>
      <c r="I97" s="705">
        <v>0</v>
      </c>
      <c r="J97" s="705">
        <v>0</v>
      </c>
      <c r="K97" s="705">
        <v>87544537.166724801</v>
      </c>
      <c r="L97" s="705">
        <v>226000</v>
      </c>
      <c r="M97" s="199">
        <f t="shared" si="10"/>
        <v>5.2103671382060082</v>
      </c>
    </row>
    <row r="98" spans="5:13" x14ac:dyDescent="0.45">
      <c r="E98" s="154" t="s">
        <v>623</v>
      </c>
      <c r="F98" s="705">
        <v>131177904.433351</v>
      </c>
      <c r="G98" s="705">
        <v>17249798.99419539</v>
      </c>
      <c r="H98" s="705">
        <v>3250000</v>
      </c>
      <c r="I98" s="705">
        <v>23550118.8251421</v>
      </c>
      <c r="J98" s="705">
        <v>0</v>
      </c>
      <c r="K98" s="705">
        <v>68878150.093644783</v>
      </c>
      <c r="L98" s="705">
        <v>3927718.8469250002</v>
      </c>
      <c r="M98" s="199">
        <f t="shared" si="10"/>
        <v>5.3189344468730457</v>
      </c>
    </row>
    <row r="99" spans="5:13" x14ac:dyDescent="0.45">
      <c r="E99" s="154" t="s">
        <v>700</v>
      </c>
      <c r="F99" s="705">
        <v>72985625.409999996</v>
      </c>
      <c r="G99" s="705">
        <v>16292642</v>
      </c>
      <c r="H99" s="705">
        <v>2500000</v>
      </c>
      <c r="I99" s="705">
        <v>0</v>
      </c>
      <c r="J99" s="705">
        <v>30015116.560461842</v>
      </c>
      <c r="K99" s="705">
        <v>23142110.919538159</v>
      </c>
      <c r="L99" s="705">
        <v>605330.97</v>
      </c>
      <c r="M99" s="199">
        <f t="shared" si="10"/>
        <v>3.3789422556513551</v>
      </c>
    </row>
    <row r="100" spans="5:13" x14ac:dyDescent="0.45">
      <c r="E100" s="154" t="s">
        <v>598</v>
      </c>
      <c r="F100" s="705">
        <v>21528516.289999999</v>
      </c>
      <c r="G100" s="705">
        <v>1847982.1600000011</v>
      </c>
      <c r="H100" s="705">
        <v>0</v>
      </c>
      <c r="I100" s="705">
        <v>3720760.23</v>
      </c>
      <c r="J100" s="705">
        <v>0</v>
      </c>
      <c r="K100" s="705">
        <v>11301532.275994079</v>
      </c>
      <c r="L100" s="705">
        <v>2338850.79</v>
      </c>
      <c r="M100" s="199">
        <f t="shared" si="10"/>
        <v>6.8634005189714991</v>
      </c>
    </row>
    <row r="101" spans="5:13" x14ac:dyDescent="0.45">
      <c r="E101" s="154" t="s">
        <v>704</v>
      </c>
      <c r="F101" s="705">
        <v>177270814.2691986</v>
      </c>
      <c r="G101" s="705">
        <v>19313244.379999992</v>
      </c>
      <c r="H101" s="705">
        <v>9485920.8000000007</v>
      </c>
      <c r="I101" s="705">
        <v>11425000</v>
      </c>
      <c r="J101" s="705">
        <v>0</v>
      </c>
      <c r="K101" s="705">
        <v>25999999.999999959</v>
      </c>
      <c r="L101" s="705">
        <v>522284.75</v>
      </c>
      <c r="M101" s="199">
        <f t="shared" si="10"/>
        <v>2.4019079931509664</v>
      </c>
    </row>
    <row r="102" spans="5:13" x14ac:dyDescent="0.45">
      <c r="E102" s="154" t="s">
        <v>703</v>
      </c>
      <c r="F102" s="705">
        <v>124319042.64</v>
      </c>
      <c r="G102" s="705">
        <v>17235868.71666665</v>
      </c>
      <c r="H102" s="705">
        <v>0</v>
      </c>
      <c r="I102" s="705">
        <v>9206465.4438291602</v>
      </c>
      <c r="J102" s="705">
        <v>0</v>
      </c>
      <c r="K102" s="705">
        <v>10656690.805625871</v>
      </c>
      <c r="L102" s="705">
        <v>13036281</v>
      </c>
      <c r="M102" s="199">
        <f t="shared" si="10"/>
        <v>0.39608535906598169</v>
      </c>
    </row>
    <row r="103" spans="5:13" x14ac:dyDescent="0.45">
      <c r="E103" s="154" t="s">
        <v>708</v>
      </c>
      <c r="F103" s="705">
        <v>1013196245.2</v>
      </c>
      <c r="G103" s="705">
        <v>95350436.387310371</v>
      </c>
      <c r="H103" s="705">
        <v>0</v>
      </c>
      <c r="I103" s="705">
        <v>57912473.736687496</v>
      </c>
      <c r="J103" s="705">
        <v>306278873.4855625</v>
      </c>
      <c r="K103" s="705">
        <v>10944529.293312499</v>
      </c>
      <c r="L103" s="705">
        <v>26975037</v>
      </c>
      <c r="M103" s="199">
        <f t="shared" si="10"/>
        <v>3.6513817105287747</v>
      </c>
    </row>
    <row r="104" spans="5:13" x14ac:dyDescent="0.45">
      <c r="E104" s="154" t="s">
        <v>709</v>
      </c>
      <c r="F104" s="705">
        <v>1601818000</v>
      </c>
      <c r="G104" s="705">
        <v>151990000</v>
      </c>
      <c r="H104" s="705">
        <v>39047507.000000007</v>
      </c>
      <c r="I104" s="705">
        <v>2931996</v>
      </c>
      <c r="J104" s="705">
        <v>610227543.42963719</v>
      </c>
      <c r="K104" s="705">
        <v>9153328.1581878383</v>
      </c>
      <c r="L104" s="705">
        <v>64935000</v>
      </c>
      <c r="M104" s="199">
        <f t="shared" si="10"/>
        <v>3.9241093136905394</v>
      </c>
    </row>
    <row r="105" spans="5:13" x14ac:dyDescent="0.45">
      <c r="E105" s="154" t="s">
        <v>705</v>
      </c>
      <c r="F105" s="705">
        <v>193515971.96000001</v>
      </c>
      <c r="G105" s="705">
        <v>27210419.402019031</v>
      </c>
      <c r="H105" s="705">
        <v>20500000</v>
      </c>
      <c r="I105" s="705">
        <v>7500000</v>
      </c>
      <c r="J105" s="705">
        <v>0</v>
      </c>
      <c r="K105" s="705">
        <v>45000000</v>
      </c>
      <c r="L105" s="705">
        <v>3833452</v>
      </c>
      <c r="M105" s="199">
        <f t="shared" si="10"/>
        <v>2.541914072624246</v>
      </c>
    </row>
    <row r="106" spans="5:13" x14ac:dyDescent="0.45">
      <c r="E106" s="154" t="s">
        <v>711</v>
      </c>
      <c r="F106" s="705">
        <v>50100000</v>
      </c>
      <c r="G106" s="705">
        <v>11600000</v>
      </c>
      <c r="H106" s="705">
        <v>0</v>
      </c>
      <c r="I106" s="705">
        <v>10000000</v>
      </c>
      <c r="J106" s="705">
        <v>0</v>
      </c>
      <c r="K106" s="705">
        <v>15000000</v>
      </c>
      <c r="L106" s="705">
        <v>2058000</v>
      </c>
      <c r="M106" s="199">
        <f t="shared" si="10"/>
        <v>1.9777586206896551</v>
      </c>
    </row>
    <row r="107" spans="5:13" x14ac:dyDescent="0.45">
      <c r="E107" s="154" t="s">
        <v>710</v>
      </c>
      <c r="F107" s="705">
        <v>369553712.00999999</v>
      </c>
      <c r="G107" s="705">
        <v>36689296.447460763</v>
      </c>
      <c r="H107" s="705">
        <v>25041802</v>
      </c>
      <c r="I107" s="705">
        <v>11441352</v>
      </c>
      <c r="J107" s="705">
        <v>42582206.327660426</v>
      </c>
      <c r="K107" s="705">
        <v>25153293.67233957</v>
      </c>
      <c r="L107" s="705">
        <v>0</v>
      </c>
      <c r="M107" s="199">
        <f t="shared" si="10"/>
        <v>2.8405737937559414</v>
      </c>
    </row>
    <row r="109" spans="5:13" x14ac:dyDescent="0.45">
      <c r="F109" s="155" t="s">
        <v>718</v>
      </c>
      <c r="G109" s="155" t="s">
        <v>719</v>
      </c>
      <c r="H109" s="155" t="s">
        <v>525</v>
      </c>
      <c r="I109" s="155" t="s">
        <v>720</v>
      </c>
      <c r="J109" s="155" t="s">
        <v>721</v>
      </c>
      <c r="K109" s="155" t="s">
        <v>722</v>
      </c>
      <c r="L109" s="155" t="s">
        <v>723</v>
      </c>
    </row>
    <row r="110" spans="5:13" x14ac:dyDescent="0.45">
      <c r="E110" s="154" t="s">
        <v>597</v>
      </c>
      <c r="F110" s="154">
        <f t="shared" ref="F110:L119" si="11">F3-F67</f>
        <v>-4753682.9936000109</v>
      </c>
      <c r="G110" s="154">
        <f t="shared" si="11"/>
        <v>-8001976.7496334016</v>
      </c>
      <c r="H110" s="154">
        <f t="shared" si="11"/>
        <v>0</v>
      </c>
      <c r="I110" s="154">
        <f t="shared" si="11"/>
        <v>-3271000</v>
      </c>
      <c r="J110" s="154">
        <f t="shared" si="11"/>
        <v>-7165406.0099999905</v>
      </c>
      <c r="K110" s="154">
        <f t="shared" si="11"/>
        <v>-37593.990000000224</v>
      </c>
      <c r="L110" s="154">
        <f t="shared" si="11"/>
        <v>11973000</v>
      </c>
      <c r="M110" s="199">
        <f t="shared" ref="M110:M149" si="12">IFERROR(M3-M67,"N/A")</f>
        <v>1.7477766054810076</v>
      </c>
    </row>
    <row r="111" spans="5:13" x14ac:dyDescent="0.45">
      <c r="E111" s="154" t="s">
        <v>593</v>
      </c>
      <c r="F111" s="154">
        <f t="shared" si="11"/>
        <v>-4076256.4899999946</v>
      </c>
      <c r="G111" s="154">
        <f t="shared" si="11"/>
        <v>-1174009.01999998</v>
      </c>
      <c r="H111" s="154">
        <f t="shared" si="11"/>
        <v>0</v>
      </c>
      <c r="I111" s="154">
        <f t="shared" si="11"/>
        <v>333845.60194622912</v>
      </c>
      <c r="J111" s="154">
        <f t="shared" si="11"/>
        <v>0</v>
      </c>
      <c r="K111" s="154">
        <f t="shared" si="11"/>
        <v>-4631720.2307158709</v>
      </c>
      <c r="L111" s="154">
        <f t="shared" si="11"/>
        <v>134444.43999999994</v>
      </c>
      <c r="M111" s="199">
        <f t="shared" si="12"/>
        <v>5.0933991321100223</v>
      </c>
    </row>
    <row r="112" spans="5:13" x14ac:dyDescent="0.45">
      <c r="E112" s="154" t="s">
        <v>697</v>
      </c>
      <c r="F112" s="154">
        <f t="shared" si="11"/>
        <v>-580012.39999999851</v>
      </c>
      <c r="G112" s="154">
        <f t="shared" si="11"/>
        <v>2062558.3000000019</v>
      </c>
      <c r="H112" s="154">
        <f t="shared" si="11"/>
        <v>-1640137</v>
      </c>
      <c r="I112" s="154">
        <f t="shared" si="11"/>
        <v>0</v>
      </c>
      <c r="J112" s="154">
        <f t="shared" si="11"/>
        <v>3970.7357460758649</v>
      </c>
      <c r="K112" s="154">
        <f t="shared" si="11"/>
        <v>281592.76425391994</v>
      </c>
      <c r="L112" s="154">
        <f t="shared" si="11"/>
        <v>-1103577.0300000003</v>
      </c>
      <c r="M112" s="199" t="str">
        <f t="shared" si="12"/>
        <v>N/A</v>
      </c>
    </row>
    <row r="113" spans="5:13" x14ac:dyDescent="0.45">
      <c r="E113" s="154" t="s">
        <v>607</v>
      </c>
      <c r="F113" s="154">
        <f t="shared" si="11"/>
        <v>-92790.890000000014</v>
      </c>
      <c r="G113" s="154">
        <f t="shared" si="11"/>
        <v>-92790.890000000014</v>
      </c>
      <c r="H113" s="154">
        <f t="shared" si="11"/>
        <v>0</v>
      </c>
      <c r="I113" s="154">
        <f t="shared" si="11"/>
        <v>3190000</v>
      </c>
      <c r="J113" s="154">
        <f t="shared" si="11"/>
        <v>-5.4710488766431808E-3</v>
      </c>
      <c r="K113" s="154">
        <f t="shared" si="11"/>
        <v>2711849.2639373913</v>
      </c>
      <c r="L113" s="154">
        <f t="shared" si="11"/>
        <v>49166</v>
      </c>
      <c r="M113" s="199">
        <f t="shared" si="12"/>
        <v>16.933190341333585</v>
      </c>
    </row>
    <row r="114" spans="5:13" x14ac:dyDescent="0.45">
      <c r="E114" s="154" t="s">
        <v>595</v>
      </c>
      <c r="F114" s="154">
        <f t="shared" si="11"/>
        <v>-509550.60000000149</v>
      </c>
      <c r="G114" s="154">
        <f t="shared" si="11"/>
        <v>-4366861.2319218935</v>
      </c>
      <c r="H114" s="154">
        <f t="shared" si="11"/>
        <v>750000</v>
      </c>
      <c r="I114" s="154">
        <f t="shared" si="11"/>
        <v>-225625</v>
      </c>
      <c r="J114" s="154">
        <f t="shared" si="11"/>
        <v>6628198.2887558835</v>
      </c>
      <c r="K114" s="154">
        <f t="shared" si="11"/>
        <v>406360.51007459685</v>
      </c>
      <c r="L114" s="154">
        <f t="shared" si="11"/>
        <v>-789416.54</v>
      </c>
      <c r="M114" s="199">
        <f t="shared" si="12"/>
        <v>24.774173688936074</v>
      </c>
    </row>
    <row r="115" spans="5:13" x14ac:dyDescent="0.45">
      <c r="E115" s="154" t="s">
        <v>450</v>
      </c>
      <c r="F115" s="154">
        <f t="shared" si="11"/>
        <v>0</v>
      </c>
      <c r="G115" s="154">
        <f t="shared" si="11"/>
        <v>0</v>
      </c>
      <c r="H115" s="154">
        <f t="shared" si="11"/>
        <v>0</v>
      </c>
      <c r="I115" s="154">
        <f t="shared" si="11"/>
        <v>0</v>
      </c>
      <c r="J115" s="154">
        <f t="shared" si="11"/>
        <v>0</v>
      </c>
      <c r="K115" s="154">
        <f t="shared" si="11"/>
        <v>0</v>
      </c>
      <c r="L115" s="154">
        <f t="shared" si="11"/>
        <v>0</v>
      </c>
      <c r="M115" s="199" t="str">
        <f t="shared" si="12"/>
        <v>N/A</v>
      </c>
    </row>
    <row r="116" spans="5:13" x14ac:dyDescent="0.45">
      <c r="E116" s="154" t="s">
        <v>694</v>
      </c>
      <c r="F116" s="154">
        <f t="shared" si="11"/>
        <v>4587240.9500002414</v>
      </c>
      <c r="G116" s="154">
        <f t="shared" si="11"/>
        <v>762882.53248476982</v>
      </c>
      <c r="H116" s="154">
        <f t="shared" si="11"/>
        <v>-500000</v>
      </c>
      <c r="I116" s="154">
        <f t="shared" si="11"/>
        <v>-400000</v>
      </c>
      <c r="J116" s="154">
        <f t="shared" si="11"/>
        <v>0</v>
      </c>
      <c r="K116" s="154">
        <f t="shared" si="11"/>
        <v>-19207999.99999997</v>
      </c>
      <c r="L116" s="154">
        <f t="shared" si="11"/>
        <v>-1201966.5099999821</v>
      </c>
      <c r="M116" s="199">
        <f t="shared" si="12"/>
        <v>-1.3212490323206119</v>
      </c>
    </row>
    <row r="117" spans="5:13" x14ac:dyDescent="0.45">
      <c r="E117" s="154" t="s">
        <v>738</v>
      </c>
      <c r="F117" s="154">
        <f t="shared" si="11"/>
        <v>-19813866.154449016</v>
      </c>
      <c r="G117" s="154">
        <f t="shared" si="11"/>
        <v>-3218999.2417942304</v>
      </c>
      <c r="H117" s="154">
        <f t="shared" si="11"/>
        <v>-1993954.2599999979</v>
      </c>
      <c r="I117" s="154">
        <f t="shared" si="11"/>
        <v>-930944.86000000034</v>
      </c>
      <c r="J117" s="154">
        <f t="shared" si="11"/>
        <v>0</v>
      </c>
      <c r="K117" s="154">
        <f t="shared" si="11"/>
        <v>-200000.00000002235</v>
      </c>
      <c r="L117" s="154">
        <f t="shared" si="11"/>
        <v>-1535637.6357200001</v>
      </c>
      <c r="M117" s="199">
        <f t="shared" si="12"/>
        <v>1.1977305352932275</v>
      </c>
    </row>
    <row r="118" spans="5:13" x14ac:dyDescent="0.45">
      <c r="E118" s="154" t="s">
        <v>706</v>
      </c>
      <c r="F118" s="154">
        <f t="shared" si="11"/>
        <v>-2985000</v>
      </c>
      <c r="G118" s="154">
        <f t="shared" si="11"/>
        <v>-1700000</v>
      </c>
      <c r="H118" s="154">
        <f t="shared" si="11"/>
        <v>200000</v>
      </c>
      <c r="I118" s="154">
        <f t="shared" si="11"/>
        <v>4900069.7204181999</v>
      </c>
      <c r="J118" s="154">
        <f t="shared" si="11"/>
        <v>0</v>
      </c>
      <c r="K118" s="154">
        <f t="shared" si="11"/>
        <v>19719430.279581815</v>
      </c>
      <c r="L118" s="154">
        <f t="shared" si="11"/>
        <v>-568000</v>
      </c>
      <c r="M118" s="199">
        <f t="shared" si="12"/>
        <v>0.987504553782518</v>
      </c>
    </row>
    <row r="119" spans="5:13" x14ac:dyDescent="0.45">
      <c r="E119" s="154" t="s">
        <v>600</v>
      </c>
      <c r="F119" s="154">
        <f t="shared" si="11"/>
        <v>3652385.3800000027</v>
      </c>
      <c r="G119" s="154">
        <f t="shared" si="11"/>
        <v>1299337.9450000003</v>
      </c>
      <c r="H119" s="154">
        <f t="shared" si="11"/>
        <v>0</v>
      </c>
      <c r="I119" s="154">
        <f t="shared" si="11"/>
        <v>0</v>
      </c>
      <c r="J119" s="154">
        <f t="shared" si="11"/>
        <v>7224950</v>
      </c>
      <c r="K119" s="154">
        <f t="shared" si="11"/>
        <v>2375000.0048979595</v>
      </c>
      <c r="L119" s="154">
        <f t="shared" si="11"/>
        <v>-201800</v>
      </c>
      <c r="M119" s="199">
        <f t="shared" si="12"/>
        <v>0.71044026217405909</v>
      </c>
    </row>
    <row r="120" spans="5:13" x14ac:dyDescent="0.45">
      <c r="E120" s="154" t="s">
        <v>482</v>
      </c>
      <c r="F120" s="154">
        <f t="shared" ref="F120:L129" si="13">F13-F77</f>
        <v>4150937.9010000974</v>
      </c>
      <c r="G120" s="154">
        <f t="shared" si="13"/>
        <v>-4126520.5602000393</v>
      </c>
      <c r="H120" s="154">
        <f t="shared" si="13"/>
        <v>-6313.9200000001583</v>
      </c>
      <c r="I120" s="154">
        <f t="shared" si="13"/>
        <v>0</v>
      </c>
      <c r="J120" s="154">
        <f t="shared" si="13"/>
        <v>-234026.63462503254</v>
      </c>
      <c r="K120" s="154">
        <f t="shared" si="13"/>
        <v>-325348.36537500471</v>
      </c>
      <c r="L120" s="154">
        <f t="shared" si="13"/>
        <v>-676056.38999999966</v>
      </c>
      <c r="M120" s="199">
        <f t="shared" si="12"/>
        <v>0.63942863076973477</v>
      </c>
    </row>
    <row r="121" spans="5:13" x14ac:dyDescent="0.45">
      <c r="E121" s="154" t="s">
        <v>605</v>
      </c>
      <c r="F121" s="154">
        <f t="shared" si="13"/>
        <v>-2786852.1899999976</v>
      </c>
      <c r="G121" s="154">
        <f t="shared" si="13"/>
        <v>-6084806.526031021</v>
      </c>
      <c r="H121" s="154">
        <f t="shared" si="13"/>
        <v>7205348.9199999999</v>
      </c>
      <c r="I121" s="154">
        <f t="shared" si="13"/>
        <v>0</v>
      </c>
      <c r="J121" s="154">
        <f t="shared" si="13"/>
        <v>-200050.56019761413</v>
      </c>
      <c r="K121" s="154">
        <f t="shared" si="13"/>
        <v>-225013.57980239391</v>
      </c>
      <c r="L121" s="154">
        <f t="shared" si="13"/>
        <v>-1388173.2200000002</v>
      </c>
      <c r="M121" s="199">
        <f t="shared" si="12"/>
        <v>1.5090641658048574</v>
      </c>
    </row>
    <row r="122" spans="5:13" x14ac:dyDescent="0.45">
      <c r="E122" s="154" t="s">
        <v>619</v>
      </c>
      <c r="F122" s="154">
        <f t="shared" si="13"/>
        <v>-21219453.904353902</v>
      </c>
      <c r="G122" s="154">
        <f t="shared" si="13"/>
        <v>812828.21000000089</v>
      </c>
      <c r="H122" s="154">
        <f t="shared" si="13"/>
        <v>0</v>
      </c>
      <c r="I122" s="154">
        <f t="shared" si="13"/>
        <v>0</v>
      </c>
      <c r="J122" s="154">
        <f t="shared" si="13"/>
        <v>-36877.522323910147</v>
      </c>
      <c r="K122" s="154">
        <f t="shared" si="13"/>
        <v>-149408.42867610604</v>
      </c>
      <c r="L122" s="154">
        <f t="shared" si="13"/>
        <v>3126782</v>
      </c>
      <c r="M122" s="199">
        <f t="shared" si="12"/>
        <v>-0.38778794317900989</v>
      </c>
    </row>
    <row r="123" spans="5:13" x14ac:dyDescent="0.45">
      <c r="E123" s="154" t="s">
        <v>626</v>
      </c>
      <c r="F123" s="154">
        <f t="shared" si="13"/>
        <v>-389821.23000000417</v>
      </c>
      <c r="G123" s="154">
        <f t="shared" si="13"/>
        <v>236708.10000000894</v>
      </c>
      <c r="H123" s="154">
        <f t="shared" si="13"/>
        <v>0</v>
      </c>
      <c r="I123" s="154">
        <f t="shared" si="13"/>
        <v>0</v>
      </c>
      <c r="J123" s="154">
        <f t="shared" si="13"/>
        <v>0</v>
      </c>
      <c r="K123" s="154">
        <f t="shared" si="13"/>
        <v>1398775.1545491107</v>
      </c>
      <c r="L123" s="154">
        <f t="shared" si="13"/>
        <v>0</v>
      </c>
      <c r="M123" s="199">
        <f t="shared" si="12"/>
        <v>3.0839633915259235E-2</v>
      </c>
    </row>
    <row r="124" spans="5:13" x14ac:dyDescent="0.45">
      <c r="E124" s="154" t="s">
        <v>629</v>
      </c>
      <c r="F124" s="154">
        <f t="shared" si="13"/>
        <v>-11696055.93</v>
      </c>
      <c r="G124" s="154">
        <f t="shared" si="13"/>
        <v>-3609944.3700000066</v>
      </c>
      <c r="H124" s="154">
        <f t="shared" si="13"/>
        <v>0</v>
      </c>
      <c r="I124" s="154">
        <f t="shared" si="13"/>
        <v>-231250</v>
      </c>
      <c r="J124" s="154">
        <f t="shared" si="13"/>
        <v>0</v>
      </c>
      <c r="K124" s="154">
        <f t="shared" si="13"/>
        <v>227766.85666295886</v>
      </c>
      <c r="L124" s="154">
        <f t="shared" si="13"/>
        <v>-8263.5300000002608</v>
      </c>
      <c r="M124" s="199">
        <f t="shared" si="12"/>
        <v>2.2341361763499368</v>
      </c>
    </row>
    <row r="125" spans="5:13" x14ac:dyDescent="0.45">
      <c r="E125" s="154" t="s">
        <v>590</v>
      </c>
      <c r="F125" s="154">
        <f t="shared" si="13"/>
        <v>-5160120.9200000018</v>
      </c>
      <c r="G125" s="154">
        <f t="shared" si="13"/>
        <v>-2115265.0672090016</v>
      </c>
      <c r="H125" s="154">
        <f t="shared" si="13"/>
        <v>0</v>
      </c>
      <c r="I125" s="154">
        <f t="shared" si="13"/>
        <v>-2331884.3574999981</v>
      </c>
      <c r="J125" s="154">
        <f t="shared" si="13"/>
        <v>-187003.24779351056</v>
      </c>
      <c r="K125" s="154">
        <f t="shared" si="13"/>
        <v>-256958.20470650494</v>
      </c>
      <c r="L125" s="154">
        <f t="shared" si="13"/>
        <v>911751.49000000022</v>
      </c>
      <c r="M125" s="199">
        <f t="shared" si="12"/>
        <v>0.72299645086163444</v>
      </c>
    </row>
    <row r="126" spans="5:13" x14ac:dyDescent="0.45">
      <c r="E126" s="154" t="s">
        <v>699</v>
      </c>
      <c r="F126" s="154">
        <f t="shared" si="13"/>
        <v>-1760495.9699999988</v>
      </c>
      <c r="G126" s="154">
        <f t="shared" si="13"/>
        <v>695527.55333334021</v>
      </c>
      <c r="H126" s="154">
        <f t="shared" si="13"/>
        <v>0</v>
      </c>
      <c r="I126" s="154">
        <f t="shared" si="13"/>
        <v>-281249.99718749896</v>
      </c>
      <c r="J126" s="154">
        <f t="shared" si="13"/>
        <v>0</v>
      </c>
      <c r="K126" s="154">
        <f t="shared" si="13"/>
        <v>-93749.999062541872</v>
      </c>
      <c r="L126" s="154">
        <f t="shared" si="13"/>
        <v>642663.58999999985</v>
      </c>
      <c r="M126" s="199">
        <f t="shared" si="12"/>
        <v>-0.23410925554632067</v>
      </c>
    </row>
    <row r="127" spans="5:13" x14ac:dyDescent="0.45">
      <c r="E127" s="154" t="s">
        <v>476</v>
      </c>
      <c r="F127" s="154">
        <f t="shared" si="13"/>
        <v>-360533.79000000656</v>
      </c>
      <c r="G127" s="154">
        <f t="shared" si="13"/>
        <v>-1370689.8533333279</v>
      </c>
      <c r="H127" s="154">
        <f t="shared" si="13"/>
        <v>0</v>
      </c>
      <c r="I127" s="154">
        <f t="shared" si="13"/>
        <v>-725527.92799130082</v>
      </c>
      <c r="J127" s="154">
        <f t="shared" si="13"/>
        <v>-180909.47896518605</v>
      </c>
      <c r="K127" s="154">
        <f t="shared" si="13"/>
        <v>-667955.27304352075</v>
      </c>
      <c r="L127" s="154">
        <f t="shared" si="13"/>
        <v>2196804.41</v>
      </c>
      <c r="M127" s="199">
        <f t="shared" si="12"/>
        <v>-4.1236227775426348E-2</v>
      </c>
    </row>
    <row r="128" spans="5:13" x14ac:dyDescent="0.45">
      <c r="E128" s="154" t="s">
        <v>599</v>
      </c>
      <c r="F128" s="154">
        <f t="shared" si="13"/>
        <v>-8070458.9444596767</v>
      </c>
      <c r="G128" s="154">
        <f t="shared" si="13"/>
        <v>-2216450.0076401201</v>
      </c>
      <c r="H128" s="154">
        <f t="shared" si="13"/>
        <v>0</v>
      </c>
      <c r="I128" s="154">
        <f t="shared" si="13"/>
        <v>0</v>
      </c>
      <c r="J128" s="154">
        <f t="shared" si="13"/>
        <v>-4768527.6906419694</v>
      </c>
      <c r="K128" s="154">
        <f t="shared" si="13"/>
        <v>10380127.277584806</v>
      </c>
      <c r="L128" s="154">
        <f t="shared" si="13"/>
        <v>529039.76722024055</v>
      </c>
      <c r="M128" s="199" t="str">
        <f t="shared" si="12"/>
        <v>N/A</v>
      </c>
    </row>
    <row r="129" spans="5:13" x14ac:dyDescent="0.45">
      <c r="E129" s="154" t="s">
        <v>695</v>
      </c>
      <c r="F129" s="154">
        <f t="shared" si="13"/>
        <v>0</v>
      </c>
      <c r="G129" s="154">
        <f t="shared" si="13"/>
        <v>0</v>
      </c>
      <c r="H129" s="154">
        <f t="shared" si="13"/>
        <v>0</v>
      </c>
      <c r="I129" s="154">
        <f t="shared" si="13"/>
        <v>0</v>
      </c>
      <c r="J129" s="154">
        <f t="shared" si="13"/>
        <v>0</v>
      </c>
      <c r="K129" s="154">
        <f t="shared" si="13"/>
        <v>0</v>
      </c>
      <c r="L129" s="154">
        <f t="shared" si="13"/>
        <v>0</v>
      </c>
      <c r="M129" s="199">
        <f t="shared" si="12"/>
        <v>0</v>
      </c>
    </row>
    <row r="130" spans="5:13" x14ac:dyDescent="0.45">
      <c r="E130" s="154" t="s">
        <v>471</v>
      </c>
      <c r="F130" s="154">
        <f t="shared" ref="F130:L139" si="14">F23-F87</f>
        <v>2501330.8999999985</v>
      </c>
      <c r="G130" s="154">
        <f t="shared" si="14"/>
        <v>1760240.2300000004</v>
      </c>
      <c r="H130" s="154">
        <f t="shared" si="14"/>
        <v>5200000</v>
      </c>
      <c r="I130" s="154">
        <f t="shared" si="14"/>
        <v>0</v>
      </c>
      <c r="J130" s="154">
        <f t="shared" si="14"/>
        <v>0</v>
      </c>
      <c r="K130" s="154">
        <f t="shared" si="14"/>
        <v>0</v>
      </c>
      <c r="L130" s="154">
        <f t="shared" si="14"/>
        <v>1098037.0699999998</v>
      </c>
      <c r="M130" s="199">
        <f t="shared" si="12"/>
        <v>-5.1320302490189817E-2</v>
      </c>
    </row>
    <row r="131" spans="5:13" x14ac:dyDescent="0.45">
      <c r="E131" s="154" t="s">
        <v>596</v>
      </c>
      <c r="F131" s="154">
        <f t="shared" si="14"/>
        <v>-726179.97865913063</v>
      </c>
      <c r="G131" s="154">
        <f t="shared" si="14"/>
        <v>504567.61161805008</v>
      </c>
      <c r="H131" s="154">
        <f t="shared" si="14"/>
        <v>-2515801.2799999993</v>
      </c>
      <c r="I131" s="154">
        <f t="shared" si="14"/>
        <v>0</v>
      </c>
      <c r="J131" s="154">
        <f t="shared" si="14"/>
        <v>0</v>
      </c>
      <c r="K131" s="154">
        <f t="shared" si="14"/>
        <v>472893.77840646915</v>
      </c>
      <c r="L131" s="154">
        <f t="shared" si="14"/>
        <v>193786.58</v>
      </c>
      <c r="M131" s="199" t="str">
        <f t="shared" si="12"/>
        <v>N/A</v>
      </c>
    </row>
    <row r="132" spans="5:13" x14ac:dyDescent="0.45">
      <c r="E132" s="154" t="s">
        <v>617</v>
      </c>
      <c r="F132" s="154">
        <f t="shared" si="14"/>
        <v>-1947152.5500000119</v>
      </c>
      <c r="G132" s="154">
        <f t="shared" si="14"/>
        <v>137244.54049999826</v>
      </c>
      <c r="H132" s="154">
        <f t="shared" si="14"/>
        <v>-250000</v>
      </c>
      <c r="I132" s="154">
        <f t="shared" si="14"/>
        <v>0</v>
      </c>
      <c r="J132" s="154">
        <f t="shared" si="14"/>
        <v>-18750</v>
      </c>
      <c r="K132" s="154">
        <f t="shared" si="14"/>
        <v>-243750</v>
      </c>
      <c r="L132" s="154">
        <f t="shared" si="14"/>
        <v>-903459.97</v>
      </c>
      <c r="M132" s="199">
        <f t="shared" si="12"/>
        <v>-5.773898527716792E-2</v>
      </c>
    </row>
    <row r="133" spans="5:13" x14ac:dyDescent="0.45">
      <c r="E133" s="154" t="s">
        <v>701</v>
      </c>
      <c r="F133" s="154">
        <f t="shared" si="14"/>
        <v>2525881.2500000149</v>
      </c>
      <c r="G133" s="154">
        <f t="shared" si="14"/>
        <v>882265.69000000134</v>
      </c>
      <c r="H133" s="154">
        <f t="shared" si="14"/>
        <v>0</v>
      </c>
      <c r="I133" s="154">
        <f t="shared" si="14"/>
        <v>-616951.8200000003</v>
      </c>
      <c r="J133" s="154">
        <f t="shared" si="14"/>
        <v>0</v>
      </c>
      <c r="K133" s="154">
        <f t="shared" si="14"/>
        <v>-443737.1799999997</v>
      </c>
      <c r="L133" s="154">
        <f t="shared" si="14"/>
        <v>-699164.61000000034</v>
      </c>
      <c r="M133" s="199">
        <f t="shared" si="12"/>
        <v>-0.41056399732609838</v>
      </c>
    </row>
    <row r="134" spans="5:13" x14ac:dyDescent="0.45">
      <c r="E134" s="154" t="s">
        <v>606</v>
      </c>
      <c r="F134" s="154">
        <f t="shared" si="14"/>
        <v>1274423.5200000033</v>
      </c>
      <c r="G134" s="154">
        <f t="shared" si="14"/>
        <v>87302.51999999769</v>
      </c>
      <c r="H134" s="154">
        <f t="shared" si="14"/>
        <v>474375.37999999989</v>
      </c>
      <c r="I134" s="154">
        <f t="shared" si="14"/>
        <v>-175000</v>
      </c>
      <c r="J134" s="154">
        <f t="shared" si="14"/>
        <v>0</v>
      </c>
      <c r="K134" s="154">
        <f t="shared" si="14"/>
        <v>133304.38154712692</v>
      </c>
      <c r="L134" s="154">
        <f t="shared" si="14"/>
        <v>-1828.210000000021</v>
      </c>
      <c r="M134" s="199">
        <f t="shared" si="12"/>
        <v>6.1217086097009599E-3</v>
      </c>
    </row>
    <row r="135" spans="5:13" x14ac:dyDescent="0.45">
      <c r="E135" s="154" t="s">
        <v>707</v>
      </c>
      <c r="F135" s="154">
        <f t="shared" si="14"/>
        <v>-351204</v>
      </c>
      <c r="G135" s="154">
        <f t="shared" si="14"/>
        <v>859122</v>
      </c>
      <c r="H135" s="154">
        <f t="shared" si="14"/>
        <v>0</v>
      </c>
      <c r="I135" s="154">
        <f t="shared" si="14"/>
        <v>4300000.00476282</v>
      </c>
      <c r="J135" s="154">
        <f t="shared" si="14"/>
        <v>0</v>
      </c>
      <c r="K135" s="154">
        <f t="shared" si="14"/>
        <v>4165625.0047628395</v>
      </c>
      <c r="L135" s="154">
        <f t="shared" si="14"/>
        <v>1889351</v>
      </c>
      <c r="M135" s="199">
        <f t="shared" si="12"/>
        <v>0.44743171665692394</v>
      </c>
    </row>
    <row r="136" spans="5:13" x14ac:dyDescent="0.45">
      <c r="E136" s="154" t="s">
        <v>458</v>
      </c>
      <c r="F136" s="154">
        <f t="shared" si="14"/>
        <v>0</v>
      </c>
      <c r="G136" s="154">
        <f t="shared" si="14"/>
        <v>0</v>
      </c>
      <c r="H136" s="154">
        <f t="shared" si="14"/>
        <v>0</v>
      </c>
      <c r="I136" s="154">
        <f t="shared" si="14"/>
        <v>0</v>
      </c>
      <c r="J136" s="154">
        <f t="shared" si="14"/>
        <v>0</v>
      </c>
      <c r="K136" s="154">
        <f t="shared" si="14"/>
        <v>43798997.529379718</v>
      </c>
      <c r="L136" s="154">
        <f t="shared" si="14"/>
        <v>0</v>
      </c>
      <c r="M136" s="199" t="str">
        <f t="shared" si="12"/>
        <v>N/A</v>
      </c>
    </row>
    <row r="137" spans="5:13" x14ac:dyDescent="0.45">
      <c r="E137" s="154" t="s">
        <v>702</v>
      </c>
      <c r="F137" s="154">
        <f t="shared" si="14"/>
        <v>1970833.6500000134</v>
      </c>
      <c r="G137" s="154">
        <f t="shared" si="14"/>
        <v>1061995.46</v>
      </c>
      <c r="H137" s="154">
        <f t="shared" si="14"/>
        <v>-1300000</v>
      </c>
      <c r="I137" s="154">
        <f t="shared" si="14"/>
        <v>0</v>
      </c>
      <c r="J137" s="154">
        <f t="shared" si="14"/>
        <v>0</v>
      </c>
      <c r="K137" s="154">
        <f t="shared" si="14"/>
        <v>82703.009248199873</v>
      </c>
      <c r="L137" s="154">
        <f t="shared" si="14"/>
        <v>-571347.7799999998</v>
      </c>
      <c r="M137" s="199">
        <f t="shared" si="12"/>
        <v>-0.3390167224496432</v>
      </c>
    </row>
    <row r="138" spans="5:13" x14ac:dyDescent="0.45">
      <c r="E138" s="154" t="s">
        <v>602</v>
      </c>
      <c r="F138" s="154">
        <f t="shared" si="14"/>
        <v>0</v>
      </c>
      <c r="G138" s="154">
        <f t="shared" si="14"/>
        <v>0</v>
      </c>
      <c r="H138" s="154">
        <f t="shared" si="14"/>
        <v>0</v>
      </c>
      <c r="I138" s="154">
        <f t="shared" si="14"/>
        <v>0</v>
      </c>
      <c r="J138" s="154">
        <f t="shared" si="14"/>
        <v>0</v>
      </c>
      <c r="K138" s="154">
        <f t="shared" si="14"/>
        <v>-9250.0000074878335</v>
      </c>
      <c r="L138" s="154">
        <f t="shared" si="14"/>
        <v>0</v>
      </c>
      <c r="M138" s="199">
        <f t="shared" si="12"/>
        <v>-4.9681584054583894E-4</v>
      </c>
    </row>
    <row r="139" spans="5:13" x14ac:dyDescent="0.45">
      <c r="E139" s="154" t="s">
        <v>624</v>
      </c>
      <c r="F139" s="154">
        <f t="shared" si="14"/>
        <v>0</v>
      </c>
      <c r="G139" s="154">
        <f t="shared" si="14"/>
        <v>0</v>
      </c>
      <c r="H139" s="154">
        <f t="shared" si="14"/>
        <v>0</v>
      </c>
      <c r="I139" s="154">
        <f t="shared" si="14"/>
        <v>0</v>
      </c>
      <c r="J139" s="154">
        <f t="shared" si="14"/>
        <v>0</v>
      </c>
      <c r="K139" s="154">
        <f t="shared" si="14"/>
        <v>93728.282145150006</v>
      </c>
      <c r="L139" s="154">
        <f t="shared" si="14"/>
        <v>0</v>
      </c>
      <c r="M139" s="199">
        <f t="shared" si="12"/>
        <v>4.4275780703669554E-2</v>
      </c>
    </row>
    <row r="140" spans="5:13" x14ac:dyDescent="0.45">
      <c r="E140" s="154" t="s">
        <v>603</v>
      </c>
      <c r="F140" s="154">
        <f t="shared" ref="F140:L149" si="15">F33-F97</f>
        <v>-1619000</v>
      </c>
      <c r="G140" s="154">
        <f t="shared" si="15"/>
        <v>-2204000</v>
      </c>
      <c r="H140" s="154">
        <f t="shared" si="15"/>
        <v>2766000</v>
      </c>
      <c r="I140" s="154">
        <f t="shared" si="15"/>
        <v>0</v>
      </c>
      <c r="J140" s="154">
        <f t="shared" si="15"/>
        <v>0</v>
      </c>
      <c r="K140" s="154">
        <f t="shared" si="15"/>
        <v>-712079.59273910522</v>
      </c>
      <c r="L140" s="154">
        <f t="shared" si="15"/>
        <v>124000</v>
      </c>
      <c r="M140" s="199">
        <f t="shared" si="12"/>
        <v>0.77822984334340539</v>
      </c>
    </row>
    <row r="141" spans="5:13" x14ac:dyDescent="0.45">
      <c r="E141" s="154" t="s">
        <v>623</v>
      </c>
      <c r="F141" s="154">
        <f t="shared" si="15"/>
        <v>173376.4141280055</v>
      </c>
      <c r="G141" s="154">
        <f t="shared" si="15"/>
        <v>-3001329.0570770204</v>
      </c>
      <c r="H141" s="154">
        <f t="shared" si="15"/>
        <v>0</v>
      </c>
      <c r="I141" s="154">
        <f t="shared" si="15"/>
        <v>-1256563</v>
      </c>
      <c r="J141" s="154">
        <f t="shared" si="15"/>
        <v>0</v>
      </c>
      <c r="K141" s="154">
        <f t="shared" si="15"/>
        <v>177267.29437090456</v>
      </c>
      <c r="L141" s="154">
        <f t="shared" si="15"/>
        <v>952612.02669200068</v>
      </c>
      <c r="M141" s="199">
        <f t="shared" si="12"/>
        <v>0.97778672638196795</v>
      </c>
    </row>
    <row r="142" spans="5:13" x14ac:dyDescent="0.45">
      <c r="E142" s="154" t="s">
        <v>700</v>
      </c>
      <c r="F142" s="154">
        <f t="shared" si="15"/>
        <v>278464</v>
      </c>
      <c r="G142" s="154">
        <f t="shared" si="15"/>
        <v>-924789.50999999978</v>
      </c>
      <c r="H142" s="154">
        <f t="shared" si="15"/>
        <v>400000</v>
      </c>
      <c r="I142" s="154">
        <f t="shared" si="15"/>
        <v>0</v>
      </c>
      <c r="J142" s="154">
        <f t="shared" si="15"/>
        <v>-78552.233083300292</v>
      </c>
      <c r="K142" s="154">
        <f t="shared" si="15"/>
        <v>-61447.768750000745</v>
      </c>
      <c r="L142" s="154">
        <f t="shared" si="15"/>
        <v>-79755.520000000019</v>
      </c>
      <c r="M142" s="199">
        <f t="shared" si="12"/>
        <v>0.22544242101121315</v>
      </c>
    </row>
    <row r="143" spans="5:13" x14ac:dyDescent="0.45">
      <c r="E143" s="154" t="s">
        <v>598</v>
      </c>
      <c r="F143" s="154">
        <f t="shared" si="15"/>
        <v>639272.06000000238</v>
      </c>
      <c r="G143" s="154">
        <f t="shared" si="15"/>
        <v>154916.14999999991</v>
      </c>
      <c r="H143" s="154">
        <f t="shared" si="15"/>
        <v>0</v>
      </c>
      <c r="I143" s="154">
        <f t="shared" si="15"/>
        <v>-250000</v>
      </c>
      <c r="J143" s="154">
        <f t="shared" si="15"/>
        <v>0</v>
      </c>
      <c r="K143" s="154">
        <f t="shared" si="15"/>
        <v>0</v>
      </c>
      <c r="L143" s="154">
        <f t="shared" si="15"/>
        <v>-91313.310000000056</v>
      </c>
      <c r="M143" s="199">
        <f t="shared" si="12"/>
        <v>-0.61008502938277775</v>
      </c>
    </row>
    <row r="144" spans="5:13" x14ac:dyDescent="0.45">
      <c r="E144" s="154" t="s">
        <v>704</v>
      </c>
      <c r="F144" s="154">
        <f t="shared" si="15"/>
        <v>269581.37585121393</v>
      </c>
      <c r="G144" s="154">
        <f t="shared" si="15"/>
        <v>1536996.7099999897</v>
      </c>
      <c r="H144" s="154">
        <f t="shared" si="15"/>
        <v>1298612.7799999993</v>
      </c>
      <c r="I144" s="154">
        <f t="shared" si="15"/>
        <v>-224125</v>
      </c>
      <c r="J144" s="154">
        <f t="shared" si="15"/>
        <v>0</v>
      </c>
      <c r="K144" s="154">
        <f t="shared" si="15"/>
        <v>6129999.9950000122</v>
      </c>
      <c r="L144" s="154">
        <f t="shared" si="15"/>
        <v>596479.19999999995</v>
      </c>
      <c r="M144" s="199">
        <f t="shared" si="12"/>
        <v>0.1398681137170632</v>
      </c>
    </row>
    <row r="145" spans="2:15" x14ac:dyDescent="0.45">
      <c r="E145" s="154" t="s">
        <v>703</v>
      </c>
      <c r="F145" s="154">
        <f t="shared" si="15"/>
        <v>-4254402.799999997</v>
      </c>
      <c r="G145" s="154">
        <f t="shared" si="15"/>
        <v>-204407.1999999918</v>
      </c>
      <c r="H145" s="154">
        <f t="shared" si="15"/>
        <v>0</v>
      </c>
      <c r="I145" s="154">
        <f t="shared" si="15"/>
        <v>-287796.875</v>
      </c>
      <c r="J145" s="154">
        <f t="shared" si="15"/>
        <v>0</v>
      </c>
      <c r="K145" s="154">
        <f t="shared" si="15"/>
        <v>0</v>
      </c>
      <c r="L145" s="154">
        <f t="shared" si="15"/>
        <v>1543837</v>
      </c>
      <c r="M145" s="199">
        <f t="shared" si="12"/>
        <v>-0.10279042547694212</v>
      </c>
    </row>
    <row r="146" spans="2:15" x14ac:dyDescent="0.45">
      <c r="E146" s="154" t="s">
        <v>708</v>
      </c>
      <c r="F146" s="154">
        <f t="shared" si="15"/>
        <v>210840543.79999995</v>
      </c>
      <c r="G146" s="154">
        <f t="shared" si="15"/>
        <v>15747192.612689629</v>
      </c>
      <c r="H146" s="154">
        <f t="shared" si="15"/>
        <v>0</v>
      </c>
      <c r="I146" s="154">
        <f t="shared" si="15"/>
        <v>21993672.45668751</v>
      </c>
      <c r="J146" s="154">
        <f t="shared" si="15"/>
        <v>3561716.7911249995</v>
      </c>
      <c r="K146" s="154">
        <f t="shared" si="15"/>
        <v>576616.90112500079</v>
      </c>
      <c r="L146" s="154">
        <f t="shared" si="15"/>
        <v>3083347</v>
      </c>
      <c r="M146" s="199">
        <f t="shared" si="12"/>
        <v>-0.31009079364971148</v>
      </c>
    </row>
    <row r="147" spans="2:15" x14ac:dyDescent="0.45">
      <c r="E147" s="154" t="s">
        <v>709</v>
      </c>
      <c r="F147" s="154">
        <f t="shared" si="15"/>
        <v>0</v>
      </c>
      <c r="G147" s="154">
        <f t="shared" si="15"/>
        <v>0</v>
      </c>
      <c r="H147" s="154">
        <f t="shared" si="15"/>
        <v>0</v>
      </c>
      <c r="I147" s="154">
        <f t="shared" si="15"/>
        <v>0</v>
      </c>
      <c r="J147" s="154">
        <f t="shared" si="15"/>
        <v>0</v>
      </c>
      <c r="K147" s="154">
        <f t="shared" si="15"/>
        <v>894817.12298686244</v>
      </c>
      <c r="L147" s="154">
        <f t="shared" si="15"/>
        <v>0</v>
      </c>
      <c r="M147" s="199">
        <f t="shared" si="12"/>
        <v>5.8873420816287769E-3</v>
      </c>
    </row>
    <row r="148" spans="2:15" x14ac:dyDescent="0.45">
      <c r="E148" s="154" t="s">
        <v>705</v>
      </c>
      <c r="F148" s="154">
        <f t="shared" si="15"/>
        <v>-7516512.5700000226</v>
      </c>
      <c r="G148" s="154">
        <f t="shared" si="15"/>
        <v>-1685708.0526935421</v>
      </c>
      <c r="H148" s="154">
        <f t="shared" si="15"/>
        <v>1500000</v>
      </c>
      <c r="I148" s="154">
        <f t="shared" si="15"/>
        <v>-750000</v>
      </c>
      <c r="J148" s="154">
        <f t="shared" si="15"/>
        <v>0</v>
      </c>
      <c r="K148" s="154">
        <f t="shared" si="15"/>
        <v>0</v>
      </c>
      <c r="L148" s="154">
        <f t="shared" si="15"/>
        <v>540343</v>
      </c>
      <c r="M148" s="199">
        <f t="shared" si="12"/>
        <v>0.17608747695383853</v>
      </c>
    </row>
    <row r="149" spans="2:15" x14ac:dyDescent="0.45">
      <c r="E149" s="154" t="s">
        <v>711</v>
      </c>
      <c r="F149" s="154">
        <f t="shared" si="15"/>
        <v>0</v>
      </c>
      <c r="G149" s="154">
        <f t="shared" si="15"/>
        <v>0</v>
      </c>
      <c r="H149" s="154">
        <f t="shared" si="15"/>
        <v>0</v>
      </c>
      <c r="I149" s="154">
        <f t="shared" si="15"/>
        <v>0</v>
      </c>
      <c r="J149" s="154">
        <f t="shared" si="15"/>
        <v>0</v>
      </c>
      <c r="K149" s="154">
        <f t="shared" si="15"/>
        <v>0</v>
      </c>
      <c r="L149" s="154">
        <f t="shared" si="15"/>
        <v>0</v>
      </c>
      <c r="M149" s="199">
        <f t="shared" si="12"/>
        <v>0</v>
      </c>
    </row>
    <row r="150" spans="2:15" x14ac:dyDescent="0.45">
      <c r="E150" s="154" t="s">
        <v>710</v>
      </c>
    </row>
    <row r="158" spans="2:15" x14ac:dyDescent="0.4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4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65625" defaultRowHeight="14.25" x14ac:dyDescent="0.45"/>
  <cols>
    <col min="1" max="1" width="2.265625" style="193" customWidth="1"/>
    <col min="2" max="2" width="37.265625" style="193" customWidth="1"/>
    <col min="3" max="5" width="9.265625" style="193" customWidth="1"/>
    <col min="6" max="6" width="10.265625" style="193" bestFit="1" customWidth="1"/>
    <col min="7" max="7" width="13.59765625" style="193" customWidth="1"/>
    <col min="8" max="8" width="10.265625" style="193" bestFit="1" customWidth="1"/>
    <col min="9" max="9" width="17.265625" style="193" customWidth="1"/>
    <col min="10" max="10" width="9.265625" style="193" customWidth="1"/>
    <col min="11" max="11" width="9.265625" style="144" customWidth="1"/>
    <col min="12" max="17" width="9.265625" style="193" customWidth="1"/>
    <col min="18" max="18" width="9.59765625" style="193" bestFit="1" customWidth="1"/>
    <col min="19" max="19" width="9.265625" style="193" customWidth="1"/>
    <col min="20" max="16384" width="9.265625" style="193"/>
  </cols>
  <sheetData>
    <row r="1" spans="1:18" s="302" customFormat="1" ht="12.75" customHeight="1" x14ac:dyDescent="0.35"/>
    <row r="2" spans="1:18" s="302" customFormat="1" ht="12.75" customHeight="1" x14ac:dyDescent="0.35"/>
    <row r="3" spans="1:18" s="302" customFormat="1" ht="12.75" customHeight="1" x14ac:dyDescent="0.45">
      <c r="B3" s="297" t="s">
        <v>0</v>
      </c>
      <c r="F3" s="883" t="s">
        <v>1</v>
      </c>
      <c r="G3" s="884"/>
      <c r="H3" s="884"/>
      <c r="I3" s="885"/>
    </row>
    <row r="4" spans="1:18" s="302" customFormat="1" ht="12.75" customHeight="1" x14ac:dyDescent="0.35"/>
    <row r="5" spans="1:18" s="302" customFormat="1" ht="12.75" customHeight="1" x14ac:dyDescent="0.4">
      <c r="B5" s="297" t="s">
        <v>751</v>
      </c>
      <c r="F5" s="699">
        <v>45930</v>
      </c>
      <c r="G5" s="298"/>
      <c r="I5" s="295"/>
    </row>
    <row r="6" spans="1:18" s="302" customFormat="1" ht="12.75" customHeight="1" x14ac:dyDescent="0.35"/>
    <row r="7" spans="1:18" s="302" customFormat="1" ht="12.75" customHeight="1" x14ac:dyDescent="0.35"/>
    <row r="8" spans="1:18" s="302" customFormat="1" ht="12.75" customHeight="1" x14ac:dyDescent="0.35">
      <c r="I8" s="336" t="s">
        <v>752</v>
      </c>
    </row>
    <row r="9" spans="1:18" s="302" customFormat="1" ht="12.75" customHeight="1" x14ac:dyDescent="0.35"/>
    <row r="10" spans="1:18" s="302" customFormat="1" ht="12.75" customHeight="1" x14ac:dyDescent="0.4">
      <c r="A10" s="295"/>
      <c r="B10" s="337" t="s">
        <v>753</v>
      </c>
      <c r="C10" s="337"/>
      <c r="D10" s="337"/>
      <c r="E10" s="337"/>
      <c r="F10" s="337"/>
      <c r="G10" s="337"/>
      <c r="H10" s="337"/>
      <c r="I10" s="337"/>
      <c r="K10" s="302" t="s">
        <v>754</v>
      </c>
    </row>
    <row r="11" spans="1:18" s="302" customFormat="1" ht="12.75" customHeight="1" x14ac:dyDescent="0.35">
      <c r="B11" s="302" t="s">
        <v>755</v>
      </c>
    </row>
    <row r="12" spans="1:18" s="302" customFormat="1" ht="12.75" customHeight="1" x14ac:dyDescent="0.35"/>
    <row r="13" spans="1:18" s="302" customFormat="1" ht="12.75" customHeight="1" x14ac:dyDescent="0.35">
      <c r="B13" s="302" t="s">
        <v>756</v>
      </c>
      <c r="I13" s="678">
        <v>8485827</v>
      </c>
      <c r="J13" s="547" t="s">
        <v>552</v>
      </c>
      <c r="K13" s="700" t="s">
        <v>757</v>
      </c>
      <c r="L13" s="701"/>
      <c r="M13" s="701"/>
      <c r="N13" s="701"/>
    </row>
    <row r="14" spans="1:18" s="302" customFormat="1" ht="12.75" customHeight="1" x14ac:dyDescent="0.35">
      <c r="B14" s="302" t="s">
        <v>758</v>
      </c>
      <c r="I14" s="678">
        <v>2165975</v>
      </c>
      <c r="J14" s="302" t="s">
        <v>552</v>
      </c>
      <c r="K14" s="700" t="s">
        <v>759</v>
      </c>
      <c r="L14" s="701"/>
      <c r="M14" s="701"/>
      <c r="N14" s="701"/>
      <c r="R14" s="553"/>
    </row>
    <row r="15" spans="1:18" s="302" customFormat="1" ht="13.5" customHeight="1" thickBot="1" x14ac:dyDescent="0.4">
      <c r="H15" s="296"/>
      <c r="I15" s="548">
        <f>IF(I13/I14&gt;1000%, "&gt;1000%",I13/I14)</f>
        <v>3.9177862163690715</v>
      </c>
      <c r="K15" s="701"/>
      <c r="L15" s="701"/>
      <c r="M15" s="701"/>
      <c r="N15" s="701"/>
    </row>
    <row r="16" spans="1:18" s="302" customFormat="1" ht="14.25" customHeight="1" thickTop="1" thickBot="1" x14ac:dyDescent="0.4">
      <c r="H16" s="296" t="s">
        <v>760</v>
      </c>
      <c r="I16" s="549">
        <v>1.5</v>
      </c>
      <c r="K16" s="701"/>
      <c r="L16" s="701"/>
      <c r="M16" s="701"/>
      <c r="N16" s="701"/>
    </row>
    <row r="17" spans="2:14" s="302" customFormat="1" ht="13.5" customHeight="1" thickTop="1" x14ac:dyDescent="0.35">
      <c r="I17" s="554" t="str">
        <f>IF(I15&gt;=I16,"Pass","Fail")</f>
        <v>Pass</v>
      </c>
      <c r="K17" s="701"/>
      <c r="L17" s="701"/>
      <c r="M17" s="701"/>
      <c r="N17" s="701"/>
    </row>
    <row r="18" spans="2:14" s="302" customFormat="1" ht="12.75" customHeight="1" x14ac:dyDescent="0.35">
      <c r="K18" s="701"/>
      <c r="L18" s="701"/>
      <c r="M18" s="701"/>
      <c r="N18" s="701"/>
    </row>
    <row r="19" spans="2:14" s="302" customFormat="1" ht="12.75" customHeight="1" x14ac:dyDescent="0.4">
      <c r="B19" s="337" t="s">
        <v>761</v>
      </c>
      <c r="C19" s="337"/>
      <c r="D19" s="337"/>
      <c r="E19" s="337"/>
      <c r="F19" s="337"/>
      <c r="G19" s="337"/>
      <c r="H19" s="337"/>
      <c r="I19" s="337"/>
      <c r="K19" s="701"/>
      <c r="L19" s="701"/>
      <c r="M19" s="701"/>
      <c r="N19" s="701"/>
    </row>
    <row r="20" spans="2:14" s="302" customFormat="1" ht="59.25" customHeight="1" x14ac:dyDescent="0.35">
      <c r="B20" s="919" t="s">
        <v>762</v>
      </c>
      <c r="C20" s="920"/>
      <c r="D20" s="920"/>
      <c r="E20" s="920"/>
      <c r="F20" s="920"/>
      <c r="G20" s="920"/>
      <c r="H20" s="920"/>
      <c r="I20" s="920"/>
      <c r="K20" s="701"/>
      <c r="L20" s="701"/>
      <c r="M20" s="701"/>
      <c r="N20" s="701"/>
    </row>
    <row r="21" spans="2:14" s="302" customFormat="1" ht="12.75" customHeight="1" x14ac:dyDescent="0.35">
      <c r="B21" s="550"/>
      <c r="C21" s="550"/>
      <c r="D21" s="550"/>
      <c r="E21" s="550"/>
      <c r="F21" s="550"/>
      <c r="G21" s="550"/>
      <c r="H21" s="550"/>
      <c r="I21" s="550"/>
      <c r="K21" s="701"/>
      <c r="L21" s="701"/>
      <c r="M21" s="701"/>
      <c r="N21" s="701"/>
    </row>
    <row r="22" spans="2:14" s="302" customFormat="1" ht="12.75" customHeight="1" x14ac:dyDescent="0.35">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35">
      <c r="B23" s="550" t="s">
        <v>765</v>
      </c>
      <c r="C23" s="550"/>
      <c r="D23" s="550"/>
      <c r="E23" s="550"/>
      <c r="F23" s="550"/>
      <c r="G23" s="550"/>
      <c r="H23" s="550"/>
      <c r="I23" s="678">
        <v>0</v>
      </c>
      <c r="K23" s="701"/>
      <c r="L23" s="701"/>
      <c r="M23" s="701"/>
      <c r="N23" s="701"/>
    </row>
    <row r="24" spans="2:14" s="302" customFormat="1" ht="13.5" customHeight="1" thickBot="1" x14ac:dyDescent="0.4">
      <c r="I24" s="551">
        <f>I22-I23</f>
        <v>243972240</v>
      </c>
    </row>
    <row r="25" spans="2:14" s="302" customFormat="1" ht="14.25" customHeight="1" thickTop="1" thickBot="1" x14ac:dyDescent="0.4">
      <c r="H25" s="296" t="s">
        <v>760</v>
      </c>
      <c r="I25" s="552">
        <v>25000000</v>
      </c>
    </row>
    <row r="26" spans="2:14" s="302" customFormat="1" ht="13.5" customHeight="1" thickTop="1" x14ac:dyDescent="0.35">
      <c r="I26" s="554" t="str">
        <f>IF(I24&gt;=I25,"Pass","Fail")</f>
        <v>Pass</v>
      </c>
    </row>
    <row r="27" spans="2:14" s="302" customFormat="1" ht="12.75" customHeight="1" x14ac:dyDescent="0.35"/>
    <row r="28" spans="2:14" s="302" customFormat="1" ht="12" customHeight="1" x14ac:dyDescent="0.4">
      <c r="B28" s="337" t="s">
        <v>766</v>
      </c>
      <c r="C28" s="337"/>
      <c r="D28" s="337"/>
      <c r="E28" s="337"/>
      <c r="F28" s="337"/>
      <c r="G28" s="337"/>
      <c r="H28" s="337"/>
      <c r="I28" s="337"/>
    </row>
    <row r="29" spans="2:14" s="302" customFormat="1" ht="83.25" customHeight="1" x14ac:dyDescent="0.35">
      <c r="B29" s="921" t="s">
        <v>767</v>
      </c>
      <c r="C29" s="920"/>
      <c r="D29" s="920"/>
      <c r="E29" s="920"/>
      <c r="F29" s="920"/>
      <c r="G29" s="920"/>
      <c r="H29" s="920"/>
      <c r="I29" s="920"/>
    </row>
    <row r="30" spans="2:14" s="302" customFormat="1" ht="13.5" customHeight="1" thickBot="1" x14ac:dyDescent="0.4">
      <c r="H30" s="327"/>
      <c r="I30" s="548">
        <f>I15</f>
        <v>3.9177862163690715</v>
      </c>
    </row>
    <row r="31" spans="2:14" s="302" customFormat="1" ht="14.25" customHeight="1" thickTop="1" thickBot="1" x14ac:dyDescent="0.4">
      <c r="H31" s="327" t="s">
        <v>760</v>
      </c>
      <c r="I31" s="549">
        <v>2.25</v>
      </c>
    </row>
    <row r="32" spans="2:14" ht="15.75" customHeight="1" thickTop="1" x14ac:dyDescent="0.4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65625" defaultRowHeight="14.25" x14ac:dyDescent="0.45"/>
  <cols>
    <col min="1" max="1" width="2.265625" style="168" customWidth="1"/>
    <col min="2" max="2" width="24.265625" style="168" bestFit="1" customWidth="1"/>
    <col min="3" max="3" width="16.59765625" style="173" bestFit="1" customWidth="1"/>
    <col min="4" max="4" width="33.265625" style="173" bestFit="1" customWidth="1"/>
    <col min="5" max="5" width="17.265625" style="173" bestFit="1" customWidth="1"/>
    <col min="6" max="6" width="13.265625" style="173" bestFit="1" customWidth="1"/>
    <col min="7" max="7" width="50.59765625" style="173" bestFit="1" customWidth="1"/>
    <col min="8" max="8" width="28.59765625" style="173" bestFit="1" customWidth="1"/>
    <col min="9" max="9" width="18.59765625" style="174" bestFit="1" customWidth="1"/>
    <col min="10" max="10" width="49" style="173" bestFit="1" customWidth="1"/>
    <col min="11" max="11" width="23.265625" style="168" bestFit="1" customWidth="1"/>
    <col min="12" max="12" width="21" style="168" bestFit="1" customWidth="1"/>
    <col min="13" max="13" width="140.59765625" style="168" bestFit="1" customWidth="1"/>
    <col min="14" max="14" width="9.265625" style="168" customWidth="1"/>
    <col min="15" max="16384" width="9.265625" style="168"/>
  </cols>
  <sheetData>
    <row r="1" spans="2:13" s="61" customFormat="1" x14ac:dyDescent="0.45">
      <c r="B1" s="159"/>
      <c r="C1" s="160"/>
      <c r="D1" s="161"/>
      <c r="E1" s="162" t="s">
        <v>768</v>
      </c>
      <c r="F1" s="162"/>
      <c r="G1" s="162"/>
      <c r="H1" s="161"/>
      <c r="I1" s="163"/>
      <c r="J1" s="161"/>
      <c r="K1" s="159"/>
      <c r="L1" s="159"/>
      <c r="M1" s="159"/>
    </row>
    <row r="2" spans="2:13" s="61" customFormat="1" ht="45" customHeight="1" x14ac:dyDescent="0.4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4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4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4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4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4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4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4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4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4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4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4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4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4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4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4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4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4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45">
      <c r="B20" s="879" t="s">
        <v>830</v>
      </c>
      <c r="C20" s="880">
        <f>SUM(C3:C19)</f>
        <v>41070999.278249972</v>
      </c>
      <c r="D20" s="880"/>
      <c r="E20" s="880"/>
      <c r="F20" s="880"/>
      <c r="G20" s="880"/>
      <c r="H20" s="880"/>
      <c r="I20" s="880"/>
      <c r="J20" s="880"/>
      <c r="K20" s="879"/>
      <c r="L20" s="879"/>
      <c r="M20" s="879"/>
    </row>
    <row r="21" spans="2:13" x14ac:dyDescent="0.4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4.25" x14ac:dyDescent="0.45"/>
  <cols>
    <col min="1" max="1" width="72" bestFit="1" customWidth="1"/>
  </cols>
  <sheetData>
    <row r="1" spans="1:7" ht="18.75" customHeight="1" x14ac:dyDescent="0.55000000000000004">
      <c r="A1" s="922" t="s">
        <v>831</v>
      </c>
      <c r="B1" s="917"/>
      <c r="C1" s="917"/>
      <c r="D1" s="917"/>
      <c r="E1" s="917"/>
      <c r="F1" s="917"/>
      <c r="G1" s="917"/>
    </row>
    <row r="3" spans="1:7" x14ac:dyDescent="0.45">
      <c r="A3" s="720" t="s">
        <v>643</v>
      </c>
      <c r="B3" s="720" t="s">
        <v>832</v>
      </c>
      <c r="C3" s="720" t="s">
        <v>833</v>
      </c>
      <c r="D3" s="720" t="s">
        <v>834</v>
      </c>
      <c r="E3" s="720" t="s">
        <v>835</v>
      </c>
      <c r="F3" s="720" t="s">
        <v>836</v>
      </c>
    </row>
    <row r="5" spans="1:7" x14ac:dyDescent="0.45">
      <c r="A5" s="721" t="s">
        <v>837</v>
      </c>
    </row>
    <row r="6" spans="1:7" x14ac:dyDescent="0.45">
      <c r="A6" t="s">
        <v>838</v>
      </c>
      <c r="B6" s="722"/>
    </row>
    <row r="7" spans="1:7" x14ac:dyDescent="0.45">
      <c r="A7" t="s">
        <v>839</v>
      </c>
      <c r="B7" s="722"/>
    </row>
    <row r="8" spans="1:7" x14ac:dyDescent="0.45">
      <c r="A8">
        <v>46055</v>
      </c>
      <c r="B8" s="722" t="s">
        <v>840</v>
      </c>
      <c r="C8" t="s">
        <v>841</v>
      </c>
      <c r="D8" t="s">
        <v>842</v>
      </c>
      <c r="E8" t="s">
        <v>843</v>
      </c>
      <c r="F8" t="s">
        <v>844</v>
      </c>
    </row>
    <row r="9" spans="1:7" x14ac:dyDescent="0.45">
      <c r="A9" t="s">
        <v>845</v>
      </c>
    </row>
    <row r="10" spans="1:7" x14ac:dyDescent="0.45">
      <c r="A10" s="671" t="s">
        <v>643</v>
      </c>
      <c r="B10" s="671" t="s">
        <v>846</v>
      </c>
      <c r="C10" s="671" t="s">
        <v>833</v>
      </c>
      <c r="D10" s="671" t="s">
        <v>847</v>
      </c>
      <c r="E10" s="671" t="s">
        <v>835</v>
      </c>
      <c r="F10" s="671" t="s">
        <v>836</v>
      </c>
    </row>
    <row r="11" spans="1:7" x14ac:dyDescent="0.45">
      <c r="A11" s="671">
        <v>46090</v>
      </c>
      <c r="B11" s="671" t="s">
        <v>848</v>
      </c>
      <c r="C11" s="671" t="s">
        <v>841</v>
      </c>
      <c r="D11" s="671" t="s">
        <v>849</v>
      </c>
      <c r="E11" s="671" t="s">
        <v>850</v>
      </c>
      <c r="F11" s="671" t="s">
        <v>851</v>
      </c>
    </row>
    <row r="12" spans="1:7" x14ac:dyDescent="0.45">
      <c r="A12" s="723">
        <v>46068</v>
      </c>
      <c r="B12" s="671" t="s">
        <v>852</v>
      </c>
      <c r="C12" s="671" t="s">
        <v>833</v>
      </c>
      <c r="D12" s="671" t="s">
        <v>853</v>
      </c>
      <c r="E12" s="671" t="s">
        <v>854</v>
      </c>
      <c r="F12" s="671" t="s">
        <v>855</v>
      </c>
    </row>
    <row r="13" spans="1:7" x14ac:dyDescent="0.45">
      <c r="A13" s="811">
        <v>46065</v>
      </c>
      <c r="B13" s="809" t="s">
        <v>856</v>
      </c>
      <c r="C13" s="809" t="s">
        <v>841</v>
      </c>
      <c r="D13" s="809" t="s">
        <v>857</v>
      </c>
      <c r="E13" s="809" t="s">
        <v>858</v>
      </c>
      <c r="F13" s="809" t="s">
        <v>859</v>
      </c>
    </row>
    <row r="14" spans="1:7" x14ac:dyDescent="0.45">
      <c r="A14" s="723">
        <v>46068</v>
      </c>
      <c r="B14" s="671" t="s">
        <v>860</v>
      </c>
      <c r="C14" s="671" t="s">
        <v>841</v>
      </c>
      <c r="D14" s="671" t="s">
        <v>861</v>
      </c>
      <c r="E14" s="671" t="s">
        <v>862</v>
      </c>
      <c r="F14" s="671" t="s">
        <v>863</v>
      </c>
    </row>
    <row r="15" spans="1:7" x14ac:dyDescent="0.45">
      <c r="A15" s="723">
        <v>46068</v>
      </c>
      <c r="B15" s="671" t="s">
        <v>864</v>
      </c>
      <c r="C15" s="671" t="s">
        <v>841</v>
      </c>
      <c r="D15" s="671" t="s">
        <v>865</v>
      </c>
      <c r="E15" s="671" t="s">
        <v>866</v>
      </c>
      <c r="F15" s="671" t="s">
        <v>867</v>
      </c>
    </row>
    <row r="16" spans="1:7" x14ac:dyDescent="0.45">
      <c r="A16" s="802">
        <v>46068</v>
      </c>
      <c r="B16" s="723" t="s">
        <v>868</v>
      </c>
      <c r="C16" s="723" t="s">
        <v>841</v>
      </c>
      <c r="D16" s="723" t="s">
        <v>869</v>
      </c>
      <c r="E16" s="723" t="s">
        <v>870</v>
      </c>
      <c r="F16" s="723" t="s">
        <v>871</v>
      </c>
    </row>
    <row r="17" spans="1:6" x14ac:dyDescent="0.45">
      <c r="A17" s="723">
        <v>46063</v>
      </c>
      <c r="B17" s="723" t="s">
        <v>872</v>
      </c>
      <c r="C17" s="723" t="s">
        <v>841</v>
      </c>
      <c r="D17" s="723" t="s">
        <v>873</v>
      </c>
      <c r="E17" s="723" t="s">
        <v>874</v>
      </c>
      <c r="F17" s="723" t="s">
        <v>875</v>
      </c>
    </row>
    <row r="18" spans="1:6" x14ac:dyDescent="0.45">
      <c r="A18">
        <v>46055</v>
      </c>
      <c r="B18" t="s">
        <v>876</v>
      </c>
      <c r="C18" t="s">
        <v>841</v>
      </c>
      <c r="D18" t="s">
        <v>877</v>
      </c>
      <c r="E18" t="s">
        <v>878</v>
      </c>
      <c r="F18" t="s">
        <v>879</v>
      </c>
    </row>
    <row r="19" spans="1:6" x14ac:dyDescent="0.45">
      <c r="A19" s="723">
        <v>46068</v>
      </c>
      <c r="B19" t="s">
        <v>880</v>
      </c>
      <c r="C19" t="s">
        <v>841</v>
      </c>
      <c r="D19" t="s">
        <v>881</v>
      </c>
      <c r="E19" t="s">
        <v>882</v>
      </c>
      <c r="F19" t="s">
        <v>883</v>
      </c>
    </row>
    <row r="20" spans="1:6" x14ac:dyDescent="0.45">
      <c r="A20">
        <v>46068</v>
      </c>
      <c r="B20" t="s">
        <v>852</v>
      </c>
      <c r="C20" t="s">
        <v>884</v>
      </c>
      <c r="D20" t="s">
        <v>885</v>
      </c>
      <c r="E20" t="s">
        <v>886</v>
      </c>
      <c r="F20" t="s">
        <v>887</v>
      </c>
    </row>
    <row r="21" spans="1:6" x14ac:dyDescent="0.45">
      <c r="A21" t="s">
        <v>888</v>
      </c>
    </row>
    <row r="22" spans="1:6" x14ac:dyDescent="0.45">
      <c r="A22" t="s">
        <v>889</v>
      </c>
    </row>
    <row r="23" spans="1:6" x14ac:dyDescent="0.45">
      <c r="A23" t="s">
        <v>890</v>
      </c>
    </row>
    <row r="26" spans="1:6" x14ac:dyDescent="0.45">
      <c r="A26">
        <v>46049</v>
      </c>
      <c r="B26" t="s">
        <v>891</v>
      </c>
      <c r="C26" t="s">
        <v>841</v>
      </c>
      <c r="D26" t="s">
        <v>892</v>
      </c>
      <c r="E26" t="s">
        <v>893</v>
      </c>
      <c r="F26" t="s">
        <v>894</v>
      </c>
    </row>
    <row r="27" spans="1:6" x14ac:dyDescent="0.45">
      <c r="A27" s="724"/>
    </row>
    <row r="29" spans="1:6" x14ac:dyDescent="0.45">
      <c r="A29" s="725" t="s">
        <v>895</v>
      </c>
    </row>
    <row r="30" spans="1:6" x14ac:dyDescent="0.45">
      <c r="A30" s="725"/>
    </row>
    <row r="31" spans="1:6" x14ac:dyDescent="0.45">
      <c r="A31" s="725"/>
    </row>
    <row r="32" spans="1:6" x14ac:dyDescent="0.45">
      <c r="A32" s="725"/>
    </row>
    <row r="33" spans="1:6" x14ac:dyDescent="0.45">
      <c r="A33" s="725">
        <v>46055</v>
      </c>
      <c r="B33" t="s">
        <v>876</v>
      </c>
      <c r="C33" t="s">
        <v>841</v>
      </c>
      <c r="D33" t="s">
        <v>896</v>
      </c>
      <c r="E33" t="s">
        <v>897</v>
      </c>
      <c r="F33" t="s">
        <v>898</v>
      </c>
    </row>
    <row r="34" spans="1:6" x14ac:dyDescent="0.45">
      <c r="A34" s="725">
        <v>46055</v>
      </c>
      <c r="B34" t="s">
        <v>876</v>
      </c>
      <c r="C34" t="s">
        <v>841</v>
      </c>
      <c r="D34" t="s">
        <v>899</v>
      </c>
      <c r="E34" t="s">
        <v>900</v>
      </c>
      <c r="F34" t="s">
        <v>901</v>
      </c>
    </row>
    <row r="36" spans="1:6" x14ac:dyDescent="0.45">
      <c r="A36" s="725">
        <v>46055</v>
      </c>
      <c r="B36" t="s">
        <v>876</v>
      </c>
      <c r="C36" t="s">
        <v>841</v>
      </c>
      <c r="D36" t="s">
        <v>902</v>
      </c>
      <c r="E36" t="s">
        <v>903</v>
      </c>
      <c r="F36" t="s">
        <v>904</v>
      </c>
    </row>
    <row r="37" spans="1:6" x14ac:dyDescent="0.4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4.25" x14ac:dyDescent="0.45"/>
  <cols>
    <col min="1" max="1" width="69" bestFit="1" customWidth="1"/>
    <col min="2" max="2" width="68.73046875" bestFit="1" customWidth="1"/>
    <col min="3" max="3" width="52" bestFit="1" customWidth="1"/>
  </cols>
  <sheetData>
    <row r="1" spans="1:6" ht="18.75" customHeight="1" x14ac:dyDescent="0.55000000000000004">
      <c r="A1" s="922" t="s">
        <v>908</v>
      </c>
      <c r="B1" s="917"/>
      <c r="C1" s="917"/>
      <c r="D1" s="917"/>
      <c r="E1" s="917"/>
      <c r="F1" s="917"/>
    </row>
    <row r="3" spans="1:6" ht="15.75" customHeight="1" x14ac:dyDescent="0.5">
      <c r="A3" s="727" t="s">
        <v>909</v>
      </c>
    </row>
    <row r="5" spans="1:6" x14ac:dyDescent="0.45">
      <c r="A5" t="s">
        <v>910</v>
      </c>
      <c r="B5" t="s">
        <v>911</v>
      </c>
    </row>
    <row r="6" spans="1:6" x14ac:dyDescent="0.45">
      <c r="A6" t="s">
        <v>912</v>
      </c>
      <c r="B6" t="s">
        <v>913</v>
      </c>
    </row>
    <row r="7" spans="1:6" x14ac:dyDescent="0.45">
      <c r="A7" t="s">
        <v>914</v>
      </c>
      <c r="B7" s="725">
        <f ca="1">TODAY()</f>
        <v>46092</v>
      </c>
    </row>
    <row r="8" spans="1:6" x14ac:dyDescent="0.45">
      <c r="A8" t="s">
        <v>915</v>
      </c>
      <c r="B8" s="725">
        <v>46022</v>
      </c>
    </row>
    <row r="9" spans="1:6" x14ac:dyDescent="0.45">
      <c r="A9" t="s">
        <v>0</v>
      </c>
      <c r="B9" t="s">
        <v>1</v>
      </c>
    </row>
    <row r="10" spans="1:6" x14ac:dyDescent="0.45">
      <c r="A10" t="s">
        <v>916</v>
      </c>
      <c r="B10" s="728">
        <f>Availability!$L$16</f>
        <v>200000000</v>
      </c>
    </row>
    <row r="11" spans="1:6" x14ac:dyDescent="0.45">
      <c r="A11" t="s">
        <v>917</v>
      </c>
      <c r="B11" s="728">
        <f>Availability!$L$51</f>
        <v>122300000</v>
      </c>
    </row>
    <row r="12" spans="1:6" x14ac:dyDescent="0.45">
      <c r="A12" t="s">
        <v>918</v>
      </c>
      <c r="B12" s="728">
        <f>Availability!L26</f>
        <v>147088763.19611225</v>
      </c>
    </row>
    <row r="13" spans="1:6" x14ac:dyDescent="0.45">
      <c r="A13" t="s">
        <v>919</v>
      </c>
      <c r="B13" s="728">
        <v>343790191.004408</v>
      </c>
    </row>
    <row r="14" spans="1:6" x14ac:dyDescent="0.45">
      <c r="A14" t="s">
        <v>920</v>
      </c>
      <c r="B14">
        <f>Portfolio!$V$64</f>
        <v>14</v>
      </c>
    </row>
    <row r="16" spans="1:6" x14ac:dyDescent="0.45">
      <c r="A16" s="671" t="s">
        <v>921</v>
      </c>
      <c r="B16" t="s">
        <v>922</v>
      </c>
    </row>
    <row r="17" spans="1:2" x14ac:dyDescent="0.45">
      <c r="A17" t="s">
        <v>923</v>
      </c>
      <c r="B17" t="s">
        <v>924</v>
      </c>
    </row>
    <row r="18" spans="1:2" x14ac:dyDescent="0.45">
      <c r="A18" t="s">
        <v>925</v>
      </c>
      <c r="B18" t="s">
        <v>926</v>
      </c>
    </row>
    <row r="19" spans="1:2" x14ac:dyDescent="0.45">
      <c r="A19" t="s">
        <v>927</v>
      </c>
      <c r="B19" t="s">
        <v>928</v>
      </c>
    </row>
    <row r="20" spans="1:2" x14ac:dyDescent="0.45">
      <c r="A20" t="s">
        <v>929</v>
      </c>
      <c r="B20" t="s">
        <v>930</v>
      </c>
    </row>
    <row r="21" spans="1:2" x14ac:dyDescent="0.45">
      <c r="A21" s="720" t="s">
        <v>931</v>
      </c>
    </row>
    <row r="22" spans="1:2" x14ac:dyDescent="0.45">
      <c r="A22" t="s">
        <v>932</v>
      </c>
      <c r="B22" t="s">
        <v>933</v>
      </c>
    </row>
    <row r="23" spans="1:2" x14ac:dyDescent="0.45">
      <c r="A23" t="s">
        <v>934</v>
      </c>
      <c r="B23" t="s">
        <v>935</v>
      </c>
    </row>
    <row r="25" spans="1:2" x14ac:dyDescent="0.45">
      <c r="A25" s="720" t="s">
        <v>936</v>
      </c>
    </row>
    <row r="26" spans="1:2" x14ac:dyDescent="0.45">
      <c r="A26" t="s">
        <v>937</v>
      </c>
      <c r="B26" t="s">
        <v>938</v>
      </c>
    </row>
    <row r="27" spans="1:2" x14ac:dyDescent="0.45">
      <c r="A27" t="s">
        <v>929</v>
      </c>
      <c r="B27" t="s">
        <v>939</v>
      </c>
    </row>
    <row r="28" spans="1:2" x14ac:dyDescent="0.45">
      <c r="A28" t="s">
        <v>940</v>
      </c>
      <c r="B28" t="s">
        <v>941</v>
      </c>
    </row>
    <row r="29" spans="1:2" x14ac:dyDescent="0.45">
      <c r="A29" t="s">
        <v>925</v>
      </c>
      <c r="B29" t="s">
        <v>942</v>
      </c>
    </row>
    <row r="30" spans="1:2" x14ac:dyDescent="0.45">
      <c r="A30" t="s">
        <v>927</v>
      </c>
      <c r="B30" t="s">
        <v>943</v>
      </c>
    </row>
    <row r="31" spans="1:2" x14ac:dyDescent="0.45">
      <c r="A31" t="s">
        <v>944</v>
      </c>
      <c r="B31" t="s">
        <v>945</v>
      </c>
    </row>
    <row r="32" spans="1:2" x14ac:dyDescent="0.45">
      <c r="A32" t="s">
        <v>923</v>
      </c>
      <c r="B32" t="s">
        <v>946</v>
      </c>
    </row>
    <row r="34" spans="1:3" x14ac:dyDescent="0.45">
      <c r="A34" s="720" t="s">
        <v>947</v>
      </c>
    </row>
    <row r="35" spans="1:3" x14ac:dyDescent="0.45">
      <c r="A35" t="s">
        <v>948</v>
      </c>
    </row>
    <row r="36" spans="1:3" x14ac:dyDescent="0.45">
      <c r="A36" t="s">
        <v>949</v>
      </c>
      <c r="B36" t="s">
        <v>950</v>
      </c>
      <c r="C36" t="s">
        <v>951</v>
      </c>
    </row>
    <row r="37" spans="1:3" x14ac:dyDescent="0.45">
      <c r="A37" t="s">
        <v>952</v>
      </c>
      <c r="B37" t="s">
        <v>953</v>
      </c>
      <c r="C37" t="s">
        <v>954</v>
      </c>
    </row>
    <row r="38" spans="1:3" x14ac:dyDescent="0.45">
      <c r="A38" t="s">
        <v>955</v>
      </c>
      <c r="B38" t="s">
        <v>956</v>
      </c>
      <c r="C38" t="s">
        <v>957</v>
      </c>
    </row>
    <row r="39" spans="1:3" x14ac:dyDescent="0.45">
      <c r="A39" t="s">
        <v>958</v>
      </c>
      <c r="B39" t="s">
        <v>959</v>
      </c>
      <c r="C39" t="s">
        <v>960</v>
      </c>
    </row>
    <row r="40" spans="1:3" x14ac:dyDescent="0.45">
      <c r="A40" t="s">
        <v>961</v>
      </c>
      <c r="B40" t="s">
        <v>962</v>
      </c>
      <c r="C40" t="s">
        <v>963</v>
      </c>
    </row>
    <row r="41" spans="1:3" x14ac:dyDescent="0.45">
      <c r="A41" t="s">
        <v>964</v>
      </c>
      <c r="B41" t="s">
        <v>965</v>
      </c>
      <c r="C41" t="s">
        <v>966</v>
      </c>
    </row>
    <row r="42" spans="1:3" x14ac:dyDescent="0.45">
      <c r="A42" t="s">
        <v>967</v>
      </c>
      <c r="B42" t="s">
        <v>968</v>
      </c>
      <c r="C42" t="s">
        <v>969</v>
      </c>
    </row>
    <row r="43" spans="1:3" x14ac:dyDescent="0.45">
      <c r="A43" t="s">
        <v>970</v>
      </c>
      <c r="B43" t="s">
        <v>971</v>
      </c>
      <c r="C43" t="s">
        <v>972</v>
      </c>
    </row>
    <row r="44" spans="1:3" x14ac:dyDescent="0.45">
      <c r="A44" t="s">
        <v>973</v>
      </c>
      <c r="B44" t="s">
        <v>974</v>
      </c>
      <c r="C44" t="s">
        <v>975</v>
      </c>
    </row>
    <row r="45" spans="1:3" x14ac:dyDescent="0.45">
      <c r="A45" t="s">
        <v>976</v>
      </c>
      <c r="B45" t="s">
        <v>692</v>
      </c>
      <c r="C45" t="s">
        <v>977</v>
      </c>
    </row>
    <row r="46" spans="1:3" x14ac:dyDescent="0.45">
      <c r="A46" t="s">
        <v>978</v>
      </c>
      <c r="B46" t="s">
        <v>245</v>
      </c>
      <c r="C46" t="s">
        <v>979</v>
      </c>
    </row>
    <row r="50" spans="1:3" x14ac:dyDescent="0.45">
      <c r="A50" s="720" t="s">
        <v>980</v>
      </c>
    </row>
    <row r="51" spans="1:3" x14ac:dyDescent="0.45">
      <c r="A51" t="s">
        <v>256</v>
      </c>
      <c r="B51" t="s">
        <v>112</v>
      </c>
      <c r="C51" t="s">
        <v>981</v>
      </c>
    </row>
    <row r="52" spans="1:3" x14ac:dyDescent="0.45">
      <c r="A52" t="s">
        <v>261</v>
      </c>
      <c r="B52" s="667">
        <v>0.625</v>
      </c>
      <c r="C52" t="s">
        <v>982</v>
      </c>
    </row>
    <row r="53" spans="1:3" x14ac:dyDescent="0.45">
      <c r="A53" t="s">
        <v>983</v>
      </c>
      <c r="B53" s="667">
        <v>0.65</v>
      </c>
      <c r="C53" t="s">
        <v>984</v>
      </c>
    </row>
    <row r="54" spans="1:3" x14ac:dyDescent="0.45">
      <c r="A54" t="s">
        <v>264</v>
      </c>
      <c r="B54" s="667">
        <v>0.67500000000000004</v>
      </c>
      <c r="C54" t="s">
        <v>985</v>
      </c>
    </row>
    <row r="55" spans="1:3" x14ac:dyDescent="0.45">
      <c r="A55" t="s">
        <v>265</v>
      </c>
      <c r="B55" s="667">
        <v>0.625</v>
      </c>
      <c r="C55" t="s">
        <v>986</v>
      </c>
    </row>
    <row r="56" spans="1:3" x14ac:dyDescent="0.45">
      <c r="A56" t="s">
        <v>266</v>
      </c>
      <c r="B56" s="667">
        <v>0.57499999999999996</v>
      </c>
      <c r="C56" t="s">
        <v>987</v>
      </c>
    </row>
    <row r="57" spans="1:3" x14ac:dyDescent="0.45">
      <c r="A57" t="s">
        <v>267</v>
      </c>
      <c r="B57" s="667">
        <v>0.45</v>
      </c>
      <c r="C57" t="s">
        <v>988</v>
      </c>
    </row>
    <row r="58" spans="1:3" x14ac:dyDescent="0.45">
      <c r="A58" t="s">
        <v>241</v>
      </c>
      <c r="B58" s="667">
        <v>0.45</v>
      </c>
      <c r="C58" t="s">
        <v>989</v>
      </c>
    </row>
    <row r="60" spans="1:3" x14ac:dyDescent="0.45">
      <c r="A60" s="720" t="s">
        <v>990</v>
      </c>
    </row>
    <row r="61" spans="1:3" x14ac:dyDescent="0.45">
      <c r="A61" t="s">
        <v>991</v>
      </c>
      <c r="B61" t="s">
        <v>992</v>
      </c>
      <c r="C61" t="s">
        <v>981</v>
      </c>
    </row>
    <row r="62" spans="1:3" x14ac:dyDescent="0.45">
      <c r="A62" t="s">
        <v>993</v>
      </c>
      <c r="B62" t="s">
        <v>994</v>
      </c>
      <c r="C62" t="s">
        <v>995</v>
      </c>
    </row>
    <row r="63" spans="1:3" x14ac:dyDescent="0.45">
      <c r="A63" t="s">
        <v>241</v>
      </c>
      <c r="B63" t="s">
        <v>996</v>
      </c>
      <c r="C63" t="s">
        <v>997</v>
      </c>
    </row>
    <row r="64" spans="1:3" x14ac:dyDescent="0.45">
      <c r="A64" t="s">
        <v>998</v>
      </c>
      <c r="B64" t="s">
        <v>999</v>
      </c>
      <c r="C64" t="s">
        <v>1000</v>
      </c>
    </row>
    <row r="66" spans="1:3" x14ac:dyDescent="0.45">
      <c r="A66" s="720" t="s">
        <v>1001</v>
      </c>
    </row>
    <row r="67" spans="1:3" x14ac:dyDescent="0.45">
      <c r="A67" t="s">
        <v>1002</v>
      </c>
      <c r="B67" t="s">
        <v>929</v>
      </c>
      <c r="C67" t="s">
        <v>1003</v>
      </c>
    </row>
    <row r="68" spans="1:3" x14ac:dyDescent="0.45">
      <c r="A68" t="s">
        <v>1004</v>
      </c>
      <c r="B68" t="s">
        <v>1005</v>
      </c>
    </row>
    <row r="70" spans="1:3" x14ac:dyDescent="0.45">
      <c r="A70" t="s">
        <v>1006</v>
      </c>
      <c r="B70" t="s">
        <v>940</v>
      </c>
      <c r="C70" t="s">
        <v>1007</v>
      </c>
    </row>
    <row r="71" spans="1:3" x14ac:dyDescent="0.45">
      <c r="A71" t="s">
        <v>1008</v>
      </c>
      <c r="B71" t="s">
        <v>925</v>
      </c>
      <c r="C71" t="s">
        <v>1009</v>
      </c>
    </row>
    <row r="72" spans="1:3" x14ac:dyDescent="0.45">
      <c r="A72" t="s">
        <v>1010</v>
      </c>
      <c r="B72" t="s">
        <v>1011</v>
      </c>
      <c r="C72" t="s">
        <v>1012</v>
      </c>
    </row>
    <row r="73" spans="1:3" x14ac:dyDescent="0.45">
      <c r="A73" t="s">
        <v>1013</v>
      </c>
      <c r="B73" t="s">
        <v>1014</v>
      </c>
      <c r="C73" t="s">
        <v>1015</v>
      </c>
    </row>
    <row r="74" spans="1:3" x14ac:dyDescent="0.45">
      <c r="A74" t="s">
        <v>1016</v>
      </c>
      <c r="B74" t="s">
        <v>1017</v>
      </c>
      <c r="C74" t="s">
        <v>1018</v>
      </c>
    </row>
    <row r="76" spans="1:3" x14ac:dyDescent="0.45">
      <c r="A76" s="720" t="s">
        <v>1019</v>
      </c>
    </row>
    <row r="77" spans="1:3" x14ac:dyDescent="0.45">
      <c r="A77" t="s">
        <v>1020</v>
      </c>
    </row>
    <row r="78" spans="1:3" x14ac:dyDescent="0.45">
      <c r="A78" t="s">
        <v>1021</v>
      </c>
      <c r="B78" t="s">
        <v>1022</v>
      </c>
      <c r="C78" t="s">
        <v>1023</v>
      </c>
    </row>
    <row r="79" spans="1:3" x14ac:dyDescent="0.45">
      <c r="A79" t="s">
        <v>1024</v>
      </c>
      <c r="B79" t="s">
        <v>687</v>
      </c>
      <c r="C79" t="s">
        <v>1025</v>
      </c>
    </row>
    <row r="80" spans="1:3" x14ac:dyDescent="0.45">
      <c r="A80" t="s">
        <v>1026</v>
      </c>
      <c r="B80" t="s">
        <v>689</v>
      </c>
      <c r="C80" t="s">
        <v>1027</v>
      </c>
    </row>
    <row r="82" spans="1:3" x14ac:dyDescent="0.45">
      <c r="A82" s="720" t="s">
        <v>1028</v>
      </c>
    </row>
    <row r="83" spans="1:3" x14ac:dyDescent="0.45">
      <c r="A83" t="s">
        <v>1029</v>
      </c>
      <c r="B83" t="s">
        <v>1030</v>
      </c>
      <c r="C83" t="s">
        <v>1031</v>
      </c>
    </row>
    <row r="84" spans="1:3" x14ac:dyDescent="0.45">
      <c r="A84" t="s">
        <v>1032</v>
      </c>
      <c r="B84" t="s">
        <v>1033</v>
      </c>
      <c r="C84" t="s">
        <v>1034</v>
      </c>
    </row>
    <row r="85" spans="1:3" x14ac:dyDescent="0.45">
      <c r="A85" t="s">
        <v>1035</v>
      </c>
      <c r="B85" t="s">
        <v>1036</v>
      </c>
    </row>
    <row r="86" spans="1:3" x14ac:dyDescent="0.45">
      <c r="A86" t="s">
        <v>1037</v>
      </c>
      <c r="B86" t="s">
        <v>1038</v>
      </c>
    </row>
    <row r="87" spans="1:3" x14ac:dyDescent="0.45">
      <c r="A87" t="s">
        <v>1039</v>
      </c>
      <c r="B87" t="s">
        <v>1040</v>
      </c>
      <c r="C87" t="s">
        <v>1041</v>
      </c>
    </row>
    <row r="88" spans="1:3" x14ac:dyDescent="0.45">
      <c r="A88" t="s">
        <v>1042</v>
      </c>
      <c r="B88" t="s">
        <v>1043</v>
      </c>
      <c r="C88" t="s">
        <v>1044</v>
      </c>
    </row>
    <row r="89" spans="1:3" x14ac:dyDescent="0.45">
      <c r="A89" t="s">
        <v>1045</v>
      </c>
      <c r="B89" t="s">
        <v>1046</v>
      </c>
      <c r="C89" t="s">
        <v>1047</v>
      </c>
    </row>
    <row r="91" spans="1:3" x14ac:dyDescent="0.45">
      <c r="A91" s="720" t="s">
        <v>1048</v>
      </c>
    </row>
    <row r="92" spans="1:3" x14ac:dyDescent="0.45">
      <c r="A92" t="s">
        <v>1049</v>
      </c>
      <c r="B92">
        <f>MIN(L40, L41, L43)</f>
        <v>0</v>
      </c>
      <c r="C92" t="s">
        <v>1050</v>
      </c>
    </row>
    <row r="94" spans="1:3" x14ac:dyDescent="0.45">
      <c r="A94" s="720" t="s">
        <v>1051</v>
      </c>
    </row>
    <row r="95" spans="1:3" x14ac:dyDescent="0.45">
      <c r="A95" t="s">
        <v>1052</v>
      </c>
    </row>
    <row r="96" spans="1:3" x14ac:dyDescent="0.45">
      <c r="A96" t="s">
        <v>1053</v>
      </c>
      <c r="B96" t="s">
        <v>1054</v>
      </c>
    </row>
    <row r="97" spans="1:3" x14ac:dyDescent="0.45">
      <c r="A97" t="s">
        <v>1055</v>
      </c>
      <c r="B97" t="s">
        <v>1056</v>
      </c>
    </row>
    <row r="98" spans="1:3" x14ac:dyDescent="0.45">
      <c r="A98" t="s">
        <v>1057</v>
      </c>
      <c r="B98" t="s">
        <v>1058</v>
      </c>
    </row>
    <row r="99" spans="1:3" x14ac:dyDescent="0.45">
      <c r="A99" t="s">
        <v>1059</v>
      </c>
      <c r="B99" t="s">
        <v>1060</v>
      </c>
    </row>
    <row r="100" spans="1:3" x14ac:dyDescent="0.45">
      <c r="A100" t="s">
        <v>1061</v>
      </c>
      <c r="B100" t="s">
        <v>1062</v>
      </c>
    </row>
    <row r="102" spans="1:3" x14ac:dyDescent="0.45">
      <c r="A102" s="720" t="s">
        <v>1063</v>
      </c>
    </row>
    <row r="103" spans="1:3" x14ac:dyDescent="0.45">
      <c r="A103" t="s">
        <v>1064</v>
      </c>
    </row>
    <row r="104" spans="1:3" x14ac:dyDescent="0.45">
      <c r="A104" t="s">
        <v>1065</v>
      </c>
    </row>
    <row r="105" spans="1:3" x14ac:dyDescent="0.45">
      <c r="A105" t="s">
        <v>1066</v>
      </c>
    </row>
    <row r="107" spans="1:3" x14ac:dyDescent="0.45">
      <c r="A107" s="720" t="s">
        <v>1067</v>
      </c>
    </row>
    <row r="108" spans="1:3" x14ac:dyDescent="0.45">
      <c r="A108" t="s">
        <v>1068</v>
      </c>
      <c r="B108" t="s">
        <v>981</v>
      </c>
      <c r="C108" t="s">
        <v>922</v>
      </c>
    </row>
    <row r="109" spans="1:3" x14ac:dyDescent="0.45">
      <c r="A109" t="s">
        <v>1069</v>
      </c>
      <c r="B109" t="s">
        <v>1070</v>
      </c>
      <c r="C109" t="s">
        <v>1071</v>
      </c>
    </row>
    <row r="110" spans="1:3" x14ac:dyDescent="0.45">
      <c r="A110" t="s">
        <v>1072</v>
      </c>
      <c r="B110" t="s">
        <v>1073</v>
      </c>
      <c r="C110" t="s">
        <v>1074</v>
      </c>
    </row>
    <row r="111" spans="1:3" x14ac:dyDescent="0.45">
      <c r="A111" t="s">
        <v>1075</v>
      </c>
      <c r="B111" t="s">
        <v>1076</v>
      </c>
      <c r="C111" t="s">
        <v>1077</v>
      </c>
    </row>
    <row r="112" spans="1:3" x14ac:dyDescent="0.45">
      <c r="A112" t="s">
        <v>1078</v>
      </c>
      <c r="B112" t="s">
        <v>1079</v>
      </c>
      <c r="C112" t="s">
        <v>1080</v>
      </c>
    </row>
    <row r="114" spans="1:2" x14ac:dyDescent="0.45">
      <c r="A114" s="720" t="s">
        <v>1081</v>
      </c>
    </row>
    <row r="115" spans="1:2" x14ac:dyDescent="0.45">
      <c r="A115" t="s">
        <v>932</v>
      </c>
      <c r="B115" t="s">
        <v>1082</v>
      </c>
    </row>
    <row r="116" spans="1:2" x14ac:dyDescent="0.45">
      <c r="A116" t="s">
        <v>1083</v>
      </c>
    </row>
    <row r="117" spans="1:2" x14ac:dyDescent="0.45">
      <c r="A117" t="s">
        <v>1084</v>
      </c>
    </row>
    <row r="118" spans="1:2" x14ac:dyDescent="0.45">
      <c r="A118" t="s">
        <v>1085</v>
      </c>
    </row>
    <row r="119" spans="1:2" x14ac:dyDescent="0.45">
      <c r="A119" t="s">
        <v>1086</v>
      </c>
    </row>
    <row r="120" spans="1:2" x14ac:dyDescent="0.45">
      <c r="A120" t="s">
        <v>1087</v>
      </c>
    </row>
    <row r="122" spans="1:2" x14ac:dyDescent="0.45">
      <c r="A122" t="s">
        <v>1088</v>
      </c>
    </row>
    <row r="123" spans="1:2" x14ac:dyDescent="0.45">
      <c r="A123" t="s">
        <v>1089</v>
      </c>
    </row>
    <row r="124" spans="1:2" x14ac:dyDescent="0.45">
      <c r="A124" t="s">
        <v>1090</v>
      </c>
    </row>
    <row r="125" spans="1:2" x14ac:dyDescent="0.45">
      <c r="A125" t="s">
        <v>1091</v>
      </c>
    </row>
    <row r="126" spans="1:2" x14ac:dyDescent="0.45">
      <c r="A126" t="s">
        <v>1092</v>
      </c>
    </row>
    <row r="128" spans="1:2" x14ac:dyDescent="0.45">
      <c r="A128" t="s">
        <v>1093</v>
      </c>
    </row>
    <row r="130" spans="1:2" ht="15.75" customHeight="1" x14ac:dyDescent="0.5">
      <c r="A130" s="726" t="s">
        <v>1094</v>
      </c>
    </row>
    <row r="132" spans="1:2" x14ac:dyDescent="0.45">
      <c r="A132" t="s">
        <v>1095</v>
      </c>
    </row>
    <row r="134" spans="1:2" x14ac:dyDescent="0.45">
      <c r="A134" t="s">
        <v>1096</v>
      </c>
      <c r="B134" t="s">
        <v>1097</v>
      </c>
    </row>
    <row r="135" spans="1:2" x14ac:dyDescent="0.45">
      <c r="A135" t="s">
        <v>639</v>
      </c>
      <c r="B135" t="s">
        <v>1098</v>
      </c>
    </row>
    <row r="137" spans="1:2" x14ac:dyDescent="0.45">
      <c r="A137" t="s">
        <v>1099</v>
      </c>
      <c r="B137" t="s">
        <v>1100</v>
      </c>
    </row>
    <row r="138" spans="1:2" x14ac:dyDescent="0.45">
      <c r="A138" t="s">
        <v>639</v>
      </c>
      <c r="B138" t="s">
        <v>1101</v>
      </c>
    </row>
    <row r="140" spans="1:2" x14ac:dyDescent="0.45">
      <c r="A140" t="s">
        <v>1102</v>
      </c>
      <c r="B140" t="s">
        <v>1103</v>
      </c>
    </row>
    <row r="141" spans="1:2" x14ac:dyDescent="0.45">
      <c r="A141" t="s">
        <v>639</v>
      </c>
      <c r="B141" t="s">
        <v>1104</v>
      </c>
    </row>
    <row r="143" spans="1:2" x14ac:dyDescent="0.45">
      <c r="A143" t="s">
        <v>1105</v>
      </c>
    </row>
    <row r="144" spans="1:2" x14ac:dyDescent="0.45">
      <c r="A144" t="s">
        <v>1106</v>
      </c>
    </row>
    <row r="146" spans="1:2" x14ac:dyDescent="0.45">
      <c r="A146" s="671" t="s">
        <v>1107</v>
      </c>
      <c r="B146" t="s">
        <v>1108</v>
      </c>
    </row>
    <row r="148" spans="1:2" x14ac:dyDescent="0.45">
      <c r="A148" s="671" t="s">
        <v>1109</v>
      </c>
    </row>
    <row r="149" spans="1:2" x14ac:dyDescent="0.45">
      <c r="A149" t="s">
        <v>1110</v>
      </c>
    </row>
    <row r="150" spans="1:2" x14ac:dyDescent="0.45">
      <c r="A150" s="809" t="s">
        <v>1111</v>
      </c>
      <c r="B150" s="810" t="s">
        <v>1112</v>
      </c>
    </row>
    <row r="151" spans="1:2" x14ac:dyDescent="0.45">
      <c r="A151" s="810"/>
      <c r="B151" s="810"/>
    </row>
    <row r="152" spans="1:2" x14ac:dyDescent="0.45">
      <c r="A152" s="671" t="s">
        <v>1113</v>
      </c>
      <c r="B152" t="s">
        <v>1114</v>
      </c>
    </row>
    <row r="153" spans="1:2" x14ac:dyDescent="0.45">
      <c r="A153" s="671" t="s">
        <v>1115</v>
      </c>
      <c r="B153" t="s">
        <v>1116</v>
      </c>
    </row>
    <row r="154" spans="1:2" x14ac:dyDescent="0.45">
      <c r="A154" s="671" t="s">
        <v>1117</v>
      </c>
      <c r="B154" t="s">
        <v>1118</v>
      </c>
    </row>
    <row r="155" spans="1:2" x14ac:dyDescent="0.45">
      <c r="A155" s="671" t="s">
        <v>1119</v>
      </c>
      <c r="B155" t="s">
        <v>1120</v>
      </c>
    </row>
    <row r="156" spans="1:2" x14ac:dyDescent="0.45">
      <c r="A156" s="671" t="s">
        <v>1121</v>
      </c>
      <c r="B156" t="s">
        <v>1122</v>
      </c>
    </row>
    <row r="157" spans="1:2" x14ac:dyDescent="0.45">
      <c r="A157" s="671" t="s">
        <v>1123</v>
      </c>
      <c r="B157" t="s">
        <v>1124</v>
      </c>
    </row>
    <row r="158" spans="1:2" x14ac:dyDescent="0.45">
      <c r="A158" s="671" t="s">
        <v>1125</v>
      </c>
      <c r="B158" t="s">
        <v>1126</v>
      </c>
    </row>
    <row r="159" spans="1:2" x14ac:dyDescent="0.45">
      <c r="A159" s="809" t="s">
        <v>1127</v>
      </c>
      <c r="B159" s="810" t="s">
        <v>1128</v>
      </c>
    </row>
    <row r="160" spans="1:2" x14ac:dyDescent="0.45">
      <c r="A160" s="671" t="s">
        <v>1129</v>
      </c>
      <c r="B160" t="s">
        <v>1130</v>
      </c>
    </row>
    <row r="161" spans="1:2" x14ac:dyDescent="0.45">
      <c r="A161" s="671"/>
    </row>
    <row r="162" spans="1:2" x14ac:dyDescent="0.45">
      <c r="A162" s="671" t="s">
        <v>1131</v>
      </c>
      <c r="B162" t="s">
        <v>1132</v>
      </c>
    </row>
    <row r="163" spans="1:2" x14ac:dyDescent="0.45">
      <c r="A163" s="671" t="s">
        <v>650</v>
      </c>
      <c r="B163" t="s">
        <v>1133</v>
      </c>
    </row>
    <row r="164" spans="1:2" x14ac:dyDescent="0.45">
      <c r="A164" t="s">
        <v>718</v>
      </c>
      <c r="B164" t="s">
        <v>1134</v>
      </c>
    </row>
    <row r="165" spans="1:2" x14ac:dyDescent="0.45">
      <c r="A165" s="671" t="s">
        <v>719</v>
      </c>
      <c r="B165" t="s">
        <v>1135</v>
      </c>
    </row>
    <row r="166" spans="1:2" x14ac:dyDescent="0.45">
      <c r="A166" t="s">
        <v>1136</v>
      </c>
      <c r="B166" t="s">
        <v>1137</v>
      </c>
    </row>
    <row r="167" spans="1:2" x14ac:dyDescent="0.45">
      <c r="A167" s="671" t="s">
        <v>1138</v>
      </c>
      <c r="B167" t="s">
        <v>1139</v>
      </c>
    </row>
    <row r="168" spans="1:2" x14ac:dyDescent="0.45">
      <c r="A168" t="s">
        <v>721</v>
      </c>
      <c r="B168" t="s">
        <v>1140</v>
      </c>
    </row>
    <row r="169" spans="1:2" x14ac:dyDescent="0.45">
      <c r="A169" s="671" t="s">
        <v>1141</v>
      </c>
      <c r="B169" t="s">
        <v>1142</v>
      </c>
    </row>
    <row r="170" spans="1:2" x14ac:dyDescent="0.45">
      <c r="A170" t="s">
        <v>723</v>
      </c>
      <c r="B170" t="s">
        <v>1143</v>
      </c>
    </row>
    <row r="171" spans="1:2" x14ac:dyDescent="0.45">
      <c r="A171" s="671" t="s">
        <v>66</v>
      </c>
      <c r="B171" t="s">
        <v>1144</v>
      </c>
    </row>
    <row r="172" spans="1:2" x14ac:dyDescent="0.45">
      <c r="A172" t="s">
        <v>1145</v>
      </c>
      <c r="B172" t="s">
        <v>1146</v>
      </c>
    </row>
    <row r="173" spans="1:2" x14ac:dyDescent="0.45">
      <c r="A173" s="671" t="s">
        <v>1147</v>
      </c>
      <c r="B173" t="s">
        <v>1132</v>
      </c>
    </row>
    <row r="174" spans="1:2" x14ac:dyDescent="0.45">
      <c r="A174" s="671" t="s">
        <v>651</v>
      </c>
      <c r="B174" t="s">
        <v>1148</v>
      </c>
    </row>
    <row r="175" spans="1:2" x14ac:dyDescent="0.45">
      <c r="A175" t="s">
        <v>655</v>
      </c>
      <c r="B175" t="s">
        <v>1149</v>
      </c>
    </row>
    <row r="176" spans="1:2" x14ac:dyDescent="0.45">
      <c r="A176" t="s">
        <v>1150</v>
      </c>
      <c r="B176" t="s">
        <v>1151</v>
      </c>
    </row>
    <row r="177" spans="1:2" x14ac:dyDescent="0.45">
      <c r="A177" t="s">
        <v>658</v>
      </c>
      <c r="B177" t="s">
        <v>1152</v>
      </c>
    </row>
    <row r="178" spans="1:2" x14ac:dyDescent="0.45">
      <c r="A178" t="s">
        <v>141</v>
      </c>
      <c r="B178" t="s">
        <v>1153</v>
      </c>
    </row>
    <row r="179" spans="1:2" x14ac:dyDescent="0.45">
      <c r="A179" t="s">
        <v>1154</v>
      </c>
      <c r="B179" t="s">
        <v>1155</v>
      </c>
    </row>
    <row r="180" spans="1:2" x14ac:dyDescent="0.45">
      <c r="A180" t="s">
        <v>1156</v>
      </c>
      <c r="B180" t="s">
        <v>1157</v>
      </c>
    </row>
    <row r="181" spans="1:2" x14ac:dyDescent="0.45">
      <c r="A181" t="s">
        <v>661</v>
      </c>
      <c r="B181" t="s">
        <v>1158</v>
      </c>
    </row>
    <row r="182" spans="1:2" x14ac:dyDescent="0.45">
      <c r="A182" t="s">
        <v>1159</v>
      </c>
      <c r="B182" t="s">
        <v>1160</v>
      </c>
    </row>
    <row r="183" spans="1:2" x14ac:dyDescent="0.45">
      <c r="A183" t="s">
        <v>1161</v>
      </c>
      <c r="B183" t="s">
        <v>1162</v>
      </c>
    </row>
    <row r="184" spans="1:2" x14ac:dyDescent="0.45">
      <c r="A184" t="s">
        <v>1163</v>
      </c>
      <c r="B184" t="s">
        <v>1164</v>
      </c>
    </row>
    <row r="185" spans="1:2" x14ac:dyDescent="0.45">
      <c r="A185" t="s">
        <v>1165</v>
      </c>
      <c r="B185" t="s">
        <v>1166</v>
      </c>
    </row>
    <row r="186" spans="1:2" x14ac:dyDescent="0.45">
      <c r="A186" t="s">
        <v>1167</v>
      </c>
      <c r="B186" t="s">
        <v>1168</v>
      </c>
    </row>
    <row r="187" spans="1:2" x14ac:dyDescent="0.45">
      <c r="A187" t="s">
        <v>1169</v>
      </c>
    </row>
    <row r="188" spans="1:2" x14ac:dyDescent="0.45">
      <c r="A188" s="755" t="s">
        <v>1170</v>
      </c>
    </row>
    <row r="189" spans="1:2" x14ac:dyDescent="0.45">
      <c r="A189" s="671" t="s">
        <v>1171</v>
      </c>
    </row>
    <row r="190" spans="1:2" x14ac:dyDescent="0.45">
      <c r="A190" t="s">
        <v>1172</v>
      </c>
    </row>
    <row r="191" spans="1:2" x14ac:dyDescent="0.45">
      <c r="A191" t="s">
        <v>1173</v>
      </c>
    </row>
    <row r="192" spans="1:2" x14ac:dyDescent="0.45">
      <c r="A192" t="s">
        <v>1174</v>
      </c>
    </row>
    <row r="193" spans="1:1" x14ac:dyDescent="0.45">
      <c r="A193" t="s">
        <v>1175</v>
      </c>
    </row>
    <row r="194" spans="1:1" x14ac:dyDescent="0.45">
      <c r="A194" t="s">
        <v>1176</v>
      </c>
    </row>
    <row r="195" spans="1:1" x14ac:dyDescent="0.45">
      <c r="A195" t="s">
        <v>1177</v>
      </c>
    </row>
    <row r="196" spans="1:1" x14ac:dyDescent="0.45">
      <c r="A196" t="s">
        <v>1178</v>
      </c>
    </row>
    <row r="197" spans="1:1" x14ac:dyDescent="0.45">
      <c r="A197" t="s">
        <v>1179</v>
      </c>
    </row>
    <row r="198" spans="1:1" x14ac:dyDescent="0.45">
      <c r="A198" t="s">
        <v>1180</v>
      </c>
    </row>
    <row r="199" spans="1:1" x14ac:dyDescent="0.45">
      <c r="A199" t="s">
        <v>1181</v>
      </c>
    </row>
    <row r="200" spans="1:1" x14ac:dyDescent="0.45">
      <c r="A200" t="s">
        <v>1182</v>
      </c>
    </row>
    <row r="201" spans="1:1" x14ac:dyDescent="0.45">
      <c r="A201" t="s">
        <v>1183</v>
      </c>
    </row>
    <row r="202" spans="1:1" x14ac:dyDescent="0.45">
      <c r="A202" t="s">
        <v>1184</v>
      </c>
    </row>
    <row r="203" spans="1:1" x14ac:dyDescent="0.4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tabSelected="1" topLeftCell="A3" zoomScale="115" zoomScaleNormal="115" zoomScaleSheetLayoutView="85" workbookViewId="0">
      <selection activeCell="B22" sqref="B22"/>
    </sheetView>
  </sheetViews>
  <sheetFormatPr defaultRowHeight="14.25" x14ac:dyDescent="0.45"/>
  <cols>
    <col min="1" max="1" width="62.86328125" customWidth="1"/>
    <col min="2" max="2" width="19.3984375" bestFit="1" customWidth="1"/>
    <col min="3" max="3" width="19.3984375" customWidth="1"/>
    <col min="4" max="4" width="39.86328125" bestFit="1" customWidth="1"/>
    <col min="5" max="5" width="20.1328125" bestFit="1" customWidth="1"/>
    <col min="6" max="6" width="27.86328125" bestFit="1" customWidth="1"/>
    <col min="7" max="7" width="32.73046875" customWidth="1"/>
    <col min="8" max="8" width="51.265625" bestFit="1" customWidth="1"/>
    <col min="9" max="9" width="32.73046875" customWidth="1"/>
    <col min="10" max="10" width="32" customWidth="1"/>
    <col min="11" max="11" width="49.86328125" customWidth="1"/>
  </cols>
  <sheetData>
    <row r="1" spans="1:26" ht="36" customHeight="1" x14ac:dyDescent="0.45"/>
    <row r="2" spans="1:26" ht="6" customHeight="1" x14ac:dyDescent="0.45"/>
    <row r="3" spans="1:26" ht="18.75" customHeight="1" x14ac:dyDescent="0.55000000000000004">
      <c r="A3" s="750" t="s">
        <v>1186</v>
      </c>
      <c r="J3" s="813" t="s">
        <v>1187</v>
      </c>
      <c r="L3" s="803"/>
      <c r="M3" s="803"/>
      <c r="N3" s="803"/>
      <c r="O3" s="803"/>
      <c r="P3" s="803"/>
      <c r="Z3" s="768" t="s">
        <v>1188</v>
      </c>
    </row>
    <row r="4" spans="1:26" x14ac:dyDescent="0.45">
      <c r="A4" s="671" t="s">
        <v>1189</v>
      </c>
      <c r="B4" s="775" t="str">
        <f>IF(AND(B7&lt;&gt;"",B14&gt;0,B15&gt;0,B19&gt;0,B20&gt;0,B29&lt;&gt;"",B34&lt;&gt;"",B39&gt;0),"✓ READY TO RUN","⚠ Fill Required Fields")</f>
        <v>⚠ Fill Required Fields</v>
      </c>
      <c r="C4" s="775"/>
      <c r="J4" t="s">
        <v>1190</v>
      </c>
      <c r="K4" t="s">
        <v>1191</v>
      </c>
      <c r="L4" s="804"/>
      <c r="M4" s="804"/>
      <c r="N4" s="804"/>
      <c r="O4" s="804"/>
      <c r="Z4" s="754"/>
    </row>
    <row r="5" spans="1:26" ht="15.75" customHeight="1" x14ac:dyDescent="0.5">
      <c r="A5" s="751" t="s">
        <v>1192</v>
      </c>
      <c r="L5" s="804"/>
      <c r="M5" s="804"/>
      <c r="N5" s="804"/>
      <c r="O5" s="804"/>
    </row>
    <row r="6" spans="1:26" x14ac:dyDescent="0.45">
      <c r="J6" s="813" t="s">
        <v>1193</v>
      </c>
      <c r="L6" s="804"/>
      <c r="M6" s="804"/>
      <c r="N6" s="804"/>
      <c r="O6" s="804"/>
      <c r="Z6" s="753" t="s">
        <v>314</v>
      </c>
    </row>
    <row r="7" spans="1:26" x14ac:dyDescent="0.45">
      <c r="A7" s="671" t="s">
        <v>1194</v>
      </c>
      <c r="B7" s="769" t="s">
        <v>2603</v>
      </c>
      <c r="C7" s="769"/>
      <c r="J7" t="s">
        <v>1190</v>
      </c>
      <c r="K7" t="s">
        <v>1195</v>
      </c>
      <c r="L7" s="804"/>
      <c r="M7" s="804"/>
      <c r="N7" s="804"/>
      <c r="O7" s="804"/>
      <c r="Z7" s="753" t="s">
        <v>315</v>
      </c>
    </row>
    <row r="8" spans="1:26" x14ac:dyDescent="0.45">
      <c r="A8" s="671" t="s">
        <v>1196</v>
      </c>
      <c r="B8" s="769"/>
      <c r="C8" s="769"/>
      <c r="D8" t="s">
        <v>1197</v>
      </c>
      <c r="K8" t="s">
        <v>1198</v>
      </c>
      <c r="L8" s="803"/>
      <c r="M8" s="803"/>
      <c r="N8" s="803"/>
      <c r="O8" s="803"/>
      <c r="Z8" s="753" t="s">
        <v>316</v>
      </c>
    </row>
    <row r="9" spans="1:26" x14ac:dyDescent="0.45">
      <c r="J9" t="s">
        <v>1199</v>
      </c>
      <c r="K9" t="s">
        <v>1200</v>
      </c>
      <c r="L9" s="805"/>
      <c r="M9" s="805"/>
      <c r="N9" s="805"/>
      <c r="O9" s="805"/>
      <c r="Z9" s="753" t="s">
        <v>317</v>
      </c>
    </row>
    <row r="10" spans="1:26" x14ac:dyDescent="0.45">
      <c r="Z10" s="753" t="s">
        <v>318</v>
      </c>
    </row>
    <row r="11" spans="1:26" ht="15.75" customHeight="1" x14ac:dyDescent="0.5">
      <c r="A11" s="751" t="s">
        <v>1201</v>
      </c>
      <c r="J11" s="813" t="s">
        <v>1202</v>
      </c>
      <c r="Z11" s="753" t="s">
        <v>319</v>
      </c>
    </row>
    <row r="12" spans="1:26" x14ac:dyDescent="0.45">
      <c r="A12" s="720" t="s">
        <v>1203</v>
      </c>
      <c r="B12" s="720" t="s">
        <v>1204</v>
      </c>
      <c r="C12" s="720"/>
      <c r="D12" s="720" t="s">
        <v>1205</v>
      </c>
      <c r="J12" t="s">
        <v>1190</v>
      </c>
      <c r="K12" t="s">
        <v>1206</v>
      </c>
      <c r="Z12" s="753" t="s">
        <v>320</v>
      </c>
    </row>
    <row r="13" spans="1:26" x14ac:dyDescent="0.45">
      <c r="K13" t="s">
        <v>1207</v>
      </c>
      <c r="Z13" s="753" t="s">
        <v>321</v>
      </c>
    </row>
    <row r="14" spans="1:26" x14ac:dyDescent="0.45">
      <c r="A14" s="671" t="s">
        <v>1208</v>
      </c>
      <c r="B14" s="770"/>
      <c r="C14" s="770"/>
      <c r="D14" t="s">
        <v>1209</v>
      </c>
      <c r="K14" t="s">
        <v>1210</v>
      </c>
      <c r="Z14" s="753" t="s">
        <v>322</v>
      </c>
    </row>
    <row r="15" spans="1:26" x14ac:dyDescent="0.45">
      <c r="A15" s="671" t="s">
        <v>1211</v>
      </c>
      <c r="B15" s="770"/>
      <c r="C15" s="770"/>
      <c r="D15" t="s">
        <v>1212</v>
      </c>
      <c r="K15" t="s">
        <v>1213</v>
      </c>
      <c r="Z15" s="753" t="s">
        <v>323</v>
      </c>
    </row>
    <row r="16" spans="1:26" x14ac:dyDescent="0.45">
      <c r="A16" s="671" t="s">
        <v>1214</v>
      </c>
      <c r="B16" s="770"/>
      <c r="C16" s="770"/>
      <c r="D16" t="s">
        <v>1215</v>
      </c>
      <c r="J16" t="s">
        <v>1216</v>
      </c>
      <c r="K16" t="s">
        <v>1217</v>
      </c>
      <c r="Z16" s="753" t="s">
        <v>324</v>
      </c>
    </row>
    <row r="17" spans="1:26" x14ac:dyDescent="0.45">
      <c r="A17" s="671" t="s">
        <v>1218</v>
      </c>
      <c r="B17" s="770"/>
      <c r="C17" s="770"/>
      <c r="D17" t="s">
        <v>1215</v>
      </c>
      <c r="K17" t="s">
        <v>1219</v>
      </c>
      <c r="Z17" s="753" t="s">
        <v>325</v>
      </c>
    </row>
    <row r="18" spans="1:26" x14ac:dyDescent="0.45">
      <c r="A18" s="671" t="s">
        <v>1220</v>
      </c>
      <c r="B18" s="770"/>
      <c r="C18" s="770"/>
      <c r="D18" t="s">
        <v>1221</v>
      </c>
      <c r="Z18" s="753" t="s">
        <v>326</v>
      </c>
    </row>
    <row r="19" spans="1:26" x14ac:dyDescent="0.45">
      <c r="A19" s="752" t="s">
        <v>1222</v>
      </c>
      <c r="B19" s="770"/>
      <c r="C19" s="770"/>
      <c r="D19" t="s">
        <v>1223</v>
      </c>
      <c r="J19" s="813" t="s">
        <v>1224</v>
      </c>
      <c r="Z19" s="753" t="s">
        <v>327</v>
      </c>
    </row>
    <row r="20" spans="1:26" x14ac:dyDescent="0.45">
      <c r="A20" s="671" t="s">
        <v>1225</v>
      </c>
      <c r="B20" s="770"/>
      <c r="C20" s="770"/>
      <c r="D20" t="s">
        <v>1226</v>
      </c>
      <c r="J20" t="s">
        <v>1190</v>
      </c>
      <c r="K20" t="s">
        <v>1227</v>
      </c>
      <c r="Z20" s="753" t="s">
        <v>328</v>
      </c>
    </row>
    <row r="21" spans="1:26" x14ac:dyDescent="0.45">
      <c r="A21" s="671" t="s">
        <v>1228</v>
      </c>
      <c r="B21" s="770"/>
      <c r="C21" s="770"/>
      <c r="D21" t="s">
        <v>1229</v>
      </c>
      <c r="K21" t="s">
        <v>1230</v>
      </c>
      <c r="Z21" s="753" t="s">
        <v>329</v>
      </c>
    </row>
    <row r="22" spans="1:26" x14ac:dyDescent="0.45">
      <c r="A22" s="671" t="s">
        <v>1231</v>
      </c>
      <c r="B22" s="771"/>
      <c r="C22" s="771"/>
      <c r="D22" t="s">
        <v>1232</v>
      </c>
      <c r="K22" t="s">
        <v>1233</v>
      </c>
      <c r="Z22" s="753" t="s">
        <v>330</v>
      </c>
    </row>
    <row r="23" spans="1:26" x14ac:dyDescent="0.45">
      <c r="Z23" s="753" t="s">
        <v>331</v>
      </c>
    </row>
    <row r="24" spans="1:26" x14ac:dyDescent="0.45">
      <c r="J24" s="813" t="s">
        <v>1234</v>
      </c>
      <c r="Z24" s="753" t="s">
        <v>332</v>
      </c>
    </row>
    <row r="25" spans="1:26" ht="15.75" customHeight="1" x14ac:dyDescent="0.5">
      <c r="A25" s="751" t="s">
        <v>1235</v>
      </c>
      <c r="J25" t="s">
        <v>1190</v>
      </c>
      <c r="K25" t="s">
        <v>1195</v>
      </c>
      <c r="Z25" s="753" t="s">
        <v>333</v>
      </c>
    </row>
    <row r="26" spans="1:26" x14ac:dyDescent="0.45">
      <c r="A26" s="720" t="s">
        <v>1203</v>
      </c>
      <c r="B26" s="720" t="s">
        <v>1204</v>
      </c>
      <c r="C26" s="720"/>
      <c r="D26" s="720" t="s">
        <v>1205</v>
      </c>
      <c r="K26" t="s">
        <v>1236</v>
      </c>
      <c r="Z26" s="753" t="s">
        <v>334</v>
      </c>
    </row>
    <row r="27" spans="1:26" x14ac:dyDescent="0.45">
      <c r="Z27" s="753" t="s">
        <v>335</v>
      </c>
    </row>
    <row r="28" spans="1:26" x14ac:dyDescent="0.45">
      <c r="A28" s="671" t="s">
        <v>1237</v>
      </c>
      <c r="B28" s="769" t="s">
        <v>102</v>
      </c>
      <c r="C28" s="769"/>
      <c r="D28" t="s">
        <v>1238</v>
      </c>
      <c r="J28" s="814" t="s">
        <v>1239</v>
      </c>
      <c r="Z28" s="753" t="s">
        <v>336</v>
      </c>
    </row>
    <row r="29" spans="1:26" x14ac:dyDescent="0.45">
      <c r="A29" s="671" t="s">
        <v>1240</v>
      </c>
      <c r="B29" s="772">
        <v>1</v>
      </c>
      <c r="C29" s="772"/>
      <c r="D29" t="s">
        <v>1241</v>
      </c>
      <c r="K29" t="s">
        <v>1242</v>
      </c>
      <c r="Z29" s="753" t="s">
        <v>337</v>
      </c>
    </row>
    <row r="30" spans="1:26" x14ac:dyDescent="0.45">
      <c r="A30" s="671" t="s">
        <v>1243</v>
      </c>
      <c r="B30" s="769" t="s">
        <v>393</v>
      </c>
      <c r="C30" s="769"/>
      <c r="D30" t="s">
        <v>393</v>
      </c>
      <c r="K30" t="s">
        <v>1244</v>
      </c>
      <c r="Z30" s="753" t="s">
        <v>338</v>
      </c>
    </row>
    <row r="31" spans="1:26" x14ac:dyDescent="0.45">
      <c r="A31" s="671" t="s">
        <v>1245</v>
      </c>
      <c r="B31" s="773"/>
      <c r="C31" s="773"/>
      <c r="D31" t="s">
        <v>1246</v>
      </c>
      <c r="K31" t="s">
        <v>1247</v>
      </c>
      <c r="Z31" s="753" t="s">
        <v>339</v>
      </c>
    </row>
    <row r="32" spans="1:26" x14ac:dyDescent="0.45">
      <c r="A32" s="671" t="s">
        <v>1248</v>
      </c>
      <c r="B32" s="773"/>
      <c r="C32" s="773"/>
      <c r="D32" t="s">
        <v>1249</v>
      </c>
      <c r="K32" t="s">
        <v>1250</v>
      </c>
      <c r="Z32" s="753" t="s">
        <v>340</v>
      </c>
    </row>
    <row r="33" spans="1:26" x14ac:dyDescent="0.45">
      <c r="A33" s="671" t="s">
        <v>1251</v>
      </c>
      <c r="B33" s="769" t="s">
        <v>691</v>
      </c>
      <c r="C33" s="769"/>
      <c r="D33" t="s">
        <v>1252</v>
      </c>
      <c r="K33" t="s">
        <v>1253</v>
      </c>
      <c r="Z33" s="753" t="s">
        <v>341</v>
      </c>
    </row>
    <row r="34" spans="1:26" x14ac:dyDescent="0.45">
      <c r="A34" s="671" t="s">
        <v>1254</v>
      </c>
      <c r="B34" s="769"/>
      <c r="C34" s="769"/>
      <c r="D34" t="s">
        <v>1255</v>
      </c>
      <c r="K34" t="s">
        <v>1256</v>
      </c>
      <c r="Z34" s="753" t="s">
        <v>342</v>
      </c>
    </row>
    <row r="35" spans="1:26" x14ac:dyDescent="0.45">
      <c r="A35" s="671" t="s">
        <v>1257</v>
      </c>
      <c r="B35" s="769" t="s">
        <v>692</v>
      </c>
      <c r="C35" s="769"/>
      <c r="D35" t="s">
        <v>1258</v>
      </c>
      <c r="Z35" s="753" t="s">
        <v>343</v>
      </c>
    </row>
    <row r="36" spans="1:26" x14ac:dyDescent="0.45">
      <c r="A36" s="671" t="s">
        <v>1259</v>
      </c>
      <c r="B36" s="772">
        <v>0</v>
      </c>
      <c r="C36" s="772"/>
      <c r="D36" t="s">
        <v>1260</v>
      </c>
      <c r="Z36" s="753" t="s">
        <v>344</v>
      </c>
    </row>
    <row r="37" spans="1:26" x14ac:dyDescent="0.45">
      <c r="A37" s="671" t="s">
        <v>1261</v>
      </c>
      <c r="B37" s="772"/>
      <c r="C37" s="772"/>
      <c r="D37" t="s">
        <v>1262</v>
      </c>
      <c r="Z37" s="753" t="s">
        <v>345</v>
      </c>
    </row>
    <row r="38" spans="1:26" x14ac:dyDescent="0.45">
      <c r="A38" s="671" t="s">
        <v>1263</v>
      </c>
      <c r="B38" s="772"/>
      <c r="C38" s="772"/>
      <c r="D38" t="s">
        <v>1264</v>
      </c>
      <c r="Z38" s="753" t="s">
        <v>346</v>
      </c>
    </row>
    <row r="39" spans="1:26" x14ac:dyDescent="0.45">
      <c r="A39" s="671" t="s">
        <v>1265</v>
      </c>
      <c r="B39" s="771"/>
      <c r="C39" s="771"/>
      <c r="D39" t="s">
        <v>1266</v>
      </c>
      <c r="Z39" s="753" t="s">
        <v>347</v>
      </c>
    </row>
    <row r="40" spans="1:26" x14ac:dyDescent="0.45">
      <c r="Z40" s="753" t="s">
        <v>348</v>
      </c>
    </row>
    <row r="41" spans="1:26" x14ac:dyDescent="0.45">
      <c r="Z41" s="753" t="s">
        <v>349</v>
      </c>
    </row>
    <row r="42" spans="1:26" x14ac:dyDescent="0.45">
      <c r="Z42" s="753" t="s">
        <v>350</v>
      </c>
    </row>
    <row r="43" spans="1:26" x14ac:dyDescent="0.45">
      <c r="Z43" s="753" t="s">
        <v>351</v>
      </c>
    </row>
    <row r="44" spans="1:26" x14ac:dyDescent="0.45">
      <c r="Z44" s="753" t="s">
        <v>352</v>
      </c>
    </row>
    <row r="45" spans="1:26" ht="18.75" customHeight="1" x14ac:dyDescent="0.55000000000000004">
      <c r="A45" s="750" t="s">
        <v>1267</v>
      </c>
      <c r="Z45" s="753" t="s">
        <v>353</v>
      </c>
    </row>
    <row r="46" spans="1:26" ht="15.75" customHeight="1" thickBot="1" x14ac:dyDescent="0.5">
      <c r="Z46" s="753" t="s">
        <v>354</v>
      </c>
    </row>
    <row r="47" spans="1:26" ht="15.75" customHeight="1" x14ac:dyDescent="0.5">
      <c r="A47" s="815" t="s">
        <v>1268</v>
      </c>
      <c r="Z47" s="753" t="s">
        <v>355</v>
      </c>
    </row>
    <row r="48" spans="1:26" x14ac:dyDescent="0.45">
      <c r="Z48" s="753" t="s">
        <v>356</v>
      </c>
    </row>
    <row r="49" spans="1:26" x14ac:dyDescent="0.45">
      <c r="A49" s="766" t="s">
        <v>1269</v>
      </c>
      <c r="B49" s="767" t="s">
        <v>278</v>
      </c>
      <c r="C49" s="767"/>
      <c r="D49" s="766" t="s">
        <v>1270</v>
      </c>
      <c r="Z49" s="753" t="s">
        <v>357</v>
      </c>
    </row>
    <row r="50" spans="1:26" x14ac:dyDescent="0.45">
      <c r="Z50" s="753" t="s">
        <v>358</v>
      </c>
    </row>
    <row r="51" spans="1:26" x14ac:dyDescent="0.45">
      <c r="A51" s="671" t="s">
        <v>1271</v>
      </c>
      <c r="B51" s="774">
        <f>B19</f>
        <v>0</v>
      </c>
      <c r="C51" s="774"/>
      <c r="D51" t="s">
        <v>1272</v>
      </c>
      <c r="Z51" s="753" t="s">
        <v>359</v>
      </c>
    </row>
    <row r="52" spans="1:26" x14ac:dyDescent="0.45">
      <c r="Z52" s="753" t="s">
        <v>360</v>
      </c>
    </row>
    <row r="53" spans="1:26" x14ac:dyDescent="0.45">
      <c r="A53" s="671" t="s">
        <v>1273</v>
      </c>
      <c r="B53" s="881"/>
      <c r="C53" s="770"/>
      <c r="D53" t="s">
        <v>1274</v>
      </c>
      <c r="Z53" s="753" t="s">
        <v>361</v>
      </c>
    </row>
    <row r="54" spans="1:26" x14ac:dyDescent="0.45">
      <c r="A54" s="671" t="s">
        <v>1275</v>
      </c>
      <c r="B54" s="882">
        <f>Availability!L26</f>
        <v>147088763.19611225</v>
      </c>
      <c r="C54" s="756"/>
      <c r="D54" t="s">
        <v>1276</v>
      </c>
      <c r="Z54" s="753" t="s">
        <v>362</v>
      </c>
    </row>
    <row r="55" spans="1:26" x14ac:dyDescent="0.45">
      <c r="Z55" s="753" t="s">
        <v>363</v>
      </c>
    </row>
    <row r="56" spans="1:26" ht="17.25" customHeight="1" x14ac:dyDescent="0.5">
      <c r="A56" s="757" t="s">
        <v>1277</v>
      </c>
      <c r="B56" s="816" t="str">
        <f>IF(B53="","",B54-B53)</f>
        <v/>
      </c>
      <c r="C56" s="817"/>
      <c r="D56" t="str">
        <f t="array" ref="D56">IFERROR( After - Before,"")</f>
        <v/>
      </c>
      <c r="Z56" s="753" t="s">
        <v>364</v>
      </c>
    </row>
    <row r="57" spans="1:26" x14ac:dyDescent="0.45">
      <c r="A57" s="671" t="s">
        <v>1278</v>
      </c>
      <c r="B57" s="758" t="str">
        <f>IF(AND(B51&gt;0,B53&lt;&gt;""),B56/B51,"")</f>
        <v/>
      </c>
      <c r="C57" s="758"/>
      <c r="D57" t="s">
        <v>1279</v>
      </c>
      <c r="Z57" s="753" t="s">
        <v>365</v>
      </c>
    </row>
    <row r="58" spans="1:26" x14ac:dyDescent="0.45">
      <c r="Z58" s="753" t="s">
        <v>366</v>
      </c>
    </row>
    <row r="59" spans="1:26" ht="15.75" customHeight="1" thickBot="1" x14ac:dyDescent="0.5">
      <c r="Z59" s="753" t="s">
        <v>367</v>
      </c>
    </row>
    <row r="60" spans="1:26" ht="15.75" customHeight="1" x14ac:dyDescent="0.5">
      <c r="A60" s="812" t="s">
        <v>1280</v>
      </c>
      <c r="Z60" s="753" t="s">
        <v>368</v>
      </c>
    </row>
    <row r="61" spans="1:26" x14ac:dyDescent="0.45">
      <c r="Z61" s="753" t="s">
        <v>369</v>
      </c>
    </row>
    <row r="62" spans="1:26" x14ac:dyDescent="0.45">
      <c r="A62" s="766" t="s">
        <v>1269</v>
      </c>
      <c r="B62" s="767" t="s">
        <v>435</v>
      </c>
      <c r="C62" s="767"/>
      <c r="D62" s="766" t="s">
        <v>1281</v>
      </c>
      <c r="Z62" s="753" t="s">
        <v>370</v>
      </c>
    </row>
    <row r="63" spans="1:26" x14ac:dyDescent="0.45">
      <c r="Z63" s="753" t="s">
        <v>371</v>
      </c>
    </row>
    <row r="64" spans="1:26" x14ac:dyDescent="0.45">
      <c r="A64" s="818" t="s">
        <v>1282</v>
      </c>
      <c r="B64" s="819">
        <f>B20</f>
        <v>0</v>
      </c>
      <c r="C64" s="819"/>
      <c r="D64" s="818" t="s">
        <v>1283</v>
      </c>
      <c r="Z64" s="753" t="s">
        <v>372</v>
      </c>
    </row>
    <row r="65" spans="1:26" x14ac:dyDescent="0.45">
      <c r="A65" s="759" t="s">
        <v>1284</v>
      </c>
      <c r="B65" s="760" t="str">
        <f>IF(B20&gt;0,B19/B20,"")</f>
        <v/>
      </c>
      <c r="C65" s="760"/>
      <c r="D65" t="s">
        <v>1285</v>
      </c>
      <c r="Z65" s="753" t="s">
        <v>373</v>
      </c>
    </row>
    <row r="66" spans="1:26" x14ac:dyDescent="0.45">
      <c r="A66" s="818" t="s">
        <v>1286</v>
      </c>
      <c r="B66" s="820" t="str">
        <f>IF(B15&gt;0,(B16+B17+B18+B20-B21)/B15,"")</f>
        <v/>
      </c>
      <c r="C66" s="820"/>
      <c r="D66" s="818" t="s">
        <v>1287</v>
      </c>
      <c r="Z66" s="753" t="s">
        <v>374</v>
      </c>
    </row>
    <row r="67" spans="1:26" x14ac:dyDescent="0.45">
      <c r="A67" s="759" t="s">
        <v>688</v>
      </c>
      <c r="B67" s="761" t="str">
        <f>IF(B15&gt;0,(B16+B17+B18+B20-B21)/B15,"")</f>
        <v/>
      </c>
      <c r="C67" s="761"/>
      <c r="D67" t="s">
        <v>1288</v>
      </c>
      <c r="Z67" s="753" t="s">
        <v>375</v>
      </c>
    </row>
    <row r="68" spans="1:26" x14ac:dyDescent="0.45">
      <c r="A68" s="818" t="s">
        <v>689</v>
      </c>
      <c r="B68" s="820" t="str">
        <f>IF(B15&gt;0,(B16+B17-B21)/B15,"")</f>
        <v/>
      </c>
      <c r="C68" s="820"/>
      <c r="D68" s="818" t="s">
        <v>1289</v>
      </c>
      <c r="Z68" s="753" t="s">
        <v>376</v>
      </c>
    </row>
    <row r="69" spans="1:26" x14ac:dyDescent="0.45">
      <c r="Z69" s="753" t="s">
        <v>377</v>
      </c>
    </row>
    <row r="70" spans="1:26" x14ac:dyDescent="0.45">
      <c r="Z70" s="753" t="s">
        <v>378</v>
      </c>
    </row>
    <row r="71" spans="1:26" ht="16.5" customHeight="1" thickBot="1" x14ac:dyDescent="0.55000000000000004">
      <c r="A71" s="765" t="s">
        <v>1290</v>
      </c>
      <c r="B71" s="806"/>
      <c r="C71" s="806"/>
      <c r="D71" s="806"/>
      <c r="E71" s="806"/>
      <c r="F71" s="806"/>
      <c r="G71" s="806"/>
    </row>
    <row r="72" spans="1:26" x14ac:dyDescent="0.45">
      <c r="A72" s="821" t="s">
        <v>1291</v>
      </c>
    </row>
    <row r="73" spans="1:26" x14ac:dyDescent="0.45">
      <c r="A73" s="766" t="s">
        <v>991</v>
      </c>
      <c r="B73" s="767" t="s">
        <v>1292</v>
      </c>
      <c r="C73" s="767" t="s">
        <v>1293</v>
      </c>
      <c r="D73" s="767" t="s">
        <v>1294</v>
      </c>
      <c r="E73" s="767" t="s">
        <v>1295</v>
      </c>
      <c r="F73" s="767" t="s">
        <v>1296</v>
      </c>
      <c r="G73" s="767" t="s">
        <v>1297</v>
      </c>
      <c r="H73" s="767" t="s">
        <v>1298</v>
      </c>
      <c r="I73" s="767" t="s">
        <v>1299</v>
      </c>
    </row>
    <row r="74" spans="1:26" x14ac:dyDescent="0.45">
      <c r="A74" s="759" t="s">
        <v>1300</v>
      </c>
      <c r="B74" s="764">
        <f>'Concentration Limits'!H49</f>
        <v>0.2</v>
      </c>
      <c r="C74" s="763">
        <f>'Concentration Limits'!J49</f>
        <v>46599340.729726665</v>
      </c>
      <c r="D74" s="763"/>
      <c r="E74" s="763"/>
      <c r="F74" s="763"/>
      <c r="G74" s="763"/>
      <c r="H74" s="808" t="str">
        <f t="shared" ref="H74:I76" si="0">IF(F74="","",F74-D74)</f>
        <v/>
      </c>
      <c r="I74" s="808" t="str">
        <f t="shared" si="0"/>
        <v/>
      </c>
    </row>
    <row r="75" spans="1:26" x14ac:dyDescent="0.45">
      <c r="A75" s="759" t="s">
        <v>1301</v>
      </c>
      <c r="B75" s="764">
        <f>'Concentration Limits'!H50</f>
        <v>0.1</v>
      </c>
      <c r="C75" s="763">
        <f>'Concentration Limits'!J50</f>
        <v>23299670.364863332</v>
      </c>
      <c r="D75" s="763"/>
      <c r="E75" s="763"/>
      <c r="F75" s="763"/>
      <c r="G75" s="763"/>
      <c r="H75" s="808" t="str">
        <f t="shared" si="0"/>
        <v/>
      </c>
      <c r="I75" s="808" t="str">
        <f t="shared" si="0"/>
        <v/>
      </c>
    </row>
    <row r="76" spans="1:26" ht="15.75" customHeight="1" thickBot="1" x14ac:dyDescent="0.5">
      <c r="A76" s="759" t="s">
        <v>1302</v>
      </c>
      <c r="B76" s="764">
        <f>'Concentration Limits'!H51</f>
        <v>0.3</v>
      </c>
      <c r="C76" s="763">
        <f>'Concentration Limits'!J51</f>
        <v>69899011.094589993</v>
      </c>
      <c r="D76" s="763"/>
      <c r="E76" s="763"/>
      <c r="F76" s="763"/>
      <c r="G76" s="763"/>
      <c r="H76" s="808" t="str">
        <f t="shared" si="0"/>
        <v/>
      </c>
      <c r="I76" s="808" t="str">
        <f t="shared" si="0"/>
        <v/>
      </c>
    </row>
    <row r="77" spans="1:26" x14ac:dyDescent="0.45">
      <c r="A77" s="821" t="s">
        <v>1303</v>
      </c>
      <c r="B77" s="764"/>
      <c r="C77" s="763"/>
      <c r="D77" s="763"/>
      <c r="E77" s="763"/>
      <c r="F77" s="763"/>
      <c r="G77" s="763"/>
      <c r="H77" s="808"/>
      <c r="I77" s="808"/>
    </row>
    <row r="78" spans="1:26" x14ac:dyDescent="0.45">
      <c r="A78" s="759" t="s">
        <v>75</v>
      </c>
      <c r="B78" s="764">
        <f>'Concentration Limits'!H52</f>
        <v>0.15</v>
      </c>
      <c r="C78" s="763">
        <f>'Concentration Limits'!J52</f>
        <v>34949505.547294997</v>
      </c>
      <c r="D78" s="763"/>
      <c r="E78" s="763"/>
      <c r="F78" s="763"/>
      <c r="G78" s="763"/>
      <c r="H78" s="808" t="str">
        <f t="shared" ref="H78:H89" si="1">IF(F78="","",F78-D78)</f>
        <v/>
      </c>
      <c r="I78" s="808" t="str">
        <f t="shared" ref="I78:I89" si="2">IF(G78="","",G78-E78)</f>
        <v/>
      </c>
    </row>
    <row r="79" spans="1:26" x14ac:dyDescent="0.45">
      <c r="A79" s="759" t="s">
        <v>1304</v>
      </c>
      <c r="B79" s="764">
        <f>'Concentration Limits'!H57</f>
        <v>7.4999999999999997E-2</v>
      </c>
      <c r="C79" s="763">
        <f>'Concentration Limits'!J57</f>
        <v>17474752.773647498</v>
      </c>
      <c r="D79" s="763"/>
      <c r="E79" s="763"/>
      <c r="F79" s="763"/>
      <c r="G79" s="763"/>
      <c r="H79" s="808" t="str">
        <f t="shared" si="1"/>
        <v/>
      </c>
      <c r="I79" s="808" t="str">
        <f t="shared" si="2"/>
        <v/>
      </c>
    </row>
    <row r="80" spans="1:26" ht="15.75" customHeight="1" thickBot="1" x14ac:dyDescent="0.5">
      <c r="A80" s="759" t="s">
        <v>1305</v>
      </c>
      <c r="B80" s="764">
        <f>'Concentration Limits'!H58</f>
        <v>0.2</v>
      </c>
      <c r="C80" s="763">
        <f>'Concentration Limits'!J58</f>
        <v>46599340.729726665</v>
      </c>
      <c r="D80" s="763"/>
      <c r="E80" s="763"/>
      <c r="F80" s="763"/>
      <c r="G80" s="763"/>
      <c r="H80" s="808" t="str">
        <f t="shared" si="1"/>
        <v/>
      </c>
      <c r="I80" s="808" t="str">
        <f t="shared" si="2"/>
        <v/>
      </c>
    </row>
    <row r="81" spans="1:9" x14ac:dyDescent="0.45">
      <c r="A81" s="821" t="s">
        <v>1306</v>
      </c>
      <c r="B81" s="764"/>
      <c r="C81" s="763"/>
      <c r="D81" s="763"/>
      <c r="E81" s="763"/>
      <c r="F81" s="763"/>
      <c r="G81" s="763"/>
      <c r="H81" s="808" t="str">
        <f t="shared" si="1"/>
        <v/>
      </c>
      <c r="I81" s="808" t="str">
        <f t="shared" si="2"/>
        <v/>
      </c>
    </row>
    <row r="82" spans="1:9" x14ac:dyDescent="0.45">
      <c r="A82" s="759" t="s">
        <v>1307</v>
      </c>
      <c r="B82" s="764">
        <f>'Concentration Limits'!H59</f>
        <v>0.15</v>
      </c>
      <c r="C82" s="763">
        <f>'Concentration Limits'!J59</f>
        <v>34949505.547294997</v>
      </c>
      <c r="D82" s="763"/>
      <c r="E82" s="763"/>
      <c r="F82" s="763"/>
      <c r="G82" s="763"/>
      <c r="H82" s="808" t="str">
        <f t="shared" si="1"/>
        <v/>
      </c>
      <c r="I82" s="808" t="str">
        <f t="shared" si="2"/>
        <v/>
      </c>
    </row>
    <row r="83" spans="1:9" x14ac:dyDescent="0.45">
      <c r="A83" s="759" t="s">
        <v>1308</v>
      </c>
      <c r="B83" s="764">
        <f>'Concentration Limits'!H61</f>
        <v>0.1</v>
      </c>
      <c r="C83" s="763">
        <f>'Concentration Limits'!J61</f>
        <v>23299670.364863332</v>
      </c>
      <c r="D83" s="763"/>
      <c r="E83" s="763"/>
      <c r="F83" s="763"/>
      <c r="G83" s="763"/>
      <c r="H83" s="808" t="str">
        <f t="shared" si="1"/>
        <v/>
      </c>
      <c r="I83" s="808" t="str">
        <f t="shared" si="2"/>
        <v/>
      </c>
    </row>
    <row r="84" spans="1:9" x14ac:dyDescent="0.45">
      <c r="A84" s="759" t="s">
        <v>80</v>
      </c>
      <c r="B84" s="764">
        <f>'Concentration Limits'!H64</f>
        <v>0.1</v>
      </c>
      <c r="C84" s="763">
        <f>'Concentration Limits'!J64</f>
        <v>23299670.364863332</v>
      </c>
      <c r="D84" s="763"/>
      <c r="E84" s="763"/>
      <c r="F84" s="763"/>
      <c r="G84" s="763"/>
      <c r="H84" s="808" t="str">
        <f t="shared" si="1"/>
        <v/>
      </c>
      <c r="I84" s="808" t="str">
        <f t="shared" si="2"/>
        <v/>
      </c>
    </row>
    <row r="85" spans="1:9" ht="15.75" customHeight="1" thickBot="1" x14ac:dyDescent="0.5">
      <c r="A85" s="759" t="s">
        <v>1309</v>
      </c>
      <c r="B85" s="764">
        <f>'Concentration Limits'!H67</f>
        <v>0.1</v>
      </c>
      <c r="C85" s="763">
        <f>'Concentration Limits'!J67</f>
        <v>23299670.364863332</v>
      </c>
      <c r="D85" s="763"/>
      <c r="E85" s="763"/>
      <c r="F85" s="763"/>
      <c r="G85" s="763"/>
      <c r="H85" s="808" t="str">
        <f t="shared" si="1"/>
        <v/>
      </c>
      <c r="I85" s="808" t="str">
        <f t="shared" si="2"/>
        <v/>
      </c>
    </row>
    <row r="86" spans="1:9" x14ac:dyDescent="0.45">
      <c r="A86" s="821" t="s">
        <v>1310</v>
      </c>
      <c r="B86" s="764"/>
      <c r="C86" s="763"/>
      <c r="D86" s="763"/>
      <c r="E86" s="763"/>
      <c r="F86" s="763"/>
      <c r="G86" s="763"/>
      <c r="H86" s="808" t="str">
        <f t="shared" si="1"/>
        <v/>
      </c>
      <c r="I86" s="808" t="str">
        <f t="shared" si="2"/>
        <v/>
      </c>
    </row>
    <row r="87" spans="1:9" x14ac:dyDescent="0.45">
      <c r="A87" s="807" t="s">
        <v>82</v>
      </c>
      <c r="B87">
        <f>'Concentration Limits'!H68</f>
        <v>0.15</v>
      </c>
      <c r="C87">
        <f>'Concentration Limits'!J68</f>
        <v>34949505.547294997</v>
      </c>
      <c r="D87">
        <f>'Concentration Limits'!L68</f>
        <v>0</v>
      </c>
      <c r="E87">
        <f>'Concentration Limits'!K68</f>
        <v>0</v>
      </c>
      <c r="H87" t="str">
        <f t="shared" si="1"/>
        <v/>
      </c>
      <c r="I87" t="str">
        <f t="shared" si="2"/>
        <v/>
      </c>
    </row>
    <row r="88" spans="1:9" ht="15.75" customHeight="1" x14ac:dyDescent="0.5">
      <c r="A88" s="765" t="s">
        <v>83</v>
      </c>
      <c r="B88">
        <f>'Concentration Limits'!H69</f>
        <v>0.15</v>
      </c>
      <c r="C88">
        <f>'Concentration Limits'!J69</f>
        <v>34949505.547294997</v>
      </c>
      <c r="D88">
        <f>'Concentration Limits'!L69</f>
        <v>12656117.589817706</v>
      </c>
      <c r="E88">
        <f>'Concentration Limits'!K69</f>
        <v>0</v>
      </c>
      <c r="H88" t="str">
        <f t="shared" si="1"/>
        <v/>
      </c>
      <c r="I88" t="str">
        <f t="shared" si="2"/>
        <v/>
      </c>
    </row>
    <row r="89" spans="1:9" x14ac:dyDescent="0.45">
      <c r="A89" t="s">
        <v>1311</v>
      </c>
      <c r="B89">
        <f>'Concentration Limits'!H70</f>
        <v>0.1</v>
      </c>
      <c r="C89">
        <f>'Concentration Limits'!J70</f>
        <v>23299670.364863332</v>
      </c>
      <c r="D89">
        <f>'Concentration Limits'!L70</f>
        <v>0</v>
      </c>
      <c r="E89">
        <f>'Concentration Limits'!K70</f>
        <v>0</v>
      </c>
      <c r="H89" t="str">
        <f t="shared" si="1"/>
        <v/>
      </c>
      <c r="I89" t="str">
        <f t="shared" si="2"/>
        <v/>
      </c>
    </row>
    <row r="90" spans="1:9" ht="15.75" customHeight="1" thickBot="1" x14ac:dyDescent="0.5">
      <c r="A90" s="671" t="s">
        <v>1312</v>
      </c>
      <c r="B90" s="762"/>
      <c r="C90" s="762"/>
    </row>
    <row r="91" spans="1:9" x14ac:dyDescent="0.45">
      <c r="A91" s="821" t="s">
        <v>1313</v>
      </c>
      <c r="B91" s="762"/>
      <c r="C91" s="762"/>
    </row>
    <row r="99" spans="1:1" x14ac:dyDescent="0.45">
      <c r="A99" t="s">
        <v>1314</v>
      </c>
    </row>
    <row r="100" spans="1:1" x14ac:dyDescent="0.45">
      <c r="A100" t="s">
        <v>1315</v>
      </c>
    </row>
    <row r="101" spans="1:1" x14ac:dyDescent="0.45">
      <c r="A101" t="s">
        <v>1316</v>
      </c>
    </row>
    <row r="102" spans="1:1" x14ac:dyDescent="0.45">
      <c r="A102" t="s">
        <v>1317</v>
      </c>
    </row>
    <row r="103" spans="1:1" x14ac:dyDescent="0.45">
      <c r="A103" t="s">
        <v>1318</v>
      </c>
    </row>
    <row r="104" spans="1:1" x14ac:dyDescent="0.45">
      <c r="A104" t="s">
        <v>1319</v>
      </c>
    </row>
    <row r="105" spans="1:1" x14ac:dyDescent="0.45">
      <c r="A105" t="s">
        <v>1320</v>
      </c>
    </row>
    <row r="106" spans="1:1" x14ac:dyDescent="0.45">
      <c r="A106" t="s">
        <v>1321</v>
      </c>
    </row>
    <row r="107" spans="1:1" x14ac:dyDescent="0.45">
      <c r="A107" t="s">
        <v>1322</v>
      </c>
    </row>
    <row r="308" spans="1:1" ht="21" customHeight="1" x14ac:dyDescent="0.65">
      <c r="A308" s="791" t="s">
        <v>1323</v>
      </c>
    </row>
    <row r="310" spans="1:1" x14ac:dyDescent="0.45">
      <c r="A310" s="792" t="s">
        <v>1324</v>
      </c>
    </row>
    <row r="311" spans="1:1" x14ac:dyDescent="0.45">
      <c r="A311" s="793" t="s">
        <v>1325</v>
      </c>
    </row>
    <row r="312" spans="1:1" ht="21" customHeight="1" x14ac:dyDescent="0.65">
      <c r="A312" s="791" t="s">
        <v>1323</v>
      </c>
    </row>
    <row r="313" spans="1:1" x14ac:dyDescent="0.45">
      <c r="A313" s="793" t="s">
        <v>1326</v>
      </c>
    </row>
    <row r="314" spans="1:1" ht="21" customHeight="1" x14ac:dyDescent="0.65">
      <c r="A314" s="791" t="s">
        <v>1323</v>
      </c>
    </row>
    <row r="315" spans="1:1" x14ac:dyDescent="0.45">
      <c r="A315" s="793" t="s">
        <v>1327</v>
      </c>
    </row>
    <row r="316" spans="1:1" ht="21" customHeight="1" x14ac:dyDescent="0.65">
      <c r="A316" s="791" t="s">
        <v>1323</v>
      </c>
    </row>
    <row r="317" spans="1:1" x14ac:dyDescent="0.45">
      <c r="A317" s="793" t="s">
        <v>1328</v>
      </c>
    </row>
    <row r="318" spans="1:1" ht="21" customHeight="1" x14ac:dyDescent="0.65">
      <c r="A318" s="791" t="s">
        <v>1323</v>
      </c>
    </row>
    <row r="320" spans="1:1" x14ac:dyDescent="0.45">
      <c r="A320" s="795" t="s">
        <v>1329</v>
      </c>
    </row>
    <row r="321" spans="1:1" x14ac:dyDescent="0.45">
      <c r="A321" s="796" t="s">
        <v>1330</v>
      </c>
    </row>
    <row r="322" spans="1:1" x14ac:dyDescent="0.45">
      <c r="A322" s="796" t="s">
        <v>1331</v>
      </c>
    </row>
    <row r="323" spans="1:1" x14ac:dyDescent="0.4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zoomScale="70" zoomScaleNormal="70" workbookViewId="0">
      <selection activeCell="D58" sqref="D58"/>
    </sheetView>
  </sheetViews>
  <sheetFormatPr defaultRowHeight="14.25" x14ac:dyDescent="0.45"/>
  <cols>
    <col min="1" max="1" width="73.86328125" bestFit="1" customWidth="1"/>
    <col min="2" max="2" width="78.1328125" style="797" customWidth="1"/>
    <col min="3" max="3" width="40.1328125" bestFit="1" customWidth="1"/>
    <col min="4" max="4" width="50.1328125" bestFit="1" customWidth="1"/>
    <col min="5" max="5" width="33.265625" bestFit="1" customWidth="1"/>
    <col min="6" max="6" width="55.73046875" bestFit="1" customWidth="1"/>
  </cols>
  <sheetData>
    <row r="1" spans="1:6" ht="18.75" customHeight="1" x14ac:dyDescent="0.55000000000000004">
      <c r="A1" s="776" t="s">
        <v>1333</v>
      </c>
    </row>
    <row r="3" spans="1:6" ht="15.75" customHeight="1" x14ac:dyDescent="0.5">
      <c r="A3" s="751" t="s">
        <v>1334</v>
      </c>
    </row>
    <row r="4" spans="1:6" ht="45" customHeight="1" x14ac:dyDescent="0.45">
      <c r="A4" s="671" t="s">
        <v>1335</v>
      </c>
      <c r="B4" s="797" t="s">
        <v>1336</v>
      </c>
    </row>
    <row r="5" spans="1:6" ht="45" customHeight="1" x14ac:dyDescent="0.45">
      <c r="A5" s="671" t="s">
        <v>1337</v>
      </c>
      <c r="B5" s="797" t="s">
        <v>1338</v>
      </c>
    </row>
    <row r="6" spans="1:6" ht="30" customHeight="1" x14ac:dyDescent="0.45">
      <c r="A6" s="671" t="s">
        <v>1339</v>
      </c>
      <c r="B6" s="797" t="s">
        <v>1340</v>
      </c>
    </row>
    <row r="8" spans="1:6" ht="15.75" customHeight="1" x14ac:dyDescent="0.5">
      <c r="A8" s="751" t="s">
        <v>1341</v>
      </c>
    </row>
    <row r="10" spans="1:6" x14ac:dyDescent="0.45">
      <c r="A10" s="720" t="s">
        <v>1342</v>
      </c>
      <c r="B10" s="798" t="s">
        <v>1343</v>
      </c>
    </row>
    <row r="11" spans="1:6" x14ac:dyDescent="0.45">
      <c r="A11" s="671" t="s">
        <v>1344</v>
      </c>
      <c r="B11" s="799" t="s">
        <v>1345</v>
      </c>
      <c r="C11" s="671" t="s">
        <v>1346</v>
      </c>
      <c r="D11" s="671" t="s">
        <v>1347</v>
      </c>
      <c r="E11" s="671" t="s">
        <v>1348</v>
      </c>
      <c r="F11" s="671" t="s">
        <v>1349</v>
      </c>
    </row>
    <row r="12" spans="1:6" x14ac:dyDescent="0.45">
      <c r="A12" t="s">
        <v>1350</v>
      </c>
      <c r="B12" s="797" t="s">
        <v>1351</v>
      </c>
      <c r="C12" t="s">
        <v>769</v>
      </c>
      <c r="D12" t="s">
        <v>940</v>
      </c>
      <c r="E12" t="s">
        <v>1352</v>
      </c>
      <c r="F12" t="s">
        <v>1353</v>
      </c>
    </row>
    <row r="13" spans="1:6" x14ac:dyDescent="0.45">
      <c r="A13" t="s">
        <v>1350</v>
      </c>
      <c r="B13" s="797" t="s">
        <v>1354</v>
      </c>
      <c r="C13" t="s">
        <v>650</v>
      </c>
      <c r="D13" t="s">
        <v>940</v>
      </c>
      <c r="E13" t="s">
        <v>1355</v>
      </c>
      <c r="F13" t="s">
        <v>1133</v>
      </c>
    </row>
    <row r="14" spans="1:6" x14ac:dyDescent="0.45">
      <c r="D14" t="s">
        <v>1356</v>
      </c>
      <c r="E14" t="s">
        <v>1357</v>
      </c>
      <c r="F14" t="s">
        <v>1358</v>
      </c>
    </row>
    <row r="15" spans="1:6" x14ac:dyDescent="0.45">
      <c r="D15" t="s">
        <v>1356</v>
      </c>
      <c r="E15" t="s">
        <v>1359</v>
      </c>
      <c r="F15" t="s">
        <v>1360</v>
      </c>
    </row>
    <row r="16" spans="1:6" x14ac:dyDescent="0.45">
      <c r="A16" s="777" t="s">
        <v>1361</v>
      </c>
      <c r="B16" s="797" t="s">
        <v>1362</v>
      </c>
      <c r="C16" t="s">
        <v>718</v>
      </c>
      <c r="D16" t="s">
        <v>940</v>
      </c>
      <c r="E16" t="s">
        <v>956</v>
      </c>
      <c r="F16" t="s">
        <v>1363</v>
      </c>
    </row>
    <row r="17" spans="1:6" x14ac:dyDescent="0.45">
      <c r="A17" s="777" t="s">
        <v>1361</v>
      </c>
      <c r="B17" s="797" t="s">
        <v>1364</v>
      </c>
      <c r="C17" t="s">
        <v>719</v>
      </c>
      <c r="D17" t="s">
        <v>940</v>
      </c>
      <c r="E17" t="s">
        <v>959</v>
      </c>
      <c r="F17" t="s">
        <v>1365</v>
      </c>
    </row>
    <row r="18" spans="1:6" x14ac:dyDescent="0.45">
      <c r="A18" s="777" t="s">
        <v>1361</v>
      </c>
      <c r="B18" s="797" t="s">
        <v>1366</v>
      </c>
      <c r="C18" t="s">
        <v>1136</v>
      </c>
      <c r="D18" t="s">
        <v>940</v>
      </c>
      <c r="E18" t="s">
        <v>962</v>
      </c>
      <c r="F18" t="s">
        <v>1367</v>
      </c>
    </row>
    <row r="19" spans="1:6" x14ac:dyDescent="0.45">
      <c r="A19" s="777" t="s">
        <v>1361</v>
      </c>
      <c r="B19" s="797" t="s">
        <v>1368</v>
      </c>
      <c r="C19" t="s">
        <v>1138</v>
      </c>
      <c r="D19" t="s">
        <v>940</v>
      </c>
      <c r="E19" t="s">
        <v>965</v>
      </c>
      <c r="F19" t="s">
        <v>1367</v>
      </c>
    </row>
    <row r="20" spans="1:6" x14ac:dyDescent="0.45">
      <c r="A20" s="777" t="s">
        <v>1361</v>
      </c>
      <c r="B20" s="797" t="s">
        <v>1369</v>
      </c>
      <c r="C20" t="s">
        <v>721</v>
      </c>
      <c r="D20" t="s">
        <v>940</v>
      </c>
      <c r="E20" t="s">
        <v>968</v>
      </c>
      <c r="F20" t="s">
        <v>1363</v>
      </c>
    </row>
    <row r="21" spans="1:6" x14ac:dyDescent="0.45">
      <c r="A21" s="777" t="s">
        <v>1361</v>
      </c>
      <c r="B21" s="797" t="s">
        <v>1370</v>
      </c>
      <c r="C21" t="s">
        <v>1371</v>
      </c>
      <c r="D21" t="s">
        <v>940</v>
      </c>
      <c r="E21" t="s">
        <v>1372</v>
      </c>
      <c r="F21" t="s">
        <v>1373</v>
      </c>
    </row>
    <row r="22" spans="1:6" x14ac:dyDescent="0.45">
      <c r="A22" s="777" t="s">
        <v>1361</v>
      </c>
      <c r="B22" s="797" t="s">
        <v>1374</v>
      </c>
      <c r="C22" t="s">
        <v>1282</v>
      </c>
      <c r="D22" t="s">
        <v>940</v>
      </c>
      <c r="E22" t="s">
        <v>971</v>
      </c>
      <c r="F22" t="s">
        <v>1375</v>
      </c>
    </row>
    <row r="23" spans="1:6" x14ac:dyDescent="0.45">
      <c r="A23" s="777" t="s">
        <v>1361</v>
      </c>
      <c r="B23" s="797" t="s">
        <v>1376</v>
      </c>
      <c r="C23" t="s">
        <v>723</v>
      </c>
      <c r="D23" t="s">
        <v>940</v>
      </c>
      <c r="E23" t="s">
        <v>974</v>
      </c>
      <c r="F23" t="s">
        <v>1367</v>
      </c>
    </row>
    <row r="24" spans="1:6" x14ac:dyDescent="0.45">
      <c r="A24" s="777" t="s">
        <v>1361</v>
      </c>
      <c r="B24" s="797" t="s">
        <v>1377</v>
      </c>
      <c r="C24" t="s">
        <v>66</v>
      </c>
      <c r="D24" t="s">
        <v>940</v>
      </c>
      <c r="E24" t="s">
        <v>1378</v>
      </c>
      <c r="F24" t="s">
        <v>1379</v>
      </c>
    </row>
    <row r="25" spans="1:6" x14ac:dyDescent="0.45">
      <c r="A25" s="778" t="s">
        <v>1380</v>
      </c>
      <c r="B25" s="797" t="s">
        <v>1381</v>
      </c>
      <c r="C25" t="s">
        <v>651</v>
      </c>
      <c r="D25" t="s">
        <v>1356</v>
      </c>
      <c r="E25" t="s">
        <v>974</v>
      </c>
      <c r="F25" t="s">
        <v>1238</v>
      </c>
    </row>
    <row r="26" spans="1:6" x14ac:dyDescent="0.45">
      <c r="A26" s="778" t="s">
        <v>1380</v>
      </c>
      <c r="B26" s="797" t="s">
        <v>1382</v>
      </c>
      <c r="C26" t="s">
        <v>655</v>
      </c>
      <c r="D26" t="s">
        <v>1356</v>
      </c>
      <c r="E26" t="s">
        <v>696</v>
      </c>
      <c r="F26" t="s">
        <v>1383</v>
      </c>
    </row>
    <row r="27" spans="1:6" x14ac:dyDescent="0.45">
      <c r="A27" s="778" t="s">
        <v>1380</v>
      </c>
      <c r="B27" s="797" t="s">
        <v>1384</v>
      </c>
      <c r="C27" t="s">
        <v>1150</v>
      </c>
      <c r="D27" t="s">
        <v>1356</v>
      </c>
      <c r="E27" t="s">
        <v>1385</v>
      </c>
      <c r="F27" t="s">
        <v>393</v>
      </c>
    </row>
    <row r="28" spans="1:6" x14ac:dyDescent="0.45">
      <c r="A28" s="778" t="s">
        <v>1380</v>
      </c>
      <c r="B28" s="797" t="s">
        <v>1386</v>
      </c>
      <c r="C28" t="s">
        <v>658</v>
      </c>
      <c r="D28" t="s">
        <v>1356</v>
      </c>
      <c r="E28" t="s">
        <v>1387</v>
      </c>
      <c r="F28" t="s">
        <v>1388</v>
      </c>
    </row>
    <row r="29" spans="1:6" x14ac:dyDescent="0.45">
      <c r="E29" t="s">
        <v>1389</v>
      </c>
      <c r="F29" t="s">
        <v>1390</v>
      </c>
    </row>
    <row r="30" spans="1:6" x14ac:dyDescent="0.45">
      <c r="A30" s="778" t="s">
        <v>1380</v>
      </c>
      <c r="B30" s="797" t="s">
        <v>1391</v>
      </c>
      <c r="C30" t="s">
        <v>141</v>
      </c>
      <c r="D30" t="s">
        <v>1356</v>
      </c>
      <c r="E30" t="s">
        <v>1392</v>
      </c>
      <c r="F30" t="s">
        <v>1388</v>
      </c>
    </row>
    <row r="31" spans="1:6" x14ac:dyDescent="0.45">
      <c r="A31" s="778" t="s">
        <v>1380</v>
      </c>
      <c r="B31" s="797" t="s">
        <v>1393</v>
      </c>
      <c r="C31" t="s">
        <v>1154</v>
      </c>
      <c r="D31" t="s">
        <v>1356</v>
      </c>
      <c r="E31" t="s">
        <v>1394</v>
      </c>
      <c r="F31" t="s">
        <v>1252</v>
      </c>
    </row>
    <row r="32" spans="1:6" x14ac:dyDescent="0.45">
      <c r="A32" s="778" t="s">
        <v>1380</v>
      </c>
      <c r="B32" s="797" t="s">
        <v>1395</v>
      </c>
      <c r="C32" t="s">
        <v>1396</v>
      </c>
      <c r="D32" t="s">
        <v>1356</v>
      </c>
      <c r="E32" t="s">
        <v>89</v>
      </c>
      <c r="F32" t="s">
        <v>1397</v>
      </c>
    </row>
    <row r="33" spans="1:6" x14ac:dyDescent="0.45">
      <c r="A33" s="778" t="s">
        <v>1380</v>
      </c>
      <c r="B33" s="797" t="s">
        <v>1398</v>
      </c>
      <c r="C33" t="s">
        <v>661</v>
      </c>
      <c r="D33" t="s">
        <v>1356</v>
      </c>
      <c r="E33" t="s">
        <v>1399</v>
      </c>
      <c r="F33" t="s">
        <v>1400</v>
      </c>
    </row>
    <row r="34" spans="1:6" x14ac:dyDescent="0.45">
      <c r="A34" s="778" t="s">
        <v>1380</v>
      </c>
      <c r="B34" s="797" t="s">
        <v>1401</v>
      </c>
      <c r="C34" t="s">
        <v>1159</v>
      </c>
      <c r="D34" t="s">
        <v>1356</v>
      </c>
      <c r="E34" t="s">
        <v>1402</v>
      </c>
      <c r="F34" t="s">
        <v>1403</v>
      </c>
    </row>
    <row r="35" spans="1:6" x14ac:dyDescent="0.45">
      <c r="A35" s="778" t="s">
        <v>1380</v>
      </c>
      <c r="B35" s="797" t="s">
        <v>1404</v>
      </c>
      <c r="C35" t="s">
        <v>1161</v>
      </c>
      <c r="D35" t="s">
        <v>1356</v>
      </c>
      <c r="E35" t="s">
        <v>1405</v>
      </c>
      <c r="F35" t="s">
        <v>1262</v>
      </c>
    </row>
    <row r="36" spans="1:6" x14ac:dyDescent="0.45">
      <c r="A36" s="778" t="s">
        <v>1380</v>
      </c>
      <c r="B36" s="797" t="s">
        <v>1406</v>
      </c>
      <c r="C36" t="s">
        <v>1163</v>
      </c>
      <c r="D36" t="s">
        <v>1356</v>
      </c>
      <c r="E36" t="s">
        <v>1407</v>
      </c>
      <c r="F36" t="s">
        <v>1264</v>
      </c>
    </row>
    <row r="37" spans="1:6" x14ac:dyDescent="0.45">
      <c r="A37" s="778" t="s">
        <v>1380</v>
      </c>
      <c r="B37" s="797" t="s">
        <v>1408</v>
      </c>
      <c r="C37" t="s">
        <v>1165</v>
      </c>
      <c r="D37" t="s">
        <v>1356</v>
      </c>
      <c r="E37" t="s">
        <v>1409</v>
      </c>
      <c r="F37" t="s">
        <v>1410</v>
      </c>
    </row>
    <row r="38" spans="1:6" x14ac:dyDescent="0.45">
      <c r="D38" t="s">
        <v>940</v>
      </c>
      <c r="E38" t="s">
        <v>1411</v>
      </c>
      <c r="F38" t="s">
        <v>1412</v>
      </c>
    </row>
    <row r="40" spans="1:6" x14ac:dyDescent="0.45">
      <c r="A40" s="720" t="s">
        <v>1413</v>
      </c>
    </row>
    <row r="41" spans="1:6" x14ac:dyDescent="0.45">
      <c r="A41" s="671" t="s">
        <v>138</v>
      </c>
      <c r="B41" s="799" t="s">
        <v>1414</v>
      </c>
      <c r="C41" s="671" t="s">
        <v>1415</v>
      </c>
      <c r="D41" s="671" t="s">
        <v>1416</v>
      </c>
    </row>
    <row r="42" spans="1:6" x14ac:dyDescent="0.45">
      <c r="A42" t="s">
        <v>1417</v>
      </c>
      <c r="B42" s="797" t="s">
        <v>1418</v>
      </c>
      <c r="C42" t="s">
        <v>1419</v>
      </c>
      <c r="D42" t="s">
        <v>1420</v>
      </c>
    </row>
    <row r="43" spans="1:6" x14ac:dyDescent="0.45">
      <c r="A43" t="s">
        <v>1421</v>
      </c>
      <c r="B43" s="797" t="s">
        <v>1422</v>
      </c>
      <c r="C43" t="s">
        <v>1423</v>
      </c>
      <c r="D43" t="s">
        <v>1424</v>
      </c>
    </row>
    <row r="44" spans="1:6" x14ac:dyDescent="0.45">
      <c r="A44" t="s">
        <v>1425</v>
      </c>
      <c r="B44" s="797" t="s">
        <v>1426</v>
      </c>
      <c r="C44" t="s">
        <v>1427</v>
      </c>
      <c r="D44" t="s">
        <v>1428</v>
      </c>
    </row>
    <row r="45" spans="1:6" x14ac:dyDescent="0.45">
      <c r="A45" t="s">
        <v>1429</v>
      </c>
      <c r="B45" s="797" t="s">
        <v>1430</v>
      </c>
      <c r="C45" t="s">
        <v>1431</v>
      </c>
      <c r="D45" t="s">
        <v>1432</v>
      </c>
    </row>
    <row r="46" spans="1:6" x14ac:dyDescent="0.45">
      <c r="A46" t="s">
        <v>1433</v>
      </c>
      <c r="B46" s="797" t="s">
        <v>1434</v>
      </c>
      <c r="C46" t="s">
        <v>1435</v>
      </c>
      <c r="D46" t="s">
        <v>1436</v>
      </c>
    </row>
    <row r="48" spans="1:6" x14ac:dyDescent="0.45">
      <c r="A48" s="720" t="s">
        <v>1437</v>
      </c>
      <c r="B48" s="798" t="s">
        <v>1438</v>
      </c>
    </row>
    <row r="49" spans="1:4" x14ac:dyDescent="0.45">
      <c r="A49" s="671" t="s">
        <v>1439</v>
      </c>
      <c r="B49" s="799" t="s">
        <v>847</v>
      </c>
      <c r="C49" s="671" t="s">
        <v>1440</v>
      </c>
      <c r="D49" s="671" t="s">
        <v>1441</v>
      </c>
    </row>
    <row r="50" spans="1:4" x14ac:dyDescent="0.45">
      <c r="A50" t="s">
        <v>1442</v>
      </c>
      <c r="B50" s="797" t="s">
        <v>1443</v>
      </c>
      <c r="C50" t="s">
        <v>923</v>
      </c>
      <c r="D50" t="s">
        <v>1444</v>
      </c>
    </row>
    <row r="51" spans="1:4" x14ac:dyDescent="0.45">
      <c r="B51" s="797" t="s">
        <v>1445</v>
      </c>
      <c r="C51" t="s">
        <v>1446</v>
      </c>
      <c r="D51" t="s">
        <v>1447</v>
      </c>
    </row>
    <row r="52" spans="1:4" x14ac:dyDescent="0.45">
      <c r="A52" t="s">
        <v>1448</v>
      </c>
      <c r="B52" s="797" t="s">
        <v>1449</v>
      </c>
      <c r="C52" t="s">
        <v>940</v>
      </c>
      <c r="D52" t="s">
        <v>1450</v>
      </c>
    </row>
    <row r="53" spans="1:4" x14ac:dyDescent="0.45">
      <c r="A53" t="s">
        <v>1451</v>
      </c>
      <c r="B53" s="797" t="s">
        <v>1452</v>
      </c>
      <c r="C53" t="s">
        <v>929</v>
      </c>
      <c r="D53" t="s">
        <v>1453</v>
      </c>
    </row>
    <row r="54" spans="1:4" x14ac:dyDescent="0.45">
      <c r="A54" t="s">
        <v>1454</v>
      </c>
      <c r="B54" s="797" t="s">
        <v>1455</v>
      </c>
      <c r="C54" t="s">
        <v>925</v>
      </c>
      <c r="D54" t="s">
        <v>1456</v>
      </c>
    </row>
    <row r="55" spans="1:4" x14ac:dyDescent="0.45">
      <c r="A55" t="s">
        <v>1457</v>
      </c>
      <c r="B55" s="797" t="s">
        <v>1458</v>
      </c>
      <c r="C55" t="s">
        <v>925</v>
      </c>
      <c r="D55" t="s">
        <v>1459</v>
      </c>
    </row>
    <row r="56" spans="1:4" x14ac:dyDescent="0.45">
      <c r="B56" s="797" t="s">
        <v>1460</v>
      </c>
      <c r="C56" t="s">
        <v>925</v>
      </c>
      <c r="D56" t="s">
        <v>1461</v>
      </c>
    </row>
    <row r="57" spans="1:4" x14ac:dyDescent="0.45">
      <c r="A57" t="s">
        <v>1462</v>
      </c>
      <c r="B57" s="797" t="s">
        <v>1463</v>
      </c>
      <c r="C57" t="s">
        <v>923</v>
      </c>
      <c r="D57" t="s">
        <v>1464</v>
      </c>
    </row>
    <row r="58" spans="1:4" x14ac:dyDescent="0.45">
      <c r="B58" s="797" t="s">
        <v>1465</v>
      </c>
      <c r="C58" t="s">
        <v>1446</v>
      </c>
      <c r="D58" t="s">
        <v>1466</v>
      </c>
    </row>
    <row r="59" spans="1:4" x14ac:dyDescent="0.45">
      <c r="A59" t="s">
        <v>1467</v>
      </c>
      <c r="B59" s="797" t="s">
        <v>1468</v>
      </c>
      <c r="C59" t="s">
        <v>1446</v>
      </c>
      <c r="D59" t="s">
        <v>1469</v>
      </c>
    </row>
    <row r="60" spans="1:4" x14ac:dyDescent="0.45">
      <c r="A60" t="s">
        <v>1470</v>
      </c>
      <c r="B60" s="797" t="s">
        <v>1471</v>
      </c>
      <c r="C60" t="s">
        <v>1472</v>
      </c>
      <c r="D60" t="s">
        <v>1473</v>
      </c>
    </row>
    <row r="62" spans="1:4" x14ac:dyDescent="0.45">
      <c r="A62" s="720" t="s">
        <v>1474</v>
      </c>
      <c r="B62" s="798" t="s">
        <v>1475</v>
      </c>
    </row>
    <row r="63" spans="1:4" x14ac:dyDescent="0.45">
      <c r="A63" s="671" t="s">
        <v>1476</v>
      </c>
      <c r="B63" s="799" t="s">
        <v>1477</v>
      </c>
      <c r="C63" s="671" t="s">
        <v>1478</v>
      </c>
      <c r="D63" s="671" t="s">
        <v>1479</v>
      </c>
    </row>
    <row r="64" spans="1:4" x14ac:dyDescent="0.45">
      <c r="A64" t="s">
        <v>953</v>
      </c>
      <c r="B64" s="797" t="s">
        <v>97</v>
      </c>
      <c r="C64" t="s">
        <v>1480</v>
      </c>
      <c r="D64" t="s">
        <v>1481</v>
      </c>
    </row>
    <row r="65" spans="1:4" x14ac:dyDescent="0.45">
      <c r="A65" t="s">
        <v>956</v>
      </c>
      <c r="B65" s="797" t="s">
        <v>1482</v>
      </c>
      <c r="C65" t="s">
        <v>1483</v>
      </c>
      <c r="D65" t="s">
        <v>1484</v>
      </c>
    </row>
    <row r="66" spans="1:4" x14ac:dyDescent="0.45">
      <c r="A66" t="s">
        <v>959</v>
      </c>
      <c r="B66" s="797" t="s">
        <v>437</v>
      </c>
      <c r="C66" t="s">
        <v>1485</v>
      </c>
      <c r="D66" t="s">
        <v>1486</v>
      </c>
    </row>
    <row r="67" spans="1:4" x14ac:dyDescent="0.45">
      <c r="A67" t="s">
        <v>962</v>
      </c>
      <c r="B67" s="797" t="s">
        <v>1487</v>
      </c>
      <c r="C67" t="s">
        <v>1488</v>
      </c>
      <c r="D67" t="s">
        <v>1489</v>
      </c>
    </row>
    <row r="68" spans="1:4" x14ac:dyDescent="0.45">
      <c r="A68" t="s">
        <v>965</v>
      </c>
      <c r="B68" s="797" t="s">
        <v>655</v>
      </c>
      <c r="C68" t="s">
        <v>1490</v>
      </c>
      <c r="D68" t="s">
        <v>1491</v>
      </c>
    </row>
    <row r="69" spans="1:4" x14ac:dyDescent="0.45">
      <c r="A69" t="s">
        <v>968</v>
      </c>
      <c r="B69" s="797" t="s">
        <v>1492</v>
      </c>
      <c r="C69" t="s">
        <v>1493</v>
      </c>
      <c r="D69" t="s">
        <v>1494</v>
      </c>
    </row>
    <row r="70" spans="1:4" x14ac:dyDescent="0.45">
      <c r="A70" t="s">
        <v>971</v>
      </c>
      <c r="B70" s="797" t="s">
        <v>103</v>
      </c>
      <c r="C70" t="s">
        <v>1495</v>
      </c>
      <c r="D70" t="s">
        <v>1496</v>
      </c>
    </row>
    <row r="71" spans="1:4" x14ac:dyDescent="0.45">
      <c r="A71" t="s">
        <v>974</v>
      </c>
      <c r="B71" s="797" t="s">
        <v>104</v>
      </c>
      <c r="C71" t="s">
        <v>1497</v>
      </c>
      <c r="D71" t="s">
        <v>1498</v>
      </c>
    </row>
    <row r="72" spans="1:4" x14ac:dyDescent="0.45">
      <c r="A72" t="s">
        <v>692</v>
      </c>
      <c r="B72" s="797" t="s">
        <v>406</v>
      </c>
      <c r="C72" t="s">
        <v>1499</v>
      </c>
      <c r="D72" t="s">
        <v>1500</v>
      </c>
    </row>
    <row r="73" spans="1:4" x14ac:dyDescent="0.45">
      <c r="A73" t="s">
        <v>245</v>
      </c>
      <c r="B73" s="797" t="s">
        <v>625</v>
      </c>
      <c r="C73" t="s">
        <v>1501</v>
      </c>
      <c r="D73" t="s">
        <v>1502</v>
      </c>
    </row>
    <row r="74" spans="1:4" x14ac:dyDescent="0.45">
      <c r="A74" t="s">
        <v>1503</v>
      </c>
      <c r="B74" s="797" t="s">
        <v>1504</v>
      </c>
      <c r="C74" t="s">
        <v>1505</v>
      </c>
      <c r="D74" t="s">
        <v>1506</v>
      </c>
    </row>
    <row r="76" spans="1:4" x14ac:dyDescent="0.45">
      <c r="A76" s="779" t="s">
        <v>1507</v>
      </c>
    </row>
    <row r="77" spans="1:4" x14ac:dyDescent="0.45">
      <c r="A77" s="671" t="s">
        <v>1029</v>
      </c>
      <c r="B77" s="799" t="s">
        <v>1508</v>
      </c>
      <c r="C77" s="671" t="s">
        <v>1509</v>
      </c>
      <c r="D77" s="671" t="s">
        <v>1510</v>
      </c>
    </row>
    <row r="78" spans="1:4" x14ac:dyDescent="0.45">
      <c r="A78" t="s">
        <v>1511</v>
      </c>
      <c r="B78" s="797" t="s">
        <v>1512</v>
      </c>
      <c r="C78" t="s">
        <v>1513</v>
      </c>
      <c r="D78" t="s">
        <v>1514</v>
      </c>
    </row>
    <row r="79" spans="1:4" x14ac:dyDescent="0.45">
      <c r="A79" t="s">
        <v>1515</v>
      </c>
      <c r="B79" s="797" t="s">
        <v>1516</v>
      </c>
      <c r="C79" t="s">
        <v>1517</v>
      </c>
      <c r="D79" t="s">
        <v>1518</v>
      </c>
    </row>
    <row r="80" spans="1:4" x14ac:dyDescent="0.45">
      <c r="A80" t="s">
        <v>1519</v>
      </c>
      <c r="B80" s="797" t="s">
        <v>1520</v>
      </c>
      <c r="C80" t="s">
        <v>1521</v>
      </c>
      <c r="D80" t="s">
        <v>1522</v>
      </c>
    </row>
    <row r="81" spans="1:5" x14ac:dyDescent="0.45">
      <c r="A81" t="s">
        <v>1523</v>
      </c>
      <c r="B81" s="797" t="s">
        <v>1524</v>
      </c>
      <c r="C81" t="s">
        <v>1525</v>
      </c>
      <c r="D81" t="s">
        <v>1526</v>
      </c>
    </row>
    <row r="83" spans="1:5" ht="15.75" customHeight="1" x14ac:dyDescent="0.5">
      <c r="A83" s="780" t="s">
        <v>1527</v>
      </c>
    </row>
    <row r="85" spans="1:5" x14ac:dyDescent="0.45">
      <c r="A85" s="781" t="s">
        <v>1528</v>
      </c>
    </row>
    <row r="87" spans="1:5" ht="45" customHeight="1" x14ac:dyDescent="0.45">
      <c r="A87" s="671" t="s">
        <v>1529</v>
      </c>
      <c r="B87" s="797" t="s">
        <v>1530</v>
      </c>
    </row>
    <row r="89" spans="1:5" ht="45" customHeight="1" x14ac:dyDescent="0.45">
      <c r="A89" s="782" t="s">
        <v>1531</v>
      </c>
      <c r="B89" s="797" t="s">
        <v>1532</v>
      </c>
    </row>
    <row r="91" spans="1:5" ht="45" customHeight="1" x14ac:dyDescent="0.45">
      <c r="A91" s="671" t="s">
        <v>1533</v>
      </c>
      <c r="B91" s="797" t="s">
        <v>1534</v>
      </c>
    </row>
    <row r="93" spans="1:5" x14ac:dyDescent="0.45">
      <c r="A93" s="781" t="s">
        <v>1535</v>
      </c>
    </row>
    <row r="95" spans="1:5" x14ac:dyDescent="0.45">
      <c r="A95" s="671" t="s">
        <v>1440</v>
      </c>
      <c r="B95" s="799" t="s">
        <v>1536</v>
      </c>
      <c r="C95" s="671" t="s">
        <v>1537</v>
      </c>
      <c r="D95" s="671" t="s">
        <v>1538</v>
      </c>
      <c r="E95" s="671" t="s">
        <v>1539</v>
      </c>
    </row>
    <row r="96" spans="1:5" x14ac:dyDescent="0.45">
      <c r="A96" s="778" t="s">
        <v>1446</v>
      </c>
      <c r="B96" s="797" t="s">
        <v>1540</v>
      </c>
      <c r="C96" t="s">
        <v>1541</v>
      </c>
      <c r="D96" t="s">
        <v>1542</v>
      </c>
      <c r="E96" t="s">
        <v>1543</v>
      </c>
    </row>
    <row r="97" spans="1:6" x14ac:dyDescent="0.45">
      <c r="A97" s="777" t="s">
        <v>940</v>
      </c>
      <c r="B97" s="797" t="s">
        <v>1544</v>
      </c>
      <c r="C97" t="s">
        <v>1545</v>
      </c>
      <c r="D97" t="s">
        <v>1546</v>
      </c>
      <c r="E97" t="s">
        <v>1547</v>
      </c>
    </row>
    <row r="98" spans="1:6" x14ac:dyDescent="0.45">
      <c r="A98" s="777" t="s">
        <v>929</v>
      </c>
      <c r="B98" s="797" t="s">
        <v>1548</v>
      </c>
      <c r="C98" t="s">
        <v>1549</v>
      </c>
      <c r="D98" t="s">
        <v>1546</v>
      </c>
      <c r="E98" t="s">
        <v>1550</v>
      </c>
    </row>
    <row r="99" spans="1:6" x14ac:dyDescent="0.45">
      <c r="A99" s="783" t="s">
        <v>925</v>
      </c>
      <c r="B99" s="797" t="s">
        <v>1551</v>
      </c>
      <c r="C99" t="s">
        <v>1552</v>
      </c>
      <c r="D99" t="s">
        <v>1553</v>
      </c>
      <c r="E99" t="s">
        <v>927</v>
      </c>
    </row>
    <row r="100" spans="1:6" x14ac:dyDescent="0.45">
      <c r="A100" s="783" t="s">
        <v>927</v>
      </c>
      <c r="B100" s="797" t="s">
        <v>1554</v>
      </c>
      <c r="C100" t="s">
        <v>1555</v>
      </c>
      <c r="D100" t="s">
        <v>925</v>
      </c>
      <c r="E100" t="s">
        <v>923</v>
      </c>
    </row>
    <row r="101" spans="1:6" x14ac:dyDescent="0.45">
      <c r="A101" s="784" t="s">
        <v>923</v>
      </c>
      <c r="B101" s="797" t="s">
        <v>1556</v>
      </c>
      <c r="C101" t="s">
        <v>1557</v>
      </c>
      <c r="D101" t="s">
        <v>927</v>
      </c>
      <c r="E101" t="s">
        <v>1558</v>
      </c>
    </row>
    <row r="102" spans="1:6" x14ac:dyDescent="0.45">
      <c r="A102" s="785" t="s">
        <v>1472</v>
      </c>
      <c r="B102" s="797" t="s">
        <v>1559</v>
      </c>
      <c r="C102" t="s">
        <v>1560</v>
      </c>
      <c r="D102" t="s">
        <v>1561</v>
      </c>
      <c r="E102" t="s">
        <v>1562</v>
      </c>
    </row>
    <row r="103" spans="1:6" x14ac:dyDescent="0.45">
      <c r="A103" s="785" t="s">
        <v>1563</v>
      </c>
      <c r="B103" s="797" t="s">
        <v>1564</v>
      </c>
      <c r="C103" t="s">
        <v>1565</v>
      </c>
      <c r="D103" t="s">
        <v>1566</v>
      </c>
      <c r="E103" t="s">
        <v>1567</v>
      </c>
    </row>
    <row r="105" spans="1:6" x14ac:dyDescent="0.45">
      <c r="A105" s="781" t="s">
        <v>1568</v>
      </c>
    </row>
    <row r="107" spans="1:6" x14ac:dyDescent="0.45">
      <c r="A107" s="671" t="s">
        <v>1569</v>
      </c>
      <c r="B107" s="799" t="s">
        <v>1570</v>
      </c>
      <c r="C107" s="671" t="s">
        <v>1571</v>
      </c>
      <c r="D107" s="671" t="s">
        <v>1572</v>
      </c>
      <c r="E107" s="671" t="s">
        <v>1573</v>
      </c>
      <c r="F107" s="671" t="s">
        <v>1574</v>
      </c>
    </row>
    <row r="108" spans="1:6" x14ac:dyDescent="0.45">
      <c r="A108" t="s">
        <v>1351</v>
      </c>
      <c r="B108" s="797" t="s">
        <v>769</v>
      </c>
      <c r="C108" t="s">
        <v>1575</v>
      </c>
      <c r="D108" t="s">
        <v>1576</v>
      </c>
      <c r="F108" t="s">
        <v>1577</v>
      </c>
    </row>
    <row r="109" spans="1:6" x14ac:dyDescent="0.45">
      <c r="A109" t="s">
        <v>1354</v>
      </c>
      <c r="B109" s="797" t="s">
        <v>650</v>
      </c>
      <c r="C109" t="s">
        <v>1578</v>
      </c>
      <c r="D109" t="s">
        <v>1579</v>
      </c>
      <c r="E109" t="s">
        <v>1580</v>
      </c>
      <c r="F109" t="s">
        <v>1581</v>
      </c>
    </row>
    <row r="110" spans="1:6" x14ac:dyDescent="0.45">
      <c r="A110" t="s">
        <v>1362</v>
      </c>
      <c r="B110" s="797" t="s">
        <v>718</v>
      </c>
      <c r="C110" t="s">
        <v>1582</v>
      </c>
      <c r="F110" t="s">
        <v>1577</v>
      </c>
    </row>
    <row r="111" spans="1:6" x14ac:dyDescent="0.45">
      <c r="A111" t="s">
        <v>1364</v>
      </c>
      <c r="B111" s="797" t="s">
        <v>1583</v>
      </c>
      <c r="C111" t="s">
        <v>1584</v>
      </c>
      <c r="D111" t="s">
        <v>1585</v>
      </c>
      <c r="F111" t="s">
        <v>1586</v>
      </c>
    </row>
    <row r="112" spans="1:6" x14ac:dyDescent="0.45">
      <c r="A112" t="s">
        <v>1366</v>
      </c>
      <c r="B112" s="797" t="s">
        <v>525</v>
      </c>
      <c r="C112" t="s">
        <v>1587</v>
      </c>
      <c r="F112" t="s">
        <v>1577</v>
      </c>
    </row>
    <row r="113" spans="1:6" x14ac:dyDescent="0.45">
      <c r="A113" t="s">
        <v>1368</v>
      </c>
      <c r="B113" s="797" t="s">
        <v>720</v>
      </c>
      <c r="C113" t="s">
        <v>1588</v>
      </c>
      <c r="F113" t="s">
        <v>1577</v>
      </c>
    </row>
    <row r="114" spans="1:6" x14ac:dyDescent="0.45">
      <c r="A114" t="s">
        <v>1369</v>
      </c>
      <c r="B114" s="797" t="s">
        <v>721</v>
      </c>
      <c r="C114" t="s">
        <v>1589</v>
      </c>
      <c r="F114" t="s">
        <v>1577</v>
      </c>
    </row>
    <row r="115" spans="1:6" x14ac:dyDescent="0.45">
      <c r="A115" t="s">
        <v>1370</v>
      </c>
      <c r="B115" s="797" t="s">
        <v>1371</v>
      </c>
      <c r="C115" t="s">
        <v>1590</v>
      </c>
      <c r="D115" t="s">
        <v>1591</v>
      </c>
      <c r="E115" t="s">
        <v>1592</v>
      </c>
      <c r="F115" t="s">
        <v>1593</v>
      </c>
    </row>
    <row r="116" spans="1:6" x14ac:dyDescent="0.45">
      <c r="A116" t="s">
        <v>1374</v>
      </c>
      <c r="B116" s="797" t="s">
        <v>1594</v>
      </c>
      <c r="C116" t="s">
        <v>1595</v>
      </c>
      <c r="F116" t="s">
        <v>1596</v>
      </c>
    </row>
    <row r="117" spans="1:6" x14ac:dyDescent="0.45">
      <c r="A117" t="s">
        <v>1376</v>
      </c>
      <c r="B117" s="797" t="s">
        <v>409</v>
      </c>
      <c r="C117" t="s">
        <v>1597</v>
      </c>
      <c r="F117" t="s">
        <v>1577</v>
      </c>
    </row>
    <row r="118" spans="1:6" x14ac:dyDescent="0.45">
      <c r="A118" t="s">
        <v>1377</v>
      </c>
      <c r="B118" s="797" t="s">
        <v>1598</v>
      </c>
      <c r="C118" t="s">
        <v>1599</v>
      </c>
      <c r="F118" t="s">
        <v>1577</v>
      </c>
    </row>
    <row r="119" spans="1:6" x14ac:dyDescent="0.45">
      <c r="A119" t="s">
        <v>1381</v>
      </c>
      <c r="B119" s="797" t="s">
        <v>1600</v>
      </c>
      <c r="C119" t="s">
        <v>1601</v>
      </c>
      <c r="F119" t="s">
        <v>1238</v>
      </c>
    </row>
    <row r="120" spans="1:6" x14ac:dyDescent="0.45">
      <c r="A120" t="s">
        <v>1382</v>
      </c>
      <c r="B120" s="797" t="s">
        <v>655</v>
      </c>
      <c r="C120" t="s">
        <v>1602</v>
      </c>
      <c r="F120" t="s">
        <v>1603</v>
      </c>
    </row>
    <row r="121" spans="1:6" x14ac:dyDescent="0.45">
      <c r="A121" t="s">
        <v>1384</v>
      </c>
      <c r="B121" s="797" t="s">
        <v>1150</v>
      </c>
      <c r="C121" t="s">
        <v>1604</v>
      </c>
      <c r="F121" t="s">
        <v>1577</v>
      </c>
    </row>
    <row r="122" spans="1:6" x14ac:dyDescent="0.45">
      <c r="A122" s="786" t="s">
        <v>1386</v>
      </c>
      <c r="B122" s="800" t="s">
        <v>1605</v>
      </c>
      <c r="C122" s="786" t="s">
        <v>1606</v>
      </c>
      <c r="D122" s="786" t="s">
        <v>1607</v>
      </c>
      <c r="F122" s="786" t="s">
        <v>1608</v>
      </c>
    </row>
    <row r="123" spans="1:6" x14ac:dyDescent="0.45">
      <c r="A123" t="s">
        <v>1391</v>
      </c>
      <c r="B123" s="797" t="s">
        <v>141</v>
      </c>
      <c r="C123" t="s">
        <v>1609</v>
      </c>
      <c r="F123" t="s">
        <v>1610</v>
      </c>
    </row>
    <row r="124" spans="1:6" x14ac:dyDescent="0.45">
      <c r="A124" t="s">
        <v>1393</v>
      </c>
      <c r="B124" s="797" t="s">
        <v>1154</v>
      </c>
      <c r="C124" t="s">
        <v>1611</v>
      </c>
      <c r="F124" t="s">
        <v>1577</v>
      </c>
    </row>
    <row r="125" spans="1:6" x14ac:dyDescent="0.45">
      <c r="A125" s="786" t="s">
        <v>1395</v>
      </c>
      <c r="B125" s="800" t="s">
        <v>1396</v>
      </c>
      <c r="C125" s="786" t="s">
        <v>1612</v>
      </c>
      <c r="F125" s="786" t="s">
        <v>1613</v>
      </c>
    </row>
    <row r="126" spans="1:6" x14ac:dyDescent="0.45">
      <c r="A126" t="s">
        <v>1398</v>
      </c>
      <c r="B126" s="797" t="s">
        <v>1614</v>
      </c>
      <c r="C126" t="s">
        <v>1615</v>
      </c>
      <c r="F126" t="s">
        <v>1400</v>
      </c>
    </row>
    <row r="127" spans="1:6" x14ac:dyDescent="0.45">
      <c r="A127" t="s">
        <v>1401</v>
      </c>
      <c r="B127" s="797" t="s">
        <v>1159</v>
      </c>
      <c r="C127" t="s">
        <v>1616</v>
      </c>
      <c r="F127" t="s">
        <v>1617</v>
      </c>
    </row>
    <row r="128" spans="1:6" x14ac:dyDescent="0.45">
      <c r="A128" t="s">
        <v>1404</v>
      </c>
      <c r="B128" s="797" t="s">
        <v>1161</v>
      </c>
      <c r="C128" t="s">
        <v>1618</v>
      </c>
      <c r="F128" t="s">
        <v>1617</v>
      </c>
    </row>
    <row r="129" spans="1:6" x14ac:dyDescent="0.45">
      <c r="A129" t="s">
        <v>1406</v>
      </c>
      <c r="B129" s="797" t="s">
        <v>1163</v>
      </c>
      <c r="C129" t="s">
        <v>1619</v>
      </c>
      <c r="F129" t="s">
        <v>1617</v>
      </c>
    </row>
    <row r="130" spans="1:6" x14ac:dyDescent="0.45">
      <c r="A130" t="s">
        <v>1408</v>
      </c>
      <c r="B130" s="797" t="s">
        <v>1165</v>
      </c>
      <c r="C130" t="s">
        <v>1620</v>
      </c>
      <c r="F130" t="s">
        <v>1621</v>
      </c>
    </row>
    <row r="132" spans="1:6" x14ac:dyDescent="0.45">
      <c r="A132" s="787" t="s">
        <v>1622</v>
      </c>
    </row>
    <row r="134" spans="1:6" x14ac:dyDescent="0.45">
      <c r="A134" s="721" t="s">
        <v>1623</v>
      </c>
    </row>
    <row r="136" spans="1:6" x14ac:dyDescent="0.45">
      <c r="A136" s="720" t="s">
        <v>1624</v>
      </c>
    </row>
    <row r="137" spans="1:6" x14ac:dyDescent="0.45">
      <c r="A137" s="671" t="s">
        <v>1625</v>
      </c>
      <c r="B137" s="797" t="s">
        <v>1626</v>
      </c>
    </row>
    <row r="138" spans="1:6" x14ac:dyDescent="0.45">
      <c r="A138" s="671" t="s">
        <v>1627</v>
      </c>
      <c r="B138" s="797" t="s">
        <v>1628</v>
      </c>
    </row>
    <row r="139" spans="1:6" x14ac:dyDescent="0.45">
      <c r="A139" s="671" t="s">
        <v>1627</v>
      </c>
      <c r="B139" s="797" t="s">
        <v>1629</v>
      </c>
    </row>
    <row r="140" spans="1:6" x14ac:dyDescent="0.45">
      <c r="A140" s="671" t="s">
        <v>1630</v>
      </c>
      <c r="B140" s="797" t="s">
        <v>1631</v>
      </c>
    </row>
    <row r="141" spans="1:6" x14ac:dyDescent="0.45">
      <c r="A141" s="671" t="s">
        <v>1627</v>
      </c>
      <c r="B141" s="797" t="s">
        <v>1632</v>
      </c>
    </row>
    <row r="143" spans="1:6" x14ac:dyDescent="0.45">
      <c r="A143" s="720" t="s">
        <v>1633</v>
      </c>
    </row>
    <row r="144" spans="1:6" x14ac:dyDescent="0.45">
      <c r="A144" s="671" t="s">
        <v>1625</v>
      </c>
      <c r="B144" s="797" t="s">
        <v>1634</v>
      </c>
    </row>
    <row r="145" spans="1:2" x14ac:dyDescent="0.45">
      <c r="A145" s="671" t="s">
        <v>1625</v>
      </c>
      <c r="B145" s="797" t="s">
        <v>1635</v>
      </c>
    </row>
    <row r="146" spans="1:2" x14ac:dyDescent="0.45">
      <c r="A146" s="671" t="s">
        <v>1337</v>
      </c>
      <c r="B146" s="797" t="s">
        <v>1636</v>
      </c>
    </row>
    <row r="148" spans="1:2" x14ac:dyDescent="0.45">
      <c r="A148" s="720" t="s">
        <v>1637</v>
      </c>
    </row>
    <row r="149" spans="1:2" x14ac:dyDescent="0.45">
      <c r="A149" s="671" t="s">
        <v>1625</v>
      </c>
      <c r="B149" s="797" t="s">
        <v>1638</v>
      </c>
    </row>
    <row r="150" spans="1:2" x14ac:dyDescent="0.45">
      <c r="A150" s="671" t="s">
        <v>1625</v>
      </c>
      <c r="B150" s="797" t="s">
        <v>1639</v>
      </c>
    </row>
    <row r="151" spans="1:2" x14ac:dyDescent="0.45">
      <c r="A151" s="779" t="s">
        <v>1640</v>
      </c>
      <c r="B151" s="800" t="s">
        <v>1641</v>
      </c>
    </row>
    <row r="153" spans="1:2" x14ac:dyDescent="0.45">
      <c r="A153" s="720" t="s">
        <v>1642</v>
      </c>
    </row>
    <row r="154" spans="1:2" x14ac:dyDescent="0.45">
      <c r="A154" s="671" t="s">
        <v>1625</v>
      </c>
      <c r="B154" s="797" t="s">
        <v>1643</v>
      </c>
    </row>
    <row r="155" spans="1:2" x14ac:dyDescent="0.45">
      <c r="A155" s="671" t="s">
        <v>1625</v>
      </c>
      <c r="B155" s="797" t="s">
        <v>1644</v>
      </c>
    </row>
    <row r="156" spans="1:2" x14ac:dyDescent="0.45">
      <c r="A156" s="779" t="s">
        <v>1645</v>
      </c>
      <c r="B156" s="800" t="s">
        <v>1646</v>
      </c>
    </row>
    <row r="157" spans="1:2" x14ac:dyDescent="0.45">
      <c r="A157" s="671" t="s">
        <v>1337</v>
      </c>
      <c r="B157" s="797" t="s">
        <v>1647</v>
      </c>
    </row>
    <row r="159" spans="1:2" x14ac:dyDescent="0.45">
      <c r="A159" s="720" t="s">
        <v>1648</v>
      </c>
    </row>
    <row r="160" spans="1:2" x14ac:dyDescent="0.45">
      <c r="A160" s="671" t="s">
        <v>1625</v>
      </c>
      <c r="B160" s="797" t="s">
        <v>1649</v>
      </c>
    </row>
    <row r="161" spans="1:2" x14ac:dyDescent="0.45">
      <c r="A161" s="671" t="s">
        <v>1625</v>
      </c>
      <c r="B161" s="797" t="s">
        <v>1650</v>
      </c>
    </row>
    <row r="162" spans="1:2" x14ac:dyDescent="0.45">
      <c r="A162" s="671" t="s">
        <v>1625</v>
      </c>
      <c r="B162" s="797" t="s">
        <v>1651</v>
      </c>
    </row>
    <row r="163" spans="1:2" x14ac:dyDescent="0.45">
      <c r="A163" s="671" t="s">
        <v>1625</v>
      </c>
      <c r="B163" s="797" t="s">
        <v>1652</v>
      </c>
    </row>
    <row r="165" spans="1:2" x14ac:dyDescent="0.45">
      <c r="A165" s="720" t="s">
        <v>1653</v>
      </c>
    </row>
    <row r="166" spans="1:2" x14ac:dyDescent="0.45">
      <c r="A166" s="671" t="s">
        <v>1625</v>
      </c>
      <c r="B166" s="797" t="s">
        <v>1654</v>
      </c>
    </row>
    <row r="167" spans="1:2" x14ac:dyDescent="0.45">
      <c r="A167" s="782" t="s">
        <v>1655</v>
      </c>
      <c r="B167" s="797" t="s">
        <v>1656</v>
      </c>
    </row>
    <row r="168" spans="1:2" x14ac:dyDescent="0.45">
      <c r="A168" s="788" t="s">
        <v>1657</v>
      </c>
      <c r="B168" s="797" t="s">
        <v>1658</v>
      </c>
    </row>
    <row r="170" spans="1:2" x14ac:dyDescent="0.45">
      <c r="A170" s="720" t="s">
        <v>1659</v>
      </c>
    </row>
    <row r="171" spans="1:2" x14ac:dyDescent="0.45">
      <c r="A171" s="671" t="s">
        <v>1625</v>
      </c>
      <c r="B171" s="797" t="s">
        <v>1660</v>
      </c>
    </row>
    <row r="172" spans="1:2" x14ac:dyDescent="0.45">
      <c r="A172" s="671" t="s">
        <v>1625</v>
      </c>
      <c r="B172" s="797" t="s">
        <v>1661</v>
      </c>
    </row>
    <row r="173" spans="1:2" x14ac:dyDescent="0.45">
      <c r="A173" s="671" t="s">
        <v>1662</v>
      </c>
      <c r="B173" s="797" t="s">
        <v>1663</v>
      </c>
    </row>
    <row r="174" spans="1:2" x14ac:dyDescent="0.45">
      <c r="A174" s="671" t="s">
        <v>1662</v>
      </c>
      <c r="B174" s="797" t="s">
        <v>1664</v>
      </c>
    </row>
    <row r="176" spans="1:2" x14ac:dyDescent="0.45">
      <c r="A176" s="720" t="s">
        <v>1665</v>
      </c>
    </row>
    <row r="177" spans="1:2" x14ac:dyDescent="0.45">
      <c r="A177" s="671" t="s">
        <v>1666</v>
      </c>
      <c r="B177" s="797" t="s">
        <v>1667</v>
      </c>
    </row>
    <row r="178" spans="1:2" x14ac:dyDescent="0.45">
      <c r="A178" s="671" t="s">
        <v>1668</v>
      </c>
      <c r="B178" s="797" t="s">
        <v>1669</v>
      </c>
    </row>
    <row r="179" spans="1:2" x14ac:dyDescent="0.45">
      <c r="A179" s="671" t="s">
        <v>932</v>
      </c>
      <c r="B179" s="797" t="s">
        <v>1670</v>
      </c>
    </row>
    <row r="182" spans="1:2" ht="15.75" customHeight="1" x14ac:dyDescent="0.5">
      <c r="A182" s="780" t="s">
        <v>1671</v>
      </c>
    </row>
    <row r="184" spans="1:2" x14ac:dyDescent="0.45">
      <c r="A184" s="789" t="s">
        <v>1672</v>
      </c>
    </row>
    <row r="185" spans="1:2" x14ac:dyDescent="0.45">
      <c r="A185" s="790" t="s">
        <v>1673</v>
      </c>
    </row>
    <row r="186" spans="1:2" ht="21" customHeight="1" x14ac:dyDescent="0.65">
      <c r="A186" s="791" t="s">
        <v>1323</v>
      </c>
    </row>
    <row r="188" spans="1:2" x14ac:dyDescent="0.45">
      <c r="A188" s="792" t="s">
        <v>1674</v>
      </c>
    </row>
    <row r="189" spans="1:2" x14ac:dyDescent="0.45">
      <c r="A189" s="793" t="s">
        <v>1675</v>
      </c>
    </row>
    <row r="190" spans="1:2" ht="21" customHeight="1" x14ac:dyDescent="0.65">
      <c r="A190" s="791" t="s">
        <v>1323</v>
      </c>
    </row>
    <row r="192" spans="1:2" x14ac:dyDescent="0.45">
      <c r="A192" s="792" t="s">
        <v>1676</v>
      </c>
    </row>
    <row r="194" spans="1:5" x14ac:dyDescent="0.45">
      <c r="A194" s="723" t="s">
        <v>1677</v>
      </c>
      <c r="B194" s="801" t="s">
        <v>1678</v>
      </c>
      <c r="C194" s="777" t="s">
        <v>1679</v>
      </c>
      <c r="D194" s="794" t="s">
        <v>1678</v>
      </c>
      <c r="E194" s="777" t="s">
        <v>1680</v>
      </c>
    </row>
    <row r="195" spans="1:5" ht="21" customHeight="1" x14ac:dyDescent="0.65">
      <c r="A195" s="791" t="s">
        <v>1323</v>
      </c>
    </row>
    <row r="196" spans="1:5" x14ac:dyDescent="0.45">
      <c r="A196" s="723" t="s">
        <v>1681</v>
      </c>
      <c r="B196" s="801" t="s">
        <v>1678</v>
      </c>
      <c r="C196" s="777" t="s">
        <v>1682</v>
      </c>
      <c r="D196" s="794" t="s">
        <v>1678</v>
      </c>
      <c r="E196" s="777" t="s">
        <v>1683</v>
      </c>
    </row>
    <row r="197" spans="1:5" ht="21" customHeight="1" x14ac:dyDescent="0.65">
      <c r="A197" s="791" t="s">
        <v>1323</v>
      </c>
    </row>
    <row r="198" spans="1:5" x14ac:dyDescent="0.4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4.25" x14ac:dyDescent="0.45"/>
  <cols>
    <col min="1" max="1" width="10.3984375" customWidth="1"/>
    <col min="2" max="2" width="26.73046875" customWidth="1"/>
    <col min="3" max="3" width="34.265625" customWidth="1"/>
    <col min="4" max="4" width="41.86328125" style="797" customWidth="1"/>
    <col min="5" max="5" width="11.3984375" customWidth="1"/>
    <col min="6" max="6" width="10.3984375" customWidth="1"/>
    <col min="7" max="7" width="32.3984375" style="797" customWidth="1"/>
    <col min="8" max="8" width="19" customWidth="1"/>
    <col min="9" max="9" width="30.3984375" style="797" customWidth="1"/>
    <col min="10" max="10" width="36.1328125" bestFit="1" customWidth="1"/>
    <col min="11" max="11" width="35.265625" bestFit="1" customWidth="1"/>
    <col min="12" max="13" width="12.3984375" customWidth="1"/>
    <col min="14" max="14" width="13.265625" customWidth="1"/>
    <col min="15" max="15" width="14.265625" customWidth="1"/>
    <col min="16" max="16" width="16.1328125" customWidth="1"/>
    <col min="17" max="17" width="14.265625" customWidth="1"/>
    <col min="18" max="18" width="11.3984375" customWidth="1"/>
    <col min="19" max="19" width="47.59765625" style="797" customWidth="1"/>
    <col min="20" max="20" width="13.265625" customWidth="1"/>
    <col min="21" max="21" width="22.86328125" customWidth="1"/>
  </cols>
  <sheetData>
    <row r="1" spans="1:17" ht="21.95" customHeight="1" x14ac:dyDescent="0.55000000000000004">
      <c r="A1" s="924" t="s">
        <v>1687</v>
      </c>
      <c r="B1" s="917"/>
      <c r="C1" s="917"/>
      <c r="D1" s="925"/>
      <c r="E1" s="917"/>
      <c r="F1" s="917"/>
      <c r="G1" s="925"/>
      <c r="H1" s="917"/>
      <c r="I1" s="925"/>
      <c r="J1" s="917"/>
      <c r="K1" s="917"/>
      <c r="L1" s="917"/>
      <c r="M1" s="917"/>
      <c r="N1" s="917"/>
      <c r="O1" s="917"/>
      <c r="P1" s="917"/>
      <c r="Q1" s="917"/>
    </row>
    <row r="2" spans="1:17" x14ac:dyDescent="0.45">
      <c r="A2" s="823" t="s">
        <v>1688</v>
      </c>
    </row>
    <row r="4" spans="1:17" ht="15.75" customHeight="1" x14ac:dyDescent="0.5">
      <c r="A4" s="923" t="s">
        <v>1689</v>
      </c>
      <c r="B4" s="917"/>
      <c r="C4" s="917"/>
    </row>
    <row r="5" spans="1:17" x14ac:dyDescent="0.45">
      <c r="A5" s="759" t="s">
        <v>1690</v>
      </c>
    </row>
    <row r="6" spans="1:17" x14ac:dyDescent="0.45">
      <c r="A6" s="759" t="s">
        <v>1691</v>
      </c>
    </row>
    <row r="7" spans="1:17" x14ac:dyDescent="0.45">
      <c r="A7" s="759" t="s">
        <v>1692</v>
      </c>
    </row>
    <row r="9" spans="1:17" x14ac:dyDescent="0.45">
      <c r="A9" s="824" t="s">
        <v>1693</v>
      </c>
    </row>
    <row r="10" spans="1:17" x14ac:dyDescent="0.45">
      <c r="A10" s="825" t="s">
        <v>1694</v>
      </c>
    </row>
    <row r="12" spans="1:17" x14ac:dyDescent="0.45">
      <c r="A12" s="826" t="s">
        <v>1695</v>
      </c>
    </row>
    <row r="13" spans="1:17" ht="21.95" customHeight="1" x14ac:dyDescent="0.5">
      <c r="A13" s="923" t="s">
        <v>1696</v>
      </c>
      <c r="B13" s="917"/>
      <c r="C13" s="917"/>
    </row>
    <row r="14" spans="1:17" x14ac:dyDescent="0.45">
      <c r="A14" s="827" t="s">
        <v>1697</v>
      </c>
    </row>
    <row r="15" spans="1:17" x14ac:dyDescent="0.45">
      <c r="A15" s="822" t="s">
        <v>1698</v>
      </c>
    </row>
    <row r="17" spans="1:19" ht="15.75" customHeight="1" thickBot="1" x14ac:dyDescent="0.5">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4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4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4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4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4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4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4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4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4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4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4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4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4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4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4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4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4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4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4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4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4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4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4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4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4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4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4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4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4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4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4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4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4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4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4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4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2.75" x14ac:dyDescent="0.4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2.75" x14ac:dyDescent="0.4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4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4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45">
      <c r="A59" s="826" t="s">
        <v>1695</v>
      </c>
    </row>
    <row r="60" spans="1:19" ht="21.95" customHeight="1" x14ac:dyDescent="0.5">
      <c r="A60" s="923" t="s">
        <v>1992</v>
      </c>
      <c r="B60" s="917"/>
      <c r="C60" s="917"/>
    </row>
    <row r="61" spans="1:19" x14ac:dyDescent="0.45">
      <c r="A61" s="827" t="s">
        <v>1993</v>
      </c>
    </row>
    <row r="63" spans="1:19" ht="15.75" customHeight="1" thickBot="1" x14ac:dyDescent="0.5">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45">
      <c r="A64" s="830" t="s">
        <v>2004</v>
      </c>
      <c r="B64" s="830" t="s">
        <v>2005</v>
      </c>
      <c r="C64" s="830"/>
      <c r="D64" s="842"/>
      <c r="E64" s="830"/>
      <c r="F64" s="830"/>
      <c r="G64" s="842"/>
      <c r="H64" s="830"/>
      <c r="I64" s="842"/>
      <c r="J64" s="830"/>
      <c r="K64" s="830"/>
    </row>
    <row r="65" spans="1:11" x14ac:dyDescent="0.45">
      <c r="A65" t="s">
        <v>2006</v>
      </c>
      <c r="B65" t="s">
        <v>1273</v>
      </c>
      <c r="C65" t="s">
        <v>2007</v>
      </c>
      <c r="D65" s="797" t="s">
        <v>923</v>
      </c>
      <c r="E65" t="s">
        <v>2008</v>
      </c>
      <c r="F65" t="s">
        <v>1492</v>
      </c>
      <c r="G65" s="797" t="s">
        <v>1399</v>
      </c>
      <c r="H65" t="s">
        <v>2009</v>
      </c>
      <c r="I65" s="797" t="s">
        <v>2010</v>
      </c>
      <c r="J65" t="s">
        <v>2011</v>
      </c>
      <c r="K65" t="s">
        <v>2012</v>
      </c>
    </row>
    <row r="66" spans="1:11" x14ac:dyDescent="0.45">
      <c r="A66" t="s">
        <v>2013</v>
      </c>
      <c r="B66" t="s">
        <v>2014</v>
      </c>
      <c r="C66" t="s">
        <v>2015</v>
      </c>
      <c r="D66" s="797" t="s">
        <v>923</v>
      </c>
      <c r="E66" t="s">
        <v>2008</v>
      </c>
      <c r="F66" t="s">
        <v>1492</v>
      </c>
      <c r="G66" s="797" t="s">
        <v>1399</v>
      </c>
      <c r="H66" t="s">
        <v>2016</v>
      </c>
      <c r="I66" s="797" t="s">
        <v>2010</v>
      </c>
      <c r="J66" t="s">
        <v>2017</v>
      </c>
      <c r="K66" t="s">
        <v>2018</v>
      </c>
    </row>
    <row r="67" spans="1:11" x14ac:dyDescent="0.45">
      <c r="A67" t="s">
        <v>2019</v>
      </c>
      <c r="B67" t="s">
        <v>2020</v>
      </c>
      <c r="C67" t="s">
        <v>2021</v>
      </c>
      <c r="D67" s="797" t="s">
        <v>1446</v>
      </c>
      <c r="E67" t="s">
        <v>2022</v>
      </c>
      <c r="F67" t="s">
        <v>1492</v>
      </c>
      <c r="G67" s="797" t="s">
        <v>1399</v>
      </c>
      <c r="H67" t="s">
        <v>2023</v>
      </c>
      <c r="I67" s="797" t="s">
        <v>2010</v>
      </c>
      <c r="J67" t="s">
        <v>2024</v>
      </c>
      <c r="K67" t="s">
        <v>2025</v>
      </c>
    </row>
    <row r="68" spans="1:11" x14ac:dyDescent="0.45">
      <c r="A68" t="s">
        <v>2026</v>
      </c>
      <c r="B68" t="s">
        <v>1278</v>
      </c>
      <c r="C68" t="s">
        <v>2027</v>
      </c>
      <c r="D68" s="797" t="s">
        <v>1446</v>
      </c>
      <c r="E68" t="s">
        <v>2028</v>
      </c>
      <c r="F68" t="s">
        <v>1896</v>
      </c>
      <c r="G68" s="797" t="s">
        <v>1399</v>
      </c>
      <c r="H68" t="s">
        <v>2023</v>
      </c>
      <c r="I68" s="846">
        <v>0</v>
      </c>
      <c r="J68" t="s">
        <v>2029</v>
      </c>
      <c r="K68" t="s">
        <v>2030</v>
      </c>
    </row>
    <row r="69" spans="1:11" x14ac:dyDescent="0.45">
      <c r="A69" t="s">
        <v>2031</v>
      </c>
      <c r="B69" t="s">
        <v>11</v>
      </c>
      <c r="C69" t="s">
        <v>2032</v>
      </c>
      <c r="D69" s="797" t="s">
        <v>923</v>
      </c>
      <c r="E69" t="s">
        <v>2033</v>
      </c>
      <c r="F69" t="s">
        <v>1492</v>
      </c>
      <c r="G69" s="797" t="s">
        <v>245</v>
      </c>
      <c r="H69" t="s">
        <v>245</v>
      </c>
      <c r="I69" s="797" t="s">
        <v>2010</v>
      </c>
      <c r="J69" t="s">
        <v>2034</v>
      </c>
      <c r="K69" t="s">
        <v>2035</v>
      </c>
    </row>
    <row r="70" spans="1:11" x14ac:dyDescent="0.45">
      <c r="A70" t="s">
        <v>2036</v>
      </c>
      <c r="B70" t="s">
        <v>52</v>
      </c>
      <c r="C70" t="s">
        <v>2037</v>
      </c>
      <c r="D70" s="797" t="s">
        <v>923</v>
      </c>
      <c r="E70" t="s">
        <v>2038</v>
      </c>
      <c r="F70" t="s">
        <v>1896</v>
      </c>
      <c r="G70" s="797" t="s">
        <v>1399</v>
      </c>
      <c r="H70" t="s">
        <v>1399</v>
      </c>
      <c r="I70" s="846">
        <v>0</v>
      </c>
      <c r="J70" t="s">
        <v>2039</v>
      </c>
      <c r="K70" t="s">
        <v>2040</v>
      </c>
    </row>
    <row r="71" spans="1:11" x14ac:dyDescent="0.45">
      <c r="A71" t="s">
        <v>2041</v>
      </c>
      <c r="B71" t="s">
        <v>2042</v>
      </c>
      <c r="C71" t="s">
        <v>2043</v>
      </c>
      <c r="D71" s="797" t="s">
        <v>923</v>
      </c>
      <c r="E71" t="s">
        <v>2044</v>
      </c>
      <c r="F71" t="s">
        <v>1492</v>
      </c>
      <c r="G71" s="797" t="s">
        <v>245</v>
      </c>
      <c r="H71" t="s">
        <v>245</v>
      </c>
      <c r="I71" s="797" t="s">
        <v>2010</v>
      </c>
      <c r="J71" t="s">
        <v>2034</v>
      </c>
      <c r="K71" t="s">
        <v>2045</v>
      </c>
    </row>
    <row r="72" spans="1:11" x14ac:dyDescent="0.45">
      <c r="A72" s="830" t="s">
        <v>2004</v>
      </c>
      <c r="B72" s="830" t="s">
        <v>2046</v>
      </c>
      <c r="C72" s="830"/>
      <c r="D72" s="842"/>
      <c r="E72" s="830"/>
      <c r="F72" s="830"/>
      <c r="G72" s="842"/>
      <c r="H72" s="830"/>
      <c r="I72" s="842"/>
      <c r="J72" s="830"/>
      <c r="K72" s="830"/>
    </row>
    <row r="73" spans="1:11" x14ac:dyDescent="0.45">
      <c r="A73" t="s">
        <v>2047</v>
      </c>
      <c r="B73" t="s">
        <v>2048</v>
      </c>
      <c r="C73" t="s">
        <v>2049</v>
      </c>
      <c r="D73" s="797" t="s">
        <v>923</v>
      </c>
      <c r="E73" t="s">
        <v>2050</v>
      </c>
      <c r="F73" t="s">
        <v>1492</v>
      </c>
      <c r="G73" s="797" t="s">
        <v>1399</v>
      </c>
      <c r="H73" t="s">
        <v>1399</v>
      </c>
      <c r="I73" s="797" t="s">
        <v>2010</v>
      </c>
      <c r="J73" t="s">
        <v>2039</v>
      </c>
      <c r="K73" t="s">
        <v>2051</v>
      </c>
    </row>
    <row r="74" spans="1:11" x14ac:dyDescent="0.45">
      <c r="A74" t="s">
        <v>2052</v>
      </c>
      <c r="B74" t="s">
        <v>2053</v>
      </c>
      <c r="C74" t="s">
        <v>2054</v>
      </c>
      <c r="D74" s="797" t="s">
        <v>923</v>
      </c>
      <c r="E74" t="s">
        <v>2055</v>
      </c>
      <c r="F74" t="s">
        <v>1492</v>
      </c>
      <c r="G74" s="797" t="s">
        <v>1399</v>
      </c>
      <c r="H74" t="s">
        <v>1399</v>
      </c>
      <c r="I74" s="797" t="s">
        <v>2010</v>
      </c>
      <c r="J74" t="s">
        <v>2039</v>
      </c>
      <c r="K74" t="s">
        <v>2056</v>
      </c>
    </row>
    <row r="75" spans="1:11" x14ac:dyDescent="0.45">
      <c r="A75" t="s">
        <v>2057</v>
      </c>
      <c r="B75" t="s">
        <v>2058</v>
      </c>
      <c r="C75" t="s">
        <v>2059</v>
      </c>
      <c r="D75" s="797" t="s">
        <v>923</v>
      </c>
      <c r="E75" t="s">
        <v>2060</v>
      </c>
      <c r="F75" t="s">
        <v>1492</v>
      </c>
      <c r="G75" s="797" t="s">
        <v>1399</v>
      </c>
      <c r="H75" t="s">
        <v>1399</v>
      </c>
      <c r="I75" s="797" t="s">
        <v>2010</v>
      </c>
      <c r="J75" t="s">
        <v>2039</v>
      </c>
      <c r="K75" t="s">
        <v>2061</v>
      </c>
    </row>
    <row r="76" spans="1:11" x14ac:dyDescent="0.45">
      <c r="A76" t="s">
        <v>2062</v>
      </c>
      <c r="B76" t="s">
        <v>2063</v>
      </c>
      <c r="C76" t="s">
        <v>2064</v>
      </c>
      <c r="D76" s="797" t="s">
        <v>923</v>
      </c>
      <c r="E76" t="s">
        <v>2065</v>
      </c>
      <c r="F76" t="s">
        <v>1492</v>
      </c>
      <c r="G76" s="797" t="s">
        <v>1399</v>
      </c>
      <c r="H76" t="s">
        <v>1399</v>
      </c>
      <c r="I76" s="797" t="s">
        <v>2010</v>
      </c>
      <c r="J76" t="s">
        <v>2039</v>
      </c>
      <c r="K76" t="s">
        <v>2066</v>
      </c>
    </row>
    <row r="77" spans="1:11" x14ac:dyDescent="0.45">
      <c r="A77" t="s">
        <v>2067</v>
      </c>
      <c r="B77" t="s">
        <v>2068</v>
      </c>
      <c r="C77" t="s">
        <v>2069</v>
      </c>
      <c r="D77" s="797" t="s">
        <v>923</v>
      </c>
      <c r="E77" t="s">
        <v>2070</v>
      </c>
      <c r="F77" t="s">
        <v>1896</v>
      </c>
      <c r="G77" s="797" t="s">
        <v>1399</v>
      </c>
      <c r="H77" t="s">
        <v>1399</v>
      </c>
      <c r="I77" s="846">
        <v>0</v>
      </c>
      <c r="J77" t="s">
        <v>2039</v>
      </c>
      <c r="K77" t="s">
        <v>2071</v>
      </c>
    </row>
    <row r="78" spans="1:11" x14ac:dyDescent="0.45">
      <c r="A78" s="830" t="s">
        <v>2004</v>
      </c>
      <c r="B78" s="830" t="s">
        <v>2072</v>
      </c>
      <c r="C78" s="830"/>
      <c r="D78" s="842"/>
      <c r="E78" s="830"/>
      <c r="F78" s="830"/>
      <c r="G78" s="842"/>
      <c r="H78" s="830"/>
      <c r="I78" s="842"/>
      <c r="J78" s="830"/>
      <c r="K78" s="830"/>
    </row>
    <row r="79" spans="1:11" x14ac:dyDescent="0.45">
      <c r="A79" t="s">
        <v>2073</v>
      </c>
      <c r="B79" t="s">
        <v>2074</v>
      </c>
      <c r="C79" t="s">
        <v>2075</v>
      </c>
      <c r="D79" s="797" t="s">
        <v>925</v>
      </c>
      <c r="E79" t="s">
        <v>2076</v>
      </c>
      <c r="F79" t="s">
        <v>2077</v>
      </c>
      <c r="G79" s="797" t="s">
        <v>1399</v>
      </c>
      <c r="H79" t="s">
        <v>245</v>
      </c>
      <c r="I79" s="797" t="s">
        <v>2078</v>
      </c>
      <c r="J79" t="s">
        <v>2079</v>
      </c>
      <c r="K79" t="s">
        <v>2080</v>
      </c>
    </row>
    <row r="80" spans="1:11" x14ac:dyDescent="0.45">
      <c r="A80" t="s">
        <v>2081</v>
      </c>
      <c r="B80" t="s">
        <v>2082</v>
      </c>
      <c r="C80" t="s">
        <v>2083</v>
      </c>
      <c r="D80" s="797" t="s">
        <v>925</v>
      </c>
      <c r="E80" t="s">
        <v>2084</v>
      </c>
      <c r="F80" t="s">
        <v>2085</v>
      </c>
      <c r="G80" s="797" t="s">
        <v>2086</v>
      </c>
      <c r="H80" t="s">
        <v>245</v>
      </c>
      <c r="I80" s="797" t="s">
        <v>2087</v>
      </c>
      <c r="J80" t="s">
        <v>2088</v>
      </c>
      <c r="K80" t="s">
        <v>2089</v>
      </c>
    </row>
    <row r="81" spans="1:11" x14ac:dyDescent="0.45">
      <c r="A81" t="s">
        <v>2090</v>
      </c>
      <c r="B81" t="s">
        <v>2091</v>
      </c>
      <c r="C81" t="s">
        <v>2092</v>
      </c>
      <c r="D81" s="797" t="s">
        <v>1563</v>
      </c>
      <c r="E81" t="s">
        <v>1366</v>
      </c>
      <c r="F81" t="s">
        <v>2093</v>
      </c>
      <c r="G81" s="797" t="s">
        <v>245</v>
      </c>
      <c r="H81" t="s">
        <v>1399</v>
      </c>
      <c r="I81" s="797" t="s">
        <v>2094</v>
      </c>
      <c r="J81" t="s">
        <v>2095</v>
      </c>
      <c r="K81" t="s">
        <v>2096</v>
      </c>
    </row>
    <row r="82" spans="1:11" x14ac:dyDescent="0.45">
      <c r="A82" s="830" t="s">
        <v>2004</v>
      </c>
      <c r="B82" s="830" t="s">
        <v>2097</v>
      </c>
      <c r="C82" s="830"/>
      <c r="D82" s="842"/>
      <c r="E82" s="830"/>
      <c r="F82" s="830"/>
      <c r="G82" s="842"/>
      <c r="H82" s="830"/>
      <c r="I82" s="842"/>
      <c r="J82" s="830"/>
      <c r="K82" s="830"/>
    </row>
    <row r="83" spans="1:11" x14ac:dyDescent="0.45">
      <c r="A83" t="s">
        <v>2098</v>
      </c>
      <c r="B83" t="s">
        <v>2099</v>
      </c>
      <c r="C83" t="s">
        <v>2100</v>
      </c>
      <c r="D83" s="797" t="s">
        <v>927</v>
      </c>
      <c r="E83" t="s">
        <v>2101</v>
      </c>
      <c r="F83" t="s">
        <v>2102</v>
      </c>
      <c r="G83" s="797" t="s">
        <v>1399</v>
      </c>
      <c r="H83" t="s">
        <v>2009</v>
      </c>
      <c r="I83" s="797" t="s">
        <v>2010</v>
      </c>
      <c r="J83" t="s">
        <v>2103</v>
      </c>
      <c r="K83" t="s">
        <v>2104</v>
      </c>
    </row>
    <row r="84" spans="1:11" x14ac:dyDescent="0.45">
      <c r="A84" t="s">
        <v>2105</v>
      </c>
      <c r="B84" t="s">
        <v>2106</v>
      </c>
      <c r="C84" t="s">
        <v>2107</v>
      </c>
      <c r="D84" s="797" t="s">
        <v>927</v>
      </c>
      <c r="E84" t="s">
        <v>2108</v>
      </c>
      <c r="F84" t="s">
        <v>2102</v>
      </c>
      <c r="G84" s="797" t="s">
        <v>1399</v>
      </c>
      <c r="H84" t="s">
        <v>2009</v>
      </c>
      <c r="I84" s="797" t="s">
        <v>2010</v>
      </c>
      <c r="J84" t="s">
        <v>2109</v>
      </c>
      <c r="K84" t="s">
        <v>2110</v>
      </c>
    </row>
    <row r="85" spans="1:11" x14ac:dyDescent="0.45">
      <c r="A85" t="s">
        <v>2111</v>
      </c>
      <c r="B85" t="s">
        <v>2112</v>
      </c>
      <c r="C85" t="s">
        <v>2113</v>
      </c>
      <c r="D85" s="797" t="s">
        <v>927</v>
      </c>
      <c r="E85" t="s">
        <v>2101</v>
      </c>
      <c r="F85" t="s">
        <v>2102</v>
      </c>
      <c r="G85" s="797" t="s">
        <v>1399</v>
      </c>
      <c r="H85" t="s">
        <v>2016</v>
      </c>
      <c r="I85" s="797" t="s">
        <v>2010</v>
      </c>
      <c r="J85" t="s">
        <v>2114</v>
      </c>
      <c r="K85" t="s">
        <v>2115</v>
      </c>
    </row>
    <row r="86" spans="1:11" x14ac:dyDescent="0.45">
      <c r="A86" t="s">
        <v>2116</v>
      </c>
      <c r="B86" t="s">
        <v>2117</v>
      </c>
      <c r="C86" t="s">
        <v>2118</v>
      </c>
      <c r="D86" s="797" t="s">
        <v>927</v>
      </c>
      <c r="E86" t="s">
        <v>2108</v>
      </c>
      <c r="F86" t="s">
        <v>2102</v>
      </c>
      <c r="G86" s="797" t="s">
        <v>1399</v>
      </c>
      <c r="H86" t="s">
        <v>2016</v>
      </c>
      <c r="I86" s="797" t="s">
        <v>2010</v>
      </c>
      <c r="J86" t="s">
        <v>2119</v>
      </c>
      <c r="K86" t="s">
        <v>2120</v>
      </c>
    </row>
    <row r="87" spans="1:11" x14ac:dyDescent="0.45">
      <c r="A87" t="s">
        <v>2121</v>
      </c>
      <c r="B87" t="s">
        <v>2122</v>
      </c>
      <c r="C87" t="s">
        <v>2123</v>
      </c>
      <c r="D87" s="797" t="s">
        <v>1446</v>
      </c>
      <c r="E87" t="s">
        <v>2124</v>
      </c>
      <c r="F87" t="s">
        <v>2102</v>
      </c>
      <c r="G87" s="797" t="s">
        <v>1399</v>
      </c>
      <c r="H87" t="s">
        <v>2125</v>
      </c>
      <c r="I87" s="797" t="s">
        <v>2010</v>
      </c>
      <c r="J87" t="s">
        <v>2126</v>
      </c>
      <c r="K87" t="s">
        <v>2127</v>
      </c>
    </row>
    <row r="88" spans="1:11" x14ac:dyDescent="0.45">
      <c r="A88" t="s">
        <v>2128</v>
      </c>
      <c r="B88" t="s">
        <v>2129</v>
      </c>
      <c r="C88" t="s">
        <v>2130</v>
      </c>
      <c r="D88" s="797" t="s">
        <v>1446</v>
      </c>
      <c r="E88" t="s">
        <v>2131</v>
      </c>
      <c r="F88" t="s">
        <v>2102</v>
      </c>
      <c r="G88" s="797" t="s">
        <v>1399</v>
      </c>
      <c r="H88" t="s">
        <v>2125</v>
      </c>
      <c r="I88" s="797" t="s">
        <v>2010</v>
      </c>
      <c r="J88" t="s">
        <v>2132</v>
      </c>
      <c r="K88" t="s">
        <v>2133</v>
      </c>
    </row>
    <row r="89" spans="1:11" x14ac:dyDescent="0.45">
      <c r="A89" s="830" t="s">
        <v>2004</v>
      </c>
      <c r="B89" s="830" t="s">
        <v>2134</v>
      </c>
      <c r="C89" s="830"/>
      <c r="D89" s="842"/>
      <c r="E89" s="830"/>
      <c r="F89" s="830"/>
      <c r="G89" s="842"/>
      <c r="H89" s="830"/>
      <c r="I89" s="842"/>
      <c r="J89" s="830"/>
      <c r="K89" s="830"/>
    </row>
    <row r="90" spans="1:11" x14ac:dyDescent="0.45">
      <c r="A90" t="s">
        <v>2135</v>
      </c>
      <c r="B90" t="s">
        <v>1284</v>
      </c>
      <c r="C90" t="s">
        <v>2136</v>
      </c>
      <c r="D90" s="797" t="s">
        <v>1446</v>
      </c>
      <c r="E90" t="s">
        <v>2137</v>
      </c>
      <c r="F90" t="s">
        <v>1896</v>
      </c>
      <c r="G90" s="797" t="s">
        <v>245</v>
      </c>
      <c r="H90" t="s">
        <v>2023</v>
      </c>
      <c r="I90" s="846">
        <v>0</v>
      </c>
      <c r="J90" t="s">
        <v>2138</v>
      </c>
      <c r="K90" t="s">
        <v>2139</v>
      </c>
    </row>
    <row r="91" spans="1:11" x14ac:dyDescent="0.45">
      <c r="A91" t="s">
        <v>2140</v>
      </c>
      <c r="B91" t="s">
        <v>1286</v>
      </c>
      <c r="C91" t="s">
        <v>2141</v>
      </c>
      <c r="D91" s="797" t="s">
        <v>1446</v>
      </c>
      <c r="E91" t="s">
        <v>2142</v>
      </c>
      <c r="F91" t="s">
        <v>2143</v>
      </c>
      <c r="G91" s="797" t="s">
        <v>245</v>
      </c>
      <c r="H91" t="s">
        <v>2023</v>
      </c>
      <c r="I91" s="797" t="s">
        <v>2144</v>
      </c>
      <c r="J91" t="s">
        <v>2145</v>
      </c>
      <c r="K91" t="s">
        <v>2146</v>
      </c>
    </row>
    <row r="92" spans="1:11" x14ac:dyDescent="0.45">
      <c r="A92" t="s">
        <v>2147</v>
      </c>
      <c r="B92" t="s">
        <v>2148</v>
      </c>
      <c r="C92" t="s">
        <v>2149</v>
      </c>
      <c r="D92" s="797" t="s">
        <v>923</v>
      </c>
      <c r="E92" t="s">
        <v>2150</v>
      </c>
      <c r="F92" t="s">
        <v>1353</v>
      </c>
      <c r="G92" s="797" t="s">
        <v>1399</v>
      </c>
      <c r="H92" t="s">
        <v>1399</v>
      </c>
      <c r="I92" s="797" t="s">
        <v>2151</v>
      </c>
      <c r="J92" t="s">
        <v>2039</v>
      </c>
      <c r="K92" t="s">
        <v>2152</v>
      </c>
    </row>
    <row r="94" spans="1:11" x14ac:dyDescent="0.45">
      <c r="A94" s="826" t="s">
        <v>1695</v>
      </c>
    </row>
    <row r="95" spans="1:11" ht="21.95" customHeight="1" x14ac:dyDescent="0.5">
      <c r="A95" s="923" t="s">
        <v>2153</v>
      </c>
      <c r="B95" s="917"/>
      <c r="C95" s="917"/>
    </row>
    <row r="96" spans="1:11" x14ac:dyDescent="0.45">
      <c r="A96" s="827" t="s">
        <v>2154</v>
      </c>
    </row>
    <row r="98" spans="1:9" ht="15.75" customHeight="1" thickBot="1" x14ac:dyDescent="0.5">
      <c r="A98" s="838" t="s">
        <v>2155</v>
      </c>
      <c r="B98" s="838" t="s">
        <v>2156</v>
      </c>
      <c r="C98" s="838" t="s">
        <v>2157</v>
      </c>
      <c r="D98" s="840" t="s">
        <v>2158</v>
      </c>
      <c r="E98" s="838" t="s">
        <v>2159</v>
      </c>
      <c r="F98" s="838" t="s">
        <v>2160</v>
      </c>
      <c r="G98" s="840" t="s">
        <v>2161</v>
      </c>
      <c r="H98" s="838" t="s">
        <v>2162</v>
      </c>
      <c r="I98" s="840" t="s">
        <v>1270</v>
      </c>
    </row>
    <row r="99" spans="1:9" x14ac:dyDescent="0.45">
      <c r="A99" s="830" t="s">
        <v>2004</v>
      </c>
      <c r="B99" s="830" t="s">
        <v>2163</v>
      </c>
      <c r="C99" s="830"/>
      <c r="D99" s="842"/>
      <c r="E99" s="830"/>
      <c r="F99" s="830"/>
      <c r="G99" s="842"/>
      <c r="H99" s="830"/>
      <c r="I99" s="842"/>
    </row>
    <row r="100" spans="1:9" ht="30" customHeight="1" x14ac:dyDescent="0.45">
      <c r="A100" t="s">
        <v>2164</v>
      </c>
      <c r="B100" t="s">
        <v>1718</v>
      </c>
      <c r="C100" t="s">
        <v>2165</v>
      </c>
      <c r="D100" s="797" t="s">
        <v>2166</v>
      </c>
      <c r="E100" t="s">
        <v>2167</v>
      </c>
      <c r="F100" t="s">
        <v>2168</v>
      </c>
      <c r="G100" s="797" t="s">
        <v>245</v>
      </c>
      <c r="H100" t="s">
        <v>245</v>
      </c>
      <c r="I100" s="797" t="s">
        <v>2169</v>
      </c>
    </row>
    <row r="101" spans="1:9" ht="30" customHeight="1" x14ac:dyDescent="0.45">
      <c r="A101" t="s">
        <v>2170</v>
      </c>
      <c r="B101" t="s">
        <v>1735</v>
      </c>
      <c r="C101" t="s">
        <v>2165</v>
      </c>
      <c r="D101" s="797" t="s">
        <v>2171</v>
      </c>
      <c r="E101" t="s">
        <v>2172</v>
      </c>
      <c r="F101" t="s">
        <v>2168</v>
      </c>
      <c r="G101" s="797" t="s">
        <v>245</v>
      </c>
      <c r="H101" t="s">
        <v>245</v>
      </c>
      <c r="I101" s="797" t="s">
        <v>2173</v>
      </c>
    </row>
    <row r="102" spans="1:9" x14ac:dyDescent="0.45">
      <c r="A102" t="s">
        <v>2174</v>
      </c>
      <c r="B102" t="s">
        <v>1753</v>
      </c>
      <c r="C102" t="s">
        <v>2165</v>
      </c>
      <c r="D102" s="797" t="s">
        <v>2175</v>
      </c>
      <c r="E102" t="s">
        <v>2176</v>
      </c>
      <c r="F102" t="s">
        <v>2168</v>
      </c>
      <c r="G102" s="797" t="s">
        <v>245</v>
      </c>
      <c r="H102" t="s">
        <v>245</v>
      </c>
      <c r="I102" s="797" t="s">
        <v>2177</v>
      </c>
    </row>
    <row r="103" spans="1:9" x14ac:dyDescent="0.45">
      <c r="A103" t="s">
        <v>2178</v>
      </c>
      <c r="B103" t="s">
        <v>1789</v>
      </c>
      <c r="C103" t="s">
        <v>2165</v>
      </c>
      <c r="D103" s="797" t="s">
        <v>2179</v>
      </c>
      <c r="E103" t="s">
        <v>2180</v>
      </c>
      <c r="F103" t="s">
        <v>2168</v>
      </c>
      <c r="G103" s="797" t="s">
        <v>245</v>
      </c>
      <c r="H103" t="s">
        <v>245</v>
      </c>
      <c r="I103" s="797" t="s">
        <v>2181</v>
      </c>
    </row>
    <row r="104" spans="1:9" ht="30" customHeight="1" x14ac:dyDescent="0.45">
      <c r="A104" t="s">
        <v>2182</v>
      </c>
      <c r="B104" t="s">
        <v>1812</v>
      </c>
      <c r="C104" t="s">
        <v>2165</v>
      </c>
      <c r="D104" s="797" t="s">
        <v>2183</v>
      </c>
      <c r="E104" t="s">
        <v>2184</v>
      </c>
      <c r="F104" t="s">
        <v>2168</v>
      </c>
      <c r="G104" s="797" t="s">
        <v>245</v>
      </c>
      <c r="H104" t="s">
        <v>245</v>
      </c>
      <c r="I104" s="797" t="s">
        <v>2185</v>
      </c>
    </row>
    <row r="105" spans="1:9" x14ac:dyDescent="0.45">
      <c r="A105" t="s">
        <v>2186</v>
      </c>
      <c r="B105" t="s">
        <v>1862</v>
      </c>
      <c r="C105" t="s">
        <v>2165</v>
      </c>
      <c r="D105" s="797" t="s">
        <v>2187</v>
      </c>
      <c r="E105" t="s">
        <v>2188</v>
      </c>
      <c r="F105" t="s">
        <v>2168</v>
      </c>
      <c r="G105" s="797" t="s">
        <v>245</v>
      </c>
      <c r="H105" t="s">
        <v>245</v>
      </c>
      <c r="I105" s="797" t="s">
        <v>2189</v>
      </c>
    </row>
    <row r="106" spans="1:9" x14ac:dyDescent="0.45">
      <c r="A106" t="s">
        <v>2190</v>
      </c>
      <c r="B106" t="s">
        <v>1870</v>
      </c>
      <c r="C106" t="s">
        <v>2165</v>
      </c>
      <c r="D106" s="797" t="s">
        <v>2191</v>
      </c>
      <c r="E106" t="s">
        <v>2192</v>
      </c>
      <c r="F106" t="s">
        <v>2168</v>
      </c>
      <c r="G106" s="797" t="s">
        <v>245</v>
      </c>
      <c r="H106" t="s">
        <v>245</v>
      </c>
      <c r="I106" s="797" t="s">
        <v>2193</v>
      </c>
    </row>
    <row r="107" spans="1:9" x14ac:dyDescent="0.45">
      <c r="A107" s="830" t="s">
        <v>2004</v>
      </c>
      <c r="B107" s="830" t="s">
        <v>2194</v>
      </c>
      <c r="C107" s="830"/>
      <c r="D107" s="842"/>
      <c r="E107" s="830"/>
      <c r="F107" s="830"/>
      <c r="G107" s="842"/>
      <c r="H107" s="830"/>
      <c r="I107" s="842"/>
    </row>
    <row r="108" spans="1:9" x14ac:dyDescent="0.45">
      <c r="A108" t="s">
        <v>2195</v>
      </c>
      <c r="B108" t="s">
        <v>1782</v>
      </c>
      <c r="C108" t="s">
        <v>2196</v>
      </c>
      <c r="D108" s="797" t="s">
        <v>2197</v>
      </c>
      <c r="E108" t="s">
        <v>2198</v>
      </c>
      <c r="F108" t="s">
        <v>2168</v>
      </c>
      <c r="G108" s="797" t="s">
        <v>245</v>
      </c>
      <c r="H108" t="s">
        <v>245</v>
      </c>
      <c r="I108" s="797" t="s">
        <v>2199</v>
      </c>
    </row>
    <row r="109" spans="1:9" ht="30" customHeight="1" x14ac:dyDescent="0.45">
      <c r="A109" t="s">
        <v>2200</v>
      </c>
      <c r="B109" t="s">
        <v>1789</v>
      </c>
      <c r="C109" t="s">
        <v>2196</v>
      </c>
      <c r="D109" s="797" t="s">
        <v>2201</v>
      </c>
      <c r="E109" t="s">
        <v>2202</v>
      </c>
      <c r="F109" t="s">
        <v>2168</v>
      </c>
      <c r="G109" s="797" t="s">
        <v>245</v>
      </c>
      <c r="H109" t="s">
        <v>245</v>
      </c>
      <c r="I109" s="797" t="s">
        <v>2203</v>
      </c>
    </row>
    <row r="110" spans="1:9" x14ac:dyDescent="0.45">
      <c r="A110" t="s">
        <v>2204</v>
      </c>
      <c r="B110" t="s">
        <v>1812</v>
      </c>
      <c r="C110" t="s">
        <v>2196</v>
      </c>
      <c r="D110" s="797" t="s">
        <v>2205</v>
      </c>
      <c r="E110" t="s">
        <v>2206</v>
      </c>
      <c r="F110" t="s">
        <v>2168</v>
      </c>
      <c r="G110" s="797" t="s">
        <v>245</v>
      </c>
      <c r="H110" t="s">
        <v>245</v>
      </c>
      <c r="I110" s="797" t="s">
        <v>2207</v>
      </c>
    </row>
    <row r="111" spans="1:9" x14ac:dyDescent="0.45">
      <c r="A111" t="s">
        <v>2208</v>
      </c>
      <c r="B111" t="s">
        <v>1820</v>
      </c>
      <c r="C111" t="s">
        <v>2196</v>
      </c>
      <c r="D111" s="797" t="s">
        <v>2209</v>
      </c>
      <c r="E111" t="s">
        <v>2210</v>
      </c>
      <c r="F111" t="s">
        <v>2168</v>
      </c>
      <c r="G111" s="797" t="s">
        <v>245</v>
      </c>
      <c r="H111" t="s">
        <v>1399</v>
      </c>
      <c r="I111" s="797" t="s">
        <v>2211</v>
      </c>
    </row>
    <row r="112" spans="1:9" x14ac:dyDescent="0.45">
      <c r="A112" t="s">
        <v>2212</v>
      </c>
      <c r="B112" t="s">
        <v>1845</v>
      </c>
      <c r="C112" t="s">
        <v>2196</v>
      </c>
      <c r="D112" s="797" t="s">
        <v>2213</v>
      </c>
      <c r="E112" t="s">
        <v>2214</v>
      </c>
      <c r="F112" t="s">
        <v>2215</v>
      </c>
      <c r="G112" s="797" t="s">
        <v>245</v>
      </c>
      <c r="H112" t="s">
        <v>2216</v>
      </c>
      <c r="I112" s="797" t="s">
        <v>2217</v>
      </c>
    </row>
    <row r="113" spans="1:9" x14ac:dyDescent="0.45">
      <c r="A113" t="s">
        <v>2218</v>
      </c>
      <c r="B113" t="s">
        <v>1902</v>
      </c>
      <c r="C113" t="s">
        <v>2196</v>
      </c>
      <c r="D113" s="797" t="s">
        <v>2219</v>
      </c>
      <c r="E113" t="s">
        <v>2220</v>
      </c>
      <c r="F113" t="s">
        <v>2215</v>
      </c>
      <c r="G113" s="797" t="s">
        <v>245</v>
      </c>
      <c r="H113" t="s">
        <v>2221</v>
      </c>
      <c r="I113" s="797" t="s">
        <v>2222</v>
      </c>
    </row>
    <row r="114" spans="1:9" x14ac:dyDescent="0.45">
      <c r="A114" s="830" t="s">
        <v>2004</v>
      </c>
      <c r="B114" s="830" t="s">
        <v>2223</v>
      </c>
      <c r="C114" s="830"/>
      <c r="D114" s="842"/>
      <c r="E114" s="830"/>
      <c r="F114" s="830"/>
      <c r="G114" s="842"/>
      <c r="H114" s="830"/>
      <c r="I114" s="842"/>
    </row>
    <row r="115" spans="1:9" x14ac:dyDescent="0.45">
      <c r="A115" t="s">
        <v>2224</v>
      </c>
      <c r="B115" t="s">
        <v>1735</v>
      </c>
      <c r="C115" t="s">
        <v>1738</v>
      </c>
      <c r="D115" s="797" t="s">
        <v>2225</v>
      </c>
      <c r="E115" t="s">
        <v>2226</v>
      </c>
      <c r="F115" t="s">
        <v>2168</v>
      </c>
      <c r="G115" s="797" t="s">
        <v>245</v>
      </c>
      <c r="H115" t="s">
        <v>245</v>
      </c>
      <c r="I115" s="797" t="s">
        <v>2227</v>
      </c>
    </row>
    <row r="116" spans="1:9" x14ac:dyDescent="0.45">
      <c r="A116" t="s">
        <v>2228</v>
      </c>
      <c r="B116" t="s">
        <v>1845</v>
      </c>
      <c r="C116" t="s">
        <v>992</v>
      </c>
      <c r="D116" s="797" t="s">
        <v>2229</v>
      </c>
      <c r="E116" t="s">
        <v>2230</v>
      </c>
      <c r="F116" t="s">
        <v>2215</v>
      </c>
      <c r="G116" s="797" t="s">
        <v>245</v>
      </c>
      <c r="H116" t="s">
        <v>1399</v>
      </c>
      <c r="I116" s="797" t="s">
        <v>2231</v>
      </c>
    </row>
    <row r="117" spans="1:9" x14ac:dyDescent="0.45">
      <c r="A117" t="s">
        <v>2232</v>
      </c>
      <c r="B117" t="s">
        <v>1838</v>
      </c>
      <c r="C117" t="s">
        <v>435</v>
      </c>
      <c r="D117" s="797" t="s">
        <v>2233</v>
      </c>
      <c r="E117" t="s">
        <v>2234</v>
      </c>
      <c r="F117" t="s">
        <v>2215</v>
      </c>
      <c r="G117" s="797" t="s">
        <v>245</v>
      </c>
      <c r="H117" t="s">
        <v>1399</v>
      </c>
      <c r="I117" s="797" t="s">
        <v>2235</v>
      </c>
    </row>
    <row r="118" spans="1:9" x14ac:dyDescent="0.45">
      <c r="A118" t="s">
        <v>2236</v>
      </c>
      <c r="B118" t="s">
        <v>1854</v>
      </c>
      <c r="C118" t="s">
        <v>435</v>
      </c>
      <c r="D118" s="797" t="s">
        <v>2237</v>
      </c>
      <c r="E118" t="s">
        <v>2238</v>
      </c>
      <c r="F118" t="s">
        <v>2215</v>
      </c>
      <c r="G118" s="797" t="s">
        <v>245</v>
      </c>
      <c r="H118" t="s">
        <v>1399</v>
      </c>
      <c r="I118" s="797" t="s">
        <v>2239</v>
      </c>
    </row>
    <row r="119" spans="1:9" x14ac:dyDescent="0.45">
      <c r="A119" t="s">
        <v>2240</v>
      </c>
      <c r="B119" t="s">
        <v>2241</v>
      </c>
      <c r="C119" t="s">
        <v>992</v>
      </c>
      <c r="D119" s="797" t="s">
        <v>2242</v>
      </c>
      <c r="E119" t="s">
        <v>2243</v>
      </c>
      <c r="F119" t="s">
        <v>2215</v>
      </c>
      <c r="G119" s="797" t="s">
        <v>245</v>
      </c>
      <c r="H119" t="s">
        <v>1399</v>
      </c>
      <c r="I119" s="797" t="s">
        <v>2244</v>
      </c>
    </row>
    <row r="120" spans="1:9" x14ac:dyDescent="0.45">
      <c r="A120" s="830" t="s">
        <v>2004</v>
      </c>
      <c r="B120" s="830" t="s">
        <v>2245</v>
      </c>
      <c r="C120" s="830"/>
      <c r="D120" s="842"/>
      <c r="E120" s="830"/>
      <c r="F120" s="830"/>
      <c r="G120" s="842"/>
      <c r="H120" s="830"/>
      <c r="I120" s="842"/>
    </row>
    <row r="121" spans="1:9" x14ac:dyDescent="0.45">
      <c r="A121" t="s">
        <v>2246</v>
      </c>
      <c r="B121" t="s">
        <v>2247</v>
      </c>
      <c r="C121" t="s">
        <v>2248</v>
      </c>
      <c r="D121" s="797" t="s">
        <v>2249</v>
      </c>
      <c r="E121" t="s">
        <v>2250</v>
      </c>
      <c r="F121" t="s">
        <v>2168</v>
      </c>
      <c r="G121" s="797" t="s">
        <v>245</v>
      </c>
      <c r="H121" t="s">
        <v>245</v>
      </c>
      <c r="I121" s="797" t="s">
        <v>2251</v>
      </c>
    </row>
    <row r="122" spans="1:9" x14ac:dyDescent="0.45">
      <c r="A122" t="s">
        <v>2252</v>
      </c>
      <c r="B122" t="s">
        <v>2247</v>
      </c>
      <c r="C122" t="s">
        <v>2253</v>
      </c>
      <c r="D122" s="797" t="s">
        <v>2254</v>
      </c>
      <c r="E122" t="s">
        <v>2255</v>
      </c>
      <c r="F122" t="s">
        <v>2215</v>
      </c>
      <c r="G122" s="797" t="s">
        <v>245</v>
      </c>
      <c r="H122" t="s">
        <v>1399</v>
      </c>
      <c r="I122" s="797" t="s">
        <v>2256</v>
      </c>
    </row>
    <row r="123" spans="1:9" x14ac:dyDescent="0.45">
      <c r="A123" t="s">
        <v>2257</v>
      </c>
      <c r="B123" t="s">
        <v>2258</v>
      </c>
      <c r="C123" t="s">
        <v>2259</v>
      </c>
      <c r="D123" s="797" t="s">
        <v>2260</v>
      </c>
      <c r="E123" t="s">
        <v>2261</v>
      </c>
      <c r="F123" t="s">
        <v>2168</v>
      </c>
      <c r="G123" s="797" t="s">
        <v>2262</v>
      </c>
      <c r="H123" t="s">
        <v>245</v>
      </c>
      <c r="I123" s="797" t="s">
        <v>2263</v>
      </c>
    </row>
    <row r="124" spans="1:9" x14ac:dyDescent="0.45">
      <c r="A124" t="s">
        <v>2264</v>
      </c>
      <c r="B124" t="s">
        <v>2265</v>
      </c>
      <c r="C124" t="s">
        <v>2259</v>
      </c>
      <c r="D124" s="797" t="s">
        <v>2266</v>
      </c>
      <c r="E124" t="s">
        <v>2267</v>
      </c>
      <c r="F124" t="s">
        <v>2168</v>
      </c>
      <c r="G124" s="797" t="s">
        <v>2262</v>
      </c>
      <c r="H124" t="s">
        <v>245</v>
      </c>
      <c r="I124" s="797" t="s">
        <v>2268</v>
      </c>
    </row>
    <row r="125" spans="1:9" x14ac:dyDescent="0.45">
      <c r="A125" t="s">
        <v>2269</v>
      </c>
      <c r="B125" t="s">
        <v>2270</v>
      </c>
      <c r="C125" t="s">
        <v>2259</v>
      </c>
      <c r="D125" s="797" t="s">
        <v>2271</v>
      </c>
      <c r="E125" t="s">
        <v>2272</v>
      </c>
      <c r="F125" t="s">
        <v>2168</v>
      </c>
      <c r="G125" s="797" t="s">
        <v>2262</v>
      </c>
      <c r="H125" t="s">
        <v>245</v>
      </c>
      <c r="I125" s="797" t="s">
        <v>2273</v>
      </c>
    </row>
    <row r="126" spans="1:9" x14ac:dyDescent="0.45">
      <c r="A126" t="s">
        <v>2004</v>
      </c>
      <c r="B126" t="s">
        <v>2274</v>
      </c>
    </row>
    <row r="127" spans="1:9" x14ac:dyDescent="0.45">
      <c r="A127" s="830" t="s">
        <v>2275</v>
      </c>
      <c r="B127" s="830" t="s">
        <v>1753</v>
      </c>
      <c r="C127" s="830" t="s">
        <v>2276</v>
      </c>
      <c r="D127" s="842" t="s">
        <v>2277</v>
      </c>
      <c r="E127" s="830" t="s">
        <v>2278</v>
      </c>
      <c r="F127" s="830" t="s">
        <v>2168</v>
      </c>
      <c r="G127" s="842" t="s">
        <v>245</v>
      </c>
      <c r="H127" s="830" t="s">
        <v>1399</v>
      </c>
      <c r="I127" s="842" t="s">
        <v>2279</v>
      </c>
    </row>
    <row r="128" spans="1:9" x14ac:dyDescent="0.45">
      <c r="A128" t="s">
        <v>2280</v>
      </c>
      <c r="B128" t="s">
        <v>1877</v>
      </c>
      <c r="C128" t="s">
        <v>1738</v>
      </c>
      <c r="D128" s="797" t="s">
        <v>1252</v>
      </c>
      <c r="E128" t="s">
        <v>2281</v>
      </c>
      <c r="F128" t="s">
        <v>2168</v>
      </c>
      <c r="G128" s="797" t="s">
        <v>2282</v>
      </c>
      <c r="H128" t="s">
        <v>245</v>
      </c>
      <c r="I128" s="797" t="s">
        <v>2283</v>
      </c>
    </row>
    <row r="129" spans="1:9" x14ac:dyDescent="0.45">
      <c r="A129" t="s">
        <v>2284</v>
      </c>
      <c r="B129" t="s">
        <v>1886</v>
      </c>
      <c r="C129" t="s">
        <v>1738</v>
      </c>
      <c r="D129" s="797" t="s">
        <v>1400</v>
      </c>
      <c r="E129" t="s">
        <v>2285</v>
      </c>
      <c r="F129" t="s">
        <v>2168</v>
      </c>
      <c r="G129" s="797" t="s">
        <v>2286</v>
      </c>
      <c r="H129" t="s">
        <v>245</v>
      </c>
      <c r="I129" s="797" t="s">
        <v>2287</v>
      </c>
    </row>
    <row r="130" spans="1:9" x14ac:dyDescent="0.45">
      <c r="A130" s="830" t="s">
        <v>2004</v>
      </c>
      <c r="B130" s="830" t="s">
        <v>2288</v>
      </c>
      <c r="C130" s="830"/>
      <c r="D130" s="842"/>
      <c r="E130" s="830"/>
      <c r="F130" s="830"/>
      <c r="G130" s="842"/>
      <c r="H130" s="830"/>
      <c r="I130" s="842"/>
    </row>
    <row r="131" spans="1:9" x14ac:dyDescent="0.45">
      <c r="A131" t="s">
        <v>2289</v>
      </c>
      <c r="B131" t="s">
        <v>1893</v>
      </c>
      <c r="C131" t="s">
        <v>2290</v>
      </c>
      <c r="D131" s="797" t="s">
        <v>2291</v>
      </c>
      <c r="E131" t="s">
        <v>2292</v>
      </c>
      <c r="F131" t="s">
        <v>2215</v>
      </c>
      <c r="G131" s="797" t="s">
        <v>245</v>
      </c>
      <c r="H131" t="s">
        <v>1399</v>
      </c>
      <c r="I131" s="797" t="s">
        <v>2293</v>
      </c>
    </row>
    <row r="132" spans="1:9" x14ac:dyDescent="0.45">
      <c r="A132" t="s">
        <v>2294</v>
      </c>
      <c r="B132" t="s">
        <v>1921</v>
      </c>
      <c r="C132" t="s">
        <v>2290</v>
      </c>
      <c r="D132" s="797" t="s">
        <v>2295</v>
      </c>
      <c r="E132" t="s">
        <v>2296</v>
      </c>
      <c r="F132" t="s">
        <v>2215</v>
      </c>
      <c r="G132" s="797" t="s">
        <v>245</v>
      </c>
      <c r="H132" t="s">
        <v>1399</v>
      </c>
      <c r="I132" s="797" t="s">
        <v>2297</v>
      </c>
    </row>
    <row r="133" spans="1:9" x14ac:dyDescent="0.45">
      <c r="A133" t="s">
        <v>2298</v>
      </c>
      <c r="B133" t="s">
        <v>1762</v>
      </c>
      <c r="C133" t="s">
        <v>2290</v>
      </c>
      <c r="D133" s="797" t="s">
        <v>2299</v>
      </c>
      <c r="E133" t="s">
        <v>2300</v>
      </c>
      <c r="F133" t="s">
        <v>2168</v>
      </c>
      <c r="G133" s="797" t="s">
        <v>245</v>
      </c>
      <c r="H133" t="s">
        <v>1399</v>
      </c>
      <c r="I133" s="797" t="s">
        <v>2301</v>
      </c>
    </row>
    <row r="134" spans="1:9" x14ac:dyDescent="0.45">
      <c r="A134" t="s">
        <v>2302</v>
      </c>
      <c r="B134" t="s">
        <v>1762</v>
      </c>
      <c r="C134" t="s">
        <v>2290</v>
      </c>
      <c r="D134" s="797" t="s">
        <v>2303</v>
      </c>
      <c r="E134" t="s">
        <v>2304</v>
      </c>
      <c r="F134" t="s">
        <v>2168</v>
      </c>
      <c r="G134" s="797" t="s">
        <v>245</v>
      </c>
      <c r="H134" t="s">
        <v>1399</v>
      </c>
      <c r="I134" s="797" t="s">
        <v>2305</v>
      </c>
    </row>
    <row r="135" spans="1:9" x14ac:dyDescent="0.45">
      <c r="A135" t="s">
        <v>2306</v>
      </c>
      <c r="B135" t="s">
        <v>2307</v>
      </c>
      <c r="C135" t="s">
        <v>2308</v>
      </c>
      <c r="D135" s="797" t="s">
        <v>2309</v>
      </c>
      <c r="E135" t="s">
        <v>2310</v>
      </c>
      <c r="F135" t="s">
        <v>2215</v>
      </c>
      <c r="G135" s="797" t="s">
        <v>245</v>
      </c>
      <c r="H135" t="s">
        <v>1399</v>
      </c>
      <c r="I135" s="797" t="s">
        <v>2311</v>
      </c>
    </row>
    <row r="136" spans="1:9" x14ac:dyDescent="0.45">
      <c r="A136" t="s">
        <v>2312</v>
      </c>
      <c r="B136" t="s">
        <v>2313</v>
      </c>
      <c r="C136" t="s">
        <v>2314</v>
      </c>
      <c r="D136" s="797" t="s">
        <v>2315</v>
      </c>
      <c r="E136" t="s">
        <v>2316</v>
      </c>
      <c r="F136" t="s">
        <v>2317</v>
      </c>
      <c r="G136" s="797" t="s">
        <v>245</v>
      </c>
      <c r="H136" t="s">
        <v>2318</v>
      </c>
      <c r="I136" s="797" t="s">
        <v>2319</v>
      </c>
    </row>
    <row r="138" spans="1:9" x14ac:dyDescent="0.45">
      <c r="A138" s="826" t="s">
        <v>1695</v>
      </c>
    </row>
    <row r="139" spans="1:9" ht="21.95" customHeight="1" x14ac:dyDescent="0.5">
      <c r="A139" s="923" t="s">
        <v>2320</v>
      </c>
      <c r="B139" s="917"/>
      <c r="C139" s="917"/>
    </row>
    <row r="140" spans="1:9" x14ac:dyDescent="0.45">
      <c r="A140" s="827" t="s">
        <v>2321</v>
      </c>
    </row>
    <row r="142" spans="1:9" ht="15.75" customHeight="1" thickBot="1" x14ac:dyDescent="0.5">
      <c r="A142" s="838" t="s">
        <v>2322</v>
      </c>
      <c r="B142" s="838" t="s">
        <v>2323</v>
      </c>
      <c r="C142" s="838" t="s">
        <v>2324</v>
      </c>
      <c r="D142" s="840" t="s">
        <v>922</v>
      </c>
      <c r="E142" s="838" t="s">
        <v>2325</v>
      </c>
      <c r="F142" s="838" t="s">
        <v>2326</v>
      </c>
      <c r="G142" s="840" t="s">
        <v>1270</v>
      </c>
    </row>
    <row r="143" spans="1:9" ht="30" customHeight="1" x14ac:dyDescent="0.45">
      <c r="A143" t="s">
        <v>940</v>
      </c>
      <c r="B143" s="782" t="s">
        <v>2327</v>
      </c>
      <c r="C143" t="s">
        <v>2328</v>
      </c>
      <c r="D143" s="797" t="s">
        <v>2329</v>
      </c>
      <c r="E143" t="s">
        <v>2330</v>
      </c>
      <c r="F143" t="s">
        <v>2331</v>
      </c>
      <c r="G143" s="797" t="s">
        <v>2332</v>
      </c>
    </row>
    <row r="144" spans="1:9" ht="30" customHeight="1" x14ac:dyDescent="0.45">
      <c r="A144" t="s">
        <v>929</v>
      </c>
      <c r="B144" s="782" t="s">
        <v>2327</v>
      </c>
      <c r="C144" t="s">
        <v>2333</v>
      </c>
      <c r="D144" s="797" t="s">
        <v>2334</v>
      </c>
      <c r="E144" t="s">
        <v>2330</v>
      </c>
      <c r="F144" t="s">
        <v>730</v>
      </c>
      <c r="G144" s="797" t="s">
        <v>2335</v>
      </c>
    </row>
    <row r="145" spans="1:7" ht="30" customHeight="1" x14ac:dyDescent="0.45">
      <c r="A145" t="s">
        <v>925</v>
      </c>
      <c r="B145" s="782" t="s">
        <v>2327</v>
      </c>
      <c r="C145" t="s">
        <v>2336</v>
      </c>
      <c r="D145" s="797" t="s">
        <v>2337</v>
      </c>
      <c r="E145" t="s">
        <v>2338</v>
      </c>
      <c r="F145" t="s">
        <v>730</v>
      </c>
      <c r="G145" s="797" t="s">
        <v>2339</v>
      </c>
    </row>
    <row r="146" spans="1:7" ht="30" customHeight="1" x14ac:dyDescent="0.45">
      <c r="A146" t="s">
        <v>1446</v>
      </c>
      <c r="B146" s="782" t="s">
        <v>2327</v>
      </c>
      <c r="C146" t="s">
        <v>2340</v>
      </c>
      <c r="D146" s="797" t="s">
        <v>2341</v>
      </c>
      <c r="E146" t="s">
        <v>2342</v>
      </c>
      <c r="F146" t="s">
        <v>729</v>
      </c>
      <c r="G146" s="797" t="s">
        <v>2343</v>
      </c>
    </row>
    <row r="147" spans="1:7" ht="30" customHeight="1" x14ac:dyDescent="0.45">
      <c r="A147" t="s">
        <v>1472</v>
      </c>
      <c r="B147" s="782" t="s">
        <v>2327</v>
      </c>
      <c r="C147" t="s">
        <v>2344</v>
      </c>
      <c r="D147" s="797" t="s">
        <v>2345</v>
      </c>
      <c r="E147" t="s">
        <v>2346</v>
      </c>
      <c r="F147" t="s">
        <v>729</v>
      </c>
      <c r="G147" s="797" t="s">
        <v>2347</v>
      </c>
    </row>
    <row r="148" spans="1:7" x14ac:dyDescent="0.45">
      <c r="A148" t="s">
        <v>2348</v>
      </c>
      <c r="B148" s="782" t="s">
        <v>2327</v>
      </c>
      <c r="C148" t="s">
        <v>2349</v>
      </c>
      <c r="D148" s="797" t="s">
        <v>2350</v>
      </c>
      <c r="E148" t="s">
        <v>2351</v>
      </c>
      <c r="F148" t="s">
        <v>729</v>
      </c>
      <c r="G148" s="797" t="s">
        <v>2352</v>
      </c>
    </row>
    <row r="149" spans="1:7" ht="30" customHeight="1" x14ac:dyDescent="0.45">
      <c r="A149" t="s">
        <v>923</v>
      </c>
      <c r="B149" s="831" t="s">
        <v>2353</v>
      </c>
      <c r="C149" t="s">
        <v>7</v>
      </c>
      <c r="D149" s="797" t="s">
        <v>2354</v>
      </c>
      <c r="E149" t="s">
        <v>2355</v>
      </c>
      <c r="F149" t="s">
        <v>2356</v>
      </c>
      <c r="G149" s="797" t="s">
        <v>2357</v>
      </c>
    </row>
    <row r="150" spans="1:7" ht="30" customHeight="1" x14ac:dyDescent="0.45">
      <c r="A150" t="s">
        <v>927</v>
      </c>
      <c r="B150" s="831" t="s">
        <v>2353</v>
      </c>
      <c r="C150" t="s">
        <v>7</v>
      </c>
      <c r="D150" s="797" t="s">
        <v>2358</v>
      </c>
      <c r="E150" t="s">
        <v>2359</v>
      </c>
      <c r="F150" t="s">
        <v>2356</v>
      </c>
      <c r="G150" s="797" t="s">
        <v>2360</v>
      </c>
    </row>
    <row r="151" spans="1:7" ht="30" customHeight="1" x14ac:dyDescent="0.45">
      <c r="A151" t="s">
        <v>2361</v>
      </c>
      <c r="B151" s="832" t="s">
        <v>2362</v>
      </c>
      <c r="C151" t="s">
        <v>2363</v>
      </c>
      <c r="D151" s="797" t="s">
        <v>2364</v>
      </c>
      <c r="E151" t="s">
        <v>2365</v>
      </c>
      <c r="F151" t="s">
        <v>2356</v>
      </c>
      <c r="G151" s="797" t="s">
        <v>2366</v>
      </c>
    </row>
    <row r="152" spans="1:7" ht="30" customHeight="1" x14ac:dyDescent="0.45">
      <c r="A152" t="s">
        <v>944</v>
      </c>
      <c r="B152" s="832" t="s">
        <v>2362</v>
      </c>
      <c r="C152" t="s">
        <v>2367</v>
      </c>
      <c r="D152" s="797" t="s">
        <v>2368</v>
      </c>
      <c r="E152" t="s">
        <v>2369</v>
      </c>
      <c r="F152" t="s">
        <v>2356</v>
      </c>
      <c r="G152" s="797" t="s">
        <v>2370</v>
      </c>
    </row>
    <row r="153" spans="1:7" ht="30" customHeight="1" x14ac:dyDescent="0.45">
      <c r="A153" t="s">
        <v>2371</v>
      </c>
      <c r="B153" s="832" t="s">
        <v>2362</v>
      </c>
      <c r="C153" t="s">
        <v>2372</v>
      </c>
      <c r="D153" s="797" t="s">
        <v>2373</v>
      </c>
      <c r="E153" t="s">
        <v>2374</v>
      </c>
      <c r="F153" t="s">
        <v>2356</v>
      </c>
      <c r="G153" s="797" t="s">
        <v>2375</v>
      </c>
    </row>
    <row r="154" spans="1:7" ht="30" customHeight="1" x14ac:dyDescent="0.45">
      <c r="A154" t="s">
        <v>1563</v>
      </c>
      <c r="B154" s="831" t="s">
        <v>2353</v>
      </c>
      <c r="C154" t="s">
        <v>7</v>
      </c>
      <c r="D154" s="797" t="s">
        <v>2376</v>
      </c>
      <c r="E154" t="s">
        <v>2377</v>
      </c>
      <c r="F154" t="s">
        <v>729</v>
      </c>
      <c r="G154" s="797" t="s">
        <v>2378</v>
      </c>
    </row>
    <row r="155" spans="1:7" ht="30" customHeight="1" x14ac:dyDescent="0.45">
      <c r="A155" t="s">
        <v>2379</v>
      </c>
      <c r="B155" s="831" t="s">
        <v>2353</v>
      </c>
      <c r="C155" t="s">
        <v>7</v>
      </c>
      <c r="D155" s="797" t="s">
        <v>2376</v>
      </c>
      <c r="E155" t="s">
        <v>2377</v>
      </c>
      <c r="F155" t="s">
        <v>729</v>
      </c>
      <c r="G155" s="797" t="s">
        <v>2378</v>
      </c>
    </row>
    <row r="156" spans="1:7" x14ac:dyDescent="0.45">
      <c r="A156" t="s">
        <v>2380</v>
      </c>
      <c r="B156" s="832" t="s">
        <v>2362</v>
      </c>
      <c r="C156" t="s">
        <v>2367</v>
      </c>
      <c r="D156" s="797" t="s">
        <v>2381</v>
      </c>
      <c r="E156" t="s">
        <v>2382</v>
      </c>
      <c r="F156" t="s">
        <v>2356</v>
      </c>
      <c r="G156" s="797" t="s">
        <v>2383</v>
      </c>
    </row>
    <row r="157" spans="1:7" x14ac:dyDescent="0.45">
      <c r="A157" t="s">
        <v>2384</v>
      </c>
      <c r="B157" s="832" t="s">
        <v>2362</v>
      </c>
      <c r="C157" t="s">
        <v>2367</v>
      </c>
      <c r="D157" s="797" t="s">
        <v>2385</v>
      </c>
      <c r="E157" t="s">
        <v>2382</v>
      </c>
      <c r="F157" t="s">
        <v>2356</v>
      </c>
      <c r="G157" s="797" t="s">
        <v>2383</v>
      </c>
    </row>
    <row r="158" spans="1:7" x14ac:dyDescent="0.45">
      <c r="A158" t="s">
        <v>2386</v>
      </c>
      <c r="B158" s="832" t="s">
        <v>2362</v>
      </c>
      <c r="C158" t="s">
        <v>2367</v>
      </c>
      <c r="D158" s="797" t="s">
        <v>2387</v>
      </c>
      <c r="E158" t="s">
        <v>2382</v>
      </c>
      <c r="F158" t="s">
        <v>2356</v>
      </c>
      <c r="G158" s="797" t="s">
        <v>2388</v>
      </c>
    </row>
    <row r="159" spans="1:7" x14ac:dyDescent="0.45">
      <c r="A159" t="s">
        <v>2389</v>
      </c>
      <c r="B159" s="832" t="s">
        <v>2362</v>
      </c>
      <c r="C159" t="s">
        <v>2367</v>
      </c>
      <c r="D159" s="797" t="s">
        <v>2390</v>
      </c>
      <c r="E159" t="s">
        <v>2382</v>
      </c>
      <c r="F159" t="s">
        <v>2356</v>
      </c>
      <c r="G159" s="797" t="s">
        <v>2391</v>
      </c>
    </row>
    <row r="160" spans="1:7" x14ac:dyDescent="0.45">
      <c r="A160" t="s">
        <v>2392</v>
      </c>
      <c r="B160" t="s">
        <v>2393</v>
      </c>
      <c r="C160" t="s">
        <v>7</v>
      </c>
      <c r="D160" t="s">
        <v>2394</v>
      </c>
      <c r="E160" t="s">
        <v>2395</v>
      </c>
      <c r="F160" t="s">
        <v>2356</v>
      </c>
      <c r="G160" t="s">
        <v>2396</v>
      </c>
    </row>
    <row r="161" spans="1:7" x14ac:dyDescent="0.45">
      <c r="A161" s="826" t="s">
        <v>1695</v>
      </c>
    </row>
    <row r="162" spans="1:7" ht="21.95" customHeight="1" x14ac:dyDescent="0.5">
      <c r="A162" s="923" t="s">
        <v>2397</v>
      </c>
      <c r="B162" s="917"/>
      <c r="C162" s="917"/>
    </row>
    <row r="163" spans="1:7" x14ac:dyDescent="0.45">
      <c r="A163" s="827" t="s">
        <v>2398</v>
      </c>
    </row>
    <row r="165" spans="1:7" ht="15.75" customHeight="1" thickBot="1" x14ac:dyDescent="0.5">
      <c r="A165" s="838" t="s">
        <v>2399</v>
      </c>
      <c r="B165" s="838" t="s">
        <v>2400</v>
      </c>
      <c r="C165" s="838" t="s">
        <v>2401</v>
      </c>
      <c r="D165" s="840" t="s">
        <v>2402</v>
      </c>
      <c r="E165" s="838" t="s">
        <v>2403</v>
      </c>
      <c r="F165" s="838" t="s">
        <v>2404</v>
      </c>
      <c r="G165" s="840" t="s">
        <v>2405</v>
      </c>
    </row>
    <row r="166" spans="1:7" ht="30" customHeight="1" x14ac:dyDescent="0.45">
      <c r="A166" t="s">
        <v>2406</v>
      </c>
      <c r="B166" t="s">
        <v>2407</v>
      </c>
      <c r="C166" t="s">
        <v>2408</v>
      </c>
      <c r="D166" s="797" t="s">
        <v>2409</v>
      </c>
      <c r="E166" t="s">
        <v>2410</v>
      </c>
      <c r="F166" t="s">
        <v>2411</v>
      </c>
      <c r="G166" s="797" t="s">
        <v>2412</v>
      </c>
    </row>
    <row r="167" spans="1:7" ht="30" customHeight="1" x14ac:dyDescent="0.45">
      <c r="A167" t="s">
        <v>2413</v>
      </c>
      <c r="B167" t="s">
        <v>2414</v>
      </c>
      <c r="C167" t="s">
        <v>2415</v>
      </c>
      <c r="D167" s="797" t="s">
        <v>2416</v>
      </c>
      <c r="E167" t="s">
        <v>2417</v>
      </c>
      <c r="F167" t="s">
        <v>2418</v>
      </c>
      <c r="G167" s="797" t="s">
        <v>2419</v>
      </c>
    </row>
    <row r="168" spans="1:7" ht="30" customHeight="1" x14ac:dyDescent="0.45">
      <c r="A168" t="s">
        <v>2420</v>
      </c>
      <c r="B168" t="s">
        <v>2421</v>
      </c>
      <c r="C168" t="s">
        <v>2422</v>
      </c>
      <c r="D168" s="797" t="s">
        <v>2423</v>
      </c>
      <c r="E168" t="s">
        <v>2424</v>
      </c>
      <c r="F168" t="s">
        <v>2425</v>
      </c>
      <c r="G168" s="797" t="s">
        <v>2426</v>
      </c>
    </row>
    <row r="169" spans="1:7" ht="30" customHeight="1" x14ac:dyDescent="0.45">
      <c r="A169" t="s">
        <v>2427</v>
      </c>
      <c r="B169" t="s">
        <v>2428</v>
      </c>
      <c r="C169" t="s">
        <v>2429</v>
      </c>
      <c r="D169" s="797" t="s">
        <v>2430</v>
      </c>
      <c r="E169" t="s">
        <v>2431</v>
      </c>
      <c r="F169" t="s">
        <v>2432</v>
      </c>
      <c r="G169" s="797" t="s">
        <v>2433</v>
      </c>
    </row>
    <row r="170" spans="1:7" ht="30" customHeight="1" x14ac:dyDescent="0.45">
      <c r="A170" t="s">
        <v>2434</v>
      </c>
      <c r="B170" t="s">
        <v>2435</v>
      </c>
      <c r="C170" t="s">
        <v>2436</v>
      </c>
      <c r="D170" s="797" t="s">
        <v>2437</v>
      </c>
      <c r="E170" t="s">
        <v>2438</v>
      </c>
      <c r="F170" t="s">
        <v>2439</v>
      </c>
      <c r="G170" s="797" t="s">
        <v>2440</v>
      </c>
    </row>
    <row r="171" spans="1:7" ht="30" customHeight="1" x14ac:dyDescent="0.45">
      <c r="A171" t="s">
        <v>2441</v>
      </c>
      <c r="B171" t="s">
        <v>2442</v>
      </c>
      <c r="C171" t="s">
        <v>2443</v>
      </c>
      <c r="D171" s="797" t="s">
        <v>2444</v>
      </c>
      <c r="E171" t="s">
        <v>2445</v>
      </c>
      <c r="F171" t="s">
        <v>2446</v>
      </c>
      <c r="G171" s="797" t="s">
        <v>2447</v>
      </c>
    </row>
    <row r="172" spans="1:7" ht="30" customHeight="1" x14ac:dyDescent="0.45">
      <c r="A172" t="s">
        <v>2448</v>
      </c>
      <c r="B172" t="s">
        <v>2449</v>
      </c>
      <c r="C172" t="s">
        <v>419</v>
      </c>
      <c r="D172" s="797" t="s">
        <v>2450</v>
      </c>
      <c r="E172" t="s">
        <v>2451</v>
      </c>
      <c r="F172" t="s">
        <v>2452</v>
      </c>
      <c r="G172" s="797" t="s">
        <v>2453</v>
      </c>
    </row>
    <row r="173" spans="1:7" ht="30" customHeight="1" x14ac:dyDescent="0.45">
      <c r="A173" t="s">
        <v>2454</v>
      </c>
      <c r="B173" t="s">
        <v>2455</v>
      </c>
      <c r="C173" t="s">
        <v>419</v>
      </c>
      <c r="D173" s="797" t="s">
        <v>2456</v>
      </c>
      <c r="E173" t="s">
        <v>2457</v>
      </c>
      <c r="F173" t="s">
        <v>2458</v>
      </c>
      <c r="G173" s="797" t="s">
        <v>2459</v>
      </c>
    </row>
    <row r="174" spans="1:7" ht="30" customHeight="1" x14ac:dyDescent="0.45">
      <c r="A174" t="s">
        <v>2460</v>
      </c>
      <c r="B174" t="s">
        <v>2461</v>
      </c>
      <c r="C174" t="s">
        <v>275</v>
      </c>
      <c r="D174" s="797" t="s">
        <v>2462</v>
      </c>
      <c r="E174" t="s">
        <v>2463</v>
      </c>
      <c r="F174" t="s">
        <v>2464</v>
      </c>
      <c r="G174" s="797" t="s">
        <v>2465</v>
      </c>
    </row>
    <row r="175" spans="1:7" ht="30" customHeight="1" x14ac:dyDescent="0.45">
      <c r="A175" t="s">
        <v>2466</v>
      </c>
      <c r="B175" t="s">
        <v>2467</v>
      </c>
      <c r="C175" t="s">
        <v>2468</v>
      </c>
      <c r="D175" s="797" t="s">
        <v>2469</v>
      </c>
      <c r="E175" t="s">
        <v>2470</v>
      </c>
      <c r="F175" t="s">
        <v>2471</v>
      </c>
      <c r="G175" s="797" t="s">
        <v>2472</v>
      </c>
    </row>
    <row r="176" spans="1:7" ht="30" customHeight="1" x14ac:dyDescent="0.45">
      <c r="A176" t="s">
        <v>2473</v>
      </c>
      <c r="B176" t="s">
        <v>2474</v>
      </c>
      <c r="C176" t="s">
        <v>419</v>
      </c>
      <c r="D176" s="797" t="s">
        <v>2475</v>
      </c>
      <c r="E176" t="s">
        <v>2476</v>
      </c>
      <c r="F176" t="s">
        <v>2477</v>
      </c>
      <c r="G176" s="797" t="s">
        <v>2478</v>
      </c>
    </row>
    <row r="177" spans="1:21" ht="30" customHeight="1" x14ac:dyDescent="0.45">
      <c r="A177" t="s">
        <v>2479</v>
      </c>
      <c r="B177" t="s">
        <v>2480</v>
      </c>
      <c r="C177" t="s">
        <v>2481</v>
      </c>
      <c r="D177" s="797" t="s">
        <v>2482</v>
      </c>
      <c r="E177" t="s">
        <v>2483</v>
      </c>
      <c r="F177" t="s">
        <v>2484</v>
      </c>
      <c r="G177" s="797" t="s">
        <v>2485</v>
      </c>
    </row>
    <row r="178" spans="1:21" x14ac:dyDescent="0.45">
      <c r="A178" t="s">
        <v>2486</v>
      </c>
      <c r="B178" t="s">
        <v>2487</v>
      </c>
      <c r="C178" t="s">
        <v>275</v>
      </c>
      <c r="D178" s="797" t="s">
        <v>2488</v>
      </c>
      <c r="E178" t="s">
        <v>2489</v>
      </c>
      <c r="F178" t="s">
        <v>2490</v>
      </c>
      <c r="G178" s="797" t="s">
        <v>2491</v>
      </c>
    </row>
    <row r="179" spans="1:21" ht="30" customHeight="1" x14ac:dyDescent="0.45">
      <c r="A179" t="s">
        <v>2492</v>
      </c>
      <c r="B179" t="s">
        <v>2493</v>
      </c>
      <c r="C179" t="s">
        <v>2494</v>
      </c>
      <c r="D179" s="797" t="s">
        <v>2495</v>
      </c>
      <c r="E179" t="s">
        <v>2496</v>
      </c>
      <c r="F179" t="s">
        <v>2497</v>
      </c>
      <c r="G179" s="797" t="s">
        <v>2498</v>
      </c>
    </row>
    <row r="181" spans="1:21" x14ac:dyDescent="0.45">
      <c r="A181" s="826" t="s">
        <v>1695</v>
      </c>
    </row>
    <row r="182" spans="1:21" ht="21.95" customHeight="1" x14ac:dyDescent="0.5">
      <c r="A182" s="923" t="s">
        <v>2499</v>
      </c>
      <c r="B182" s="917"/>
      <c r="C182" s="917"/>
    </row>
    <row r="183" spans="1:21" x14ac:dyDescent="0.45">
      <c r="A183" s="827" t="s">
        <v>2500</v>
      </c>
    </row>
    <row r="185" spans="1:21" ht="15.75" customHeight="1" thickBot="1" x14ac:dyDescent="0.5">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4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4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4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45">
      <c r="A191" s="826" t="s">
        <v>1695</v>
      </c>
    </row>
    <row r="192" spans="1:21" ht="21.95" customHeight="1" x14ac:dyDescent="0.5">
      <c r="A192" s="923" t="s">
        <v>2548</v>
      </c>
      <c r="B192" s="917"/>
      <c r="C192" s="917"/>
    </row>
    <row r="193" spans="1:4" x14ac:dyDescent="0.45">
      <c r="A193" s="827" t="s">
        <v>2549</v>
      </c>
    </row>
    <row r="195" spans="1:4" ht="15.75" customHeight="1" thickBot="1" x14ac:dyDescent="0.5">
      <c r="A195" s="839" t="s">
        <v>2550</v>
      </c>
      <c r="B195" s="839" t="s">
        <v>2551</v>
      </c>
      <c r="C195" s="839" t="s">
        <v>2552</v>
      </c>
      <c r="D195" s="845" t="s">
        <v>2553</v>
      </c>
    </row>
    <row r="196" spans="1:4" x14ac:dyDescent="0.45">
      <c r="A196" s="671">
        <v>0</v>
      </c>
      <c r="B196" t="s">
        <v>2554</v>
      </c>
      <c r="C196" t="s">
        <v>2555</v>
      </c>
      <c r="D196" s="797" t="s">
        <v>2556</v>
      </c>
    </row>
    <row r="197" spans="1:4" x14ac:dyDescent="0.45">
      <c r="A197" s="671">
        <v>1</v>
      </c>
      <c r="B197" t="s">
        <v>2557</v>
      </c>
      <c r="C197" t="s">
        <v>2558</v>
      </c>
      <c r="D197" s="797" t="s">
        <v>2559</v>
      </c>
    </row>
    <row r="198" spans="1:4" x14ac:dyDescent="0.45">
      <c r="A198" s="671">
        <v>2</v>
      </c>
      <c r="B198" t="s">
        <v>2560</v>
      </c>
      <c r="C198" t="s">
        <v>2561</v>
      </c>
      <c r="D198" s="797" t="s">
        <v>2562</v>
      </c>
    </row>
    <row r="199" spans="1:4" x14ac:dyDescent="0.45">
      <c r="A199" s="671">
        <v>3</v>
      </c>
      <c r="B199" t="s">
        <v>2563</v>
      </c>
      <c r="C199" t="s">
        <v>2564</v>
      </c>
      <c r="D199" s="797" t="s">
        <v>2565</v>
      </c>
    </row>
    <row r="200" spans="1:4" x14ac:dyDescent="0.45">
      <c r="A200" s="671">
        <v>4</v>
      </c>
      <c r="B200" t="s">
        <v>2566</v>
      </c>
      <c r="C200" t="s">
        <v>2567</v>
      </c>
      <c r="D200" s="797" t="s">
        <v>2568</v>
      </c>
    </row>
    <row r="201" spans="1:4" x14ac:dyDescent="0.45">
      <c r="A201" s="671">
        <v>5</v>
      </c>
      <c r="B201" t="s">
        <v>2569</v>
      </c>
      <c r="C201" t="s">
        <v>2570</v>
      </c>
      <c r="D201" s="797" t="s">
        <v>2571</v>
      </c>
    </row>
    <row r="202" spans="1:4" ht="30" customHeight="1" x14ac:dyDescent="0.45">
      <c r="A202" s="671">
        <v>6</v>
      </c>
      <c r="B202" t="s">
        <v>2572</v>
      </c>
      <c r="C202" t="s">
        <v>2573</v>
      </c>
      <c r="D202" s="797" t="s">
        <v>2574</v>
      </c>
    </row>
    <row r="203" spans="1:4" x14ac:dyDescent="0.45">
      <c r="A203" s="671" t="s">
        <v>2575</v>
      </c>
      <c r="B203" t="s">
        <v>2576</v>
      </c>
      <c r="C203" t="s">
        <v>2577</v>
      </c>
      <c r="D203" s="797" t="s">
        <v>2578</v>
      </c>
    </row>
    <row r="204" spans="1:4" x14ac:dyDescent="0.45">
      <c r="A204" s="671" t="s">
        <v>2579</v>
      </c>
      <c r="B204" t="s">
        <v>2580</v>
      </c>
      <c r="C204" t="s">
        <v>2581</v>
      </c>
      <c r="D204" s="797" t="s">
        <v>2582</v>
      </c>
    </row>
    <row r="205" spans="1:4" x14ac:dyDescent="0.45">
      <c r="A205" s="671" t="s">
        <v>2583</v>
      </c>
      <c r="B205" t="s">
        <v>2584</v>
      </c>
      <c r="C205" t="s">
        <v>2585</v>
      </c>
      <c r="D205" s="797" t="s">
        <v>2586</v>
      </c>
    </row>
    <row r="206" spans="1:4" x14ac:dyDescent="0.45">
      <c r="A206" s="671" t="s">
        <v>2587</v>
      </c>
      <c r="B206" t="s">
        <v>2588</v>
      </c>
      <c r="C206" t="s">
        <v>2589</v>
      </c>
      <c r="D206" s="797" t="s">
        <v>2590</v>
      </c>
    </row>
    <row r="207" spans="1:4" x14ac:dyDescent="0.45">
      <c r="A207" s="671">
        <v>7</v>
      </c>
      <c r="B207" t="s">
        <v>2591</v>
      </c>
      <c r="C207" t="s">
        <v>2592</v>
      </c>
      <c r="D207" s="797" t="s">
        <v>2593</v>
      </c>
    </row>
    <row r="208" spans="1:4" x14ac:dyDescent="0.45">
      <c r="A208" s="671">
        <v>8</v>
      </c>
      <c r="B208" t="s">
        <v>2594</v>
      </c>
      <c r="C208" t="s">
        <v>2595</v>
      </c>
      <c r="D208" s="797" t="s">
        <v>2596</v>
      </c>
    </row>
    <row r="209" spans="1:4" x14ac:dyDescent="0.45">
      <c r="A209" s="671">
        <v>9</v>
      </c>
      <c r="B209" t="s">
        <v>2597</v>
      </c>
      <c r="C209" t="s">
        <v>2598</v>
      </c>
      <c r="D209" s="797" t="s">
        <v>2599</v>
      </c>
    </row>
    <row r="210" spans="1:4" x14ac:dyDescent="0.4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2026-03-11T21:38:26Z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