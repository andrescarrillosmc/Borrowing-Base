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comments/comment3.xml" ContentType="application/vnd.openxmlformats-officedocument.spreadsheetml.comments+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comments/comment4.xml" ContentType="application/vnd.openxmlformats-officedocument.spreadsheetml.comments+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51840" windowHeight="21120" tabRatio="872" firstSheet="0" activeTab="15" autoFilterDateGrouping="1"/>
  </bookViews>
  <sheets>
    <sheet name="Availability" sheetId="1" state="visible" r:id="rId1"/>
    <sheet name="Portfolio" sheetId="2" state="visible" r:id="rId2"/>
    <sheet name="Concentration Limits" sheetId="3" state="visible" r:id="rId3"/>
    <sheet name="Loan Tape 4.26 _SMC" sheetId="4" state="hidden" r:id="rId4"/>
    <sheet name="AGENT" sheetId="5" state="visible" r:id="rId5"/>
    <sheet name="VAE" sheetId="6" state="visible" r:id="rId6"/>
    <sheet name="VAE Reset" sheetId="7" state="visible" r:id="rId7"/>
    <sheet name="Loan Tape - Settled" sheetId="8" state="visible" r:id="rId8"/>
    <sheet name="SM Support" sheetId="9" state="visible" r:id="rId9"/>
    <sheet name="Quarterly Reporting" sheetId="10" state="visible" r:id="rId10"/>
    <sheet name="ownership" sheetId="11" state="hidden" r:id="rId11"/>
    <sheet name="Memory" sheetId="12" state="visible" r:id="rId12"/>
    <sheet name="AI_Instructions" sheetId="13" state="visible" r:id="rId13"/>
    <sheet name="Deal Team Input" sheetId="14" state="visible" r:id="rId14"/>
    <sheet name="Agentic Layer Workflow" sheetId="15" state="visible" r:id="rId15"/>
    <sheet name="MAPPING_LAYER" sheetId="16" state="visible" r:id="rId16"/>
  </sheets>
  <definedNames>
    <definedName name="\P">#REF!</definedName>
    <definedName name="__123Graph_A" hidden="1">#REF!</definedName>
    <definedName name="__123Graph_B" hidden="1">#REF!</definedName>
    <definedName name="__123Graph_C" hidden="1">#REF!</definedName>
    <definedName name="__123Graph_CCURRENT" hidden="1">#REF!</definedName>
    <definedName name="__123Graph_D" hidden="1">#REF!</definedName>
    <definedName name="__123Graph_DCURRENT" hidden="1">#REF!</definedName>
    <definedName name="__123Graph_E" hidden="1">#REF!</definedName>
    <definedName name="__123Graph_F" hidden="1">#REF!</definedName>
    <definedName name="_1__123Graph_ACHART_1A" hidden="1">#REF!</definedName>
    <definedName name="_2__123Graph_BCHART_1A" hidden="1">#REF!</definedName>
    <definedName name="_3__123Graph_CCHART_1A" hidden="1">#REF!</definedName>
    <definedName name="_4__123Graph_DCHART_1A" hidden="1">#REF!</definedName>
    <definedName name="_5__123Graph_ECHART_1A" hidden="1">#REF!</definedName>
    <definedName name="_6__123Graph_FCHART_1A" hidden="1">#REF!</definedName>
    <definedName name="_Fill" hidden="1">#REF!</definedName>
    <definedName name="_Key1" hidden="1">#REF!</definedName>
    <definedName name="_Order1" hidden="1">255</definedName>
    <definedName name="_Order2" hidden="1">255</definedName>
    <definedName name="_Principal">#REF!</definedName>
    <definedName name="_Regression_Int" hidden="1">1</definedName>
    <definedName name="_Sort" hidden="1">#REF!</definedName>
    <definedName name="_Sr2">"Sr2"</definedName>
    <definedName name="_xleta.DATE" hidden="1" xlm="1">#NAME?</definedName>
    <definedName name="a" hidden="1">#REF!</definedName>
    <definedName name="abc">#N/A</definedName>
    <definedName name="AccountTotal1">#REF!</definedName>
    <definedName name="AccountTotal2">#REF!</definedName>
    <definedName name="AccountTotal3">#REF!</definedName>
    <definedName name="AccountTotal4">#REF!</definedName>
    <definedName name="AccountTotal5">#REF!</definedName>
    <definedName name="AccountTotal6">#REF!</definedName>
    <definedName name="AccountTotal7">#REF!</definedName>
    <definedName name="AccountTotal8">#REF!</definedName>
    <definedName name="AccountTotal9">#REF!</definedName>
    <definedName name="AcctTotal">#REF!</definedName>
    <definedName name="ACPAAfter">#REF!</definedName>
    <definedName name="ACPABefore">#REF!</definedName>
    <definedName name="act_360">2</definedName>
    <definedName name="Actual12moChargeoffRatio">#REF!</definedName>
    <definedName name="Actual3moChargeoffRatio">#REF!</definedName>
    <definedName name="Actual3moDefaultRatio">#REF!</definedName>
    <definedName name="Add_Backs_10_50MM">'Concentration Limits'!#REF!</definedName>
    <definedName name="Add_Backs_10MM">'Concentration Limits'!#REF!</definedName>
    <definedName name="Add_Backs_50MM">'Concentration Limits'!#REF!</definedName>
    <definedName name="Addend1">#REF!</definedName>
    <definedName name="addend1_AIF">#REF!</definedName>
    <definedName name="Addend2">#REF!</definedName>
    <definedName name="addend2_AIF">#REF!</definedName>
    <definedName name="Addend3">#REF!</definedName>
    <definedName name="addend3_AIF">#REF!</definedName>
    <definedName name="Addend4">#REF!</definedName>
    <definedName name="addend4_AIF">#REF!</definedName>
    <definedName name="adecco2">#N/A</definedName>
    <definedName name="AdjAdvRate">#REF!</definedName>
    <definedName name="AdvancesOS">#REF!</definedName>
    <definedName name="AfterTrade">#REF!</definedName>
    <definedName name="AggNetMarkMktAmount">#REF!</definedName>
    <definedName name="AgingsDetail">#REF!</definedName>
    <definedName name="Amounts">OFFSET(#REF!,,,40-COUNTBLANK(#REF!))</definedName>
    <definedName name="Anchor">#REF!</definedName>
    <definedName name="Angle">#REF!</definedName>
    <definedName name="Annual">"Annual"</definedName>
    <definedName name="AOLB">#REF!</definedName>
    <definedName name="AOLBrange">#REF!</definedName>
    <definedName name="AOPBAfter">#REF!</definedName>
    <definedName name="as">#REF!</definedName>
    <definedName name="asset_step_up_coupon">#REF!</definedName>
    <definedName name="AssetCoverageRatio">#REF!</definedName>
    <definedName name="AssetDataAfter">#REF!</definedName>
    <definedName name="AssetType">#REF!</definedName>
    <definedName name="Availablecapitalization">#REF!</definedName>
    <definedName name="AvailableClassCsec">#REF!</definedName>
    <definedName name="AvailableCollections">#REF!</definedName>
    <definedName name="AverageParAfter">#REF!</definedName>
    <definedName name="avg_commitment_fee">#REF!</definedName>
    <definedName name="avg_coupon_floaters">#REF!</definedName>
    <definedName name="avg_life_floaters">#REF!</definedName>
    <definedName name="avg_price_floaters">#REF!</definedName>
    <definedName name="avg_rating_factor_bonds">#REF!</definedName>
    <definedName name="avg_rating_factor_floaters">#REF!</definedName>
    <definedName name="avg_recovery_bonds">#REF!</definedName>
    <definedName name="avg_spread_floaters">#REF!</definedName>
    <definedName name="AvgObligorHaircut">#REF!</definedName>
    <definedName name="BackupServiceFee">#REF!</definedName>
    <definedName name="BeforeTrade">#REF!</definedName>
    <definedName name="BegAOLB">#REF!</definedName>
    <definedName name="BeginningBalance1">#REF!</definedName>
    <definedName name="BeginningBalance2">#REF!</definedName>
    <definedName name="BeginningBalance3">#REF!</definedName>
    <definedName name="BeginningBalance4">#REF!</definedName>
    <definedName name="BeginningBalance5">#REF!</definedName>
    <definedName name="BeginningBalance6">#REF!</definedName>
    <definedName name="BeginningBalance7">#REF!</definedName>
    <definedName name="BeginningBalance8">#REF!</definedName>
    <definedName name="BeginningBalance9">#REF!</definedName>
    <definedName name="BeginningCashBalance1">#REF!</definedName>
    <definedName name="BeginningCashBalance2">#REF!</definedName>
    <definedName name="BeginningCashBalance3">#REF!</definedName>
    <definedName name="BeginningCashBalance4">#REF!</definedName>
    <definedName name="BeginningCashBalance5">#REF!</definedName>
    <definedName name="BeginningTotBalance1">#REF!</definedName>
    <definedName name="BeginningTotBalance2">#REF!</definedName>
    <definedName name="BeginningTotBalance3">#REF!</definedName>
    <definedName name="BeginningTotBalance4">#REF!</definedName>
    <definedName name="BeginningTotBalance5">#REF!</definedName>
    <definedName name="BegOPLB">#REF!</definedName>
    <definedName name="BegPeriodDate">#REF!</definedName>
    <definedName name="bfh">#REF!</definedName>
    <definedName name="bhj">#REF!</definedName>
    <definedName name="BLT_vs_NonBLT">#REF!</definedName>
    <definedName name="bn">#REF!</definedName>
    <definedName name="Bonds">#REF!</definedName>
    <definedName name="bonds_dbase">#REF!</definedName>
    <definedName name="BorrowingBase">#REF!</definedName>
    <definedName name="brett" hidden="1">#REF!</definedName>
    <definedName name="Caa2AmountAfter">#REF!</definedName>
    <definedName name="Caa2PercAfter">#REF!</definedName>
    <definedName name="calcSum">#REF!</definedName>
    <definedName name="calcSum2">#REF!</definedName>
    <definedName name="Cap_1">'Concentration Limits'!$G$35</definedName>
    <definedName name="Cap_2">'Concentration Limits'!$G$36</definedName>
    <definedName name="Cap_3">'Concentration Limits'!$G$37</definedName>
    <definedName name="cash">#REF!</definedName>
    <definedName name="CashBalance1">#REF!</definedName>
    <definedName name="CashBalance2">#REF!</definedName>
    <definedName name="CashBalance3">#REF!</definedName>
    <definedName name="CashBalance4">#REF!</definedName>
    <definedName name="CashBalance5">#REF!</definedName>
    <definedName name="CashBalance6">#REF!</definedName>
    <definedName name="CashBalance7">#REF!</definedName>
    <definedName name="CashBalance8">#REF!</definedName>
    <definedName name="CashBalance9">#REF!</definedName>
    <definedName name="cf">#REF!</definedName>
    <definedName name="CIQWBGuid" hidden="1">"ca0df689-febf-4d81-9d1a-0a8158d67036"</definedName>
    <definedName name="CL">#REF!</definedName>
    <definedName name="ClassStart">#REF!</definedName>
    <definedName name="clearing">#REF!</definedName>
    <definedName name="ClearTradeReport">#REF!</definedName>
    <definedName name="code_1">#REF!</definedName>
    <definedName name="Code_10">#REF!</definedName>
    <definedName name="Code_11">#REF!</definedName>
    <definedName name="Code_12">#REF!</definedName>
    <definedName name="Code_13">#REF!</definedName>
    <definedName name="Code_14">#REF!</definedName>
    <definedName name="Code_15">#REF!</definedName>
    <definedName name="Code_16">#REF!</definedName>
    <definedName name="Code_17">#REF!</definedName>
    <definedName name="Code_18">#REF!</definedName>
    <definedName name="Code_19">#REF!</definedName>
    <definedName name="code_2">#REF!</definedName>
    <definedName name="Code_20">#REF!</definedName>
    <definedName name="Code_21">#REF!</definedName>
    <definedName name="Code_22">#REF!</definedName>
    <definedName name="Code_23">#REF!</definedName>
    <definedName name="Code_24">#REF!</definedName>
    <definedName name="Code_25">#REF!</definedName>
    <definedName name="Code_26">#REF!</definedName>
    <definedName name="Code_27">#REF!</definedName>
    <definedName name="Code_28">#REF!</definedName>
    <definedName name="Code_29">#REF!</definedName>
    <definedName name="Code_3">#REF!</definedName>
    <definedName name="Code_30">#REF!</definedName>
    <definedName name="Code_31">#REF!</definedName>
    <definedName name="Code_32">#REF!</definedName>
    <definedName name="Code_4">#REF!</definedName>
    <definedName name="Code_5">#REF!</definedName>
    <definedName name="Code_6">#REF!</definedName>
    <definedName name="Code_7">#REF!</definedName>
    <definedName name="Code_8">#REF!</definedName>
    <definedName name="Code_9">#REF!</definedName>
    <definedName name="CollateralBalance">#REF!</definedName>
    <definedName name="COMPANY">#REF!</definedName>
    <definedName name="COMPANY_DPTMNT">#REF!</definedName>
    <definedName name="Company_Name">#REF!</definedName>
    <definedName name="COMPANY_OFFICE">#REF!</definedName>
    <definedName name="CoNames">#REF!</definedName>
    <definedName name="ConcentrationExcess">#REF!</definedName>
    <definedName name="ConcentrationExcesses">#REF!</definedName>
    <definedName name="corp30_360">0</definedName>
    <definedName name="Cost">#REF!</definedName>
    <definedName name="Country">#REF!</definedName>
    <definedName name="Coupon">#REF!</definedName>
    <definedName name="Coupon2">#REF!</definedName>
    <definedName name="CPOAmountAfter">#REF!</definedName>
    <definedName name="CPOPercAfter">#REF!</definedName>
    <definedName name="Currency">#REF!</definedName>
    <definedName name="current">#REF!</definedName>
    <definedName name="CurrentDefaultRatio">#REF!</definedName>
    <definedName name="CurrentPay?">#REF!</definedName>
    <definedName name="CustodianFee">#REF!</definedName>
    <definedName name="Custom">"C"</definedName>
    <definedName name="cv">#REF!</definedName>
    <definedName name="DataList">#REF!</definedName>
    <definedName name="DAYAN" hidden="1">{"LIBOR",#N/A,TRUE,"Model";"Caps",#N/A,TRUE,"Model";"Assets",#N/A,TRUE,"Model";"Liabilities",#N/A,TRUE,"Model";"Tests",#N/A,TRUE,"Model";"Results",#N/A,TRUE,"Model"}</definedName>
    <definedName name="days">#REF!</definedName>
    <definedName name="dbase_bond">#REF!</definedName>
    <definedName name="dbase_diversity">#REF!</definedName>
    <definedName name="DBRS_Code">#REF!</definedName>
    <definedName name="DBRS_List">#REF!</definedName>
    <definedName name="Debt_Equity_Table">#REF!</definedName>
    <definedName name="def">#N/A</definedName>
    <definedName name="Defaulted?">#REF!</definedName>
    <definedName name="DefaultedLoansTotal">#REF!</definedName>
    <definedName name="DelDrawRev?">#REF!</definedName>
    <definedName name="Delete1">#REF!</definedName>
    <definedName name="Delete2">#REF!</definedName>
    <definedName name="DeleteRange3">#REF!</definedName>
    <definedName name="df">#REF!</definedName>
    <definedName name="DIPAmountAfter">#REF!</definedName>
    <definedName name="DIPLoan?">#REF!</definedName>
    <definedName name="DIPPercAfter">#REF!</definedName>
    <definedName name="DiscountBondsAmountAfter">#REF!</definedName>
    <definedName name="DiscountBondsPercAfter">#REF!</definedName>
    <definedName name="Discounted?">#REF!</definedName>
    <definedName name="DiscountsAmountAfter">#REF!</definedName>
    <definedName name="DiscountsPercAfter">#REF!</definedName>
    <definedName name="div">#REF!</definedName>
    <definedName name="Diversity_Score">#REF!</definedName>
    <definedName name="DiversityAfter">#REF!</definedName>
    <definedName name="DiversityScore">#REF!</definedName>
    <definedName name="ds">#REF!</definedName>
    <definedName name="ds_industry_cd_array">#REF!</definedName>
    <definedName name="e">#REF!</definedName>
    <definedName name="EBITDA_Addback_1">'Concentration Limits'!#REF!</definedName>
    <definedName name="EBITDA_Addback_2">'Concentration Limits'!#REF!</definedName>
    <definedName name="EBITDA_Addback_3">'Concentration Limits'!#REF!</definedName>
    <definedName name="ee">#REF!</definedName>
    <definedName name="EM?">#REF!</definedName>
    <definedName name="EndingAOLB">#REF!</definedName>
    <definedName name="EndPeriodDate">#REF!</definedName>
    <definedName name="EQUITY_CO_VLOOKUP">#REF!</definedName>
    <definedName name="EQUITY_DEPARTMENT">#REF!</definedName>
    <definedName name="EQUITY_FMV">#REF!</definedName>
    <definedName name="EQUITY_OFFICE">#REF!</definedName>
    <definedName name="EQUITY_PRINCIPAL_LN">#REF!</definedName>
    <definedName name="EquityContribution">#REF!</definedName>
    <definedName name="equiv_industry_score_array">#REF!</definedName>
    <definedName name="EstimatedAmount">#REF!</definedName>
    <definedName name="EuroBal1">#REF!</definedName>
    <definedName name="EuroBal2">#REF!</definedName>
    <definedName name="EuroBal3">#REF!</definedName>
    <definedName name="EuroBal4">#REF!</definedName>
    <definedName name="EuroBal5">#REF!</definedName>
    <definedName name="EuroBal6">#REF!</definedName>
    <definedName name="EuroBal7">#REF!</definedName>
    <definedName name="EuroBal8">#REF!</definedName>
    <definedName name="EuroBal9">#REF!</definedName>
    <definedName name="EuroBuy1">#REF!</definedName>
    <definedName name="EuroBuy2">#REF!</definedName>
    <definedName name="EuroBuy3">#REF!</definedName>
    <definedName name="EuroBuy4">#REF!</definedName>
    <definedName name="EuroBuy5">#REF!</definedName>
    <definedName name="EuroBuy6">#REF!</definedName>
    <definedName name="EuroBuy7">#REF!</definedName>
    <definedName name="EuroBuy8">#REF!</definedName>
    <definedName name="EuroBuy9">#REF!</definedName>
    <definedName name="EuroInt1">#REF!</definedName>
    <definedName name="EuroInt2">#REF!</definedName>
    <definedName name="EuroInt3">#REF!</definedName>
    <definedName name="EuroInt4">#REF!</definedName>
    <definedName name="EuroInt5">#REF!</definedName>
    <definedName name="EuroInt6">#REF!</definedName>
    <definedName name="EuroInt7">#REF!</definedName>
    <definedName name="EuroInt8">#REF!</definedName>
    <definedName name="EuroInt9">#REF!</definedName>
    <definedName name="ew">#REF!</definedName>
    <definedName name="FacilityAmount">#REF!</definedName>
    <definedName name="FacilityFee">#REF!</definedName>
    <definedName name="fdf">#REF!</definedName>
    <definedName name="final_period">#REF!</definedName>
    <definedName name="Fixed?">#REF!</definedName>
    <definedName name="FixedAmountAfter">#REF!</definedName>
    <definedName name="FixedPercAfter">#REF!</definedName>
    <definedName name="FixedRatePerct">#REF!</definedName>
    <definedName name="FLLO_2nd_Lien">'Concentration Limits'!#REF!</definedName>
    <definedName name="floaters_dbase">#REF!</definedName>
    <definedName name="FMV">#REF!</definedName>
    <definedName name="Frequency">#REF!</definedName>
    <definedName name="fwd_libor_series">#REF!</definedName>
    <definedName name="Gas_Solutions">#REF!</definedName>
    <definedName name="Goldman_Rating">#REF!</definedName>
    <definedName name="Grade2ExcessAmount">#REF!</definedName>
    <definedName name="happy">#REF!</definedName>
    <definedName name="hasFooter">TRUE</definedName>
    <definedName name="HedgeAmount">#REF!</definedName>
    <definedName name="Hedged?">#REF!</definedName>
    <definedName name="HedgeNotionalAmount">#REF!</definedName>
    <definedName name="HedgePayments">#REF!</definedName>
    <definedName name="HedgePerct">#REF!</definedName>
    <definedName name="HedgeThresholdAmount">#REF!</definedName>
    <definedName name="hio">#REF!</definedName>
    <definedName name="hj">#REF!</definedName>
    <definedName name="hkl">#REF!</definedName>
    <definedName name="hre">#N/A</definedName>
    <definedName name="ij">#REF!</definedName>
    <definedName name="ik">#N/A</definedName>
    <definedName name="IncludeYN">#REF!</definedName>
    <definedName name="INDEX">#REF!</definedName>
    <definedName name="Industry">#REF!</definedName>
    <definedName name="industry_code_array">#REF!</definedName>
    <definedName name="industry_name_array">#REF!</definedName>
    <definedName name="industry_table">#REF!</definedName>
    <definedName name="IndustryRange">#REF!</definedName>
    <definedName name="IndustryStart">#REF!</definedName>
    <definedName name="input">#REF!</definedName>
    <definedName name="IntCollections">#REF!</definedName>
    <definedName name="interest_rate_series">#REF!</definedName>
    <definedName name="IntExpense">#REF!</definedName>
    <definedName name="Investments">#REF!</definedName>
    <definedName name="invnum">#REF!</definedName>
    <definedName name="iorder">#REF!</definedName>
    <definedName name="IQ_ADDIN" hidden="1">"AUTO"</definedName>
    <definedName name="IQ_AE_BR" hidden="1">"c10"</definedName>
    <definedName name="IQ_AP_BR" hidden="1">"c34"</definedName>
    <definedName name="IQ_AR_BR" hidden="1">"c41"</definedName>
    <definedName name="IQ_ASSET_WRITEDOWN_BR" hidden="1">"c50"</definedName>
    <definedName name="IQ_ASSET_WRITEDOWN_CF_BR" hidden="1">"c53"</definedName>
    <definedName name="IQ_BALANCE_GOODS_APR_FC_UNUSED_UNUSED_UNUSED" hidden="1">"c8353"</definedName>
    <definedName name="IQ_BALANCE_GOODS_APR_UNUSED_UNUSED_UNUSED" hidden="1">"c7473"</definedName>
    <definedName name="IQ_BALANCE_GOODS_FC_UNUSED_UNUSED_UNUSED" hidden="1">"c7693"</definedName>
    <definedName name="IQ_BALANCE_GOODS_POP_FC_UNUSED_UNUSED_UNUSED" hidden="1">"c7913"</definedName>
    <definedName name="IQ_BALANCE_GOODS_POP_UNUSED_UNUSED_UNUSED" hidden="1">"c7033"</definedName>
    <definedName name="IQ_BALANCE_GOODS_UNUSED_UNUSED_UNUSED" hidden="1">"c6813"</definedName>
    <definedName name="IQ_BALANCE_GOODS_YOY_FC_UNUSED_UNUSED_UNUSED" hidden="1">"c8133"</definedName>
    <definedName name="IQ_BALANCE_GOODS_YOY_UNUSED_UNUSED_UNUSED" hidden="1">"c7253"</definedName>
    <definedName name="IQ_BALANCE_SERV_APR_FC_UNUSED_UNUSED_UNUSED" hidden="1">"c8355"</definedName>
    <definedName name="IQ_BALANCE_SERV_APR_UNUSED_UNUSED_UNUSED" hidden="1">"c7475"</definedName>
    <definedName name="IQ_BALANCE_SERV_FC_UNUSED_UNUSED_UNUSED" hidden="1">"c7695"</definedName>
    <definedName name="IQ_BALANCE_SERV_POP_FC_UNUSED_UNUSED_UNUSED" hidden="1">"c7915"</definedName>
    <definedName name="IQ_BALANCE_SERV_POP_UNUSED_UNUSED_UNUSED" hidden="1">"c7035"</definedName>
    <definedName name="IQ_BALANCE_SERV_UNUSED_UNUSED_UNUSED" hidden="1">"c6815"</definedName>
    <definedName name="IQ_BALANCE_SERV_YOY_FC_UNUSED_UNUSED_UNUSED" hidden="1">"c8135"</definedName>
    <definedName name="IQ_BALANCE_SERV_YOY_UNUSED_UNUSED_UNUSED" hidden="1">"c7255"</definedName>
    <definedName name="IQ_BALANCE_TRADE_APR_FC_UNUSED_UNUSED_UNUSED" hidden="1">"c8357"</definedName>
    <definedName name="IQ_BALANCE_TRADE_APR_UNUSED_UNUSED_UNUSED" hidden="1">"c7477"</definedName>
    <definedName name="IQ_BALANCE_TRADE_FC_UNUSED_UNUSED_UNUSED" hidden="1">"c7697"</definedName>
    <definedName name="IQ_BALANCE_TRADE_POP_FC_UNUSED_UNUSED_UNUSED" hidden="1">"c7917"</definedName>
    <definedName name="IQ_BALANCE_TRADE_POP_UNUSED_UNUSED_UNUSED" hidden="1">"c7037"</definedName>
    <definedName name="IQ_BALANCE_TRADE_UNUSED_UNUSED_UNUSED" hidden="1">"c6817"</definedName>
    <definedName name="IQ_BALANCE_TRADE_YOY_FC_UNUSED_UNUSED_UNUSED" hidden="1">"c8137"</definedName>
    <definedName name="IQ_BALANCE_TRADE_YOY_UNUSED_UNUSED_UNUSED" hidden="1">"c7257"</definedName>
    <definedName name="IQ_BUDGET_BALANCE_APR_FC_UNUSED_UNUSED_UNUSED" hidden="1">"c8359"</definedName>
    <definedName name="IQ_BUDGET_BALANCE_APR_UNUSED_UNUSED_UNUSED" hidden="1">"c7479"</definedName>
    <definedName name="IQ_BUDGET_BALANCE_FC_UNUSED_UNUSED_UNUSED" hidden="1">"c7699"</definedName>
    <definedName name="IQ_BUDGET_BALANCE_POP_FC_UNUSED_UNUSED_UNUSED" hidden="1">"c7919"</definedName>
    <definedName name="IQ_BUDGET_BALANCE_POP_UNUSED_UNUSED_UNUSED" hidden="1">"c7039"</definedName>
    <definedName name="IQ_BUDGET_BALANCE_UNUSED_UNUSED_UNUSED" hidden="1">"c6819"</definedName>
    <definedName name="IQ_BUDGET_BALANCE_YOY_FC_UNUSED_UNUSED_UNUSED" hidden="1">"c8139"</definedName>
    <definedName name="IQ_BUDGET_BALANCE_YOY_UNUSED_UNUSED_UNUSED" hidden="1">"c7259"</definedName>
    <definedName name="IQ_BUDGET_RECEIPTS_APR_FC_UNUSED_UNUSED_UNUSED" hidden="1">"c8361"</definedName>
    <definedName name="IQ_BUDGET_RECEIPTS_APR_UNUSED_UNUSED_UNUSED" hidden="1">"c7481"</definedName>
    <definedName name="IQ_BUDGET_RECEIPTS_FC_UNUSED_UNUSED_UNUSED" hidden="1">"c7701"</definedName>
    <definedName name="IQ_BUDGET_RECEIPTS_POP_FC_UNUSED_UNUSED_UNUSED" hidden="1">"c7921"</definedName>
    <definedName name="IQ_BUDGET_RECEIPTS_POP_UNUSED_UNUSED_UNUSED" hidden="1">"c7041"</definedName>
    <definedName name="IQ_BUDGET_RECEIPTS_UNUSED_UNUSED_UNUSED" hidden="1">"c6821"</definedName>
    <definedName name="IQ_BUDGET_RECEIPTS_YOY_FC_UNUSED_UNUSED_UNUSED" hidden="1">"c8141"</definedName>
    <definedName name="IQ_BUDGET_RECEIPTS_YOY_UNUSED_UNUSED_UNUSED" hidden="1">"c7261"</definedName>
    <definedName name="IQ_CAPEX_BR" hidden="1">"c111"</definedName>
    <definedName name="IQ_CH">110000</definedName>
    <definedName name="IQ_CHANGE_AP_BR" hidden="1">"c135"</definedName>
    <definedName name="IQ_CHANGE_AR_BR" hidden="1">"c142"</definedName>
    <definedName name="IQ_CHANGE_INVENT_REAL_APR_FC_UNUSED_UNUSED_UNUSED" hidden="1">"c8500"</definedName>
    <definedName name="IQ_CHANGE_INVENT_REAL_APR_UNUSED_UNUSED_UNUSED" hidden="1">"c7620"</definedName>
    <definedName name="IQ_CHANGE_INVENT_REAL_FC_UNUSED_UNUSED_UNUSED" hidden="1">"c7840"</definedName>
    <definedName name="IQ_CHANGE_INVENT_REAL_POP_FC_UNUSED_UNUSED_UNUSED" hidden="1">"c8060"</definedName>
    <definedName name="IQ_CHANGE_INVENT_REAL_POP_UNUSED_UNUSED_UNUSED" hidden="1">"c7180"</definedName>
    <definedName name="IQ_CHANGE_INVENT_REAL_UNUSED_UNUSED_UNUSED" hidden="1">"c6960"</definedName>
    <definedName name="IQ_CHANGE_INVENT_REAL_YOY_FC_UNUSED_UNUSED_UNUSED" hidden="1">"c8280"</definedName>
    <definedName name="IQ_CHANGE_INVENT_REAL_YOY_UNUSED_UNUSED_UNUSED" hidden="1">"c7400"</definedName>
    <definedName name="IQ_CHANGE_OTHER_WORK_CAP_BR" hidden="1">"c154"</definedName>
    <definedName name="IQ_COMMERCIAL_DOM" hidden="1">"c177"</definedName>
    <definedName name="IQ_COMMERCIAL_MORT" hidden="1">"c179"</definedName>
    <definedName name="IQ_COMMON_APIC_BR" hidden="1">"c185"</definedName>
    <definedName name="IQ_COMMON_ISSUED_BR" hidden="1">"c199"</definedName>
    <definedName name="IQ_COMMON_REP_BR" hidden="1">"c208"</definedName>
    <definedName name="IQ_CONTRACTS_OTHER_COMMODITIES_EQUITIES._FDIC" hidden="1">"c6522"</definedName>
    <definedName name="IQ_CONV_RATE" hidden="1">"c2192"</definedName>
    <definedName name="IQ_CORP_GOODS_PRICE_INDEX_APR_FC_UNUSED_UNUSED_UNUSED" hidden="1">"c8381"</definedName>
    <definedName name="IQ_CORP_GOODS_PRICE_INDEX_APR_UNUSED_UNUSED_UNUSED" hidden="1">"c7501"</definedName>
    <definedName name="IQ_CORP_GOODS_PRICE_INDEX_FC_UNUSED_UNUSED_UNUSED" hidden="1">"c7721"</definedName>
    <definedName name="IQ_CORP_GOODS_PRICE_INDEX_POP_FC_UNUSED_UNUSED_UNUSED" hidden="1">"c7941"</definedName>
    <definedName name="IQ_CORP_GOODS_PRICE_INDEX_POP_UNUSED_UNUSED_UNUSED" hidden="1">"c7061"</definedName>
    <definedName name="IQ_CORP_GOODS_PRICE_INDEX_UNUSED_UNUSED_UNUSED" hidden="1">"c6841"</definedName>
    <definedName name="IQ_CORP_GOODS_PRICE_INDEX_YOY_FC_UNUSED_UNUSED_UNUSED" hidden="1">"c8161"</definedName>
    <definedName name="IQ_CORP_GOODS_PRICE_INDEX_YOY_UNUSED_UNUSED_UNUSED" hidden="1">"c7281"</definedName>
    <definedName name="IQ_CQ">5000</definedName>
    <definedName name="IQ_CURR_ACCT_BALANCE_APR_FC_UNUSED_UNUSED_UNUSED" hidden="1">"c8387"</definedName>
    <definedName name="IQ_CURR_ACCT_BALANCE_APR_UNUSED_UNUSED_UNUSED" hidden="1">"c7507"</definedName>
    <definedName name="IQ_CURR_ACCT_BALANCE_FC_UNUSED_UNUSED_UNUSED" hidden="1">"c7727"</definedName>
    <definedName name="IQ_CURR_ACCT_BALANCE_POP_FC_UNUSED_UNUSED_UNUSED" hidden="1">"c7947"</definedName>
    <definedName name="IQ_CURR_ACCT_BALANCE_POP_UNUSED_UNUSED_UNUSED" hidden="1">"c7067"</definedName>
    <definedName name="IQ_CURR_ACCT_BALANCE_UNUSED_UNUSED_UNUSED" hidden="1">"c6847"</definedName>
    <definedName name="IQ_CURR_ACCT_BALANCE_YOY_FC_UNUSED_UNUSED_UNUSED" hidden="1">"c8167"</definedName>
    <definedName name="IQ_CURR_ACCT_BALANCE_YOY_UNUSED_UNUSED_UNUSED" hidden="1">"c7287"</definedName>
    <definedName name="IQ_CURRENCY_GAIN_BR" hidden="1">"c236"</definedName>
    <definedName name="IQ_CURRENT_PORT_DEBT_BR" hidden="1">"c1567"</definedName>
    <definedName name="IQ_CY">10000</definedName>
    <definedName name="IQ_DA_BR" hidden="1">"c248"</definedName>
    <definedName name="IQ_DA_CF_BR" hidden="1">"c251"</definedName>
    <definedName name="IQ_DA_SUPPL_BR" hidden="1">"c260"</definedName>
    <definedName name="IQ_DA_SUPPL_CF_BR" hidden="1">"c263"</definedName>
    <definedName name="IQ_DAILY">500000</definedName>
    <definedName name="IQ_DEF_AMORT_BR" hidden="1">"c278"</definedName>
    <definedName name="IQ_DEF_CHARGES_BR" hidden="1">"c288"</definedName>
    <definedName name="IQ_DEF_CHARGES_LT_BR" hidden="1">"c294"</definedName>
    <definedName name="IQ_DEF_TAX_ASSET_LT_BR" hidden="1">"c304"</definedName>
    <definedName name="IQ_DEF_TAX_LIAB_LT_BR" hidden="1">"c315"</definedName>
    <definedName name="IQ_DNTM" hidden="1">700000</definedName>
    <definedName name="IQ_EBT_BR" hidden="1">"c378"</definedName>
    <definedName name="IQ_EBT_EXCL_BR" hidden="1">"c381"</definedName>
    <definedName name="IQ_ECO_METRIC_6825_UNUSED_UNUSED_UNUSED" hidden="1">"c6825"</definedName>
    <definedName name="IQ_ECO_METRIC_6839_UNUSED_UNUSED_UNUSED" hidden="1">"c6839"</definedName>
    <definedName name="IQ_ECO_METRIC_6896_UNUSED_UNUSED_UNUSED" hidden="1">"c6896"</definedName>
    <definedName name="IQ_ECO_METRIC_6897_UNUSED_UNUSED_UNUSED" hidden="1">"c6897"</definedName>
    <definedName name="IQ_ECO_METRIC_6988_UNUSED_UNUSED_UNUSED" hidden="1">"c6988"</definedName>
    <definedName name="IQ_ECO_METRIC_7045_UNUSED_UNUSED_UNUSED" hidden="1">"c7045"</definedName>
    <definedName name="IQ_ECO_METRIC_7059_UNUSED_UNUSED_UNUSED" hidden="1">"c7059"</definedName>
    <definedName name="IQ_ECO_METRIC_7116_UNUSED_UNUSED_UNUSED" hidden="1">"c7116"</definedName>
    <definedName name="IQ_ECO_METRIC_7117_UNUSED_UNUSED_UNUSED" hidden="1">"c7117"</definedName>
    <definedName name="IQ_ECO_METRIC_7208_UNUSED_UNUSED_UNUSED" hidden="1">"c7208"</definedName>
    <definedName name="IQ_ECO_METRIC_7265_UNUSED_UNUSED_UNUSED" hidden="1">"c7265"</definedName>
    <definedName name="IQ_ECO_METRIC_7279_UNUSED_UNUSED_UNUSED" hidden="1">"c7279"</definedName>
    <definedName name="IQ_ECO_METRIC_7336_UNUSED_UNUSED_UNUSED" hidden="1">"c7336"</definedName>
    <definedName name="IQ_ECO_METRIC_7337_UNUSED_UNUSED_UNUSED" hidden="1">"c7337"</definedName>
    <definedName name="IQ_ECO_METRIC_7428_UNUSED_UNUSED_UNUSED" hidden="1">"c7428"</definedName>
    <definedName name="IQ_ECO_METRIC_7556_UNUSED_UNUSED_UNUSED" hidden="1">"c7556"</definedName>
    <definedName name="IQ_ECO_METRIC_7557_UNUSED_UNUSED_UNUSED" hidden="1">"c7557"</definedName>
    <definedName name="IQ_ECO_METRIC_7648_UNUSED_UNUSED_UNUSED" hidden="1">"c7648"</definedName>
    <definedName name="IQ_ECO_METRIC_7705_UNUSED_UNUSED_UNUSED" hidden="1">"c7705"</definedName>
    <definedName name="IQ_ECO_METRIC_7719_UNUSED_UNUSED_UNUSED" hidden="1">"c7719"</definedName>
    <definedName name="IQ_ECO_METRIC_7776_UNUSED_UNUSED_UNUSED" hidden="1">"c7776"</definedName>
    <definedName name="IQ_ECO_METRIC_7777_UNUSED_UNUSED_UNUSED" hidden="1">"c7777"</definedName>
    <definedName name="IQ_ECO_METRIC_7868_UNUSED_UNUSED_UNUSED" hidden="1">"c7868"</definedName>
    <definedName name="IQ_ECO_METRIC_7925_UNUSED_UNUSED_UNUSED" hidden="1">"c7925"</definedName>
    <definedName name="IQ_ECO_METRIC_7939_UNUSED_UNUSED_UNUSED" hidden="1">"c7939"</definedName>
    <definedName name="IQ_ECO_METRIC_7996_UNUSED_UNUSED_UNUSED" hidden="1">"c7996"</definedName>
    <definedName name="IQ_ECO_METRIC_7997_UNUSED_UNUSED_UNUSED" hidden="1">"c7997"</definedName>
    <definedName name="IQ_ECO_METRIC_8088_UNUSED_UNUSED_UNUSED" hidden="1">"c8088"</definedName>
    <definedName name="IQ_ECO_METRIC_8145_UNUSED_UNUSED_UNUSED" hidden="1">"c8145"</definedName>
    <definedName name="IQ_ECO_METRIC_8159_UNUSED_UNUSED_UNUSED" hidden="1">"c8159"</definedName>
    <definedName name="IQ_ECO_METRIC_8216_UNUSED_UNUSED_UNUSED" hidden="1">"c8216"</definedName>
    <definedName name="IQ_ECO_METRIC_8217_UNUSED_UNUSED_UNUSED" hidden="1">"c8217"</definedName>
    <definedName name="IQ_ECO_METRIC_8308_UNUSED_UNUSED_UNUSED" hidden="1">"c8308"</definedName>
    <definedName name="IQ_ECO_METRIC_8436_UNUSED_UNUSED_UNUSED" hidden="1">"c8436"</definedName>
    <definedName name="IQ_ECO_METRIC_8437_UNUSED_UNUSED_UNUSED" hidden="1">"c8437"</definedName>
    <definedName name="IQ_ECO_METRIC_8528_UNUSED_UNUSED_UNUSED" hidden="1">"c8528"</definedName>
    <definedName name="IQ_EXPENSE_CODE_" hidden="1">"raave"</definedName>
    <definedName name="IQ_EXPORTS_APR_FC_UNUSED_UNUSED_UNUSED" hidden="1">"c8401"</definedName>
    <definedName name="IQ_EXPORTS_APR_UNUSED_UNUSED_UNUSED" hidden="1">"c7521"</definedName>
    <definedName name="IQ_EXPORTS_FC_UNUSED_UNUSED_UNUSED" hidden="1">"c7741"</definedName>
    <definedName name="IQ_EXPORTS_GOODS_REAL_SAAR_APR_FC_UNUSED_UNUSED_UNUSED" hidden="1">"c8512"</definedName>
    <definedName name="IQ_EXPORTS_GOODS_REAL_SAAR_APR_UNUSED_UNUSED_UNUSED" hidden="1">"c7632"</definedName>
    <definedName name="IQ_EXPORTS_GOODS_REAL_SAAR_FC_UNUSED_UNUSED_UNUSED" hidden="1">"c7852"</definedName>
    <definedName name="IQ_EXPORTS_GOODS_REAL_SAAR_POP_FC_UNUSED_UNUSED_UNUSED" hidden="1">"c8072"</definedName>
    <definedName name="IQ_EXPORTS_GOODS_REAL_SAAR_POP_UNUSED_UNUSED_UNUSED" hidden="1">"c7192"</definedName>
    <definedName name="IQ_EXPORTS_GOODS_REAL_SAAR_UNUSED_UNUSED_UNUSED" hidden="1">"c6972"</definedName>
    <definedName name="IQ_EXPORTS_GOODS_REAL_SAAR_YOY_FC_UNUSED_UNUSED_UNUSED" hidden="1">"c8292"</definedName>
    <definedName name="IQ_EXPORTS_GOODS_REAL_SAAR_YOY_UNUSED_UNUSED_UNUSED" hidden="1">"c7412"</definedName>
    <definedName name="IQ_EXPORTS_POP_FC_UNUSED_UNUSED_UNUSED" hidden="1">"c7961"</definedName>
    <definedName name="IQ_EXPORTS_POP_UNUSED_UNUSED_UNUSED" hidden="1">"c7081"</definedName>
    <definedName name="IQ_EXPORTS_SERVICES_REAL_SAAR_APR_FC_UNUSED_UNUSED_UNUSED" hidden="1">"c8516"</definedName>
    <definedName name="IQ_EXPORTS_SERVICES_REAL_SAAR_APR_UNUSED_UNUSED_UNUSED" hidden="1">"c7636"</definedName>
    <definedName name="IQ_EXPORTS_SERVICES_REAL_SAAR_FC_UNUSED_UNUSED_UNUSED" hidden="1">"c7856"</definedName>
    <definedName name="IQ_EXPORTS_SERVICES_REAL_SAAR_POP_FC_UNUSED_UNUSED_UNUSED" hidden="1">"c8076"</definedName>
    <definedName name="IQ_EXPORTS_SERVICES_REAL_SAAR_POP_UNUSED_UNUSED_UNUSED" hidden="1">"c7196"</definedName>
    <definedName name="IQ_EXPORTS_SERVICES_REAL_SAAR_UNUSED_UNUSED_UNUSED" hidden="1">"c6976"</definedName>
    <definedName name="IQ_EXPORTS_SERVICES_REAL_SAAR_YOY_FC_UNUSED_UNUSED_UNUSED" hidden="1">"c8296"</definedName>
    <definedName name="IQ_EXPORTS_SERVICES_REAL_SAAR_YOY_UNUSED_UNUSED_UNUSED" hidden="1">"c7416"</definedName>
    <definedName name="IQ_EXPORTS_UNUSED_UNUSED_UNUSED" hidden="1">"c6861"</definedName>
    <definedName name="IQ_EXPORTS_YOY_FC_UNUSED_UNUSED_UNUSED" hidden="1">"c8181"</definedName>
    <definedName name="IQ_EXPORTS_YOY_UNUSED_UNUSED_UNUSED" hidden="1">"c7301"</definedName>
    <definedName name="IQ_EXTRA_ACC_ITEMS_BR" hidden="1">"c412"</definedName>
    <definedName name="IQ_FH">100000</definedName>
    <definedName name="IQ_FIN_DIV_CURRENT_PORT_DEBT_TOTAL" hidden="1">"c5524"</definedName>
    <definedName name="IQ_FIN_DIV_CURRENT_PORT_LEASES_TOTAL" hidden="1">"c5523"</definedName>
    <definedName name="IQ_FIN_DIV_DEBT_LT_TOTAL" hidden="1">"c5526"</definedName>
    <definedName name="IQ_FIN_DIV_LEASES_LT_TOTAL" hidden="1">"c5525"</definedName>
    <definedName name="IQ_FIN_DIV_NOTES_PAY_TOTAL" hidden="1">"c5522"</definedName>
    <definedName name="IQ_FIXED_INVEST_APR_FC_UNUSED_UNUSED_UNUSED" hidden="1">"c8410"</definedName>
    <definedName name="IQ_FIXED_INVEST_APR_UNUSED_UNUSED_UNUSED" hidden="1">"c7530"</definedName>
    <definedName name="IQ_FIXED_INVEST_FC_UNUSED_UNUSED_UNUSED" hidden="1">"c7750"</definedName>
    <definedName name="IQ_FIXED_INVEST_POP_FC_UNUSED_UNUSED_UNUSED" hidden="1">"c7970"</definedName>
    <definedName name="IQ_FIXED_INVEST_POP_UNUSED_UNUSED_UNUSED" hidden="1">"c7090"</definedName>
    <definedName name="IQ_FIXED_INVEST_REAL_APR_FC_UNUSED_UNUSED_UNUSED" hidden="1">"c8518"</definedName>
    <definedName name="IQ_FIXED_INVEST_REAL_APR_UNUSED_UNUSED_UNUSED" hidden="1">"c7638"</definedName>
    <definedName name="IQ_FIXED_INVEST_REAL_FC_UNUSED_UNUSED_UNUSED" hidden="1">"c7858"</definedName>
    <definedName name="IQ_FIXED_INVEST_REAL_POP_FC_UNUSED_UNUSED_UNUSED" hidden="1">"c8078"</definedName>
    <definedName name="IQ_FIXED_INVEST_REAL_POP_UNUSED_UNUSED_UNUSED" hidden="1">"c7198"</definedName>
    <definedName name="IQ_FIXED_INVEST_REAL_UNUSED_UNUSED_UNUSED" hidden="1">"c6978"</definedName>
    <definedName name="IQ_FIXED_INVEST_REAL_YOY_FC_UNUSED_UNUSED_UNUSED" hidden="1">"c8298"</definedName>
    <definedName name="IQ_FIXED_INVEST_REAL_YOY_UNUSED_UNUSED_UNUSED" hidden="1">"c7418"</definedName>
    <definedName name="IQ_FIXED_INVEST_UNUSED_UNUSED_UNUSED" hidden="1">"c6870"</definedName>
    <definedName name="IQ_FIXED_INVEST_YOY_FC_UNUSED_UNUSED_UNUSED" hidden="1">"c8190"</definedName>
    <definedName name="IQ_FIXED_INVEST_YOY_UNUSED_UNUSED_UNUSED" hidden="1">"c7310"</definedName>
    <definedName name="IQ_FOREIGN_BRANCHES_U.S._BANKS_LOANS_FDIC" hidden="1">"c6438"</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GAIN_ASSETS_BR" hidden="1">"c454"</definedName>
    <definedName name="IQ_GAIN_ASSETS_CF_BR" hidden="1">"c457"</definedName>
    <definedName name="IQ_GAIN_ASSETS_REV_BR" hidden="1">"c474"</definedName>
    <definedName name="IQ_GAIN_INVEST_BR" hidden="1">"c1464"</definedName>
    <definedName name="IQ_GAIN_INVEST_CF_BR" hidden="1">"c482"</definedName>
    <definedName name="IQ_GAIN_INVEST_REV_BR" hidden="1">"c496"</definedName>
    <definedName name="IQ_GW_AMORT_BR" hidden="1">"c532"</definedName>
    <definedName name="IQ_GW_INTAN_AMORT_BR" hidden="1">"c1470"</definedName>
    <definedName name="IQ_GW_INTAN_AMORT_CF_BR" hidden="1">"c1473"</definedName>
    <definedName name="IQ_HOUSING_COMPLETIONS_SINGLE_FAM_APR_FC_UNUSED_UNUSED_UNUSED" hidden="1">"c8422"</definedName>
    <definedName name="IQ_HOUSING_COMPLETIONS_SINGLE_FAM_APR_UNUSED_UNUSED_UNUSED" hidden="1">"c7542"</definedName>
    <definedName name="IQ_HOUSING_COMPLETIONS_SINGLE_FAM_FC_UNUSED_UNUSED_UNUSED" hidden="1">"c7762"</definedName>
    <definedName name="IQ_HOUSING_COMPLETIONS_SINGLE_FAM_POP_FC_UNUSED_UNUSED_UNUSED" hidden="1">"c7982"</definedName>
    <definedName name="IQ_HOUSING_COMPLETIONS_SINGLE_FAM_POP_UNUSED_UNUSED_UNUSED" hidden="1">"c7102"</definedName>
    <definedName name="IQ_HOUSING_COMPLETIONS_SINGLE_FAM_UNUSED_UNUSED_UNUSED" hidden="1">"c6882"</definedName>
    <definedName name="IQ_HOUSING_COMPLETIONS_SINGLE_FAM_YOY_FC_UNUSED_UNUSED_UNUSED" hidden="1">"c8202"</definedName>
    <definedName name="IQ_HOUSING_COMPLETIONS_SINGLE_FAM_YOY_UNUSED_UNUSED_UNUSED" hidden="1">"c7322"</definedName>
    <definedName name="IQ_IMPORTS_GOODS_REAL_SAAR_APR_FC_UNUSED_UNUSED_UNUSED" hidden="1">"c8523"</definedName>
    <definedName name="IQ_IMPORTS_GOODS_REAL_SAAR_APR_UNUSED_UNUSED_UNUSED" hidden="1">"c7643"</definedName>
    <definedName name="IQ_IMPORTS_GOODS_REAL_SAAR_FC_UNUSED_UNUSED_UNUSED" hidden="1">"c7863"</definedName>
    <definedName name="IQ_IMPORTS_GOODS_REAL_SAAR_POP_FC_UNUSED_UNUSED_UNUSED" hidden="1">"c8083"</definedName>
    <definedName name="IQ_IMPORTS_GOODS_REAL_SAAR_POP_UNUSED_UNUSED_UNUSED" hidden="1">"c7203"</definedName>
    <definedName name="IQ_IMPORTS_GOODS_REAL_SAAR_UNUSED_UNUSED_UNUSED" hidden="1">"c6983"</definedName>
    <definedName name="IQ_IMPORTS_GOODS_REAL_SAAR_YOY_FC_UNUSED_UNUSED_UNUSED" hidden="1">"c8303"</definedName>
    <definedName name="IQ_IMPORTS_GOODS_REAL_SAAR_YOY_UNUSED_UNUSED_UNUSED" hidden="1">"c7423"</definedName>
    <definedName name="IQ_IMPORTS_GOODS_SERVICES_APR_FC_UNUSED_UNUSED_UNUSED" hidden="1">"c8429"</definedName>
    <definedName name="IQ_IMPORTS_GOODS_SERVICES_APR_UNUSED_UNUSED_UNUSED" hidden="1">"c7549"</definedName>
    <definedName name="IQ_IMPORTS_GOODS_SERVICES_FC_UNUSED_UNUSED_UNUSED" hidden="1">"c7769"</definedName>
    <definedName name="IQ_IMPORTS_GOODS_SERVICES_POP_FC_UNUSED_UNUSED_UNUSED" hidden="1">"c7989"</definedName>
    <definedName name="IQ_IMPORTS_GOODS_SERVICES_POP_UNUSED_UNUSED_UNUSED" hidden="1">"c7109"</definedName>
    <definedName name="IQ_IMPORTS_GOODS_SERVICES_REAL_SAAR_APR_FC_UNUSED_UNUSED_UNUSED" hidden="1">"c8524"</definedName>
    <definedName name="IQ_IMPORTS_GOODS_SERVICES_REAL_SAAR_APR_UNUSED_UNUSED_UNUSED" hidden="1">"c7644"</definedName>
    <definedName name="IQ_IMPORTS_GOODS_SERVICES_REAL_SAAR_FC_UNUSED_UNUSED_UNUSED" hidden="1">"c7864"</definedName>
    <definedName name="IQ_IMPORTS_GOODS_SERVICES_REAL_SAAR_POP_FC_UNUSED_UNUSED_UNUSED" hidden="1">"c8084"</definedName>
    <definedName name="IQ_IMPORTS_GOODS_SERVICES_REAL_SAAR_POP_UNUSED_UNUSED_UNUSED" hidden="1">"c7204"</definedName>
    <definedName name="IQ_IMPORTS_GOODS_SERVICES_REAL_SAAR_UNUSED_UNUSED_UNUSED" hidden="1">"c6984"</definedName>
    <definedName name="IQ_IMPORTS_GOODS_SERVICES_REAL_SAAR_YOY_FC_UNUSED_UNUSED_UNUSED" hidden="1">"c8304"</definedName>
    <definedName name="IQ_IMPORTS_GOODS_SERVICES_REAL_SAAR_YOY_UNUSED_UNUSED_UNUSED" hidden="1">"c7424"</definedName>
    <definedName name="IQ_IMPORTS_GOODS_SERVICES_UNUSED_UNUSED_UNUSED" hidden="1">"c6889"</definedName>
    <definedName name="IQ_IMPORTS_GOODS_SERVICES_YOY_FC_UNUSED_UNUSED_UNUSED" hidden="1">"c8209"</definedName>
    <definedName name="IQ_IMPORTS_GOODS_SERVICES_YOY_UNUSED_UNUSED_UNUSED" hidden="1">"c7329"</definedName>
    <definedName name="IQ_INC_EQUITY_BR" hidden="1">"c550"</definedName>
    <definedName name="IQ_INS_SETTLE_BR" hidden="1">"c572"</definedName>
    <definedName name="IQ_INT_EXP_BR" hidden="1">"c586"</definedName>
    <definedName name="IQ_INT_INC_BR" hidden="1">"c593"</definedName>
    <definedName name="IQ_INVEST_LOANS_CF_BR" hidden="1">"c630"</definedName>
    <definedName name="IQ_INVEST_SECURITY_CF_BR" hidden="1">"c639"</definedName>
    <definedName name="IQ_ISM_SERVICES_APR_FC_UNUSED_UNUSED_UNUSED" hidden="1">"c8443"</definedName>
    <definedName name="IQ_ISM_SERVICES_APR_UNUSED_UNUSED_UNUSED" hidden="1">"c7563"</definedName>
    <definedName name="IQ_ISM_SERVICES_FC_UNUSED_UNUSED_UNUSED" hidden="1">"c7783"</definedName>
    <definedName name="IQ_ISM_SERVICES_POP_FC_UNUSED_UNUSED_UNUSED" hidden="1">"c8003"</definedName>
    <definedName name="IQ_ISM_SERVICES_POP_UNUSED_UNUSED_UNUSED" hidden="1">"c7123"</definedName>
    <definedName name="IQ_ISM_SERVICES_UNUSED_UNUSED_UNUSED" hidden="1">"c6903"</definedName>
    <definedName name="IQ_ISM_SERVICES_YOY_FC_UNUSED_UNUSED_UNUSED" hidden="1">"c8223"</definedName>
    <definedName name="IQ_ISM_SERVICES_YOY_UNUSED_UNUSED_UNUSED" hidden="1">"c7343"</definedName>
    <definedName name="IQ_LATESTK" hidden="1">1000</definedName>
    <definedName name="IQ_LATESTQ" hidden="1">500</definedName>
    <definedName name="IQ_LEGAL_SETTLE_BR" hidden="1">"c649"</definedName>
    <definedName name="IQ_LOANS_CF_BR" hidden="1">"c661"</definedName>
    <definedName name="IQ_LT_DEBT_BR" hidden="1">"c676"</definedName>
    <definedName name="IQ_LT_DEBT_ISSUED_BR" hidden="1">"c683"</definedName>
    <definedName name="IQ_LT_DEBT_REPAID_BR" hidden="1">"c691"</definedName>
    <definedName name="IQ_LT_INVEST_BR" hidden="1">"c698"</definedName>
    <definedName name="IQ_LTM">2000</definedName>
    <definedName name="IQ_LTMMONTH" hidden="1">120000</definedName>
    <definedName name="IQ_MEDIAN_NEW_HOME_SALES_APR_FC_UNUSED_UNUSED_UNUSED" hidden="1">"c8460"</definedName>
    <definedName name="IQ_MEDIAN_NEW_HOME_SALES_APR_UNUSED_UNUSED_UNUSED" hidden="1">"c7580"</definedName>
    <definedName name="IQ_MEDIAN_NEW_HOME_SALES_FC_UNUSED_UNUSED_UNUSED" hidden="1">"c7800"</definedName>
    <definedName name="IQ_MEDIAN_NEW_HOME_SALES_POP_FC_UNUSED_UNUSED_UNUSED" hidden="1">"c8020"</definedName>
    <definedName name="IQ_MEDIAN_NEW_HOME_SALES_POP_UNUSED_UNUSED_UNUSED" hidden="1">"c7140"</definedName>
    <definedName name="IQ_MEDIAN_NEW_HOME_SALES_UNUSED_UNUSED_UNUSED" hidden="1">"c6920"</definedName>
    <definedName name="IQ_MEDIAN_NEW_HOME_SALES_YOY_FC_UNUSED_UNUSED_UNUSED" hidden="1">"c8240"</definedName>
    <definedName name="IQ_MEDIAN_NEW_HOME_SALES_YOY_UNUSED_UNUSED_UNUSED" hidden="1">"c7360"</definedName>
    <definedName name="IQ_MERGER_BR" hidden="1">"c715"</definedName>
    <definedName name="IQ_MERGER_RESTRUCTURE_BR" hidden="1">"c721"</definedName>
    <definedName name="IQ_MINORITY_INTEREST_BR" hidden="1">"c729"</definedName>
    <definedName name="IQ_MONTH">15000</definedName>
    <definedName name="IQ_MTD" hidden="1">800000</definedName>
    <definedName name="IQ_NAMES_REVISION_DATE_" hidden="1">43649.681585648</definedName>
    <definedName name="IQ_NET_DEBT_ISSUED_BR" hidden="1">"c753"</definedName>
    <definedName name="IQ_NET_INT_INC_BR" hidden="1">"c765"</definedName>
    <definedName name="IQ_NONRES_FIXED_INVEST_PRIV_APR_FC_UNUSED_UNUSED_UNUSED" hidden="1">"c8468"</definedName>
    <definedName name="IQ_NONRES_FIXED_INVEST_PRIV_APR_UNUSED_UNUSED_UNUSED" hidden="1">"c7588"</definedName>
    <definedName name="IQ_NONRES_FIXED_INVEST_PRIV_FC_UNUSED_UNUSED_UNUSED" hidden="1">"c7808"</definedName>
    <definedName name="IQ_NONRES_FIXED_INVEST_PRIV_POP_FC_UNUSED_UNUSED_UNUSED" hidden="1">"c8028"</definedName>
    <definedName name="IQ_NONRES_FIXED_INVEST_PRIV_POP_UNUSED_UNUSED_UNUSED" hidden="1">"c7148"</definedName>
    <definedName name="IQ_NONRES_FIXED_INVEST_PRIV_UNUSED_UNUSED_UNUSED" hidden="1">"c6928"</definedName>
    <definedName name="IQ_NONRES_FIXED_INVEST_PRIV_YOY_FC_UNUSED_UNUSED_UNUSED" hidden="1">"c8248"</definedName>
    <definedName name="IQ_NONRES_FIXED_INVEST_PRIV_YOY_UNUSED_UNUSED_UNUSED" hidden="1">"c7368"</definedName>
    <definedName name="IQ_NTM">6000</definedName>
    <definedName name="IQ_OG_TOTAL_OIL_PRODUCTON" hidden="1">"c2059"</definedName>
    <definedName name="IQ_OPENED55" hidden="1">1</definedName>
    <definedName name="IQ_OPER_INC_BR" hidden="1">"c850"</definedName>
    <definedName name="IQ_OTHER_ASSETS_BR" hidden="1">"c862"</definedName>
    <definedName name="IQ_OTHER_CA_SUPPL_BR" hidden="1">"c871"</definedName>
    <definedName name="IQ_OTHER_CL_SUPPL_BR" hidden="1">"c880"</definedName>
    <definedName name="IQ_OTHER_EQUITY_BR" hidden="1">"c888"</definedName>
    <definedName name="IQ_OTHER_FINANCE_ACT_BR" hidden="1">"c895"</definedName>
    <definedName name="IQ_OTHER_FINANCE_ACT_SUPPL_BR" hidden="1">"c901"</definedName>
    <definedName name="IQ_OTHER_INTAN_BR" hidden="1">"c909"</definedName>
    <definedName name="IQ_OTHER_INVEST_ACT_BR" hidden="1">"c918"</definedName>
    <definedName name="IQ_OTHER_INVEST_ACT_SUPPL_BR" hidden="1">"c924"</definedName>
    <definedName name="IQ_OTHER_LIAB_BR" hidden="1">"c932"</definedName>
    <definedName name="IQ_OTHER_LIAB_LT_BR" hidden="1">"c937"</definedName>
    <definedName name="IQ_OTHER_LT_ASSETS_BR" hidden="1">"c948"</definedName>
    <definedName name="IQ_OTHER_NON_OPER_EXP_BR" hidden="1">"c957"</definedName>
    <definedName name="IQ_OTHER_NON_OPER_EXP_SUPPL_BR" hidden="1">"c962"</definedName>
    <definedName name="IQ_OTHER_OPER_ACT_BR" hidden="1">"c985"</definedName>
    <definedName name="IQ_OTHER_OPER_BR" hidden="1">"c990"</definedName>
    <definedName name="IQ_OTHER_OPER_SUPPL_BR" hidden="1">"c994"</definedName>
    <definedName name="IQ_OTHER_OPER_TOT_BR" hidden="1">"c1000"</definedName>
    <definedName name="IQ_OTHER_REV_BR" hidden="1">"c1011"</definedName>
    <definedName name="IQ_OTHER_REV_SUPPL_BR" hidden="1">"c1016"</definedName>
    <definedName name="IQ_OTHER_UNUSUAL_BR" hidden="1">"c1561"</definedName>
    <definedName name="IQ_OTHER_UNUSUAL_SUPPL_BR" hidden="1">"c1496"</definedName>
    <definedName name="IQ_PC_WRITTEN" hidden="1">"c1027"</definedName>
    <definedName name="IQ_PREF_ISSUED_BR" hidden="1">"c1047"</definedName>
    <definedName name="IQ_PREF_OTHER_BR" hidden="1">"c1055"</definedName>
    <definedName name="IQ_PREF_REP_BR" hidden="1">"c1062"</definedName>
    <definedName name="IQ_PRIVATE_CONST_TOTAL_APR_FC_UNUSED_UNUSED_UNUSED" hidden="1">"c8559"</definedName>
    <definedName name="IQ_PRIVATE_CONST_TOTAL_APR_UNUSED_UNUSED_UNUSED" hidden="1">"c7679"</definedName>
    <definedName name="IQ_PRIVATE_CONST_TOTAL_FC_UNUSED_UNUSED_UNUSED" hidden="1">"c7899"</definedName>
    <definedName name="IQ_PRIVATE_CONST_TOTAL_POP_FC_UNUSED_UNUSED_UNUSED" hidden="1">"c8119"</definedName>
    <definedName name="IQ_PRIVATE_CONST_TOTAL_POP_UNUSED_UNUSED_UNUSED" hidden="1">"c7239"</definedName>
    <definedName name="IQ_PRIVATE_CONST_TOTAL_UNUSED_UNUSED_UNUSED" hidden="1">"c7019"</definedName>
    <definedName name="IQ_PRIVATE_CONST_TOTAL_YOY_FC_UNUSED_UNUSED_UNUSED" hidden="1">"c8339"</definedName>
    <definedName name="IQ_PRIVATE_CONST_TOTAL_YOY_UNUSED_UNUSED_UNUSED" hidden="1">"c7459"</definedName>
    <definedName name="IQ_PRIVATE_RES_CONST_REAL_APR_FC_UNUSED_UNUSED_UNUSED" hidden="1">"c8535"</definedName>
    <definedName name="IQ_PRIVATE_RES_CONST_REAL_APR_UNUSED_UNUSED_UNUSED" hidden="1">"c7655"</definedName>
    <definedName name="IQ_PRIVATE_RES_CONST_REAL_FC_UNUSED_UNUSED_UNUSED" hidden="1">"c7875"</definedName>
    <definedName name="IQ_PRIVATE_RES_CONST_REAL_POP_FC_UNUSED_UNUSED_UNUSED" hidden="1">"c8095"</definedName>
    <definedName name="IQ_PRIVATE_RES_CONST_REAL_POP_UNUSED_UNUSED_UNUSED" hidden="1">"c7215"</definedName>
    <definedName name="IQ_PRIVATE_RES_CONST_REAL_UNUSED_UNUSED_UNUSED" hidden="1">"c6995"</definedName>
    <definedName name="IQ_PRIVATE_RES_CONST_REAL_YOY_FC_UNUSED_UNUSED_UNUSED" hidden="1">"c8315"</definedName>
    <definedName name="IQ_PRIVATE_RES_CONST_REAL_YOY_UNUSED_UNUSED_UNUSED" hidden="1">"c7435"</definedName>
    <definedName name="IQ_PURCHASES_EQUIP_NONRES_SAAR_APR_FC_UNUSED_UNUSED_UNUSED" hidden="1">"c8491"</definedName>
    <definedName name="IQ_PURCHASES_EQUIP_NONRES_SAAR_APR_UNUSED_UNUSED_UNUSED" hidden="1">"c7611"</definedName>
    <definedName name="IQ_PURCHASES_EQUIP_NONRES_SAAR_FC_UNUSED_UNUSED_UNUSED" hidden="1">"c7831"</definedName>
    <definedName name="IQ_PURCHASES_EQUIP_NONRES_SAAR_POP_FC_UNUSED_UNUSED_UNUSED" hidden="1">"c8051"</definedName>
    <definedName name="IQ_PURCHASES_EQUIP_NONRES_SAAR_POP_UNUSED_UNUSED_UNUSED" hidden="1">"c7171"</definedName>
    <definedName name="IQ_PURCHASES_EQUIP_NONRES_SAAR_UNUSED_UNUSED_UNUSED" hidden="1">"c6951"</definedName>
    <definedName name="IQ_PURCHASES_EQUIP_NONRES_SAAR_YOY_FC_UNUSED_UNUSED_UNUSED" hidden="1">"c8271"</definedName>
    <definedName name="IQ_PURCHASES_EQUIP_NONRES_SAAR_YOY_UNUSED_UNUSED_UNUSED" hidden="1">"c7391"</definedName>
    <definedName name="IQ_QTD" hidden="1">750000</definedName>
    <definedName name="IQ_RES_CONST_REAL_APR_FC_UNUSED_UNUSED_UNUSED" hidden="1">"c8536"</definedName>
    <definedName name="IQ_RES_CONST_REAL_APR_UNUSED_UNUSED_UNUSED" hidden="1">"c7656"</definedName>
    <definedName name="IQ_RES_CONST_REAL_FC_UNUSED_UNUSED_UNUSED" hidden="1">"c7876"</definedName>
    <definedName name="IQ_RES_CONST_REAL_POP_FC_UNUSED_UNUSED_UNUSED" hidden="1">"c8096"</definedName>
    <definedName name="IQ_RES_CONST_REAL_POP_UNUSED_UNUSED_UNUSED" hidden="1">"c7216"</definedName>
    <definedName name="IQ_RES_CONST_REAL_SAAR_APR_FC_UNUSED_UNUSED_UNUSED" hidden="1">"c8537"</definedName>
    <definedName name="IQ_RES_CONST_REAL_SAAR_APR_UNUSED_UNUSED_UNUSED" hidden="1">"c7657"</definedName>
    <definedName name="IQ_RES_CONST_REAL_SAAR_FC_UNUSED_UNUSED_UNUSED" hidden="1">"c7877"</definedName>
    <definedName name="IQ_RES_CONST_REAL_SAAR_POP_FC_UNUSED_UNUSED_UNUSED" hidden="1">"c8097"</definedName>
    <definedName name="IQ_RES_CONST_REAL_SAAR_POP_UNUSED_UNUSED_UNUSED" hidden="1">"c7217"</definedName>
    <definedName name="IQ_RES_CONST_REAL_SAAR_UNUSED_UNUSED_UNUSED" hidden="1">"c6997"</definedName>
    <definedName name="IQ_RES_CONST_REAL_SAAR_YOY_FC_UNUSED_UNUSED_UNUSED" hidden="1">"c8317"</definedName>
    <definedName name="IQ_RES_CONST_REAL_SAAR_YOY_UNUSED_UNUSED_UNUSED" hidden="1">"c7437"</definedName>
    <definedName name="IQ_RES_CONST_REAL_UNUSED_UNUSED_UNUSED" hidden="1">"c6996"</definedName>
    <definedName name="IQ_RES_CONST_REAL_YOY_FC_UNUSED_UNUSED_UNUSED" hidden="1">"c8316"</definedName>
    <definedName name="IQ_RES_CONST_REAL_YOY_UNUSED_UNUSED_UNUSED" hidden="1">"c7436"</definedName>
    <definedName name="IQ_RES_CONST_SAAR_APR_FC_UNUSED_UNUSED_UNUSED" hidden="1">"c8540"</definedName>
    <definedName name="IQ_RES_CONST_SAAR_APR_UNUSED_UNUSED_UNUSED" hidden="1">"c7660"</definedName>
    <definedName name="IQ_RES_CONST_SAAR_FC_UNUSED_UNUSED_UNUSED" hidden="1">"c7880"</definedName>
    <definedName name="IQ_RES_CONST_SAAR_POP_FC_UNUSED_UNUSED_UNUSED" hidden="1">"c8100"</definedName>
    <definedName name="IQ_RES_CONST_SAAR_POP_UNUSED_UNUSED_UNUSED" hidden="1">"c7220"</definedName>
    <definedName name="IQ_RES_CONST_SAAR_UNUSED_UNUSED_UNUSED" hidden="1">"c7000"</definedName>
    <definedName name="IQ_RES_CONST_SAAR_YOY_FC_UNUSED_UNUSED_UNUSED" hidden="1">"c8320"</definedName>
    <definedName name="IQ_RES_CONST_SAAR_YOY_UNUSED_UNUSED_UNUSED" hidden="1">"c7440"</definedName>
    <definedName name="IQ_RESIDENTIAL_LOANS" hidden="1">"c1102"</definedName>
    <definedName name="IQ_RESTRUCTURE_BR" hidden="1">"c1106"</definedName>
    <definedName name="IQ_RETURN_ASSETS_BROK" hidden="1">"c1115"</definedName>
    <definedName name="IQ_RETURN_EQUITY_BROK" hidden="1">"c1120"</definedName>
    <definedName name="IQ_SALE_INTAN_CF_BR" hidden="1">"c1133"</definedName>
    <definedName name="IQ_SALE_PPE_CF_BR" hidden="1">"c1139"</definedName>
    <definedName name="IQ_SALE_REAL_ESTATE_CF_BR" hidden="1">"c1145"</definedName>
    <definedName name="IQ_SHAREOUTSTANDING" hidden="1">"c1347"</definedName>
    <definedName name="IQ_SPECIAL_DIV_CF_BR" hidden="1">"c1171"</definedName>
    <definedName name="IQ_ST_DEBT_BR" hidden="1">"c1178"</definedName>
    <definedName name="IQ_ST_DEBT_ISSUED_BR" hidden="1">"c1183"</definedName>
    <definedName name="IQ_ST_DEBT_REPAID_BR" hidden="1">"c1191"</definedName>
    <definedName name="IQ_TODAY" hidden="1">0</definedName>
    <definedName name="IQ_TOTAL_AR_BR" hidden="1">"c1231"</definedName>
    <definedName name="IQ_TOTAL_DEBT_ISSUED_BR" hidden="1">"c1253"</definedName>
    <definedName name="IQ_TOTAL_DEBT_REPAID_BR" hidden="1">"c1260"</definedName>
    <definedName name="IQ_TOTAL_LIAB_BR" hidden="1">"c1278"</definedName>
    <definedName name="IQ_TOTAL_OPER_EXP_BR" hidden="1">"c1284"</definedName>
    <definedName name="IQ_TOTAL_REV_BR" hidden="1">"c1303"</definedName>
    <definedName name="IQ_TREASURY_OTHER_EQUITY_BR" hidden="1">"c1314"</definedName>
    <definedName name="IQ_UNEARN_REV_CURRENT_BR" hidden="1">"c1324"</definedName>
    <definedName name="IQ_WEEK">50000</definedName>
    <definedName name="IQ_YTD">3000</definedName>
    <definedName name="IQ_YTDMONTH" hidden="1">130000</definedName>
    <definedName name="IssuerDataAfter">#REF!</definedName>
    <definedName name="iu">#REF!</definedName>
    <definedName name="jkl">#REF!</definedName>
    <definedName name="JPMCFacilityFee">#REF!</definedName>
    <definedName name="JPMCProgramFee">#REF!</definedName>
    <definedName name="Labels">OFFSET(#REF!,,,40-COUNTBLANK(#REF!))</definedName>
    <definedName name="LargeLoanLimit">#REF!</definedName>
    <definedName name="leroy">#N/A</definedName>
    <definedName name="LeverageRatio">#REF!</definedName>
    <definedName name="LIBOR">#REF!</definedName>
    <definedName name="libor_series">#REF!</definedName>
    <definedName name="LIBOR1M">#REF!</definedName>
    <definedName name="LIBOR3M">#REF!</definedName>
    <definedName name="LIEN">#REF!</definedName>
    <definedName name="limcount" hidden="1">1</definedName>
    <definedName name="Liquidity">#REF!</definedName>
    <definedName name="lk">#REF!</definedName>
    <definedName name="loan_fixed_rate_cr">#REF!</definedName>
    <definedName name="Loan_Grade">#REF!</definedName>
    <definedName name="LoanAmount">#REF!</definedName>
    <definedName name="LoanCountSIC">#REF!</definedName>
    <definedName name="lookup_errorcodes">#REF!</definedName>
    <definedName name="LookupArrayAfter">#REF!</definedName>
    <definedName name="M">#REF!</definedName>
    <definedName name="Macro1">#N/A</definedName>
    <definedName name="MacroStart">#REF!</definedName>
    <definedName name="MARGIN">#REF!</definedName>
    <definedName name="MarktoMarket">#REF!</definedName>
    <definedName name="Maturity">#REF!</definedName>
    <definedName name="max_issue_size_bonds">#REF!</definedName>
    <definedName name="max_issue_size_floaters">#REF!</definedName>
    <definedName name="Max12moChargeoffRatio">#REF!</definedName>
    <definedName name="Max3moChargeoffRatio">#REF!</definedName>
    <definedName name="Max3moDefaultRatio">#REF!</definedName>
    <definedName name="MaxAvailability">#REF!</definedName>
    <definedName name="MaxLeverageRatio">#REF!</definedName>
    <definedName name="MD">#REF!</definedName>
    <definedName name="MdyWarfTable">#REF!</definedName>
    <definedName name="method_a">#REF!</definedName>
    <definedName name="method_FRN">#REF!</definedName>
    <definedName name="method_p">#REF!</definedName>
    <definedName name="method_s">#REF!</definedName>
    <definedName name="Mez">"Mez"</definedName>
    <definedName name="MIAAfter">#REF!</definedName>
    <definedName name="MIABefore">#REF!</definedName>
    <definedName name="min_issue_size_floaters">#REF!</definedName>
    <definedName name="Min_LIBOR">#REF!</definedName>
    <definedName name="Min3moPortYield">#REF!</definedName>
    <definedName name="minaverage">#REF!</definedName>
    <definedName name="MinNetWorth">#REF!</definedName>
    <definedName name="MinOCamount">#REF!</definedName>
    <definedName name="MOCavg">#REF!</definedName>
    <definedName name="month">#REF!</definedName>
    <definedName name="monthlong">#REF!</definedName>
    <definedName name="MoodyClass">#REF!</definedName>
    <definedName name="Moodys">#REF!</definedName>
    <definedName name="Moodys_Code">#REF!</definedName>
    <definedName name="Moodys_List">#REF!</definedName>
    <definedName name="MoodysIndustry">#REF!</definedName>
    <definedName name="mth">#REF!</definedName>
    <definedName name="myIteration">#REF!</definedName>
    <definedName name="myIteration2">#REF!</definedName>
    <definedName name="NAV">#REF!</definedName>
    <definedName name="NAVRange">#REF!</definedName>
    <definedName name="NET_PORT_BAL">#REF!</definedName>
    <definedName name="NetWorth">#REF!</definedName>
    <definedName name="new">#REF!</definedName>
    <definedName name="nj">#REF!</definedName>
    <definedName name="njy" hidden="1">#REF!</definedName>
    <definedName name="nnnnnnnnnnnnnnnnnnn" hidden="1">{"LIBOR",#N/A,TRUE,"Model";"Caps",#N/A,TRUE,"Model";"Assets",#N/A,TRUE,"Model";"Liabilities",#N/A,TRUE,"Model";"Tests",#N/A,TRUE,"Model";"Results",#N/A,TRUE,"Model"}</definedName>
    <definedName name="NonUSDAmountAfter">#REF!</definedName>
    <definedName name="NonUSDPercAfter">#REF!</definedName>
    <definedName name="NotchedRating">#REF!</definedName>
    <definedName name="Note__All_returns_are_unaudited.">#REF!</definedName>
    <definedName name="NRV">#REF!</definedName>
    <definedName name="NSSLAmountAfter">#REF!</definedName>
    <definedName name="NSSLPercAfter">#REF!</definedName>
    <definedName name="num_bonds">#REF!</definedName>
    <definedName name="num_issues_bonds">#REF!</definedName>
    <definedName name="num_issues_floaters">#REF!</definedName>
    <definedName name="Obligor_Count">#REF!</definedName>
    <definedName name="obligorcount">#REF!</definedName>
    <definedName name="ObligorRange">#REF!</definedName>
    <definedName name="Obligors">#REF!</definedName>
    <definedName name="ObligorTotal">#REF!</definedName>
    <definedName name="ObligorTotalRange">#REF!</definedName>
    <definedName name="OCamount">#REF!</definedName>
    <definedName name="OCMatrix25">#REF!</definedName>
    <definedName name="OCMatrix27">#REF!</definedName>
    <definedName name="OCMatrix29">#REF!</definedName>
    <definedName name="OCMatrix31">#REF!</definedName>
    <definedName name="OCMatrix33">#REF!</definedName>
    <definedName name="OCMatrix35">#REF!</definedName>
    <definedName name="oi">#REF!</definedName>
    <definedName name="oj">#REF!</definedName>
    <definedName name="on">#REF!</definedName>
    <definedName name="OPBDen">#REF!</definedName>
    <definedName name="OPBNum">#REF!</definedName>
    <definedName name="OtherColl">#REF!</definedName>
    <definedName name="output">#REF!</definedName>
    <definedName name="PAGE1">#REF!</definedName>
    <definedName name="par_amt_floaters">#REF!</definedName>
    <definedName name="par_amt_pos_diverse">#REF!</definedName>
    <definedName name="Par_amt_positive_cr">#REF!</definedName>
    <definedName name="partassetsmonth">#REF!</definedName>
    <definedName name="partcurrmnthNS">#REF!</definedName>
    <definedName name="partcurrmnthrevs">#REF!</definedName>
    <definedName name="Participation?">#REF!</definedName>
    <definedName name="PaymentDate">#REF!</definedName>
    <definedName name="PD_STHoldings1">#REF!</definedName>
    <definedName name="PD_STHoldings2">#REF!</definedName>
    <definedName name="PD_STHoldings3">#REF!</definedName>
    <definedName name="PD_STHoldings4">#REF!</definedName>
    <definedName name="PD_STHoldings5">#REF!</definedName>
    <definedName name="pearl">#REF!</definedName>
    <definedName name="PendingRating">#REF!</definedName>
    <definedName name="PennantParkRole">#REF!</definedName>
    <definedName name="PeriodEnd">#REF!</definedName>
    <definedName name="PIK?">#REF!</definedName>
    <definedName name="PIK_RATE">#REF!</definedName>
    <definedName name="PIKAmountAfter">#REF!</definedName>
    <definedName name="PIKingAmountBefore">#REF!</definedName>
    <definedName name="PIKingPercentageBefore">#REF!</definedName>
    <definedName name="PIKPercAfter">#REF!</definedName>
    <definedName name="Place_Div">#REF!</definedName>
    <definedName name="plj">#REF!</definedName>
    <definedName name="PNNTRole">#REF!</definedName>
    <definedName name="po">#REF!</definedName>
    <definedName name="PoolAgings">#REF!</definedName>
    <definedName name="Portfolio_Overview" publishToServer="1">#REF!</definedName>
    <definedName name="PortYield">#REF!</definedName>
    <definedName name="PositionsAfter">#REF!</definedName>
    <definedName name="PrePays">#REF!</definedName>
    <definedName name="PRINCIPAL">#REF!</definedName>
    <definedName name="PRINCIPAL_LN">#REF!</definedName>
    <definedName name="PrincipalBalance">#REF!</definedName>
    <definedName name="PrinCollections">#REF!</definedName>
    <definedName name="Print_Area_MI">#REF!</definedName>
    <definedName name="ProgramFee">#REF!</definedName>
    <definedName name="ProjectFinance?">#REF!</definedName>
    <definedName name="prt_sp_industry_dist">#REF!</definedName>
    <definedName name="prt_sp_rating_dist">#REF!</definedName>
    <definedName name="Quarter_Date">#REF!</definedName>
    <definedName name="qw">#REF!</definedName>
    <definedName name="RateBasis">#REF!</definedName>
    <definedName name="RateIndex">#REF!</definedName>
    <definedName name="rating">#REF!</definedName>
    <definedName name="rating_factor_indx">#REF!</definedName>
    <definedName name="rating_table">#REF!</definedName>
    <definedName name="rating_table_indx">#REF!</definedName>
    <definedName name="RealEstate?">#REF!</definedName>
    <definedName name="REAmountAfter">#REF!</definedName>
    <definedName name="REConstLoan?">#REF!</definedName>
    <definedName name="Recovery">#REF!</definedName>
    <definedName name="Region_Table">#REF!</definedName>
    <definedName name="REPercAfter">#REF!</definedName>
    <definedName name="ReportDate">#REF!</definedName>
    <definedName name="ReportingDate">#REF!</definedName>
    <definedName name="ReqDate">#REF!</definedName>
    <definedName name="ReqEquityContribution">#REF!</definedName>
    <definedName name="RequiredReserveAmount">#REF!</definedName>
    <definedName name="ReserveReleases">#REF!</definedName>
    <definedName name="RevolverAmountAfter">#REF!</definedName>
    <definedName name="RevolverFlag">#REF!</definedName>
    <definedName name="RevolverPercAfter">#REF!</definedName>
    <definedName name="Rollforward">#REF!</definedName>
    <definedName name="rt">#REF!</definedName>
    <definedName name="SchedPrinColl">#REF!</definedName>
    <definedName name="Scheduled">"S"</definedName>
    <definedName name="ScoreStart">#REF!</definedName>
    <definedName name="sds">#REF!</definedName>
    <definedName name="SEIAccount1">#REF!</definedName>
    <definedName name="SEIAccount2">#REF!</definedName>
    <definedName name="SEIAccount3">#REF!</definedName>
    <definedName name="SEIAccount4">#REF!</definedName>
    <definedName name="SEIAccount5">#REF!</definedName>
    <definedName name="Semiannual">"Semi"</definedName>
    <definedName name="sencount" hidden="1">1</definedName>
    <definedName name="SenderId">#REF!</definedName>
    <definedName name="series">#REF!</definedName>
    <definedName name="ServicingFee">#REF!</definedName>
    <definedName name="SettledTradeReportByDateFrom">#REF!</definedName>
    <definedName name="SettledTradeReportByDateTo">#REF!</definedName>
    <definedName name="Settlement_date">#REF!</definedName>
    <definedName name="SFOAmountAfter">#REF!</definedName>
    <definedName name="SFOPercAfter">#REF!</definedName>
    <definedName name="siccode">#REF!</definedName>
    <definedName name="SICcodes">#REF!</definedName>
    <definedName name="SIClist">#REF!</definedName>
    <definedName name="SICPerct">#REF!</definedName>
    <definedName name="SICRange">#REF!</definedName>
    <definedName name="SicSortRange">#REF!</definedName>
    <definedName name="Source">#REF!</definedName>
    <definedName name="SP">#REF!</definedName>
    <definedName name="SP_Code">#REF!</definedName>
    <definedName name="sp_industry_conc_table">#REF!</definedName>
    <definedName name="sp_industry_table">#REF!</definedName>
    <definedName name="SP_List">#REF!</definedName>
    <definedName name="sp_recovery_table">#REF!</definedName>
    <definedName name="SPDeleteRange">#REF!</definedName>
    <definedName name="SPindustries">#REF!</definedName>
    <definedName name="SPindustriesRange">#REF!</definedName>
    <definedName name="Spread">#REF!</definedName>
    <definedName name="SPStart">#REF!</definedName>
    <definedName name="StartAOLB">#REF!</definedName>
    <definedName name="StartObligor">#REF!</definedName>
    <definedName name="StartSic">#REF!</definedName>
    <definedName name="StateInsertRange">#REF!</definedName>
    <definedName name="STHoldings1">#REF!</definedName>
    <definedName name="STHoldings2">#REF!</definedName>
    <definedName name="STHoldings3">#REF!</definedName>
    <definedName name="STHoldings4">#REF!</definedName>
    <definedName name="STHoldings5">#REF!</definedName>
    <definedName name="StructuredFinance?">#REF!</definedName>
    <definedName name="SumAssetSales">#REF!</definedName>
    <definedName name="SumCommitted">#REF!</definedName>
    <definedName name="SumNetCommitted">#REF!</definedName>
    <definedName name="Table_MdyIndustry">#REF!</definedName>
    <definedName name="TenLargestLoans">#REF!</definedName>
    <definedName name="TermEventFlag">#REF!</definedName>
    <definedName name="tf">#REF!</definedName>
    <definedName name="Tier_1_1L">'Concentration Limits'!$E$163</definedName>
    <definedName name="Tier_1_2L">'Concentration Limits'!$F$163</definedName>
    <definedName name="Tier_1_ApplicableValue">'Concentration Limits'!$G$163</definedName>
    <definedName name="Tier_2_1L">'Concentration Limits'!$E$164</definedName>
    <definedName name="Tier_2_2L">'Concentration Limits'!$F$164</definedName>
    <definedName name="Tier_2_ApplicableValue">'Concentration Limits'!$G$164</definedName>
    <definedName name="Tier_3_1L">'Concentration Limits'!$E$165</definedName>
    <definedName name="Tier_3_2L">'Concentration Limits'!$F$165</definedName>
    <definedName name="Tier_3_ApplicableValue">'Concentration Limits'!$G$165</definedName>
    <definedName name="Tier_partialzerovalue">AGENT!$C$52</definedName>
    <definedName name="Tier_totalzerovalue">AGENT!$C$53</definedName>
    <definedName name="total_capitalization">#REF!</definedName>
    <definedName name="total_portfolioassets">#REF!</definedName>
    <definedName name="TotalBalance1">#REF!</definedName>
    <definedName name="TotalBalance2">#REF!</definedName>
    <definedName name="TotalBalance3">#REF!</definedName>
    <definedName name="TotalBalance4">#REF!</definedName>
    <definedName name="TotalBalance5">#REF!</definedName>
    <definedName name="TotalHoldings">#REF!</definedName>
    <definedName name="TotalLoan">#REF!</definedName>
    <definedName name="TotalObligor">#REF!</definedName>
    <definedName name="Totbyobligor">#REF!</definedName>
    <definedName name="TotIII">#REF!</definedName>
    <definedName name="TradeReportDeleteRowsTo">#REF!</definedName>
    <definedName name="TransLoans">#REF!</definedName>
    <definedName name="TRAUDNet">#REF!</definedName>
    <definedName name="TRCADClear">#REF!</definedName>
    <definedName name="TRCADNet">#REF!</definedName>
    <definedName name="TREURClear">#REF!</definedName>
    <definedName name="TREURNet">#REF!</definedName>
    <definedName name="TRGBPClear">#REF!</definedName>
    <definedName name="TRGBPNet">#REF!</definedName>
    <definedName name="TRUSDClear">#REF!</definedName>
    <definedName name="TRUSDNet">#REF!</definedName>
    <definedName name="TrusteeName">#REF!</definedName>
    <definedName name="Type">#REF!</definedName>
    <definedName name="type_dbase_floaters">#REF!</definedName>
    <definedName name="type_f">#REF!</definedName>
    <definedName name="Type_num">#REF!</definedName>
    <definedName name="type_r">#REF!</definedName>
    <definedName name="type_t">#REF!</definedName>
    <definedName name="UNIQUE_ID">#REF!</definedName>
    <definedName name="UnitScoreRange">#REF!</definedName>
    <definedName name="UnratedAmountAfter">#REF!</definedName>
    <definedName name="UnratedPercAfter">#REF!</definedName>
    <definedName name="UnsecuredAmountAfter">#REF!</definedName>
    <definedName name="UnsecuredPercAfter">#REF!</definedName>
    <definedName name="UoP">#REF!</definedName>
    <definedName name="up">#REF!</definedName>
    <definedName name="use_dummies">#REF!</definedName>
    <definedName name="VAE">VAE!$H$5:$P$96</definedName>
    <definedName name="ValidAgent">#REF!</definedName>
    <definedName name="ValidAnalyst">#REF!</definedName>
    <definedName name="ValidAsset">#REF!</definedName>
    <definedName name="ValidBinary">#REF!</definedName>
    <definedName name="ValidCategory">#REF!</definedName>
    <definedName name="ValidChartAsset">#REF!</definedName>
    <definedName name="ValidChartIndustry">#REF!</definedName>
    <definedName name="ValidCIM">#REF!</definedName>
    <definedName name="ValidConduit">#REF!</definedName>
    <definedName name="ValidCounsel">#REF!</definedName>
    <definedName name="ValidCountry">#REF!</definedName>
    <definedName name="ValidEnhancement">#REF!</definedName>
    <definedName name="ValidFacilityType">#REF!</definedName>
    <definedName name="ValidFootnote">#REF!</definedName>
    <definedName name="ValidFootnoteRef">#REF!</definedName>
    <definedName name="ValidIndustry">#REF!</definedName>
    <definedName name="ValidLiqType">#REF!</definedName>
    <definedName name="ValidLossType">#REF!</definedName>
    <definedName name="ValidMRating">#REF!</definedName>
    <definedName name="ValidName">#REF!</definedName>
    <definedName name="ValidNMRating">#REF!</definedName>
    <definedName name="ValidParent">#REF!</definedName>
    <definedName name="ValidRatingsType">#REF!</definedName>
    <definedName name="ValidRR">#REF!</definedName>
    <definedName name="ValidStatus">#REF!</definedName>
    <definedName name="ValidTermPayout">#REF!</definedName>
    <definedName name="ValidTransType">#REF!</definedName>
    <definedName name="ValidTrustee">#REF!</definedName>
    <definedName name="ValidWrapper">#REF!</definedName>
    <definedName name="VENTURE_Investment_ID">#REF!</definedName>
    <definedName name="VFCCFacilityFee">#REF!</definedName>
    <definedName name="VFCCProgramFee">#REF!</definedName>
    <definedName name="vn">#REF!</definedName>
    <definedName name="WAAdvRate">#REF!</definedName>
    <definedName name="WAFCAfter">#REF!</definedName>
    <definedName name="WAFSAfter">#REF!</definedName>
    <definedName name="WAL">#REF!</definedName>
    <definedName name="WALAfter">#REF!</definedName>
    <definedName name="WARFAfter">#REF!</definedName>
    <definedName name="WARRTAfter">#REF!</definedName>
    <definedName name="WASAfter">#REF!</definedName>
    <definedName name="WATTM">#REF!</definedName>
    <definedName name="wrn.Assumptions." hidden="1">{"Assumptions",#N/A,FALSE,"Model"}</definedName>
    <definedName name="wrn.Distributions." hidden="1">{#N/A,#N/A,FALSE,"DIS Forms";#N/A,#N/A,FALSE,"WIRE FORM";#N/A,#N/A,FALSE,"Transfers"}</definedName>
    <definedName name="wrn.Distributions2" hidden="1">{#N/A,#N/A,FALSE,"DIS Forms";#N/A,#N/A,FALSE,"WIRE FORM";#N/A,#N/A,FALSE,"Transfers"}</definedName>
    <definedName name="wrn.Main._.CBO._.Report." hidden="1">{"LIBOR",#N/A,TRUE,"Model";"Caps",#N/A,TRUE,"Model";"Assets",#N/A,TRUE,"Model";"Liabilities",#N/A,TRUE,"Model";"Tests",#N/A,TRUE,"Model";"Results",#N/A,TRUE,"Model"}</definedName>
    <definedName name="ww" hidden="1">{"Assumptions",#N/A,FALSE,"Model"}</definedName>
    <definedName name="xg">#REF!</definedName>
    <definedName name="ytdmonthshort">#REF!</definedName>
    <definedName name="yu">#REF!</definedName>
    <definedName name="_xlnm.Print_Area" localSheetId="0">'Availability'!$A$1:$L$60</definedName>
    <definedName name="DAYAN" localSheetId="2" hidden="1">{"LIBOR",#N/A,TRUE,"Model";"Caps",#N/A,TRUE,"Model";"Assets",#N/A,TRUE,"Model";"Liabilities",#N/A,TRUE,"Model";"Tests",#N/A,TRUE,"Model";"Results",#N/A,TRUE,"Model"}</definedName>
    <definedName name="nnnnnnnnnnnnnnnnnnn" localSheetId="2" hidden="1">{"LIBOR",#N/A,TRUE,"Model";"Caps",#N/A,TRUE,"Model";"Assets",#N/A,TRUE,"Model";"Liabilities",#N/A,TRUE,"Model";"Tests",#N/A,TRUE,"Model";"Results",#N/A,TRUE,"Model"}</definedName>
    <definedName name="wrn.Assumptions." localSheetId="2" hidden="1">{"Assumptions",#N/A,FALSE,"Model"}</definedName>
    <definedName name="wrn.Main._.CBO._.Report." localSheetId="2" hidden="1">{"LIBOR",#N/A,TRUE,"Model";"Caps",#N/A,TRUE,"Model";"Assets",#N/A,TRUE,"Model";"Liabilities",#N/A,TRUE,"Model";"Tests",#N/A,TRUE,"Model";"Results",#N/A,TRUE,"Model"}</definedName>
    <definedName name="ww" localSheetId="2" hidden="1">{"Assumptions",#N/A,FALSE,"Model"}</definedName>
    <definedName name="Debt_Equity_Table" localSheetId="3">#REF!</definedName>
    <definedName name="LIBOR" localSheetId="3">'Loan Tape 4.26 _SMC'!#REF!</definedName>
    <definedName name="Note__All_returns_are_unaudited." localSheetId="3">#REF!</definedName>
    <definedName name="Portfolio_Overview" localSheetId="3" publishToServer="1">#REF!</definedName>
    <definedName name="_xlnm.Print_Area" localSheetId="3">'Loan Tape 4.26 _SMC'!$B$1:$AJ$35</definedName>
    <definedName name="DAYAN" localSheetId="5" hidden="1">{"LIBOR",#N/A,TRUE,"Model";"Caps",#N/A,TRUE,"Model";"Assets",#N/A,TRUE,"Model";"Liabilities",#N/A,TRUE,"Model";"Tests",#N/A,TRUE,"Model";"Results",#N/A,TRUE,"Model"}</definedName>
    <definedName name="nnnnnnnnnnnnnnnnnnn" localSheetId="5" hidden="1">{"LIBOR",#N/A,TRUE,"Model";"Caps",#N/A,TRUE,"Model";"Assets",#N/A,TRUE,"Model";"Liabilities",#N/A,TRUE,"Model";"Tests",#N/A,TRUE,"Model";"Results",#N/A,TRUE,"Model"}</definedName>
    <definedName name="wrn.Assumptions." localSheetId="5" hidden="1">{"Assumptions",#N/A,FALSE,"Model"}</definedName>
    <definedName name="wrn.Main._.CBO._.Report." localSheetId="5" hidden="1">{"LIBOR",#N/A,TRUE,"Model";"Caps",#N/A,TRUE,"Model";"Assets",#N/A,TRUE,"Model";"Liabilities",#N/A,TRUE,"Model";"Tests",#N/A,TRUE,"Model";"Results",#N/A,TRUE,"Model"}</definedName>
    <definedName name="ww" localSheetId="5" hidden="1">{"Assumptions",#N/A,FALSE,"Model"}</definedName>
    <definedName name="CIQWBGuid" localSheetId="8" hidden="1">"Portfolio 11.30.11.xlsx"</definedName>
    <definedName name="IQ_NAMES_REVISION_DATE_" localSheetId="8" hidden="1">43363.8609375</definedName>
    <definedName name="libor" localSheetId="8">#REF!</definedName>
    <definedName name="__123Graph_A" localSheetId="9" hidden="1">#REF!</definedName>
    <definedName name="__123Graph_B" localSheetId="9" hidden="1">#REF!</definedName>
    <definedName name="__123Graph_C" localSheetId="9" hidden="1">#REF!</definedName>
    <definedName name="_Fill" localSheetId="9" hidden="1">#REF!</definedName>
    <definedName name="_Key1" localSheetId="9" hidden="1">#REF!</definedName>
    <definedName name="_Sort" localSheetId="9" hidden="1">#REF!</definedName>
    <definedName name="Add_Backs_10_50MM" localSheetId="9">#REF!</definedName>
    <definedName name="Add_Backs_10MM" localSheetId="9">#REF!</definedName>
    <definedName name="Add_Backs_50MM" localSheetId="9">#REF!</definedName>
    <definedName name="DAYAN" localSheetId="9" hidden="1">{"LIBOR",#N/A,TRUE,"Model";"Caps",#N/A,TRUE,"Model";"Assets",#N/A,TRUE,"Model";"Liabilities",#N/A,TRUE,"Model";"Tests",#N/A,TRUE,"Model";"Results",#N/A,TRUE,"Model"}</definedName>
    <definedName name="EBITDA_Addback_1" localSheetId="9">#REF!</definedName>
    <definedName name="EBITDA_Addback_2" localSheetId="9">#REF!</definedName>
    <definedName name="EBITDA_Addback_3" localSheetId="9">#REF!</definedName>
    <definedName name="FLLO_2nd_Lien" localSheetId="9">#REF!</definedName>
    <definedName name="nnnnnnnnnnnnnnnnnnn" localSheetId="9" hidden="1">{"LIBOR",#N/A,TRUE,"Model";"Caps",#N/A,TRUE,"Model";"Assets",#N/A,TRUE,"Model";"Liabilities",#N/A,TRUE,"Model";"Tests",#N/A,TRUE,"Model";"Results",#N/A,TRUE,"Model"}</definedName>
    <definedName name="Tier_1_1L" localSheetId="9">#REF!</definedName>
    <definedName name="Tier_1_2L" localSheetId="9">#REF!</definedName>
    <definedName name="Tier_1_ApplicableValue" localSheetId="9">#REF!</definedName>
    <definedName name="Tier_2_1L" localSheetId="9">#REF!</definedName>
    <definedName name="Tier_2_2L" localSheetId="9">#REF!</definedName>
    <definedName name="Tier_2_ApplicableValue" localSheetId="9">#REF!</definedName>
    <definedName name="Tier_3_1L" localSheetId="9">#REF!</definedName>
    <definedName name="Tier_3_2L" localSheetId="9">#REF!</definedName>
    <definedName name="Tier_3_ApplicableValue" localSheetId="9">#REF!</definedName>
    <definedName name="VAE" localSheetId="9">#REF!</definedName>
    <definedName name="wrn.Assumptions." localSheetId="9" hidden="1">{"Assumptions",#N/A,FALSE,"Model"}</definedName>
    <definedName name="wrn.Main._.CBO._.Report." localSheetId="9" hidden="1">{"LIBOR",#N/A,TRUE,"Model";"Caps",#N/A,TRUE,"Model";"Assets",#N/A,TRUE,"Model";"Liabilities",#N/A,TRUE,"Model";"Tests",#N/A,TRUE,"Model";"Results",#N/A,TRUE,"Model"}</definedName>
    <definedName name="ww" localSheetId="9" hidden="1">{"Assumptions",#N/A,FALSE,"Model"}</definedName>
    <definedName name="_xlnm.Print_Area" localSheetId="10">'ownership'!$B$1:$M$20</definedName>
    <definedName name="_xlnm.Print_Area" localSheetId="13">'Deal Team Input'!$A$1:$E$41,'Deal Team Input'!$A$45:$J$108,'Deal Team Input'!$J$1:$Q$35</definedName>
  </definedNames>
  <calcPr calcId="191029" fullCalcOnLoad="1"/>
</workbook>
</file>

<file path=xl/styles.xml><?xml version="1.0" encoding="utf-8"?>
<styleSheet xmlns="http://schemas.openxmlformats.org/spreadsheetml/2006/main">
  <numFmts count="45">
    <numFmt numFmtId="164" formatCode="_(&quot;$&quot;* #,##0_);_(&quot;$&quot;* \(#,##0\);_(&quot;$&quot;* &quot;-&quot;??_);_(@_)"/>
    <numFmt numFmtId="165" formatCode="0.0%"/>
    <numFmt numFmtId="166" formatCode="0\)"/>
    <numFmt numFmtId="167" formatCode="_(* #,##0_);_(* \(#,##0\);_(* &quot;-&quot;??_);_(@_)"/>
    <numFmt numFmtId="168" formatCode="_(&quot;$&quot;* #,##0.00_);_(&quot;$&quot;* \(#,##0.00\);_(&quot;$&quot;* &quot;-&quot;??_);_(@_)"/>
    <numFmt numFmtId="169" formatCode="&quot;$&quot;#,##0_);[Red]\(&quot;$&quot;#,##0\)"/>
    <numFmt numFmtId="170" formatCode="&quot;EBITDA &lt; &quot;0&quot;&quot;"/>
    <numFmt numFmtId="171" formatCode="&quot;Investment&quot;\ #"/>
    <numFmt numFmtId="172" formatCode="#,##0\ &quot;bps&quot;\_x000a_%%"/>
    <numFmt numFmtId="173" formatCode="0\ &quot;years&quot;"/>
    <numFmt numFmtId="174" formatCode="&quot;$&quot;0.0\ &quot;mm&quot;"/>
    <numFmt numFmtId="175" formatCode="0.0\x"/>
    <numFmt numFmtId="176" formatCode="0.000%"/>
    <numFmt numFmtId="177" formatCode="_(&quot;$&quot;* #,##0.0_);_(&quot;$&quot;* \(#,##0.0\);_(&quot;$&quot;* &quot;-&quot;??_);_(@_)"/>
    <numFmt numFmtId="178" formatCode="&quot;Advance Rate Cap Until &quot;0&quot; discrete obligors&quot;"/>
    <numFmt numFmtId="179" formatCode="&quot; &lt; &quot;0&quot; discrete obligors&quot;"/>
    <numFmt numFmtId="180" formatCode="&quot; &gt;= &quot;\1\2&quot; but  &lt; 20&quot;"/>
    <numFmt numFmtId="181" formatCode="&quot; &gt;= &quot;0&quot; discrete obligors&quot;"/>
    <numFmt numFmtId="182" formatCode="_(* #,##0_);_(* \(#,##0\);_(* &quot;   -&quot;?_);_(@_)"/>
    <numFmt numFmtId="183" formatCode="_(* #,##0.00\x;_(* \(#,##0.00\)\x;_(* &quot;   -&quot;?_)"/>
    <numFmt numFmtId="184" formatCode="_(* #,##0.00_);_(* \(#,##0.00\);_(* &quot;   -&quot;?_);_(@_)"/>
    <numFmt numFmtId="185" formatCode="_(* &quot;$&quot;\ #,##0.00_);_(* &quot;$&quot;\ \(#,##0.00\);_(* &quot;&quot;&quot;$&quot;\ \ \-&quot;&quot;?_);_(@_)"/>
    <numFmt numFmtId="186" formatCode="&quot;Senior Net Leverage Ratio &gt; &quot;0.00&quot;&quot;"/>
    <numFmt numFmtId="187" formatCode="0.00\x"/>
    <numFmt numFmtId="188" formatCode="&quot;EBITDA &lt; &quot;&quot;$&quot;0&quot; MM&quot;"/>
    <numFmt numFmtId="189" formatCode="#,##0.00000000_);\(#,##0.00000000\)"/>
    <numFmt numFmtId="190" formatCode="_([$$-409]* #,##0.00_);_([$$-409]* \(#,##0.00\);_([$$-409]* &quot;-&quot;??_);_(@_)"/>
    <numFmt numFmtId="191" formatCode="#,##0;\-#,##0;0"/>
    <numFmt numFmtId="192" formatCode="m\/d\/yyyy"/>
    <numFmt numFmtId="193" formatCode="#,##0.00;\-#,##0.00;0"/>
    <numFmt numFmtId="194" formatCode="#,##0.00%"/>
    <numFmt numFmtId="195" formatCode="#,##0.00\x;\-#,##0.00;0"/>
    <numFmt numFmtId="196" formatCode="_(* #,##0.0%;_(* \(#,##0.0\)%;_(* &quot;   -&quot;?_)"/>
    <numFmt numFmtId="197" formatCode="&quot;$&quot;#,##0"/>
    <numFmt numFmtId="198" formatCode="&quot;$&quot;#,##0.00"/>
    <numFmt numFmtId="199" formatCode="0.00&quot;x&quot;"/>
    <numFmt numFmtId="200" formatCode="0\ &quot;mths&quot;"/>
    <numFmt numFmtId="201" formatCode="mm/dd/yy;@"/>
    <numFmt numFmtId="202" formatCode="_(* &quot;$&quot;\ #,##0_);_(* &quot;$&quot;\ \(#,##0\);_(* &quot;&quot;&quot;$&quot;\ \ \-&quot;&quot;?_);_(@_)"/>
    <numFmt numFmtId="203" formatCode="0.0"/>
    <numFmt numFmtId="204" formatCode="&quot;Year &quot;0"/>
    <numFmt numFmtId="205" formatCode="0.000"/>
    <numFmt numFmtId="206" formatCode="&quot;$&quot;#,##0.00_);[Red]\(&quot;$&quot;#,##0.00\)"/>
    <numFmt numFmtId="207" formatCode="mm/dd/yyyy"/>
    <numFmt numFmtId="208" formatCode="&quot;$&quot;#,##0;\(&quot;$&quot;#,##0\);&quot;-&quot;"/>
  </numFmts>
  <fonts count="117">
    <font>
      <name val="Calibri"/>
      <family val="2"/>
      <color theme="1"/>
      <sz val="11"/>
      <scheme val="minor"/>
    </font>
    <font>
      <name val="Calibri"/>
      <family val="2"/>
      <color theme="1"/>
      <sz val="11"/>
      <scheme val="minor"/>
    </font>
    <font>
      <name val="Times New Roman"/>
      <family val="1"/>
      <b val="1"/>
      <color theme="1"/>
      <sz val="10"/>
    </font>
    <font>
      <name val="Times New Roman"/>
      <family val="1"/>
      <color theme="1"/>
      <sz val="10"/>
    </font>
    <font>
      <name val="Times New Roman"/>
      <family val="1"/>
      <b val="1"/>
      <sz val="10"/>
    </font>
    <font>
      <name val="Times New Roman"/>
      <family val="1"/>
      <b val="1"/>
      <color theme="0"/>
      <sz val="10"/>
    </font>
    <font>
      <name val="Times New Roman"/>
      <family val="1"/>
      <sz val="10"/>
    </font>
    <font>
      <name val="Times New Roman"/>
      <family val="1"/>
      <b val="1"/>
      <color theme="1"/>
      <sz val="10"/>
      <u val="single"/>
    </font>
    <font>
      <name val="Times New Roman"/>
      <family val="1"/>
      <color rgb="FF0000FF"/>
      <sz val="10"/>
    </font>
    <font>
      <name val="Times New Roman"/>
      <family val="1"/>
      <color rgb="FF3C12EE"/>
      <sz val="10"/>
    </font>
    <font>
      <name val="Arial"/>
      <family val="2"/>
      <color rgb="FF333333"/>
      <sz val="9"/>
    </font>
    <font>
      <name val="Arial"/>
      <family val="2"/>
      <color rgb="FF000000"/>
      <sz val="10"/>
    </font>
    <font>
      <name val="Calibri"/>
      <family val="2"/>
      <color rgb="FF3F3F76"/>
      <sz val="11"/>
      <scheme val="minor"/>
    </font>
    <font>
      <name val="Tahoma"/>
      <family val="2"/>
      <color indexed="81"/>
      <sz val="9"/>
    </font>
    <font>
      <name val="Tahoma"/>
      <family val="2"/>
      <b val="1"/>
      <color indexed="81"/>
      <sz val="9"/>
    </font>
    <font>
      <name val="Calibri"/>
      <family val="2"/>
      <b val="1"/>
      <color theme="1"/>
      <sz val="11"/>
      <scheme val="minor"/>
    </font>
    <font>
      <name val="Calibri"/>
      <family val="2"/>
      <color theme="0"/>
      <sz val="11"/>
      <scheme val="minor"/>
    </font>
    <font>
      <name val="Calibri"/>
      <family val="2"/>
      <b val="1"/>
      <color indexed="12"/>
      <sz val="18"/>
      <scheme val="minor"/>
    </font>
    <font>
      <name val="Calibri"/>
      <family val="2"/>
      <b val="1"/>
      <color theme="1"/>
      <sz val="18"/>
      <scheme val="minor"/>
    </font>
    <font>
      <name val="Calibri"/>
      <family val="2"/>
      <b val="1"/>
      <sz val="11"/>
      <scheme val="minor"/>
    </font>
    <font>
      <name val="Calibri"/>
      <family val="2"/>
      <b val="1"/>
      <i val="1"/>
      <color indexed="12"/>
      <sz val="11"/>
      <scheme val="minor"/>
    </font>
    <font>
      <name val="Calibri"/>
      <family val="2"/>
      <b val="1"/>
      <i val="1"/>
      <sz val="11"/>
      <scheme val="minor"/>
    </font>
    <font>
      <name val="Calibri"/>
      <family val="2"/>
      <b val="1"/>
      <color rgb="FFFFFFFF"/>
      <sz val="14"/>
      <u val="singleAccounting"/>
      <scheme val="minor"/>
    </font>
    <font>
      <name val="Calibri"/>
      <family val="2"/>
      <b val="1"/>
      <color theme="0"/>
      <sz val="14"/>
      <u val="singleAccounting"/>
      <scheme val="minor"/>
    </font>
    <font>
      <name val="Calibri"/>
      <family val="2"/>
      <b val="1"/>
      <color rgb="FFFFFFFF"/>
      <sz val="14"/>
      <scheme val="minor"/>
    </font>
    <font>
      <name val="Calibri"/>
      <family val="2"/>
      <b val="1"/>
      <color rgb="FFFFFFFF"/>
      <sz val="14"/>
      <u val="singleAccounting"/>
      <vertAlign val="superscript"/>
      <scheme val="minor"/>
    </font>
    <font>
      <name val="Calibri"/>
      <family val="2"/>
      <b val="1"/>
      <color theme="0"/>
      <sz val="14"/>
      <scheme val="minor"/>
    </font>
    <font>
      <name val="Calibri"/>
      <family val="2"/>
      <b val="1"/>
      <color theme="0"/>
      <sz val="14"/>
      <u val="singleAccounting"/>
      <vertAlign val="superscript"/>
      <scheme val="minor"/>
    </font>
    <font>
      <name val="Calibri"/>
      <family val="2"/>
      <b val="1"/>
      <color rgb="FF000000"/>
      <sz val="13"/>
      <scheme val="minor"/>
    </font>
    <font>
      <name val="Calibri"/>
      <family val="2"/>
      <color rgb="FF000000"/>
      <sz val="13"/>
      <scheme val="minor"/>
    </font>
    <font>
      <name val="Calibri"/>
      <family val="2"/>
      <color rgb="FFFF0000"/>
      <sz val="14"/>
      <scheme val="minor"/>
    </font>
    <font>
      <name val="Calibri"/>
      <family val="2"/>
      <b val="1"/>
      <color rgb="FF000000"/>
      <sz val="14"/>
      <scheme val="minor"/>
    </font>
    <font>
      <name val="Calibri"/>
      <family val="2"/>
      <b val="1"/>
      <color rgb="FFFF0000"/>
      <sz val="14"/>
      <scheme val="minor"/>
    </font>
    <font>
      <name val="Calibri"/>
      <family val="2"/>
      <b val="1"/>
      <color indexed="12"/>
      <sz val="10"/>
      <scheme val="minor"/>
    </font>
    <font>
      <name val="Calibri"/>
      <family val="2"/>
      <b val="1"/>
      <color theme="1"/>
      <sz val="10"/>
      <scheme val="minor"/>
    </font>
    <font>
      <name val="Calibri"/>
      <family val="2"/>
      <b val="1"/>
      <i val="1"/>
      <color theme="1"/>
      <sz val="11"/>
      <scheme val="minor"/>
    </font>
    <font>
      <name val="Calibri"/>
      <family val="2"/>
      <color theme="1"/>
      <sz val="10"/>
      <scheme val="minor"/>
    </font>
    <font>
      <name val="Calibri"/>
      <family val="2"/>
      <b val="1"/>
      <color rgb="FF000000"/>
      <sz val="12"/>
      <scheme val="minor"/>
    </font>
    <font>
      <name val="Calibri"/>
      <family val="2"/>
      <sz val="8"/>
      <scheme val="minor"/>
    </font>
    <font>
      <name val="Calibri"/>
      <family val="2"/>
      <b val="1"/>
      <color theme="0"/>
      <sz val="11"/>
      <scheme val="minor"/>
    </font>
    <font>
      <name val="Calibri"/>
      <family val="2"/>
      <color rgb="FF0000FF"/>
      <sz val="11"/>
      <scheme val="minor"/>
    </font>
    <font>
      <name val="Calibri"/>
      <family val="2"/>
      <color rgb="FF000000"/>
      <sz val="11"/>
      <scheme val="minor"/>
    </font>
    <font>
      <name val="Times New Roman"/>
      <family val="1"/>
      <color rgb="FF0A0AFA"/>
      <sz val="10"/>
    </font>
    <font>
      <name val="Calibri"/>
      <family val="2"/>
      <color rgb="FFFF0000"/>
      <sz val="11"/>
      <scheme val="minor"/>
    </font>
    <font>
      <name val="Calibri"/>
      <family val="2"/>
      <color rgb="FF006100"/>
      <sz val="11"/>
      <scheme val="minor"/>
    </font>
    <font>
      <name val="Times New Roman"/>
      <family val="1"/>
      <color rgb="FF008000"/>
      <sz val="10"/>
    </font>
    <font>
      <name val="Calibri"/>
      <family val="2"/>
      <b val="1"/>
      <color rgb="FF000000"/>
      <sz val="11"/>
      <scheme val="minor"/>
    </font>
    <font>
      <name val="Calibri"/>
      <family val="2"/>
      <b val="1"/>
      <color indexed="12"/>
      <sz val="11"/>
      <scheme val="minor"/>
    </font>
    <font>
      <name val="Calibri"/>
      <family val="2"/>
      <color indexed="12"/>
      <sz val="11"/>
      <scheme val="minor"/>
    </font>
    <font>
      <name val="Calibri"/>
      <family val="2"/>
      <b val="1"/>
      <color rgb="FF0000FF"/>
      <sz val="11"/>
      <scheme val="minor"/>
    </font>
    <font>
      <name val="Calibri"/>
      <family val="2"/>
      <color rgb="FF333333"/>
      <sz val="11"/>
      <scheme val="minor"/>
    </font>
    <font>
      <name val="Calibri"/>
      <family val="2"/>
      <color indexed="17"/>
      <sz val="11"/>
      <scheme val="minor"/>
    </font>
    <font>
      <name val="Calibri"/>
      <family val="2"/>
      <i val="1"/>
      <sz val="11"/>
      <scheme val="minor"/>
    </font>
    <font>
      <name val="Calibri"/>
      <family val="2"/>
      <sz val="11"/>
      <scheme val="minor"/>
    </font>
    <font>
      <name val="Calibri"/>
      <family val="2"/>
      <b val="1"/>
      <color indexed="12"/>
      <sz val="11"/>
      <u val="single"/>
      <scheme val="minor"/>
    </font>
    <font>
      <name val="Calibri"/>
      <family val="2"/>
      <color rgb="FF008000"/>
      <sz val="11"/>
      <scheme val="minor"/>
    </font>
    <font>
      <name val="Arial"/>
      <family val="2"/>
      <b val="1"/>
      <color theme="1"/>
      <sz val="10"/>
    </font>
    <font>
      <name val="Arial"/>
      <family val="2"/>
      <color theme="1"/>
      <sz val="10"/>
    </font>
    <font>
      <name val="Arial"/>
      <family val="2"/>
      <b val="1"/>
      <sz val="10"/>
    </font>
    <font>
      <name val="Arial"/>
      <family val="2"/>
      <color rgb="FFFF0000"/>
      <sz val="10"/>
    </font>
    <font>
      <name val="Arial"/>
      <family val="2"/>
      <b val="1"/>
      <color theme="0"/>
      <sz val="10"/>
    </font>
    <font>
      <name val="Arial"/>
      <family val="2"/>
      <b val="1"/>
      <color rgb="FF0000FF"/>
      <sz val="10"/>
    </font>
    <font>
      <name val="Arial"/>
      <family val="2"/>
      <sz val="10"/>
    </font>
    <font>
      <name val="Arial"/>
      <family val="2"/>
      <color rgb="FF0000FF"/>
      <sz val="10"/>
    </font>
    <font>
      <name val="Arial"/>
      <family val="2"/>
      <color theme="1"/>
      <sz val="10"/>
      <u val="single"/>
    </font>
    <font>
      <name val="Arial"/>
      <family val="2"/>
      <color theme="1"/>
      <sz val="11"/>
    </font>
    <font>
      <name val="Arial"/>
      <family val="2"/>
      <b val="1"/>
      <color rgb="FF3C12EE"/>
      <sz val="10"/>
    </font>
    <font>
      <name val="Arial"/>
      <family val="2"/>
      <b val="1"/>
      <color theme="1"/>
      <sz val="9"/>
    </font>
    <font>
      <name val="Arial"/>
      <family val="2"/>
      <sz val="8"/>
    </font>
    <font>
      <name val="Arial"/>
      <family val="2"/>
      <color theme="1"/>
      <sz val="8"/>
    </font>
    <font>
      <name val="Arial"/>
      <family val="2"/>
      <color rgb="FF0A0AFA"/>
      <sz val="8"/>
    </font>
    <font>
      <name val="Arial"/>
      <family val="2"/>
      <color rgb="FF000000"/>
      <sz val="8"/>
    </font>
    <font>
      <name val="Arial"/>
      <family val="2"/>
      <color rgb="FF3C12EE"/>
      <sz val="10"/>
    </font>
    <font>
      <name val="Arial"/>
      <family val="2"/>
      <color theme="0"/>
      <sz val="10"/>
    </font>
    <font>
      <name val="Arial"/>
      <family val="2"/>
      <i val="1"/>
      <color theme="1"/>
      <sz val="10"/>
    </font>
    <font>
      <name val="Arial"/>
      <family val="2"/>
      <color theme="1"/>
      <sz val="9"/>
    </font>
    <font>
      <name val="Arial"/>
      <family val="2"/>
      <color rgb="FF0A0AFA"/>
      <sz val="10"/>
    </font>
    <font>
      <name val="Arial"/>
      <family val="2"/>
      <color rgb="FF006100"/>
      <sz val="10"/>
    </font>
    <font>
      <name val="Arial"/>
      <family val="2"/>
      <b val="1"/>
      <color theme="1"/>
      <sz val="11"/>
    </font>
    <font>
      <name val="Arial"/>
      <family val="2"/>
      <color rgb="FF3F3F76"/>
      <sz val="11"/>
    </font>
    <font>
      <name val="Arial"/>
      <family val="2"/>
      <color rgb="FF000000"/>
      <sz val="11"/>
    </font>
    <font>
      <name val="Arial"/>
      <family val="2"/>
      <color rgb="FFFF0000"/>
      <sz val="11"/>
    </font>
    <font>
      <name val="Arial"/>
      <family val="2"/>
      <color rgb="FF008000"/>
      <sz val="10"/>
    </font>
    <font>
      <name val="Calibri"/>
      <family val="2"/>
      <b val="1"/>
      <color rgb="FFFFFFFF"/>
      <sz val="11"/>
      <scheme val="minor"/>
    </font>
    <font>
      <name val="Calibri"/>
      <family val="2"/>
      <b val="1"/>
      <color rgb="FFFFFFFF"/>
      <sz val="12"/>
      <scheme val="minor"/>
    </font>
    <font>
      <name val="Calibri"/>
      <family val="2"/>
      <b val="1"/>
      <color rgb="FFFF0000"/>
      <sz val="11"/>
      <scheme val="minor"/>
    </font>
    <font>
      <name val="Calibri"/>
      <family val="2"/>
      <i val="1"/>
      <color theme="1"/>
      <sz val="11"/>
      <scheme val="minor"/>
    </font>
    <font>
      <name val="Calibri"/>
      <family val="2"/>
      <color theme="1"/>
      <sz val="9"/>
      <scheme val="minor"/>
    </font>
    <font>
      <name val="Calibri"/>
      <family val="2"/>
      <b val="1"/>
      <i val="1"/>
      <color rgb="FFC00000"/>
      <sz val="8"/>
      <scheme val="minor"/>
    </font>
    <font>
      <name val="Calibri"/>
      <family val="2"/>
      <b val="1"/>
      <color rgb="FFC00000"/>
      <sz val="11"/>
      <scheme val="minor"/>
    </font>
    <font>
      <name val="Calibri"/>
      <family val="2"/>
      <b val="1"/>
      <color rgb="FF0070C0"/>
      <sz val="12"/>
      <scheme val="minor"/>
    </font>
    <font>
      <name val="Calibri"/>
      <family val="2"/>
      <b val="1"/>
      <color rgb="FFFFFFFF"/>
      <sz val="10"/>
      <scheme val="minor"/>
    </font>
    <font>
      <name val="Calibri"/>
      <family val="2"/>
      <b val="1"/>
      <color rgb="FF008000"/>
      <sz val="11"/>
      <scheme val="minor"/>
    </font>
    <font>
      <name val="Calibri"/>
      <family val="2"/>
      <b val="1"/>
      <color rgb="FF9C0006"/>
      <sz val="11"/>
      <scheme val="minor"/>
    </font>
    <font>
      <name val="Calibri"/>
      <family val="2"/>
      <color theme="1"/>
      <sz val="16"/>
      <scheme val="minor"/>
    </font>
    <font>
      <name val="Calibri"/>
      <family val="2"/>
      <i val="1"/>
      <color rgb="FF808080"/>
      <sz val="9"/>
      <scheme val="minor"/>
    </font>
    <font>
      <name val="Calibri"/>
      <b val="1"/>
      <color rgb="FF000000"/>
      <sz val="11"/>
      <scheme val="minor"/>
    </font>
    <font>
      <name val="Calibri"/>
      <color rgb="FF000000"/>
      <sz val="11"/>
      <scheme val="minor"/>
    </font>
    <font>
      <name val="Calibri"/>
      <b val="1"/>
      <color rgb="FFFFFFFF"/>
      <sz val="10"/>
      <scheme val="minor"/>
    </font>
    <font>
      <name val="Calibri"/>
      <b val="1"/>
      <color rgb="FF0070C0"/>
      <sz val="13"/>
      <scheme val="minor"/>
    </font>
    <font>
      <name val="Calibri"/>
      <b val="1"/>
      <color rgb="FFFFFFFF"/>
      <sz val="12"/>
      <scheme val="minor"/>
    </font>
    <font>
      <name val="Calibri"/>
      <b val="1"/>
      <color rgb="FFFFFFFF"/>
      <sz val="11"/>
      <scheme val="minor"/>
    </font>
    <font>
      <name val="Calibri"/>
      <color theme="1"/>
      <sz val="11"/>
      <scheme val="minor"/>
    </font>
    <font>
      <name val="Calibri"/>
      <b val="1"/>
      <color theme="1"/>
      <sz val="13"/>
      <scheme val="minor"/>
    </font>
    <font>
      <name val="Calibri"/>
      <family val="2"/>
      <color rgb="FF555555"/>
      <sz val="9"/>
      <scheme val="minor"/>
    </font>
    <font>
      <name val="Calibri"/>
      <family val="2"/>
      <i val="1"/>
      <color rgb="FF555555"/>
      <sz val="9"/>
      <scheme val="minor"/>
    </font>
    <font>
      <name val="Calibri"/>
      <family val="2"/>
      <b val="1"/>
      <color rgb="FF1F4E79"/>
      <sz val="11"/>
      <scheme val="minor"/>
    </font>
    <font>
      <name val="Calibri"/>
      <family val="2"/>
      <color rgb="FF333333"/>
      <sz val="9"/>
      <scheme val="minor"/>
    </font>
    <font>
      <name val="Calibri"/>
      <family val="2"/>
      <color rgb="FF1F4E79"/>
      <sz val="8"/>
      <scheme val="minor"/>
    </font>
    <font>
      <name val="Calibri"/>
      <family val="2"/>
      <i val="1"/>
      <color rgb="FF333333"/>
      <sz val="9"/>
      <scheme val="minor"/>
    </font>
    <font>
      <name val="Calibri"/>
      <family val="2"/>
      <b val="1"/>
      <color rgb="FFFFFFFF"/>
      <sz val="9"/>
      <scheme val="minor"/>
    </font>
    <font>
      <name val="Calibri"/>
      <family val="2"/>
      <b val="1"/>
      <color theme="1"/>
      <sz val="9"/>
      <scheme val="minor"/>
    </font>
    <font>
      <name val="Calibri"/>
      <family val="2"/>
      <b val="1"/>
      <color rgb="FFC07000"/>
      <sz val="11"/>
      <scheme val="minor"/>
    </font>
    <font>
      <name val="Calibri"/>
      <family val="2"/>
      <b val="1"/>
      <color rgb="FFCC0000"/>
      <sz val="11"/>
      <scheme val="minor"/>
    </font>
    <font>
      <name val="Calibri"/>
      <family val="2"/>
      <i val="1"/>
      <color rgb="FF888888"/>
      <sz val="11"/>
      <scheme val="minor"/>
    </font>
    <font>
      <name val="Calibri"/>
      <family val="2"/>
      <color rgb="FF666666"/>
      <sz val="8"/>
      <scheme val="minor"/>
    </font>
    <font>
      <name val="Calibri"/>
      <family val="2"/>
      <b val="1"/>
      <color rgb="FF666666"/>
      <sz val="8"/>
      <scheme val="minor"/>
    </font>
  </fonts>
  <fills count="55">
    <fill>
      <patternFill/>
    </fill>
    <fill>
      <patternFill patternType="gray125"/>
    </fill>
    <fill>
      <patternFill patternType="solid">
        <fgColor theme="1"/>
        <bgColor indexed="64"/>
      </patternFill>
    </fill>
    <fill>
      <patternFill patternType="solid">
        <fgColor theme="0" tint="-0.1499984740745262"/>
        <bgColor indexed="64"/>
      </patternFill>
    </fill>
    <fill>
      <patternFill patternType="solid">
        <fgColor theme="0"/>
        <bgColor indexed="64"/>
      </patternFill>
    </fill>
    <fill>
      <patternFill patternType="solid">
        <fgColor rgb="FFFFFFFF"/>
        <bgColor rgb="FFFFFFFF"/>
      </patternFill>
    </fill>
    <fill>
      <patternFill patternType="solid">
        <fgColor rgb="FFF8FBFC"/>
        <bgColor rgb="FFFFFFFF"/>
      </patternFill>
    </fill>
    <fill>
      <patternFill patternType="solid">
        <fgColor rgb="FF92D050"/>
        <bgColor rgb="FFFFFFFF"/>
      </patternFill>
    </fill>
    <fill>
      <patternFill patternType="solid">
        <fgColor indexed="9"/>
        <bgColor indexed="9"/>
      </patternFill>
    </fill>
    <fill>
      <patternFill patternType="solid">
        <fgColor rgb="FF0B64A0"/>
        <bgColor rgb="FFFFFFFF"/>
      </patternFill>
    </fill>
    <fill>
      <patternFill patternType="solid">
        <fgColor theme="3" tint="0.5999938962981048"/>
        <bgColor rgb="FFFFFFFF"/>
      </patternFill>
    </fill>
    <fill>
      <patternFill patternType="solid">
        <fgColor rgb="FFCEFFFF"/>
        <bgColor rgb="FFFFFFFF"/>
      </patternFill>
    </fill>
    <fill>
      <patternFill patternType="solid">
        <fgColor theme="0" tint="-0.1499984740745262"/>
        <bgColor rgb="FFFFFFFF"/>
      </patternFill>
    </fill>
    <fill>
      <patternFill patternType="solid">
        <fgColor rgb="FFFFCC99"/>
      </patternFill>
    </fill>
    <fill>
      <patternFill patternType="solid">
        <fgColor theme="9" tint="0.7999816888943144"/>
        <bgColor indexed="64"/>
      </patternFill>
    </fill>
    <fill>
      <patternFill patternType="solid">
        <fgColor theme="2" tint="-0.09997863704336681"/>
        <bgColor indexed="64"/>
      </patternFill>
    </fill>
    <fill>
      <patternFill patternType="solid">
        <fgColor rgb="FFFFFF00"/>
        <bgColor indexed="64"/>
      </patternFill>
    </fill>
    <fill>
      <patternFill patternType="solid">
        <fgColor rgb="FF003454"/>
        <bgColor indexed="64"/>
      </patternFill>
    </fill>
    <fill>
      <patternFill patternType="solid">
        <fgColor rgb="FF79AFE6"/>
        <bgColor indexed="64"/>
      </patternFill>
    </fill>
    <fill>
      <patternFill patternType="solid">
        <fgColor rgb="FFCCFFCC"/>
        <bgColor indexed="64"/>
      </patternFill>
    </fill>
    <fill>
      <patternFill patternType="solid">
        <fgColor theme="0" tint="-0.3499862666707358"/>
        <bgColor indexed="64"/>
      </patternFill>
    </fill>
    <fill>
      <patternFill patternType="solid">
        <fgColor rgb="FF002060"/>
        <bgColor indexed="64"/>
      </patternFill>
    </fill>
    <fill>
      <patternFill patternType="solid">
        <fgColor theme="6"/>
        <bgColor indexed="64"/>
      </patternFill>
    </fill>
    <fill>
      <patternFill patternType="solid">
        <fgColor theme="0" tint="-0.499984740745262"/>
        <bgColor indexed="64"/>
      </patternFill>
    </fill>
    <fill>
      <patternFill patternType="solid">
        <fgColor rgb="FFC6EFCE"/>
      </patternFill>
    </fill>
    <fill>
      <patternFill patternType="solid">
        <fgColor rgb="FFFFFFCC"/>
        <bgColor indexed="64"/>
      </patternFill>
    </fill>
    <fill>
      <patternFill patternType="solid">
        <fgColor rgb="FF002887"/>
        <bgColor indexed="64"/>
      </patternFill>
    </fill>
    <fill>
      <patternFill patternType="solid">
        <fgColor theme="0" tint="-0.0499893185216834"/>
        <bgColor indexed="64"/>
      </patternFill>
    </fill>
    <fill>
      <patternFill patternType="solid">
        <fgColor theme="5" tint="0.7999816888943144"/>
        <bgColor indexed="64"/>
      </patternFill>
    </fill>
    <fill>
      <patternFill patternType="solid">
        <fgColor rgb="FFFCE4D6"/>
        <bgColor indexed="64"/>
      </patternFill>
    </fill>
    <fill>
      <patternFill patternType="solid">
        <fgColor rgb="FFFF0000"/>
        <bgColor indexed="64"/>
      </patternFill>
    </fill>
    <fill>
      <patternFill patternType="solid">
        <fgColor theme="5"/>
        <bgColor indexed="64"/>
      </patternFill>
    </fill>
    <fill>
      <patternFill patternType="solid">
        <fgColor rgb="FFD9E1F2"/>
        <bgColor indexed="64"/>
      </patternFill>
    </fill>
    <fill>
      <patternFill patternType="solid">
        <fgColor rgb="FFFFF2CC"/>
        <bgColor indexed="64"/>
      </patternFill>
    </fill>
    <fill>
      <patternFill patternType="solid">
        <fgColor rgb="FF70AD47"/>
        <bgColor indexed="64"/>
      </patternFill>
    </fill>
    <fill>
      <patternFill patternType="solid">
        <fgColor theme="1"/>
        <bgColor rgb="FFFFFFFF"/>
      </patternFill>
    </fill>
    <fill>
      <patternFill patternType="solid">
        <fgColor rgb="FF0B64A0"/>
        <bgColor indexed="64"/>
      </patternFill>
    </fill>
    <fill>
      <patternFill patternType="solid">
        <fgColor rgb="FF4472C4"/>
        <bgColor indexed="64"/>
      </patternFill>
    </fill>
    <fill>
      <patternFill patternType="solid">
        <fgColor rgb="FFF8F8F8"/>
        <bgColor indexed="64"/>
      </patternFill>
    </fill>
    <fill>
      <patternFill patternType="solid">
        <fgColor rgb="FFDDEBF7"/>
        <bgColor indexed="64"/>
      </patternFill>
    </fill>
    <fill>
      <patternFill patternType="solid">
        <fgColor rgb="FFD9E2F3"/>
        <bgColor indexed="64"/>
      </patternFill>
    </fill>
    <fill>
      <patternFill patternType="solid">
        <fgColor rgb="FF5B9BD5"/>
        <bgColor indexed="64"/>
      </patternFill>
    </fill>
    <fill>
      <patternFill patternType="solid">
        <fgColor rgb="FFE7F0FD"/>
        <bgColor indexed="64"/>
      </patternFill>
    </fill>
    <fill>
      <patternFill patternType="solid">
        <fgColor rgb="FFDEE9F7"/>
        <bgColor indexed="64"/>
      </patternFill>
    </fill>
    <fill>
      <patternFill patternType="solid">
        <fgColor rgb="FFCFD5EA"/>
        <bgColor indexed="64"/>
      </patternFill>
    </fill>
    <fill>
      <patternFill patternType="solid">
        <fgColor rgb="FFE2EFDA"/>
        <bgColor indexed="64"/>
      </patternFill>
    </fill>
    <fill>
      <patternFill patternType="solid">
        <fgColor rgb="FFFFE699"/>
        <bgColor indexed="64"/>
      </patternFill>
    </fill>
    <fill>
      <patternFill patternType="solid">
        <fgColor rgb="FFC6E0B4"/>
        <bgColor indexed="64"/>
      </patternFill>
    </fill>
    <fill>
      <patternFill patternType="solid">
        <fgColor rgb="FFF4B084"/>
        <bgColor indexed="64"/>
      </patternFill>
    </fill>
    <fill>
      <patternFill patternType="solid">
        <fgColor rgb="FFFFFFFF"/>
        <bgColor indexed="64"/>
      </patternFill>
    </fill>
    <fill>
      <patternFill patternType="solid">
        <fgColor rgb="FFF2F2F2"/>
        <bgColor indexed="64"/>
      </patternFill>
    </fill>
    <fill>
      <patternFill patternType="solid">
        <fgColor rgb="FFFFF4E6"/>
        <bgColor indexed="64"/>
      </patternFill>
    </fill>
    <fill>
      <patternFill patternType="solid">
        <fgColor rgb="FF1F4E79"/>
        <bgColor indexed="64"/>
      </patternFill>
    </fill>
    <fill>
      <patternFill patternType="solid">
        <fgColor rgb="FF2E75B6"/>
        <bgColor indexed="64"/>
      </patternFill>
    </fill>
    <fill>
      <patternFill patternType="solid">
        <fgColor rgb="FFD6E4F0"/>
        <bgColor indexed="64"/>
      </patternFill>
    </fill>
  </fills>
  <borders count="66">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style="thin">
        <color indexed="64"/>
      </left>
      <right/>
      <top/>
      <bottom style="thin">
        <color indexed="64"/>
      </bottom>
      <diagonal/>
    </border>
    <border>
      <left/>
      <right/>
      <top style="thin">
        <color auto="1"/>
      </top>
      <bottom/>
      <diagonal/>
    </border>
    <border>
      <left/>
      <right/>
      <top style="thin">
        <color theme="0"/>
      </top>
      <bottom style="double">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medium">
        <color indexed="64"/>
      </left>
      <right/>
      <top/>
      <bottom/>
      <diagonal/>
    </border>
    <border>
      <left/>
      <right/>
      <top style="medium">
        <color indexed="64"/>
      </top>
      <bottom/>
      <diagonal/>
    </border>
    <border>
      <left/>
      <right style="medium">
        <color indexed="64"/>
      </right>
      <top/>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dotted">
        <color indexed="64"/>
      </left>
      <right/>
      <top/>
      <bottom/>
      <diagonal/>
    </border>
    <border>
      <left style="dotted">
        <color indexed="64"/>
      </left>
      <right style="dotted">
        <color indexed="64"/>
      </right>
      <top/>
      <bottom/>
      <diagonal/>
    </border>
    <border>
      <left style="dotted">
        <color indexed="64"/>
      </left>
      <right style="medium">
        <color indexed="64"/>
      </right>
      <top/>
      <bottom/>
      <diagonal/>
    </border>
    <border>
      <left style="dotted">
        <color indexed="64"/>
      </left>
      <right style="thin">
        <color indexed="64"/>
      </right>
      <top/>
      <bottom/>
      <diagonal/>
    </border>
    <border>
      <left style="thin">
        <color theme="0"/>
      </left>
      <right/>
      <top/>
      <bottom/>
      <diagonal/>
    </border>
    <border>
      <left style="thin">
        <color rgb="FFEBEBEB"/>
      </left>
      <right style="thin">
        <color rgb="FFEBEBEB"/>
      </right>
      <top style="thin">
        <color rgb="FFEBEBEB"/>
      </top>
      <bottom style="thin">
        <color rgb="FFEBEBEB"/>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thin">
        <color rgb="FF3877A6"/>
      </left>
      <right style="thin">
        <color rgb="FF3877A6"/>
      </right>
      <top style="thin">
        <color rgb="FF3877A6"/>
      </top>
      <bottom style="thin">
        <color rgb="FFA5A5B1"/>
      </bottom>
      <diagonal/>
    </border>
    <border>
      <left style="medium">
        <color indexed="64"/>
      </left>
      <right/>
      <top style="medium">
        <color indexed="64"/>
      </top>
      <bottom/>
      <diagonal/>
    </border>
    <border>
      <left/>
      <right style="medium">
        <color indexed="64"/>
      </right>
      <top style="medium">
        <color indexed="64"/>
      </top>
      <bottom/>
      <diagonal/>
    </border>
    <border>
      <left style="thin">
        <color rgb="FF7F7F7F"/>
      </left>
      <right style="thin">
        <color rgb="FF7F7F7F"/>
      </right>
      <top style="thin">
        <color rgb="FF7F7F7F"/>
      </top>
      <bottom style="thin">
        <color rgb="FF7F7F7F"/>
      </bottom>
      <diagonal/>
    </border>
    <border>
      <left style="thin">
        <color rgb="FF7F7F7F"/>
      </left>
      <right style="thin">
        <color rgb="FF7F7F7F"/>
      </right>
      <top style="thin">
        <color indexed="64"/>
      </top>
      <bottom style="thin">
        <color rgb="FF7F7F7F"/>
      </bottom>
      <diagonal/>
    </border>
    <border>
      <left style="thin">
        <color rgb="FF7F7F7F"/>
      </left>
      <right style="thin">
        <color rgb="FF7F7F7F"/>
      </right>
      <top style="thin">
        <color rgb="FF7F7F7F"/>
      </top>
      <bottom style="thin">
        <color indexed="64"/>
      </bottom>
      <diagonal/>
    </border>
    <border>
      <left style="thin">
        <color rgb="FF7F7F7F"/>
      </left>
      <right style="thin">
        <color rgb="FF7F7F7F"/>
      </right>
      <top/>
      <bottom style="thin">
        <color rgb="FF7F7F7F"/>
      </bottom>
      <diagonal/>
    </border>
    <border>
      <left style="thin">
        <color rgb="FF3877A6"/>
      </left>
      <right/>
      <top/>
      <bottom/>
      <diagonal/>
    </border>
    <border>
      <left/>
      <right/>
      <top/>
      <bottom style="medium">
        <color auto="1"/>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style="thin">
        <color theme="0"/>
      </top>
      <bottom/>
      <diagonal/>
    </border>
    <border>
      <left/>
      <right/>
      <top/>
      <bottom style="thin">
        <color theme="0"/>
      </bottom>
      <diagonal/>
    </border>
    <border>
      <left style="thin">
        <color indexed="64"/>
      </left>
      <right style="thin">
        <color indexed="64"/>
      </right>
      <top style="thin">
        <color indexed="64"/>
      </top>
      <bottom style="double">
        <color indexed="64"/>
      </bottom>
      <diagonal/>
    </border>
    <border>
      <left/>
      <right style="hair">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rgb="FF4472C4"/>
      </left>
      <right/>
      <top style="medium">
        <color rgb="FF4472C4"/>
      </top>
      <bottom/>
      <diagonal/>
    </border>
    <border>
      <left style="medium">
        <color rgb="FF0B64A0"/>
      </left>
      <right/>
      <top style="medium">
        <color rgb="FF0B64A0"/>
      </top>
      <bottom/>
      <diagonal/>
    </border>
    <border>
      <left style="thin">
        <color rgb="FFD0D0D0"/>
      </left>
      <right/>
      <top style="thin">
        <color rgb="FFD0D0D0"/>
      </top>
      <bottom/>
      <diagonal/>
    </border>
    <border>
      <left/>
      <right/>
      <top style="medium">
        <color rgb="FF5B9BD5"/>
      </top>
      <bottom/>
      <diagonal/>
    </border>
    <border>
      <left/>
      <right/>
      <top/>
      <bottom style="medium">
        <color rgb="FF1F4E79"/>
      </bottom>
      <diagonal/>
    </border>
    <border>
      <left/>
      <right/>
      <top style="thin">
        <color indexed="64"/>
      </top>
      <bottom/>
      <diagonal/>
    </border>
    <border>
      <left/>
      <right style="thin">
        <color indexed="64"/>
      </right>
      <top style="thin">
        <color auto="1"/>
      </top>
      <bottom style="thin">
        <color indexed="64"/>
      </bottom>
      <diagonal/>
    </border>
    <border>
      <left/>
      <right style="thin">
        <color indexed="64"/>
      </right>
      <top style="thin">
        <color auto="1"/>
      </top>
      <bottom/>
      <diagonal/>
    </border>
  </borders>
  <cellStyleXfs count="21">
    <xf numFmtId="0" fontId="1" fillId="0" borderId="0"/>
    <xf numFmtId="43" fontId="1" fillId="0" borderId="0"/>
    <xf numFmtId="44" fontId="1" fillId="0" borderId="0"/>
    <xf numFmtId="9" fontId="1" fillId="0" borderId="0"/>
    <xf numFmtId="0" fontId="6" fillId="0" borderId="0" applyAlignment="1">
      <alignment horizontal="left" wrapText="1"/>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2" fillId="13" borderId="42"/>
    <xf numFmtId="0" fontId="44" fillId="24" borderId="0"/>
    <xf numFmtId="0" fontId="1" fillId="0" borderId="0"/>
    <xf numFmtId="0" fontId="57" fillId="0" borderId="0"/>
    <xf numFmtId="9" fontId="57" fillId="0" borderId="0"/>
    <xf numFmtId="43" fontId="57" fillId="0" borderId="0"/>
  </cellStyleXfs>
  <cellXfs count="1240">
    <xf numFmtId="0" fontId="0" fillId="0" borderId="0" pivotButton="0" quotePrefix="0" xfId="0"/>
    <xf numFmtId="0" fontId="2" fillId="0" borderId="0" pivotButton="0" quotePrefix="0" xfId="0"/>
    <xf numFmtId="0" fontId="3" fillId="0" borderId="0" pivotButton="0" quotePrefix="0" xfId="0"/>
    <xf numFmtId="164" fontId="3" fillId="0" borderId="0" applyAlignment="1" pivotButton="0" quotePrefix="0" xfId="2">
      <alignment horizontal="center"/>
    </xf>
    <xf numFmtId="0" fontId="5" fillId="2" borderId="0" pivotButton="0" quotePrefix="0" xfId="0"/>
    <xf numFmtId="165" fontId="3" fillId="0" borderId="0" pivotButton="0" quotePrefix="0" xfId="3"/>
    <xf numFmtId="0" fontId="3" fillId="0" borderId="5" pivotButton="0" quotePrefix="0" xfId="0"/>
    <xf numFmtId="0" fontId="6" fillId="0" borderId="0" pivotButton="0" quotePrefix="0" xfId="0"/>
    <xf numFmtId="10" fontId="3" fillId="0" borderId="0" applyAlignment="1" pivotButton="0" quotePrefix="0" xfId="3">
      <alignment horizontal="center"/>
    </xf>
    <xf numFmtId="0" fontId="0" fillId="0" borderId="0" applyAlignment="1" pivotButton="0" quotePrefix="0" xfId="0">
      <alignment horizontal="left"/>
    </xf>
    <xf numFmtId="0" fontId="0" fillId="0" borderId="0" applyAlignment="1" pivotButton="0" quotePrefix="0" xfId="0">
      <alignment horizontal="center"/>
    </xf>
    <xf numFmtId="0" fontId="2" fillId="0" borderId="0" applyAlignment="1" pivotButton="0" quotePrefix="0" xfId="0">
      <alignment horizontal="center"/>
    </xf>
    <xf numFmtId="166" fontId="3" fillId="0" borderId="0" applyAlignment="1" pivotButton="0" quotePrefix="0" xfId="0">
      <alignment horizontal="left"/>
    </xf>
    <xf numFmtId="0" fontId="5" fillId="0" borderId="0" pivotButton="0" quotePrefix="0" xfId="0"/>
    <xf numFmtId="0" fontId="2" fillId="0" borderId="6" applyAlignment="1" pivotButton="0" quotePrefix="0" xfId="0">
      <alignment horizontal="centerContinuous"/>
    </xf>
    <xf numFmtId="0" fontId="2" fillId="0" borderId="0" applyAlignment="1" pivotButton="0" quotePrefix="0" xfId="0">
      <alignment horizontal="centerContinuous"/>
    </xf>
    <xf numFmtId="0" fontId="2" fillId="0" borderId="7" applyAlignment="1" pivotButton="0" quotePrefix="0" xfId="0">
      <alignment horizontal="centerContinuous"/>
    </xf>
    <xf numFmtId="0" fontId="2" fillId="0" borderId="5" applyAlignment="1" pivotButton="0" quotePrefix="0" xfId="0">
      <alignment horizontal="centerContinuous"/>
    </xf>
    <xf numFmtId="0" fontId="7" fillId="0" borderId="0" pivotButton="0" quotePrefix="0" xfId="0"/>
    <xf numFmtId="0" fontId="2" fillId="0" borderId="5" applyAlignment="1" pivotButton="0" quotePrefix="0" xfId="0">
      <alignment horizontal="center"/>
    </xf>
    <xf numFmtId="0" fontId="2" fillId="0" borderId="1" applyAlignment="1" pivotButton="0" quotePrefix="0" xfId="0">
      <alignment horizontal="center"/>
    </xf>
    <xf numFmtId="0" fontId="2" fillId="0" borderId="2" applyAlignment="1" pivotButton="0" quotePrefix="0" xfId="0">
      <alignment horizontal="center"/>
    </xf>
    <xf numFmtId="10" fontId="3" fillId="0" borderId="0" applyAlignment="1" pivotButton="0" quotePrefix="0" xfId="0">
      <alignment horizontal="center"/>
    </xf>
    <xf numFmtId="0" fontId="3" fillId="0" borderId="0" applyAlignment="1" pivotButton="0" quotePrefix="0" xfId="0">
      <alignment horizontal="center"/>
    </xf>
    <xf numFmtId="167" fontId="3" fillId="0" borderId="6" applyAlignment="1" pivotButton="0" quotePrefix="0" xfId="1">
      <alignment horizontal="center"/>
    </xf>
    <xf numFmtId="165" fontId="3" fillId="0" borderId="0" applyAlignment="1" pivotButton="0" quotePrefix="0" xfId="3">
      <alignment horizontal="center"/>
    </xf>
    <xf numFmtId="0" fontId="3" fillId="0" borderId="8" applyAlignment="1" pivotButton="0" quotePrefix="0" xfId="0">
      <alignment horizontal="center"/>
    </xf>
    <xf numFmtId="167" fontId="3" fillId="0" borderId="8" applyAlignment="1" pivotButton="0" quotePrefix="0" xfId="1">
      <alignment horizontal="center"/>
    </xf>
    <xf numFmtId="165" fontId="3" fillId="0" borderId="8" applyAlignment="1" pivotButton="0" quotePrefix="0" xfId="3">
      <alignment horizontal="center"/>
    </xf>
    <xf numFmtId="0" fontId="3" fillId="0" borderId="9" pivotButton="0" quotePrefix="0" xfId="0"/>
    <xf numFmtId="0" fontId="3" fillId="0" borderId="9" applyAlignment="1" pivotButton="0" quotePrefix="0" xfId="0">
      <alignment horizontal="center"/>
    </xf>
    <xf numFmtId="167" fontId="3" fillId="0" borderId="9" pivotButton="0" quotePrefix="0" xfId="1"/>
    <xf numFmtId="165" fontId="3" fillId="0" borderId="9" pivotButton="0" quotePrefix="0" xfId="3"/>
    <xf numFmtId="168" fontId="3" fillId="0" borderId="0" pivotButton="0" quotePrefix="0" xfId="2"/>
    <xf numFmtId="167" fontId="3" fillId="0" borderId="0" pivotButton="0" quotePrefix="0" xfId="1"/>
    <xf numFmtId="164" fontId="3" fillId="0" borderId="0" pivotButton="0" quotePrefix="0" xfId="2"/>
    <xf numFmtId="10" fontId="3" fillId="0" borderId="0" pivotButton="0" quotePrefix="0" xfId="3"/>
    <xf numFmtId="0" fontId="4" fillId="0" borderId="0" pivotButton="0" quotePrefix="0" xfId="0"/>
    <xf numFmtId="41" fontId="3" fillId="0" borderId="0" pivotButton="0" quotePrefix="0" xfId="0"/>
    <xf numFmtId="3" fontId="6" fillId="0" borderId="0" applyAlignment="1" pivotButton="0" quotePrefix="0" xfId="0">
      <alignment horizontal="center"/>
    </xf>
    <xf numFmtId="0" fontId="2" fillId="3" borderId="5" applyAlignment="1" pivotButton="0" quotePrefix="0" xfId="0">
      <alignment horizontal="centerContinuous"/>
    </xf>
    <xf numFmtId="0" fontId="2" fillId="0" borderId="0" applyAlignment="1" pivotButton="0" quotePrefix="0" xfId="0">
      <alignment horizontal="left"/>
    </xf>
    <xf numFmtId="0" fontId="3" fillId="0" borderId="0" applyAlignment="1" pivotButton="0" quotePrefix="0" xfId="0">
      <alignment horizontal="centerContinuous"/>
    </xf>
    <xf numFmtId="165" fontId="9" fillId="0" borderId="0" applyAlignment="1" pivotButton="0" quotePrefix="0" xfId="3">
      <alignment horizontal="center"/>
    </xf>
    <xf numFmtId="3" fontId="9" fillId="0" borderId="0" applyAlignment="1" pivotButton="0" quotePrefix="0" xfId="0">
      <alignment horizontal="center"/>
    </xf>
    <xf numFmtId="0" fontId="2" fillId="3" borderId="5" pivotButton="0" quotePrefix="0" xfId="0"/>
    <xf numFmtId="10" fontId="2" fillId="3" borderId="5" applyAlignment="1" pivotButton="0" quotePrefix="0" xfId="0">
      <alignment horizontal="center"/>
    </xf>
    <xf numFmtId="0" fontId="3" fillId="0" borderId="0" applyAlignment="1" pivotButton="0" quotePrefix="0" xfId="0">
      <alignment horizontal="left"/>
    </xf>
    <xf numFmtId="0" fontId="6" fillId="0" borderId="0" applyAlignment="1" pivotButton="0" quotePrefix="0" xfId="4">
      <alignment horizontal="left"/>
    </xf>
    <xf numFmtId="41" fontId="3" fillId="0" borderId="0" applyAlignment="1" pivotButton="0" quotePrefix="0" xfId="0">
      <alignment horizontal="center"/>
    </xf>
    <xf numFmtId="0" fontId="2" fillId="0" borderId="5" pivotButton="0" quotePrefix="0" xfId="0"/>
    <xf numFmtId="165" fontId="3" fillId="0" borderId="0" applyAlignment="1" pivotButton="0" quotePrefix="0" xfId="3">
      <alignment horizontal="center"/>
    </xf>
    <xf numFmtId="0" fontId="6" fillId="0" borderId="8" applyAlignment="1" pivotButton="0" quotePrefix="0" xfId="4">
      <alignment horizontal="left"/>
    </xf>
    <xf numFmtId="41" fontId="3" fillId="0" borderId="8" applyAlignment="1" pivotButton="0" quotePrefix="0" xfId="0">
      <alignment horizontal="center"/>
    </xf>
    <xf numFmtId="1" fontId="10" fillId="6" borderId="35" applyAlignment="1" pivotButton="0" quotePrefix="0" xfId="0">
      <alignment horizontal="right"/>
    </xf>
    <xf numFmtId="1" fontId="10" fillId="5" borderId="35" applyAlignment="1" pivotButton="0" quotePrefix="0" xfId="0">
      <alignment horizontal="right"/>
    </xf>
    <xf numFmtId="43" fontId="0" fillId="0" borderId="0" pivotButton="0" quotePrefix="0" xfId="0"/>
    <xf numFmtId="169" fontId="3" fillId="0" borderId="0" pivotButton="0" quotePrefix="0" xfId="0"/>
    <xf numFmtId="170" fontId="2" fillId="0" borderId="0" applyAlignment="1" pivotButton="0" quotePrefix="0" xfId="0">
      <alignment horizontal="left"/>
    </xf>
    <xf numFmtId="167" fontId="0" fillId="0" borderId="0" pivotButton="0" quotePrefix="0" xfId="0"/>
    <xf numFmtId="167" fontId="3" fillId="0" borderId="0" applyAlignment="1" pivotButton="0" quotePrefix="0" xfId="1">
      <alignment horizontal="center"/>
    </xf>
    <xf numFmtId="41" fontId="3" fillId="14" borderId="0" pivotButton="0" quotePrefix="0" xfId="0"/>
    <xf numFmtId="41" fontId="3" fillId="0" borderId="5" pivotButton="0" quotePrefix="0" xfId="0"/>
    <xf numFmtId="0" fontId="3" fillId="15" borderId="0" pivotButton="0" quotePrefix="0" xfId="0"/>
    <xf numFmtId="165" fontId="3" fillId="15" borderId="0" pivotButton="0" quotePrefix="0" xfId="3"/>
    <xf numFmtId="165" fontId="8" fillId="15" borderId="0" applyAlignment="1" pivotButton="0" quotePrefix="0" xfId="3">
      <alignment horizontal="right"/>
    </xf>
    <xf numFmtId="165" fontId="3" fillId="15" borderId="0" applyAlignment="1" pivotButton="0" quotePrefix="0" xfId="3">
      <alignment horizontal="right"/>
    </xf>
    <xf numFmtId="167" fontId="3" fillId="0" borderId="6" applyAlignment="1" pivotButton="0" quotePrefix="0" xfId="1">
      <alignment horizontal="center"/>
    </xf>
    <xf numFmtId="0" fontId="0" fillId="0" borderId="0" applyAlignment="1" pivotButton="0" quotePrefix="0" xfId="0">
      <alignment horizontal="center" vertical="center"/>
    </xf>
    <xf numFmtId="0" fontId="3" fillId="16" borderId="0" pivotButton="0" quotePrefix="0" xfId="0"/>
    <xf numFmtId="165" fontId="3" fillId="0" borderId="0" applyAlignment="1" pivotButton="0" quotePrefix="0" xfId="3">
      <alignment horizontal="center"/>
    </xf>
    <xf numFmtId="167" fontId="6" fillId="0" borderId="6" applyAlignment="1" pivotButton="0" quotePrefix="0" xfId="1">
      <alignment horizontal="center"/>
    </xf>
    <xf numFmtId="165" fontId="6" fillId="0" borderId="0" applyAlignment="1" pivotButton="0" quotePrefix="0" xfId="3">
      <alignment horizontal="center"/>
    </xf>
    <xf numFmtId="0" fontId="17" fillId="0" borderId="0" pivotButton="0" quotePrefix="0" xfId="0"/>
    <xf numFmtId="0" fontId="18" fillId="0" borderId="0" pivotButton="0" quotePrefix="0" xfId="0"/>
    <xf numFmtId="9" fontId="19" fillId="0" borderId="0" pivotButton="0" quotePrefix="0" xfId="3"/>
    <xf numFmtId="9" fontId="15" fillId="0" borderId="0" pivotButton="0" quotePrefix="0" xfId="3"/>
    <xf numFmtId="9" fontId="20" fillId="0" borderId="0" applyAlignment="1" pivotButton="0" quotePrefix="0" xfId="3">
      <alignment horizontal="left" vertical="center" readingOrder="1"/>
    </xf>
    <xf numFmtId="9" fontId="21" fillId="0" borderId="0" applyAlignment="1" pivotButton="0" quotePrefix="0" xfId="3">
      <alignment horizontal="left" vertical="center" wrapText="1" readingOrder="1"/>
    </xf>
    <xf numFmtId="9" fontId="22" fillId="0" borderId="0" applyAlignment="1" pivotButton="0" quotePrefix="0" xfId="3">
      <alignment horizontal="center" wrapText="1" readingOrder="1"/>
    </xf>
    <xf numFmtId="0" fontId="22" fillId="0" borderId="0" applyAlignment="1" pivotButton="0" quotePrefix="0" xfId="3">
      <alignment horizontal="center" wrapText="1" readingOrder="1"/>
    </xf>
    <xf numFmtId="9" fontId="23" fillId="17" borderId="8" applyAlignment="1" pivotButton="0" quotePrefix="0" xfId="3">
      <alignment horizontal="center" readingOrder="1"/>
    </xf>
    <xf numFmtId="9" fontId="23" fillId="17" borderId="8" applyAlignment="1" pivotButton="0" quotePrefix="0" xfId="3">
      <alignment horizontal="center" wrapText="1" readingOrder="1"/>
    </xf>
    <xf numFmtId="0" fontId="23" fillId="17" borderId="8" applyAlignment="1" pivotButton="0" quotePrefix="0" xfId="3">
      <alignment horizontal="center" wrapText="1" readingOrder="1"/>
    </xf>
    <xf numFmtId="9" fontId="23" fillId="17" borderId="8" applyAlignment="1" pivotButton="0" quotePrefix="0" xfId="3">
      <alignment horizontal="centerContinuous" wrapText="1" readingOrder="1"/>
    </xf>
    <xf numFmtId="9" fontId="22" fillId="17" borderId="8" applyAlignment="1" pivotButton="0" quotePrefix="0" xfId="3">
      <alignment horizontal="centerContinuous" readingOrder="1"/>
    </xf>
    <xf numFmtId="9" fontId="24" fillId="17" borderId="8" applyAlignment="1" pivotButton="0" quotePrefix="0" xfId="3">
      <alignment horizontal="centerContinuous" readingOrder="1"/>
    </xf>
    <xf numFmtId="0" fontId="16" fillId="0" borderId="0" pivotButton="0" quotePrefix="0" xfId="0"/>
    <xf numFmtId="9" fontId="23" fillId="17" borderId="0" applyAlignment="1" pivotButton="0" quotePrefix="0" xfId="3">
      <alignment horizontal="center" readingOrder="1"/>
    </xf>
    <xf numFmtId="9" fontId="23" fillId="17" borderId="0" applyAlignment="1" pivotButton="0" quotePrefix="0" xfId="3">
      <alignment horizontal="center" wrapText="1" readingOrder="1"/>
    </xf>
    <xf numFmtId="9" fontId="26" fillId="17" borderId="0" applyAlignment="1" pivotButton="0" quotePrefix="1" xfId="3">
      <alignment horizontal="centerContinuous" wrapText="1" readingOrder="1"/>
    </xf>
    <xf numFmtId="9" fontId="26" fillId="17" borderId="0" applyAlignment="1" pivotButton="0" quotePrefix="0" xfId="3">
      <alignment horizontal="center" wrapText="1" readingOrder="1"/>
    </xf>
    <xf numFmtId="0" fontId="26" fillId="17" borderId="0" applyAlignment="1" pivotButton="0" quotePrefix="0" xfId="3">
      <alignment horizontal="center" wrapText="1" readingOrder="1"/>
    </xf>
    <xf numFmtId="9" fontId="24" fillId="17" borderId="0" applyAlignment="1" pivotButton="0" quotePrefix="0" xfId="3">
      <alignment horizontal="center" wrapText="1" readingOrder="1"/>
    </xf>
    <xf numFmtId="9" fontId="24" fillId="17" borderId="0" applyAlignment="1" pivotButton="0" quotePrefix="0" xfId="3">
      <alignment horizontal="center" readingOrder="1"/>
    </xf>
    <xf numFmtId="9" fontId="22" fillId="17" borderId="0" applyAlignment="1" pivotButton="0" quotePrefix="0" xfId="3">
      <alignment horizontal="centerContinuous" readingOrder="1"/>
    </xf>
    <xf numFmtId="9" fontId="24" fillId="17" borderId="0" applyAlignment="1" pivotButton="0" quotePrefix="0" xfId="3">
      <alignment horizontal="centerContinuous" readingOrder="1"/>
    </xf>
    <xf numFmtId="9" fontId="24" fillId="17" borderId="0" applyAlignment="1" pivotButton="0" quotePrefix="1" xfId="3">
      <alignment horizontal="centerContinuous" readingOrder="1"/>
    </xf>
    <xf numFmtId="9" fontId="26" fillId="17" borderId="0" applyAlignment="1" pivotButton="0" quotePrefix="0" xfId="3">
      <alignment horizontal="centerContinuous" wrapText="1" readingOrder="1"/>
    </xf>
    <xf numFmtId="9" fontId="26" fillId="17" borderId="0" applyAlignment="1" pivotButton="0" quotePrefix="0" xfId="3">
      <alignment horizontal="center" readingOrder="1"/>
    </xf>
    <xf numFmtId="9" fontId="26" fillId="17" borderId="0" applyAlignment="1" pivotButton="0" quotePrefix="0" xfId="3">
      <alignment horizontal="left" wrapText="1" readingOrder="1"/>
    </xf>
    <xf numFmtId="9" fontId="23" fillId="17" borderId="0" applyAlignment="1" pivotButton="0" quotePrefix="0" xfId="3">
      <alignment horizontal="centerContinuous" readingOrder="1"/>
    </xf>
    <xf numFmtId="0" fontId="23" fillId="17" borderId="0" applyAlignment="1" pivotButton="0" quotePrefix="0" xfId="3">
      <alignment horizontal="center" wrapText="1" readingOrder="1"/>
    </xf>
    <xf numFmtId="9" fontId="22" fillId="17" borderId="0" applyAlignment="1" pivotButton="0" quotePrefix="0" xfId="3">
      <alignment horizontal="center" wrapText="1" readingOrder="1"/>
    </xf>
    <xf numFmtId="9" fontId="22" fillId="17" borderId="0" applyAlignment="1" pivotButton="0" quotePrefix="0" xfId="3">
      <alignment horizontal="center" readingOrder="1"/>
    </xf>
    <xf numFmtId="9" fontId="28" fillId="0" borderId="0" applyAlignment="1" pivotButton="0" quotePrefix="0" xfId="3">
      <alignment vertical="center" readingOrder="1"/>
    </xf>
    <xf numFmtId="171" fontId="28" fillId="0" borderId="0" applyAlignment="1" pivotButton="0" quotePrefix="0" xfId="3">
      <alignment horizontal="center" vertical="center" readingOrder="1"/>
    </xf>
    <xf numFmtId="172" fontId="28" fillId="0" borderId="0" applyAlignment="1" pivotButton="0" quotePrefix="0" xfId="3">
      <alignment vertical="center" wrapText="1" readingOrder="1"/>
    </xf>
    <xf numFmtId="172" fontId="29" fillId="0" borderId="0" applyAlignment="1" pivotButton="0" quotePrefix="0" xfId="3">
      <alignment horizontal="center" vertical="center" wrapText="1" readingOrder="1"/>
    </xf>
    <xf numFmtId="165" fontId="29" fillId="0" borderId="0" applyAlignment="1" pivotButton="0" quotePrefix="0" xfId="3">
      <alignment horizontal="center" vertical="center" wrapText="1" readingOrder="1"/>
    </xf>
    <xf numFmtId="9" fontId="29" fillId="0" borderId="0" applyAlignment="1" pivotButton="0" quotePrefix="0" xfId="3">
      <alignment horizontal="center" vertical="center" wrapText="1" readingOrder="1"/>
    </xf>
    <xf numFmtId="0" fontId="29" fillId="0" borderId="0" applyAlignment="1" pivotButton="0" quotePrefix="0" xfId="3">
      <alignment horizontal="center" vertical="center" wrapText="1" readingOrder="1"/>
    </xf>
    <xf numFmtId="173" fontId="29" fillId="0" borderId="0" applyAlignment="1" pivotButton="0" quotePrefix="0" xfId="3">
      <alignment horizontal="center" vertical="center" wrapText="1" readingOrder="1"/>
    </xf>
    <xf numFmtId="14" fontId="29" fillId="0" borderId="0" applyAlignment="1" pivotButton="0" quotePrefix="0" xfId="3">
      <alignment horizontal="center" vertical="center" wrapText="1" readingOrder="1"/>
    </xf>
    <xf numFmtId="174" fontId="29" fillId="0" borderId="0" applyAlignment="1" pivotButton="0" quotePrefix="0" xfId="3">
      <alignment horizontal="center" vertical="center" wrapText="1" readingOrder="1"/>
    </xf>
    <xf numFmtId="175" fontId="29" fillId="0" borderId="0" applyAlignment="1" pivotButton="0" quotePrefix="0" xfId="3">
      <alignment horizontal="center" vertical="center" wrapText="1" readingOrder="1"/>
    </xf>
    <xf numFmtId="1" fontId="29" fillId="0" borderId="0" applyAlignment="1" pivotButton="0" quotePrefix="0" xfId="3">
      <alignment horizontal="center" vertical="center" wrapText="1" readingOrder="1"/>
    </xf>
    <xf numFmtId="0" fontId="29" fillId="0" borderId="0" pivotButton="0" quotePrefix="0" xfId="0"/>
    <xf numFmtId="0" fontId="30" fillId="0" borderId="0" pivotButton="0" quotePrefix="0" xfId="0"/>
    <xf numFmtId="9" fontId="31" fillId="18" borderId="2" applyAlignment="1" pivotButton="0" quotePrefix="0" xfId="3">
      <alignment horizontal="left" vertical="center" readingOrder="1"/>
    </xf>
    <xf numFmtId="9" fontId="32" fillId="18" borderId="2" applyAlignment="1" pivotButton="0" quotePrefix="0" xfId="3">
      <alignment horizontal="left" vertical="center" wrapText="1" readingOrder="1"/>
    </xf>
    <xf numFmtId="165" fontId="31" fillId="18" borderId="2" applyAlignment="1" pivotButton="0" quotePrefix="0" xfId="3">
      <alignment horizontal="center" vertical="center" wrapText="1" readingOrder="1"/>
    </xf>
    <xf numFmtId="0" fontId="32" fillId="18" borderId="2" applyAlignment="1" pivotButton="0" quotePrefix="0" xfId="3">
      <alignment horizontal="left" vertical="center" wrapText="1" readingOrder="1"/>
    </xf>
    <xf numFmtId="173" fontId="32" fillId="18" borderId="2" applyAlignment="1" pivotButton="0" quotePrefix="0" xfId="3">
      <alignment horizontal="center" vertical="center" wrapText="1" readingOrder="1"/>
    </xf>
    <xf numFmtId="173" fontId="31" fillId="18" borderId="2" applyAlignment="1" pivotButton="0" quotePrefix="0" xfId="3">
      <alignment horizontal="center" vertical="center" wrapText="1" readingOrder="1"/>
    </xf>
    <xf numFmtId="174" fontId="31" fillId="18" borderId="2" applyAlignment="1" pivotButton="0" quotePrefix="0" xfId="3">
      <alignment horizontal="center" vertical="center" wrapText="1" readingOrder="1"/>
    </xf>
    <xf numFmtId="165" fontId="32" fillId="18" borderId="2" applyAlignment="1" pivotButton="0" quotePrefix="0" xfId="3">
      <alignment horizontal="center" vertical="center" wrapText="1" readingOrder="1"/>
    </xf>
    <xf numFmtId="175" fontId="31" fillId="18" borderId="2" applyAlignment="1" pivotButton="0" quotePrefix="0" xfId="3">
      <alignment horizontal="center" vertical="center" wrapText="1" readingOrder="1"/>
    </xf>
    <xf numFmtId="9" fontId="32" fillId="18" borderId="2" applyAlignment="1" pivotButton="0" quotePrefix="0" xfId="3">
      <alignment horizontal="center" vertical="center" wrapText="1" readingOrder="1"/>
    </xf>
    <xf numFmtId="9" fontId="31" fillId="18" borderId="2" applyAlignment="1" pivotButton="0" quotePrefix="0" xfId="3">
      <alignment horizontal="center" vertical="center" wrapText="1" readingOrder="1"/>
    </xf>
    <xf numFmtId="1" fontId="31" fillId="18" borderId="2" applyAlignment="1" pivotButton="0" quotePrefix="0" xfId="3">
      <alignment horizontal="center" vertical="center" wrapText="1" readingOrder="1"/>
    </xf>
    <xf numFmtId="172" fontId="29" fillId="0" borderId="0" pivotButton="0" quotePrefix="0" xfId="0"/>
    <xf numFmtId="9" fontId="31" fillId="19" borderId="2" applyAlignment="1" pivotButton="0" quotePrefix="0" xfId="3">
      <alignment horizontal="left" vertical="center" readingOrder="1"/>
    </xf>
    <xf numFmtId="9" fontId="32" fillId="19" borderId="2" applyAlignment="1" pivotButton="0" quotePrefix="0" xfId="3">
      <alignment horizontal="left" vertical="center" wrapText="1" readingOrder="1"/>
    </xf>
    <xf numFmtId="165" fontId="31" fillId="19" borderId="2" applyAlignment="1" pivotButton="0" quotePrefix="0" xfId="3">
      <alignment horizontal="center" vertical="center" wrapText="1" readingOrder="1"/>
    </xf>
    <xf numFmtId="0" fontId="32" fillId="19" borderId="2" applyAlignment="1" pivotButton="0" quotePrefix="0" xfId="3">
      <alignment horizontal="left" vertical="center" wrapText="1" readingOrder="1"/>
    </xf>
    <xf numFmtId="173" fontId="32" fillId="19" borderId="2" applyAlignment="1" pivotButton="0" quotePrefix="0" xfId="3">
      <alignment horizontal="center" vertical="center" wrapText="1" readingOrder="1"/>
    </xf>
    <xf numFmtId="173" fontId="31" fillId="19" borderId="2" applyAlignment="1" pivotButton="0" quotePrefix="0" xfId="3">
      <alignment horizontal="center" vertical="center" wrapText="1" readingOrder="1"/>
    </xf>
    <xf numFmtId="174" fontId="31" fillId="19" borderId="2" applyAlignment="1" pivotButton="0" quotePrefix="0" xfId="3">
      <alignment horizontal="center" vertical="center" wrapText="1" readingOrder="1"/>
    </xf>
    <xf numFmtId="165" fontId="32" fillId="19" borderId="2" applyAlignment="1" pivotButton="0" quotePrefix="0" xfId="3">
      <alignment horizontal="center" vertical="center" wrapText="1" readingOrder="1"/>
    </xf>
    <xf numFmtId="175" fontId="31" fillId="19" borderId="2" applyAlignment="1" pivotButton="0" quotePrefix="0" xfId="3">
      <alignment horizontal="center" vertical="center" wrapText="1" readingOrder="1"/>
    </xf>
    <xf numFmtId="9" fontId="32" fillId="19" borderId="2" applyAlignment="1" pivotButton="0" quotePrefix="0" xfId="3">
      <alignment horizontal="center" vertical="center" wrapText="1" readingOrder="1"/>
    </xf>
    <xf numFmtId="9" fontId="31" fillId="19" borderId="2" applyAlignment="1" pivotButton="0" quotePrefix="0" xfId="3">
      <alignment horizontal="center" vertical="center" wrapText="1" readingOrder="1"/>
    </xf>
    <xf numFmtId="1" fontId="31" fillId="19" borderId="2" applyAlignment="1" pivotButton="0" quotePrefix="0" xfId="3">
      <alignment horizontal="center" vertical="center" wrapText="1" readingOrder="1"/>
    </xf>
    <xf numFmtId="9" fontId="33" fillId="0" borderId="0" applyAlignment="1" pivotButton="0" quotePrefix="0" xfId="3">
      <alignment vertical="center" readingOrder="1"/>
    </xf>
    <xf numFmtId="9" fontId="34" fillId="0" borderId="0" applyAlignment="1" pivotButton="0" quotePrefix="0" xfId="3">
      <alignment vertical="center" readingOrder="1"/>
    </xf>
    <xf numFmtId="0" fontId="15" fillId="0" borderId="0" pivotButton="0" quotePrefix="0" xfId="3"/>
    <xf numFmtId="176" fontId="35" fillId="0" borderId="0" pivotButton="0" quotePrefix="0" xfId="3"/>
    <xf numFmtId="177" fontId="15" fillId="0" borderId="0" pivotButton="0" quotePrefix="0" xfId="3"/>
    <xf numFmtId="9" fontId="36" fillId="0" borderId="0" applyAlignment="1" pivotButton="0" quotePrefix="1" xfId="3">
      <alignment vertical="center" readingOrder="1"/>
    </xf>
    <xf numFmtId="9" fontId="15" fillId="0" borderId="0" pivotButton="0" quotePrefix="0" xfId="3"/>
    <xf numFmtId="0" fontId="15" fillId="0" borderId="0" pivotButton="0" quotePrefix="0" xfId="3"/>
    <xf numFmtId="176" fontId="15" fillId="0" borderId="0" pivotButton="0" quotePrefix="0" xfId="3"/>
    <xf numFmtId="9" fontId="37" fillId="0" borderId="0" applyAlignment="1" pivotButton="0" quotePrefix="0" xfId="3">
      <alignment horizontal="center" vertical="center" wrapText="1" readingOrder="1"/>
    </xf>
    <xf numFmtId="9" fontId="36" fillId="0" borderId="0" applyAlignment="1" pivotButton="0" quotePrefix="0" xfId="3">
      <alignment vertical="center" readingOrder="1"/>
    </xf>
    <xf numFmtId="9" fontId="0" fillId="0" borderId="0" pivotButton="0" quotePrefix="0" xfId="3"/>
    <xf numFmtId="0" fontId="0" fillId="0" borderId="0" pivotButton="0" quotePrefix="0" xfId="3"/>
    <xf numFmtId="0" fontId="3" fillId="20" borderId="0" pivotButton="0" quotePrefix="0" xfId="0"/>
    <xf numFmtId="0" fontId="2" fillId="4" borderId="0" pivotButton="0" quotePrefix="0" xfId="0"/>
    <xf numFmtId="9" fontId="3" fillId="0" borderId="0" pivotButton="0" quotePrefix="0" xfId="0"/>
    <xf numFmtId="164" fontId="3" fillId="0" borderId="0" pivotButton="0" quotePrefix="0" xfId="2"/>
    <xf numFmtId="0" fontId="3" fillId="4" borderId="0" pivotButton="0" quotePrefix="0" xfId="0"/>
    <xf numFmtId="165" fontId="9" fillId="4" borderId="0" applyAlignment="1" pivotButton="0" quotePrefix="0" xfId="3">
      <alignment horizontal="center"/>
    </xf>
    <xf numFmtId="164" fontId="3" fillId="0" borderId="0" applyAlignment="1" pivotButton="0" quotePrefix="0" xfId="2">
      <alignment horizontal="right"/>
    </xf>
    <xf numFmtId="165" fontId="3" fillId="0" borderId="0" pivotButton="0" quotePrefix="0" xfId="3"/>
    <xf numFmtId="178" fontId="3" fillId="0" borderId="0" pivotButton="0" quotePrefix="0" xfId="0"/>
    <xf numFmtId="0" fontId="3" fillId="0" borderId="52" pivotButton="0" quotePrefix="0" xfId="0"/>
    <xf numFmtId="179" fontId="3" fillId="0" borderId="0" applyAlignment="1" pivotButton="0" quotePrefix="0" xfId="0">
      <alignment horizontal="left"/>
    </xf>
    <xf numFmtId="180" fontId="3" fillId="0" borderId="0" applyAlignment="1" pivotButton="0" quotePrefix="0" xfId="0">
      <alignment horizontal="left"/>
    </xf>
    <xf numFmtId="181" fontId="3" fillId="0" borderId="0" applyAlignment="1" pivotButton="0" quotePrefix="0" xfId="0">
      <alignment horizontal="left"/>
    </xf>
    <xf numFmtId="176" fontId="3" fillId="0" borderId="0" pivotButton="0" quotePrefix="0" xfId="3"/>
    <xf numFmtId="10" fontId="6" fillId="14" borderId="0" applyAlignment="1" pivotButton="0" quotePrefix="0" xfId="3">
      <alignment horizontal="center"/>
    </xf>
    <xf numFmtId="182" fontId="0" fillId="0" borderId="0" pivotButton="0" quotePrefix="0" xfId="0"/>
    <xf numFmtId="182" fontId="39" fillId="21" borderId="0" applyAlignment="1" pivotButton="0" quotePrefix="0" xfId="0">
      <alignment horizontal="center"/>
    </xf>
    <xf numFmtId="0" fontId="39" fillId="21" borderId="0" applyAlignment="1" pivotButton="0" quotePrefix="0" xfId="0">
      <alignment horizontal="center"/>
    </xf>
    <xf numFmtId="182" fontId="40" fillId="0" borderId="0" pivotButton="0" quotePrefix="0" xfId="0"/>
    <xf numFmtId="183" fontId="0" fillId="0" borderId="0" pivotButton="0" quotePrefix="0" xfId="0"/>
    <xf numFmtId="182" fontId="0" fillId="0" borderId="8" pivotButton="0" quotePrefix="0" xfId="0"/>
    <xf numFmtId="9" fontId="0" fillId="0" borderId="8" pivotButton="0" quotePrefix="0" xfId="0"/>
    <xf numFmtId="0" fontId="39" fillId="21" borderId="0" applyAlignment="1" pivotButton="0" quotePrefix="0" xfId="0">
      <alignment horizontal="center" vertical="center"/>
    </xf>
    <xf numFmtId="184" fontId="39" fillId="21" borderId="0" applyAlignment="1" pivotButton="0" quotePrefix="0" xfId="0">
      <alignment horizontal="center" vertical="center"/>
    </xf>
    <xf numFmtId="184" fontId="39" fillId="21" borderId="0" applyAlignment="1" pivotButton="0" quotePrefix="0" xfId="0">
      <alignment horizontal="center" vertical="center" wrapText="1"/>
    </xf>
    <xf numFmtId="184" fontId="39" fillId="21" borderId="53" applyAlignment="1" pivotButton="0" quotePrefix="0" xfId="0">
      <alignment horizontal="centerContinuous" vertical="center" wrapText="1"/>
    </xf>
    <xf numFmtId="0" fontId="39" fillId="21" borderId="0" applyAlignment="1" pivotButton="0" quotePrefix="0" xfId="0">
      <alignment horizontal="center" vertical="center" wrapText="1"/>
    </xf>
    <xf numFmtId="9" fontId="41" fillId="0" borderId="0" applyAlignment="1" pivotButton="0" quotePrefix="0" xfId="3">
      <alignment horizontal="left" vertical="center" wrapText="1" readingOrder="1"/>
    </xf>
    <xf numFmtId="185" fontId="41" fillId="0" borderId="0" applyAlignment="1" pivotButton="0" quotePrefix="0" xfId="3">
      <alignment horizontal="left" vertical="center" wrapText="1" readingOrder="1"/>
    </xf>
    <xf numFmtId="185" fontId="41" fillId="0" borderId="0" applyAlignment="1" pivotButton="0" quotePrefix="0" xfId="3">
      <alignment horizontal="center" vertical="center" wrapText="1" readingOrder="1"/>
    </xf>
    <xf numFmtId="9" fontId="41" fillId="0" borderId="0" applyAlignment="1" pivotButton="0" quotePrefix="0" xfId="3">
      <alignment vertical="center" wrapText="1" readingOrder="1"/>
    </xf>
    <xf numFmtId="0" fontId="0" fillId="0" borderId="0" applyAlignment="1" pivotButton="0" quotePrefix="0" xfId="0">
      <alignment vertical="center"/>
    </xf>
    <xf numFmtId="184" fontId="41" fillId="0" borderId="0" applyAlignment="1" pivotButton="0" quotePrefix="0" xfId="3">
      <alignment horizontal="left" vertical="center" wrapText="1" readingOrder="1"/>
    </xf>
    <xf numFmtId="184" fontId="41" fillId="0" borderId="0" applyAlignment="1" pivotButton="0" quotePrefix="0" xfId="3">
      <alignment horizontal="center" vertical="center" wrapText="1" readingOrder="1"/>
    </xf>
    <xf numFmtId="0" fontId="15" fillId="0" borderId="8" applyAlignment="1" pivotButton="0" quotePrefix="0" xfId="0">
      <alignment vertical="center"/>
    </xf>
    <xf numFmtId="185" fontId="15" fillId="0" borderId="8" applyAlignment="1" pivotButton="0" quotePrefix="0" xfId="0">
      <alignment vertical="center"/>
    </xf>
    <xf numFmtId="0" fontId="15" fillId="0" borderId="0" applyAlignment="1" pivotButton="0" quotePrefix="0" xfId="0">
      <alignment vertical="center"/>
    </xf>
    <xf numFmtId="0" fontId="0" fillId="0" borderId="0" applyAlignment="1" pivotButton="0" quotePrefix="1" xfId="0">
      <alignment vertical="center"/>
    </xf>
    <xf numFmtId="184" fontId="0" fillId="0" borderId="0" applyAlignment="1" pivotButton="0" quotePrefix="0" xfId="0">
      <alignment vertical="center"/>
    </xf>
    <xf numFmtId="184" fontId="0" fillId="0" borderId="0" applyAlignment="1" pivotButton="0" quotePrefix="0" xfId="0">
      <alignment horizontal="center" vertical="center"/>
    </xf>
    <xf numFmtId="167" fontId="3" fillId="0" borderId="0" pivotButton="0" quotePrefix="0" xfId="0"/>
    <xf numFmtId="3" fontId="3" fillId="0" borderId="0" pivotButton="0" quotePrefix="0" xfId="0"/>
    <xf numFmtId="0" fontId="2" fillId="22" borderId="0" pivotButton="0" quotePrefix="0" xfId="0"/>
    <xf numFmtId="186" fontId="2" fillId="22" borderId="0" applyAlignment="1" pivotButton="0" quotePrefix="0" xfId="0">
      <alignment horizontal="left"/>
    </xf>
    <xf numFmtId="170" fontId="2" fillId="22" borderId="0" applyAlignment="1" pivotButton="0" quotePrefix="0" xfId="0">
      <alignment horizontal="left"/>
    </xf>
    <xf numFmtId="165" fontId="9" fillId="22" borderId="0" applyAlignment="1" pivotButton="0" quotePrefix="0" xfId="3">
      <alignment horizontal="center"/>
    </xf>
    <xf numFmtId="0" fontId="3" fillId="22" borderId="0" applyAlignment="1" pivotButton="0" quotePrefix="0" xfId="0">
      <alignment horizontal="centerContinuous"/>
    </xf>
    <xf numFmtId="3" fontId="6" fillId="22" borderId="0" applyAlignment="1" pivotButton="0" quotePrefix="0" xfId="0">
      <alignment horizontal="center"/>
    </xf>
    <xf numFmtId="41" fontId="3" fillId="22" borderId="0" pivotButton="0" quotePrefix="0" xfId="0"/>
    <xf numFmtId="165" fontId="3" fillId="22" borderId="0" applyAlignment="1" pivotButton="0" quotePrefix="0" xfId="3">
      <alignment horizontal="center"/>
    </xf>
    <xf numFmtId="0" fontId="3" fillId="22" borderId="0" pivotButton="0" quotePrefix="0" xfId="0"/>
    <xf numFmtId="3" fontId="9" fillId="22" borderId="0" applyAlignment="1" pivotButton="0" quotePrefix="0" xfId="0">
      <alignment horizontal="center"/>
    </xf>
    <xf numFmtId="0" fontId="4" fillId="22" borderId="0" pivotButton="0" quotePrefix="0" xfId="0"/>
    <xf numFmtId="165" fontId="3" fillId="22" borderId="0" pivotButton="0" quotePrefix="0" xfId="3"/>
    <xf numFmtId="187" fontId="42" fillId="0" borderId="0" applyAlignment="1" pivotButton="0" quotePrefix="0" xfId="0">
      <alignment horizontal="center"/>
    </xf>
    <xf numFmtId="0" fontId="43" fillId="0" borderId="0" pivotButton="0" quotePrefix="0" xfId="0"/>
    <xf numFmtId="188" fontId="2" fillId="0" borderId="0" applyAlignment="1" pivotButton="0" quotePrefix="0" xfId="0">
      <alignment horizontal="left"/>
    </xf>
    <xf numFmtId="0" fontId="4" fillId="0" borderId="0" applyAlignment="1" pivotButton="0" quotePrefix="0" xfId="0">
      <alignment horizontal="left"/>
    </xf>
    <xf numFmtId="0" fontId="0" fillId="4" borderId="0" pivotButton="0" quotePrefix="0" xfId="0"/>
    <xf numFmtId="182" fontId="40" fillId="0" borderId="0" applyAlignment="1" pivotButton="0" quotePrefix="0" xfId="0">
      <alignment horizontal="center"/>
    </xf>
    <xf numFmtId="0" fontId="0" fillId="0" borderId="0" pivotButton="0" quotePrefix="1" xfId="0"/>
    <xf numFmtId="9" fontId="0" fillId="0" borderId="0" pivotButton="0" quotePrefix="0" xfId="0"/>
    <xf numFmtId="10" fontId="45" fillId="0" borderId="0" applyAlignment="1" pivotButton="0" quotePrefix="0" xfId="3">
      <alignment horizontal="center"/>
    </xf>
    <xf numFmtId="0" fontId="45" fillId="0" borderId="8" applyAlignment="1" pivotButton="0" quotePrefix="0" xfId="0">
      <alignment horizontal="center"/>
    </xf>
    <xf numFmtId="0" fontId="46" fillId="0" borderId="8" pivotButton="0" quotePrefix="0" xfId="0"/>
    <xf numFmtId="182" fontId="46" fillId="0" borderId="8" pivotButton="0" quotePrefix="0" xfId="0"/>
    <xf numFmtId="183" fontId="46" fillId="0" borderId="8" pivotButton="0" quotePrefix="0" xfId="0"/>
    <xf numFmtId="0" fontId="46" fillId="0" borderId="0" pivotButton="0" quotePrefix="0" xfId="0"/>
    <xf numFmtId="183" fontId="0" fillId="0" borderId="0" applyAlignment="1" pivotButton="0" quotePrefix="0" xfId="0">
      <alignment horizontal="right"/>
    </xf>
    <xf numFmtId="183" fontId="46" fillId="0" borderId="8" applyAlignment="1" pivotButton="0" quotePrefix="0" xfId="0">
      <alignment horizontal="right"/>
    </xf>
    <xf numFmtId="182" fontId="0" fillId="0" borderId="0" applyAlignment="1" pivotButton="0" quotePrefix="0" xfId="0">
      <alignment vertical="center"/>
    </xf>
    <xf numFmtId="14" fontId="40" fillId="19" borderId="0" applyAlignment="1" pivotButton="0" quotePrefix="0" xfId="0">
      <alignment horizontal="center" vertical="center" wrapText="1"/>
    </xf>
    <xf numFmtId="0" fontId="47" fillId="0" borderId="0" pivotButton="0" quotePrefix="0" xfId="0"/>
    <xf numFmtId="14" fontId="0" fillId="0" borderId="0" pivotButton="0" quotePrefix="0" xfId="0"/>
    <xf numFmtId="0" fontId="48" fillId="5" borderId="0" applyAlignment="1" pivotButton="0" quotePrefix="0" xfId="0">
      <alignment horizontal="left"/>
    </xf>
    <xf numFmtId="0" fontId="50" fillId="5" borderId="0" applyAlignment="1" pivotButton="0" quotePrefix="0" xfId="0">
      <alignment horizontal="left"/>
    </xf>
    <xf numFmtId="14" fontId="50" fillId="5" borderId="0" applyAlignment="1" pivotButton="0" quotePrefix="0" xfId="0">
      <alignment horizontal="left"/>
    </xf>
    <xf numFmtId="189" fontId="50" fillId="5" borderId="0" applyAlignment="1" pivotButton="0" quotePrefix="0" xfId="0">
      <alignment horizontal="left"/>
    </xf>
    <xf numFmtId="190" fontId="19" fillId="7" borderId="36" applyAlignment="1" pivotButton="0" quotePrefix="0" xfId="1">
      <alignment horizontal="left"/>
    </xf>
    <xf numFmtId="14" fontId="51" fillId="5" borderId="0" applyAlignment="1" pivotButton="0" quotePrefix="0" xfId="0">
      <alignment horizontal="left"/>
    </xf>
    <xf numFmtId="191" fontId="53" fillId="5" borderId="0" applyAlignment="1" pivotButton="0" quotePrefix="0" xfId="0">
      <alignment horizontal="right"/>
    </xf>
    <xf numFmtId="49" fontId="50" fillId="5" borderId="0" applyAlignment="1" pivotButton="0" quotePrefix="0" xfId="0">
      <alignment horizontal="left"/>
    </xf>
    <xf numFmtId="0" fontId="54" fillId="5" borderId="37" applyAlignment="1" pivotButton="0" quotePrefix="0" xfId="0">
      <alignment horizontal="center"/>
    </xf>
    <xf numFmtId="0" fontId="50" fillId="0" borderId="0" applyAlignment="1" pivotButton="0" quotePrefix="0" xfId="0">
      <alignment horizontal="left"/>
    </xf>
    <xf numFmtId="14" fontId="50" fillId="0" borderId="0" applyAlignment="1" pivotButton="0" quotePrefix="0" xfId="0">
      <alignment horizontal="left"/>
    </xf>
    <xf numFmtId="0" fontId="54" fillId="0" borderId="38" applyAlignment="1" pivotButton="0" quotePrefix="0" xfId="0">
      <alignment horizontal="center"/>
    </xf>
    <xf numFmtId="0" fontId="16" fillId="5" borderId="0" applyAlignment="1" pivotButton="0" quotePrefix="0" xfId="0">
      <alignment horizontal="left"/>
    </xf>
    <xf numFmtId="49" fontId="39" fillId="9" borderId="39" applyAlignment="1" pivotButton="0" quotePrefix="0" xfId="5">
      <alignment horizontal="left" wrapText="1"/>
    </xf>
    <xf numFmtId="49" fontId="39" fillId="9" borderId="39" applyAlignment="1" pivotButton="0" quotePrefix="0" xfId="5">
      <alignment horizontal="center" wrapText="1"/>
    </xf>
    <xf numFmtId="0" fontId="39" fillId="9" borderId="39" applyAlignment="1" pivotButton="0" quotePrefix="0" xfId="5">
      <alignment horizontal="center" wrapText="1"/>
    </xf>
    <xf numFmtId="14" fontId="39" fillId="9" borderId="0" applyAlignment="1" pivotButton="0" quotePrefix="0" xfId="5">
      <alignment horizontal="center" wrapText="1"/>
    </xf>
    <xf numFmtId="49" fontId="16" fillId="10" borderId="0" applyAlignment="1" pivotButton="0" quotePrefix="0" xfId="0">
      <alignment horizontal="center" wrapText="1"/>
    </xf>
    <xf numFmtId="167" fontId="16" fillId="10" borderId="40" applyAlignment="1" pivotButton="0" quotePrefix="0" xfId="1">
      <alignment horizontal="center" wrapText="1"/>
    </xf>
    <xf numFmtId="167" fontId="16" fillId="10" borderId="41" applyAlignment="1" pivotButton="0" quotePrefix="0" xfId="1">
      <alignment horizontal="center" wrapText="1"/>
    </xf>
    <xf numFmtId="49" fontId="39" fillId="9" borderId="46" applyAlignment="1" pivotButton="0" quotePrefix="0" xfId="5">
      <alignment horizontal="center" wrapText="1"/>
    </xf>
    <xf numFmtId="49" fontId="39" fillId="9" borderId="6" applyAlignment="1" pivotButton="0" quotePrefix="0" xfId="5">
      <alignment horizontal="center" wrapText="1"/>
    </xf>
    <xf numFmtId="49" fontId="39" fillId="9" borderId="0" applyAlignment="1" pivotButton="0" quotePrefix="0" xfId="5">
      <alignment horizontal="center" wrapText="1"/>
    </xf>
    <xf numFmtId="0" fontId="53" fillId="5" borderId="0" applyAlignment="1" pivotButton="0" quotePrefix="0" xfId="0">
      <alignment horizontal="left"/>
    </xf>
    <xf numFmtId="192" fontId="53" fillId="6" borderId="35" applyAlignment="1" pivotButton="0" quotePrefix="0" xfId="0">
      <alignment horizontal="right"/>
    </xf>
    <xf numFmtId="1" fontId="48" fillId="6" borderId="35" applyAlignment="1" pivotButton="0" quotePrefix="0" xfId="0">
      <alignment horizontal="right"/>
    </xf>
    <xf numFmtId="49" fontId="48" fillId="6" borderId="35" applyAlignment="1" pivotButton="0" quotePrefix="0" xfId="0">
      <alignment horizontal="left"/>
    </xf>
    <xf numFmtId="49" fontId="50" fillId="6" borderId="35" applyAlignment="1" pivotButton="0" quotePrefix="0" xfId="0">
      <alignment horizontal="left"/>
    </xf>
    <xf numFmtId="49" fontId="48" fillId="11" borderId="35" applyAlignment="1" pivotButton="0" quotePrefix="0" xfId="0">
      <alignment horizontal="left"/>
    </xf>
    <xf numFmtId="191" fontId="51" fillId="6" borderId="35" applyAlignment="1" pivotButton="0" quotePrefix="0" xfId="0">
      <alignment horizontal="right"/>
    </xf>
    <xf numFmtId="191" fontId="53" fillId="6" borderId="35" applyAlignment="1" pivotButton="0" quotePrefix="0" xfId="0">
      <alignment horizontal="right"/>
    </xf>
    <xf numFmtId="193" fontId="50" fillId="6" borderId="35" applyAlignment="1" pivotButton="0" quotePrefix="0" xfId="0">
      <alignment horizontal="right"/>
    </xf>
    <xf numFmtId="9" fontId="48" fillId="0" borderId="35" applyAlignment="1" pivotButton="0" quotePrefix="0" xfId="0">
      <alignment horizontal="right"/>
    </xf>
    <xf numFmtId="165" fontId="53" fillId="6" borderId="35" applyAlignment="1" pivotButton="0" quotePrefix="0" xfId="3">
      <alignment horizontal="right"/>
    </xf>
    <xf numFmtId="9" fontId="51" fillId="5" borderId="35" applyAlignment="1" pivotButton="0" quotePrefix="0" xfId="3">
      <alignment horizontal="right"/>
    </xf>
    <xf numFmtId="14" fontId="48" fillId="6" borderId="35" applyAlignment="1" pivotButton="0" quotePrefix="0" xfId="0">
      <alignment horizontal="center"/>
    </xf>
    <xf numFmtId="49" fontId="48" fillId="6" borderId="35" applyAlignment="1" pivotButton="0" quotePrefix="0" xfId="0">
      <alignment horizontal="center"/>
    </xf>
    <xf numFmtId="49" fontId="40" fillId="6" borderId="35" applyAlignment="1" pivotButton="0" quotePrefix="0" xfId="0">
      <alignment horizontal="center"/>
    </xf>
    <xf numFmtId="0" fontId="48" fillId="6" borderId="35" applyAlignment="1" pivotButton="0" quotePrefix="0" xfId="0">
      <alignment horizontal="center"/>
    </xf>
    <xf numFmtId="0" fontId="50" fillId="11" borderId="35" applyAlignment="1" pivotButton="0" quotePrefix="0" xfId="0">
      <alignment horizontal="center"/>
    </xf>
    <xf numFmtId="194" fontId="50" fillId="11" borderId="35" applyAlignment="1" pivotButton="0" quotePrefix="0" xfId="0">
      <alignment horizontal="center"/>
    </xf>
    <xf numFmtId="49" fontId="50" fillId="5" borderId="35" applyAlignment="1" pivotButton="0" quotePrefix="0" xfId="0">
      <alignment horizontal="center"/>
    </xf>
    <xf numFmtId="14" fontId="48" fillId="5" borderId="0" applyAlignment="1" pivotButton="0" quotePrefix="0" xfId="0">
      <alignment horizontal="center"/>
    </xf>
    <xf numFmtId="43" fontId="48" fillId="12" borderId="0" applyAlignment="1" pivotButton="0" quotePrefix="0" xfId="1">
      <alignment horizontal="center"/>
    </xf>
    <xf numFmtId="167" fontId="53" fillId="12" borderId="18" applyAlignment="1" pivotButton="0" quotePrefix="0" xfId="1">
      <alignment horizontal="center"/>
    </xf>
    <xf numFmtId="167" fontId="53" fillId="12" borderId="20" applyAlignment="1" pivotButton="0" quotePrefix="0" xfId="1">
      <alignment horizontal="center"/>
    </xf>
    <xf numFmtId="193" fontId="48" fillId="0" borderId="35" applyAlignment="1" pivotButton="0" quotePrefix="0" xfId="0">
      <alignment horizontal="right"/>
    </xf>
    <xf numFmtId="192" fontId="51" fillId="0" borderId="35" applyAlignment="1" pivotButton="0" quotePrefix="0" xfId="0">
      <alignment horizontal="right"/>
    </xf>
    <xf numFmtId="193" fontId="53" fillId="0" borderId="35" applyAlignment="1" pivotButton="0" quotePrefix="0" xfId="0">
      <alignment horizontal="right"/>
    </xf>
    <xf numFmtId="195" fontId="48" fillId="0" borderId="35" applyAlignment="1" pivotButton="0" quotePrefix="0" xfId="0">
      <alignment horizontal="right"/>
    </xf>
    <xf numFmtId="195" fontId="53" fillId="0" borderId="35" applyAlignment="1" pivotButton="0" quotePrefix="0" xfId="0">
      <alignment horizontal="right"/>
    </xf>
    <xf numFmtId="193" fontId="51" fillId="0" borderId="35" applyAlignment="1" pivotButton="0" quotePrefix="0" xfId="0">
      <alignment horizontal="right"/>
    </xf>
    <xf numFmtId="195" fontId="50" fillId="0" borderId="35" applyAlignment="1" pivotButton="0" quotePrefix="0" xfId="0">
      <alignment horizontal="right"/>
    </xf>
    <xf numFmtId="195" fontId="51" fillId="0" borderId="35" applyAlignment="1" pivotButton="0" quotePrefix="0" xfId="0">
      <alignment horizontal="right"/>
    </xf>
    <xf numFmtId="183" fontId="51" fillId="0" borderId="35" applyAlignment="1" pivotButton="0" quotePrefix="0" xfId="0">
      <alignment horizontal="right"/>
    </xf>
    <xf numFmtId="1" fontId="48" fillId="5" borderId="35" applyAlignment="1" pivotButton="0" quotePrefix="0" xfId="0">
      <alignment horizontal="right"/>
    </xf>
    <xf numFmtId="49" fontId="48" fillId="5" borderId="35" applyAlignment="1" pivotButton="0" quotePrefix="0" xfId="0">
      <alignment horizontal="left"/>
    </xf>
    <xf numFmtId="0" fontId="53" fillId="5" borderId="35" applyAlignment="1" pivotButton="0" quotePrefix="0" xfId="0">
      <alignment horizontal="right"/>
    </xf>
    <xf numFmtId="49" fontId="50" fillId="5" borderId="35" applyAlignment="1" pivotButton="0" quotePrefix="0" xfId="0">
      <alignment horizontal="left"/>
    </xf>
    <xf numFmtId="14" fontId="48" fillId="5" borderId="35" applyAlignment="1" pivotButton="0" quotePrefix="0" xfId="0">
      <alignment horizontal="center"/>
    </xf>
    <xf numFmtId="49" fontId="48" fillId="5" borderId="35" applyAlignment="1" pivotButton="0" quotePrefix="0" xfId="0">
      <alignment horizontal="center"/>
    </xf>
    <xf numFmtId="49" fontId="40" fillId="5" borderId="35" applyAlignment="1" pivotButton="0" quotePrefix="0" xfId="0">
      <alignment horizontal="center"/>
    </xf>
    <xf numFmtId="0" fontId="48" fillId="5" borderId="35" applyAlignment="1" pivotButton="0" quotePrefix="0" xfId="0">
      <alignment horizontal="center"/>
    </xf>
    <xf numFmtId="192" fontId="53" fillId="0" borderId="35" applyAlignment="1" pivotButton="0" quotePrefix="0" xfId="0">
      <alignment horizontal="right"/>
    </xf>
    <xf numFmtId="0" fontId="50" fillId="6" borderId="35" applyAlignment="1" pivotButton="0" quotePrefix="0" xfId="0">
      <alignment horizontal="right"/>
    </xf>
    <xf numFmtId="14" fontId="40" fillId="5" borderId="0" applyAlignment="1" pivotButton="0" quotePrefix="0" xfId="0">
      <alignment horizontal="center"/>
    </xf>
    <xf numFmtId="14" fontId="40" fillId="6" borderId="35" applyAlignment="1" pivotButton="0" quotePrefix="0" xfId="0">
      <alignment horizontal="center"/>
    </xf>
    <xf numFmtId="49" fontId="40" fillId="5" borderId="35" applyAlignment="1" pivotButton="0" quotePrefix="0" xfId="0">
      <alignment horizontal="left"/>
    </xf>
    <xf numFmtId="49" fontId="50" fillId="11" borderId="35" applyAlignment="1" pivotButton="0" quotePrefix="0" xfId="0">
      <alignment horizontal="left"/>
    </xf>
    <xf numFmtId="193" fontId="50" fillId="5" borderId="35" applyAlignment="1" pivotButton="0" quotePrefix="0" xfId="0">
      <alignment horizontal="right"/>
    </xf>
    <xf numFmtId="192" fontId="50" fillId="5" borderId="35" applyAlignment="1" pivotButton="0" quotePrefix="0" xfId="0">
      <alignment horizontal="right"/>
    </xf>
    <xf numFmtId="0" fontId="50" fillId="5" borderId="35" applyAlignment="1" pivotButton="0" quotePrefix="0" xfId="0">
      <alignment horizontal="right"/>
    </xf>
    <xf numFmtId="0" fontId="50" fillId="5" borderId="35" applyAlignment="1" pivotButton="0" quotePrefix="0" xfId="0">
      <alignment horizontal="center"/>
    </xf>
    <xf numFmtId="14" fontId="40" fillId="0" borderId="35" applyAlignment="1" pivotButton="0" quotePrefix="0" xfId="0">
      <alignment horizontal="center"/>
    </xf>
    <xf numFmtId="49" fontId="40" fillId="0" borderId="35" applyAlignment="1" pivotButton="0" quotePrefix="0" xfId="0">
      <alignment horizontal="left"/>
    </xf>
    <xf numFmtId="183" fontId="48" fillId="0" borderId="35" applyAlignment="1" pivotButton="0" quotePrefix="0" xfId="0">
      <alignment horizontal="right"/>
    </xf>
    <xf numFmtId="183" fontId="53" fillId="0" borderId="35" applyAlignment="1" pivotButton="0" quotePrefix="0" xfId="0">
      <alignment horizontal="right"/>
    </xf>
    <xf numFmtId="14" fontId="40" fillId="0" borderId="0" applyAlignment="1" pivotButton="0" quotePrefix="0" xfId="0">
      <alignment horizontal="center"/>
    </xf>
    <xf numFmtId="0" fontId="40" fillId="11" borderId="35" applyAlignment="1" pivotButton="0" quotePrefix="0" xfId="0">
      <alignment horizontal="center"/>
    </xf>
    <xf numFmtId="194" fontId="40" fillId="11" borderId="35" applyAlignment="1" pivotButton="0" quotePrefix="0" xfId="0">
      <alignment horizontal="center"/>
    </xf>
    <xf numFmtId="196" fontId="0" fillId="0" borderId="0" pivotButton="0" quotePrefix="0" xfId="0"/>
    <xf numFmtId="195" fontId="55" fillId="0" borderId="35" applyAlignment="1" pivotButton="0" quotePrefix="0" xfId="0">
      <alignment horizontal="right"/>
    </xf>
    <xf numFmtId="195" fontId="40" fillId="0" borderId="35" applyAlignment="1" pivotButton="0" quotePrefix="0" xfId="0">
      <alignment horizontal="right"/>
    </xf>
    <xf numFmtId="1" fontId="41" fillId="5" borderId="35" applyAlignment="1" pivotButton="0" quotePrefix="0" xfId="0">
      <alignment horizontal="right"/>
    </xf>
    <xf numFmtId="0" fontId="40" fillId="6" borderId="35" applyAlignment="1" pivotButton="0" quotePrefix="0" xfId="0">
      <alignment horizontal="right"/>
    </xf>
    <xf numFmtId="1" fontId="40" fillId="6" borderId="35" applyAlignment="1" pivotButton="0" quotePrefix="0" xfId="0">
      <alignment horizontal="right"/>
    </xf>
    <xf numFmtId="194" fontId="40" fillId="6" borderId="35" applyAlignment="1" pivotButton="0" quotePrefix="0" xfId="0">
      <alignment horizontal="right"/>
    </xf>
    <xf numFmtId="1" fontId="10" fillId="0" borderId="35" applyAlignment="1" pivotButton="0" quotePrefix="0" xfId="0">
      <alignment horizontal="right"/>
    </xf>
    <xf numFmtId="183" fontId="40" fillId="0" borderId="0" applyAlignment="1" pivotButton="0" quotePrefix="0" xfId="0">
      <alignment horizontal="right"/>
    </xf>
    <xf numFmtId="192" fontId="40" fillId="6" borderId="35" applyAlignment="1" pivotButton="0" quotePrefix="0" xfId="0">
      <alignment horizontal="right"/>
    </xf>
    <xf numFmtId="49" fontId="40" fillId="6" borderId="35" applyAlignment="1" pivotButton="0" quotePrefix="0" xfId="0">
      <alignment horizontal="left"/>
    </xf>
    <xf numFmtId="0" fontId="57" fillId="0" borderId="0" pivotButton="0" quotePrefix="0" xfId="0"/>
    <xf numFmtId="164" fontId="57" fillId="0" borderId="0" applyAlignment="1" pivotButton="0" quotePrefix="0" xfId="2">
      <alignment horizontal="center"/>
    </xf>
    <xf numFmtId="0" fontId="56" fillId="0" borderId="0" pivotButton="0" quotePrefix="0" xfId="0"/>
    <xf numFmtId="14" fontId="59" fillId="0" borderId="0" pivotButton="0" quotePrefix="0" xfId="0"/>
    <xf numFmtId="14" fontId="58" fillId="0" borderId="4" applyAlignment="1" pivotButton="0" quotePrefix="0" xfId="0">
      <alignment horizontal="center" vertical="center"/>
    </xf>
    <xf numFmtId="164" fontId="58" fillId="0" borderId="0" applyAlignment="1" pivotButton="0" quotePrefix="0" xfId="2">
      <alignment horizontal="center" vertical="center"/>
    </xf>
    <xf numFmtId="182" fontId="57" fillId="0" borderId="0" pivotButton="0" quotePrefix="0" xfId="0"/>
    <xf numFmtId="0" fontId="57" fillId="4" borderId="0" pivotButton="0" quotePrefix="0" xfId="0"/>
    <xf numFmtId="0" fontId="57" fillId="0" borderId="0" applyAlignment="1" pivotButton="0" quotePrefix="0" xfId="0">
      <alignment vertical="top"/>
    </xf>
    <xf numFmtId="164" fontId="57" fillId="0" borderId="0" applyAlignment="1" pivotButton="0" quotePrefix="0" xfId="2">
      <alignment horizontal="left" vertical="top" wrapText="1"/>
    </xf>
    <xf numFmtId="164" fontId="57" fillId="0" borderId="0" pivotButton="0" quotePrefix="0" xfId="0"/>
    <xf numFmtId="0" fontId="57" fillId="15" borderId="0" pivotButton="0" quotePrefix="0" xfId="0"/>
    <xf numFmtId="0" fontId="57" fillId="15" borderId="0" applyAlignment="1" pivotButton="0" quotePrefix="0" xfId="0">
      <alignment vertical="top"/>
    </xf>
    <xf numFmtId="164" fontId="57" fillId="15" borderId="0" applyAlignment="1" pivotButton="0" quotePrefix="0" xfId="2">
      <alignment horizontal="left" vertical="top" wrapText="1"/>
    </xf>
    <xf numFmtId="168" fontId="57" fillId="0" borderId="0" pivotButton="0" quotePrefix="0" xfId="0"/>
    <xf numFmtId="0" fontId="57" fillId="0" borderId="5" applyAlignment="1" pivotButton="0" quotePrefix="0" xfId="0">
      <alignment horizontal="left" vertical="top" wrapText="1"/>
    </xf>
    <xf numFmtId="164" fontId="57" fillId="0" borderId="5" applyAlignment="1" pivotButton="0" quotePrefix="0" xfId="2">
      <alignment horizontal="left" vertical="top" wrapText="1"/>
    </xf>
    <xf numFmtId="164" fontId="57" fillId="19" borderId="0" applyAlignment="1" pivotButton="0" quotePrefix="0" xfId="2">
      <alignment horizontal="center"/>
    </xf>
    <xf numFmtId="9" fontId="57" fillId="4" borderId="0" applyAlignment="1" pivotButton="0" quotePrefix="0" xfId="0">
      <alignment horizontal="center"/>
    </xf>
    <xf numFmtId="9" fontId="63" fillId="4" borderId="0" applyAlignment="1" pivotButton="0" quotePrefix="0" xfId="0">
      <alignment horizontal="center"/>
    </xf>
    <xf numFmtId="0" fontId="57" fillId="0" borderId="0" applyAlignment="1" pivotButton="0" quotePrefix="0" xfId="0">
      <alignment horizontal="right"/>
    </xf>
    <xf numFmtId="10" fontId="57" fillId="0" borderId="0" applyAlignment="1" pivotButton="0" quotePrefix="0" xfId="3">
      <alignment horizontal="right"/>
    </xf>
    <xf numFmtId="187" fontId="57" fillId="0" borderId="0" applyAlignment="1" pivotButton="0" quotePrefix="0" xfId="3">
      <alignment horizontal="right"/>
    </xf>
    <xf numFmtId="14" fontId="11" fillId="4" borderId="0" applyAlignment="1" pivotButton="0" quotePrefix="0" xfId="0">
      <alignment horizontal="center"/>
    </xf>
    <xf numFmtId="164" fontId="57" fillId="0" borderId="0" applyAlignment="1" pivotButton="0" quotePrefix="0" xfId="2">
      <alignment horizontal="center"/>
    </xf>
    <xf numFmtId="168" fontId="57" fillId="4" borderId="0" pivotButton="0" quotePrefix="0" xfId="0"/>
    <xf numFmtId="0" fontId="64" fillId="4" borderId="0" applyAlignment="1" pivotButton="0" quotePrefix="0" xfId="0">
      <alignment horizontal="center"/>
    </xf>
    <xf numFmtId="0" fontId="64" fillId="4" borderId="55" applyAlignment="1" pivotButton="0" quotePrefix="0" xfId="0">
      <alignment horizontal="center"/>
    </xf>
    <xf numFmtId="10" fontId="57" fillId="4" borderId="0" applyAlignment="1" pivotButton="0" quotePrefix="0" xfId="0">
      <alignment horizontal="center"/>
    </xf>
    <xf numFmtId="168" fontId="63" fillId="0" borderId="0" applyAlignment="1" pivotButton="0" quotePrefix="0" xfId="2">
      <alignment horizontal="center"/>
    </xf>
    <xf numFmtId="168" fontId="62" fillId="4" borderId="55" applyAlignment="1" pivotButton="0" quotePrefix="0" xfId="2">
      <alignment horizontal="center"/>
    </xf>
    <xf numFmtId="0" fontId="57" fillId="0" borderId="5" pivotButton="0" quotePrefix="0" xfId="0"/>
    <xf numFmtId="164" fontId="57" fillId="0" borderId="5" applyAlignment="1" pivotButton="0" quotePrefix="0" xfId="2">
      <alignment horizontal="center"/>
    </xf>
    <xf numFmtId="168" fontId="63" fillId="0" borderId="0" applyAlignment="1" pivotButton="0" quotePrefix="0" xfId="2">
      <alignment horizontal="center"/>
    </xf>
    <xf numFmtId="164" fontId="57" fillId="4" borderId="0" applyAlignment="1" pivotButton="0" quotePrefix="0" xfId="2">
      <alignment horizontal="center"/>
    </xf>
    <xf numFmtId="10" fontId="57" fillId="4" borderId="5" applyAlignment="1" pivotButton="0" quotePrefix="0" xfId="0">
      <alignment horizontal="center"/>
    </xf>
    <xf numFmtId="168" fontId="63" fillId="0" borderId="5" applyAlignment="1" pivotButton="0" quotePrefix="0" xfId="2">
      <alignment horizontal="center"/>
    </xf>
    <xf numFmtId="168" fontId="62" fillId="4" borderId="0" applyAlignment="1" pivotButton="0" quotePrefix="0" xfId="2">
      <alignment horizontal="center"/>
    </xf>
    <xf numFmtId="168" fontId="62" fillId="4" borderId="8" applyAlignment="1" pivotButton="0" quotePrefix="0" xfId="2">
      <alignment horizontal="center"/>
    </xf>
    <xf numFmtId="0" fontId="62" fillId="0" borderId="0" pivotButton="0" quotePrefix="0" xfId="0"/>
    <xf numFmtId="185" fontId="57" fillId="0" borderId="0" pivotButton="0" quotePrefix="0" xfId="0"/>
    <xf numFmtId="164" fontId="57" fillId="4" borderId="0" applyAlignment="1" pivotButton="0" quotePrefix="0" xfId="2">
      <alignment horizontal="center"/>
    </xf>
    <xf numFmtId="0" fontId="62" fillId="4" borderId="0" pivotButton="0" quotePrefix="0" xfId="0"/>
    <xf numFmtId="164" fontId="56" fillId="0" borderId="0" applyAlignment="1" pivotButton="0" quotePrefix="0" xfId="2">
      <alignment horizontal="center"/>
    </xf>
    <xf numFmtId="165" fontId="57" fillId="0" borderId="0" applyAlignment="1" pivotButton="0" quotePrefix="0" xfId="3">
      <alignment horizontal="center"/>
    </xf>
    <xf numFmtId="0" fontId="58" fillId="25" borderId="4" applyAlignment="1" pivotButton="0" quotePrefix="0" xfId="0">
      <alignment horizontal="center" vertical="center"/>
    </xf>
    <xf numFmtId="0" fontId="60" fillId="26" borderId="0" pivotButton="0" quotePrefix="0" xfId="0"/>
    <xf numFmtId="0" fontId="60" fillId="26" borderId="0" applyAlignment="1" pivotButton="0" quotePrefix="0" xfId="0">
      <alignment horizontal="center"/>
    </xf>
    <xf numFmtId="0" fontId="57" fillId="26" borderId="55" pivotButton="0" quotePrefix="0" xfId="0"/>
    <xf numFmtId="164" fontId="60" fillId="26" borderId="0" applyAlignment="1" pivotButton="0" quotePrefix="0" xfId="2">
      <alignment horizontal="center"/>
    </xf>
    <xf numFmtId="49" fontId="57" fillId="0" borderId="0" pivotButton="0" quotePrefix="0" xfId="0"/>
    <xf numFmtId="0" fontId="57" fillId="0" borderId="0" applyAlignment="1" pivotButton="0" quotePrefix="0" xfId="0">
      <alignment horizontal="center"/>
    </xf>
    <xf numFmtId="0" fontId="65" fillId="0" borderId="0" pivotButton="0" quotePrefix="0" xfId="0"/>
    <xf numFmtId="0" fontId="56" fillId="0" borderId="0" applyAlignment="1" pivotButton="0" quotePrefix="0" xfId="0">
      <alignment horizontal="center"/>
    </xf>
    <xf numFmtId="0" fontId="56" fillId="0" borderId="0" applyAlignment="1" pivotButton="0" quotePrefix="0" xfId="0">
      <alignment horizontal="left"/>
    </xf>
    <xf numFmtId="0" fontId="56" fillId="0" borderId="0" applyAlignment="1" pivotButton="0" quotePrefix="0" xfId="0">
      <alignment horizontal="center" wrapText="1"/>
    </xf>
    <xf numFmtId="0" fontId="57" fillId="0" borderId="0" pivotButton="0" quotePrefix="1" xfId="0"/>
    <xf numFmtId="0" fontId="56" fillId="0" borderId="0" applyAlignment="1" pivotButton="0" quotePrefix="0" xfId="0">
      <alignment horizontal="left" wrapText="1"/>
    </xf>
    <xf numFmtId="0" fontId="57" fillId="0" borderId="0" applyAlignment="1" pivotButton="0" quotePrefix="1" xfId="0">
      <alignment horizontal="center"/>
    </xf>
    <xf numFmtId="167" fontId="57" fillId="0" borderId="0" pivotButton="0" quotePrefix="0" xfId="0"/>
    <xf numFmtId="14" fontId="62" fillId="0" borderId="0" applyAlignment="1" pivotButton="0" quotePrefix="0" xfId="0">
      <alignment horizontal="center"/>
    </xf>
    <xf numFmtId="0" fontId="56" fillId="0" borderId="0" applyAlignment="1" pivotButton="0" quotePrefix="1" xfId="0">
      <alignment horizontal="center"/>
    </xf>
    <xf numFmtId="14" fontId="62" fillId="0" borderId="5" applyAlignment="1" pivotButton="0" quotePrefix="0" xfId="0">
      <alignment horizontal="center"/>
    </xf>
    <xf numFmtId="0" fontId="56" fillId="0" borderId="5" applyAlignment="1" pivotButton="0" quotePrefix="0" xfId="0">
      <alignment horizontal="left"/>
    </xf>
    <xf numFmtId="165" fontId="56" fillId="0" borderId="5" applyAlignment="1" pivotButton="0" quotePrefix="0" xfId="3">
      <alignment horizontal="center"/>
    </xf>
    <xf numFmtId="167" fontId="62" fillId="0" borderId="0" pivotButton="0" quotePrefix="0" xfId="1"/>
    <xf numFmtId="0" fontId="56" fillId="0" borderId="5" pivotButton="0" quotePrefix="0" xfId="0"/>
    <xf numFmtId="0" fontId="59" fillId="4" borderId="0" applyAlignment="1" pivotButton="0" quotePrefix="0" xfId="0">
      <alignment vertical="top" wrapText="1"/>
    </xf>
    <xf numFmtId="0" fontId="66" fillId="0" borderId="0" applyAlignment="1" pivotButton="0" quotePrefix="0" xfId="0">
      <alignment horizontal="center"/>
    </xf>
    <xf numFmtId="0" fontId="66" fillId="0" borderId="0" applyAlignment="1" pivotButton="0" quotePrefix="1" xfId="0">
      <alignment horizontal="center"/>
    </xf>
    <xf numFmtId="197" fontId="56" fillId="0" borderId="0" applyAlignment="1" pivotButton="0" quotePrefix="0" xfId="0">
      <alignment horizontal="right"/>
    </xf>
    <xf numFmtId="0" fontId="56" fillId="0" borderId="0" applyAlignment="1" pivotButton="0" quotePrefix="1" xfId="0">
      <alignment horizontal="left"/>
    </xf>
    <xf numFmtId="0" fontId="56" fillId="0" borderId="5" applyAlignment="1" pivotButton="0" quotePrefix="0" xfId="0">
      <alignment horizontal="center"/>
    </xf>
    <xf numFmtId="0" fontId="56" fillId="0" borderId="15" applyAlignment="1" pivotButton="0" quotePrefix="0" xfId="0">
      <alignment horizontal="center"/>
    </xf>
    <xf numFmtId="0" fontId="56" fillId="0" borderId="7" applyAlignment="1" pivotButton="0" quotePrefix="0" xfId="0">
      <alignment horizontal="center"/>
    </xf>
    <xf numFmtId="164" fontId="56" fillId="0" borderId="17" applyAlignment="1" pivotButton="0" quotePrefix="0" xfId="2">
      <alignment horizontal="center"/>
    </xf>
    <xf numFmtId="164" fontId="56" fillId="0" borderId="8" applyAlignment="1" pivotButton="0" quotePrefix="0" xfId="2">
      <alignment horizontal="center"/>
    </xf>
    <xf numFmtId="198" fontId="56" fillId="0" borderId="0" applyAlignment="1" pivotButton="0" quotePrefix="0" xfId="0">
      <alignment horizontal="center"/>
    </xf>
    <xf numFmtId="0" fontId="60" fillId="4" borderId="0" applyAlignment="1" pivotButton="0" quotePrefix="0" xfId="0">
      <alignment horizontal="center"/>
    </xf>
    <xf numFmtId="0" fontId="56" fillId="4" borderId="0" applyAlignment="1" pivotButton="0" quotePrefix="0" xfId="0">
      <alignment horizontal="center"/>
    </xf>
    <xf numFmtId="0" fontId="56" fillId="23" borderId="0" applyAlignment="1" pivotButton="0" quotePrefix="0" xfId="0">
      <alignment horizontal="center"/>
    </xf>
    <xf numFmtId="0" fontId="56" fillId="0" borderId="40" applyAlignment="1" pivotButton="0" quotePrefix="0" xfId="0">
      <alignment horizontal="center"/>
    </xf>
    <xf numFmtId="0" fontId="56" fillId="0" borderId="19" applyAlignment="1" pivotButton="0" quotePrefix="0" xfId="0">
      <alignment horizontal="center"/>
    </xf>
    <xf numFmtId="0" fontId="56" fillId="0" borderId="19" applyAlignment="1" pivotButton="0" quotePrefix="0" xfId="0">
      <alignment vertical="center" wrapText="1"/>
    </xf>
    <xf numFmtId="0" fontId="56" fillId="0" borderId="41" applyAlignment="1" pivotButton="0" quotePrefix="0" xfId="0">
      <alignment horizontal="center"/>
    </xf>
    <xf numFmtId="9" fontId="56" fillId="0" borderId="40" applyAlignment="1" pivotButton="0" quotePrefix="0" xfId="3">
      <alignment wrapText="1"/>
    </xf>
    <xf numFmtId="0" fontId="56" fillId="0" borderId="41" applyAlignment="1" pivotButton="0" quotePrefix="0" xfId="0">
      <alignment vertical="center" wrapText="1"/>
    </xf>
    <xf numFmtId="0" fontId="56" fillId="0" borderId="19" applyAlignment="1" pivotButton="0" quotePrefix="0" xfId="0">
      <alignment wrapText="1"/>
    </xf>
    <xf numFmtId="0" fontId="56" fillId="0" borderId="40" applyAlignment="1" pivotButton="0" quotePrefix="0" xfId="0">
      <alignment vertical="center" wrapText="1"/>
    </xf>
    <xf numFmtId="0" fontId="56" fillId="0" borderId="40" pivotButton="0" quotePrefix="0" xfId="0"/>
    <xf numFmtId="0" fontId="56" fillId="0" borderId="19" pivotButton="0" quotePrefix="0" xfId="0"/>
    <xf numFmtId="0" fontId="56" fillId="0" borderId="41" pivotButton="0" quotePrefix="0" xfId="0"/>
    <xf numFmtId="0" fontId="56" fillId="0" borderId="18" applyAlignment="1" pivotButton="0" quotePrefix="0" xfId="0">
      <alignment horizontal="center"/>
    </xf>
    <xf numFmtId="0" fontId="56" fillId="0" borderId="22" applyAlignment="1" pivotButton="0" quotePrefix="0" xfId="0">
      <alignment horizontal="center"/>
    </xf>
    <xf numFmtId="0" fontId="56" fillId="0" borderId="17" applyAlignment="1" pivotButton="0" quotePrefix="0" xfId="0">
      <alignment horizontal="center"/>
    </xf>
    <xf numFmtId="0" fontId="56" fillId="0" borderId="8" applyAlignment="1" pivotButton="0" quotePrefix="0" xfId="0">
      <alignment horizontal="center"/>
    </xf>
    <xf numFmtId="0" fontId="56" fillId="0" borderId="21" applyAlignment="1" pivotButton="0" quotePrefix="0" xfId="0">
      <alignment horizontal="center"/>
    </xf>
    <xf numFmtId="0" fontId="56" fillId="0" borderId="6" applyAlignment="1" pivotButton="0" quotePrefix="0" xfId="0">
      <alignment horizontal="centerContinuous"/>
    </xf>
    <xf numFmtId="0" fontId="56" fillId="0" borderId="0" applyAlignment="1" pivotButton="0" quotePrefix="0" xfId="0">
      <alignment horizontal="centerContinuous"/>
    </xf>
    <xf numFmtId="0" fontId="56" fillId="0" borderId="0" applyAlignment="1" pivotButton="0" quotePrefix="0" xfId="0">
      <alignment horizontal="right"/>
    </xf>
    <xf numFmtId="10" fontId="56" fillId="0" borderId="0" applyAlignment="1" pivotButton="0" quotePrefix="0" xfId="0">
      <alignment horizontal="center"/>
    </xf>
    <xf numFmtId="0" fontId="56" fillId="0" borderId="50" applyAlignment="1" pivotButton="0" quotePrefix="0" xfId="0">
      <alignment horizontal="center"/>
    </xf>
    <xf numFmtId="0" fontId="56" fillId="0" borderId="47" applyAlignment="1" pivotButton="0" quotePrefix="0" xfId="0">
      <alignment horizontal="center"/>
    </xf>
    <xf numFmtId="0" fontId="56" fillId="0" borderId="47" applyAlignment="1" pivotButton="0" quotePrefix="0" xfId="0">
      <alignment vertical="center" wrapText="1"/>
    </xf>
    <xf numFmtId="0" fontId="56" fillId="0" borderId="51" applyAlignment="1" pivotButton="0" quotePrefix="0" xfId="0">
      <alignment horizontal="center"/>
    </xf>
    <xf numFmtId="9" fontId="56" fillId="0" borderId="50" applyAlignment="1" pivotButton="0" quotePrefix="0" xfId="3">
      <alignment wrapText="1"/>
    </xf>
    <xf numFmtId="0" fontId="56" fillId="0" borderId="51" applyAlignment="1" pivotButton="0" quotePrefix="0" xfId="0">
      <alignment vertical="center" wrapText="1"/>
    </xf>
    <xf numFmtId="0" fontId="56" fillId="0" borderId="47" applyAlignment="1" pivotButton="0" quotePrefix="0" xfId="0">
      <alignment wrapText="1"/>
    </xf>
    <xf numFmtId="0" fontId="56" fillId="0" borderId="50" applyAlignment="1" pivotButton="0" quotePrefix="0" xfId="0">
      <alignment vertical="center" wrapText="1"/>
    </xf>
    <xf numFmtId="0" fontId="56" fillId="0" borderId="6" applyAlignment="1" pivotButton="0" quotePrefix="0" xfId="0">
      <alignment horizontal="center"/>
    </xf>
    <xf numFmtId="0" fontId="56" fillId="0" borderId="23" applyAlignment="1" pivotButton="0" quotePrefix="0" xfId="0">
      <alignment horizontal="center"/>
    </xf>
    <xf numFmtId="0" fontId="56" fillId="23" borderId="5" applyAlignment="1" pivotButton="0" quotePrefix="0" xfId="0">
      <alignment horizontal="center"/>
    </xf>
    <xf numFmtId="0" fontId="56" fillId="4" borderId="5" applyAlignment="1" pivotButton="0" quotePrefix="0" xfId="0">
      <alignment horizontal="center"/>
    </xf>
    <xf numFmtId="0" fontId="56" fillId="0" borderId="0" applyAlignment="1" pivotButton="0" quotePrefix="0" xfId="0">
      <alignment wrapText="1"/>
    </xf>
    <xf numFmtId="0" fontId="57" fillId="0" borderId="0" applyAlignment="1" pivotButton="0" quotePrefix="0" xfId="0">
      <alignment wrapText="1"/>
    </xf>
    <xf numFmtId="0" fontId="68" fillId="25" borderId="4" applyAlignment="1" pivotButton="0" quotePrefix="0" xfId="0">
      <alignment horizontal="left" vertical="center"/>
    </xf>
    <xf numFmtId="0" fontId="68" fillId="25" borderId="4" applyAlignment="1" pivotButton="0" quotePrefix="0" xfId="0">
      <alignment horizontal="center" vertical="center"/>
    </xf>
    <xf numFmtId="0" fontId="68" fillId="0" borderId="4" applyAlignment="1" pivotButton="0" quotePrefix="0" xfId="0">
      <alignment horizontal="center" vertical="center"/>
    </xf>
    <xf numFmtId="0" fontId="68" fillId="0" borderId="4" applyAlignment="1" pivotButton="0" quotePrefix="0" xfId="2">
      <alignment horizontal="center" vertical="center"/>
    </xf>
    <xf numFmtId="0" fontId="68" fillId="0" borderId="4" applyAlignment="1" pivotButton="0" quotePrefix="0" xfId="0">
      <alignment horizontal="left" vertical="center"/>
    </xf>
    <xf numFmtId="165" fontId="68" fillId="0" borderId="4" applyAlignment="1" pivotButton="0" quotePrefix="0" xfId="3">
      <alignment horizontal="center" vertical="center"/>
    </xf>
    <xf numFmtId="197" fontId="68" fillId="0" borderId="4" applyAlignment="1" pivotButton="0" quotePrefix="0" xfId="0">
      <alignment horizontal="center"/>
    </xf>
    <xf numFmtId="198" fontId="68" fillId="0" borderId="4" applyAlignment="1" pivotButton="0" quotePrefix="0" xfId="0">
      <alignment horizontal="center"/>
    </xf>
    <xf numFmtId="165" fontId="68" fillId="23" borderId="4" applyAlignment="1" pivotButton="0" quotePrefix="0" xfId="3">
      <alignment horizontal="center"/>
    </xf>
    <xf numFmtId="10" fontId="68" fillId="0" borderId="4" applyAlignment="1" pivotButton="0" quotePrefix="0" xfId="0">
      <alignment horizontal="center"/>
    </xf>
    <xf numFmtId="0" fontId="69" fillId="0" borderId="4" applyAlignment="1" pivotButton="0" quotePrefix="0" xfId="0">
      <alignment horizontal="center"/>
    </xf>
    <xf numFmtId="14" fontId="69" fillId="0" borderId="4" applyAlignment="1" pivotButton="0" quotePrefix="0" xfId="0">
      <alignment horizontal="center"/>
    </xf>
    <xf numFmtId="10" fontId="69" fillId="0" borderId="4" applyAlignment="1" pivotButton="0" quotePrefix="0" xfId="3">
      <alignment horizontal="center"/>
    </xf>
    <xf numFmtId="197" fontId="68" fillId="23" borderId="4" applyAlignment="1" pivotButton="0" quotePrefix="0" xfId="0">
      <alignment horizontal="center"/>
    </xf>
    <xf numFmtId="9" fontId="68" fillId="23" borderId="26" applyAlignment="1" pivotButton="0" quotePrefix="0" xfId="3">
      <alignment horizontal="center"/>
    </xf>
    <xf numFmtId="197" fontId="68" fillId="23" borderId="4" applyAlignment="1" pivotButton="0" quotePrefix="0" xfId="3">
      <alignment horizontal="center"/>
    </xf>
    <xf numFmtId="197" fontId="71" fillId="23" borderId="0" applyAlignment="1" pivotButton="0" quotePrefix="0" xfId="0">
      <alignment horizontal="center"/>
    </xf>
    <xf numFmtId="43" fontId="68" fillId="0" borderId="26" applyAlignment="1" pivotButton="0" quotePrefix="0" xfId="1">
      <alignment horizontal="center"/>
    </xf>
    <xf numFmtId="9" fontId="68" fillId="0" borderId="28" applyAlignment="1" pivotButton="0" quotePrefix="0" xfId="3">
      <alignment horizontal="center"/>
    </xf>
    <xf numFmtId="9" fontId="68" fillId="0" borderId="4" applyAlignment="1" pivotButton="0" quotePrefix="0" xfId="3">
      <alignment horizontal="center"/>
    </xf>
    <xf numFmtId="187" fontId="68" fillId="0" borderId="3" applyAlignment="1" pivotButton="0" quotePrefix="0" xfId="2">
      <alignment horizontal="center" vertical="center"/>
    </xf>
    <xf numFmtId="187" fontId="68" fillId="0" borderId="15" applyAlignment="1" pivotButton="0" quotePrefix="0" xfId="2">
      <alignment horizontal="center" vertical="center"/>
    </xf>
    <xf numFmtId="187" fontId="68" fillId="0" borderId="0" applyAlignment="1" pivotButton="0" quotePrefix="0" xfId="2">
      <alignment horizontal="center" vertical="center"/>
    </xf>
    <xf numFmtId="199" fontId="68" fillId="0" borderId="4" applyAlignment="1" pivotButton="0" quotePrefix="0" xfId="2">
      <alignment horizontal="center" vertical="center"/>
    </xf>
    <xf numFmtId="199" fontId="68" fillId="0" borderId="29" applyAlignment="1" pivotButton="0" quotePrefix="0" xfId="2">
      <alignment horizontal="center" vertical="center"/>
    </xf>
    <xf numFmtId="10" fontId="68" fillId="0" borderId="3" applyAlignment="1" pivotButton="0" quotePrefix="0" xfId="0">
      <alignment horizontal="center"/>
    </xf>
    <xf numFmtId="200" fontId="68" fillId="0" borderId="4" applyAlignment="1" pivotButton="0" quotePrefix="0" xfId="0">
      <alignment horizontal="center"/>
    </xf>
    <xf numFmtId="198" fontId="68" fillId="0" borderId="3" applyAlignment="1" pivotButton="0" quotePrefix="0" xfId="0">
      <alignment horizontal="center"/>
    </xf>
    <xf numFmtId="167" fontId="62" fillId="0" borderId="4" applyAlignment="1" pivotButton="0" quotePrefix="0" xfId="1">
      <alignment horizontal="center"/>
    </xf>
    <xf numFmtId="167" fontId="62" fillId="23" borderId="4" pivotButton="0" quotePrefix="0" xfId="1"/>
    <xf numFmtId="167" fontId="62" fillId="0" borderId="4" pivotButton="0" quotePrefix="0" xfId="1"/>
    <xf numFmtId="167" fontId="62" fillId="0" borderId="3" pivotButton="0" quotePrefix="0" xfId="1"/>
    <xf numFmtId="0" fontId="72" fillId="0" borderId="0" pivotButton="0" quotePrefix="0" xfId="0"/>
    <xf numFmtId="187" fontId="68" fillId="0" borderId="28" applyAlignment="1" pivotButton="0" quotePrefix="0" xfId="2">
      <alignment horizontal="center" vertical="center"/>
    </xf>
    <xf numFmtId="10" fontId="57" fillId="0" borderId="0" applyAlignment="1" pivotButton="0" quotePrefix="0" xfId="3">
      <alignment horizontal="center"/>
    </xf>
    <xf numFmtId="3" fontId="57" fillId="0" borderId="0" pivotButton="0" quotePrefix="0" xfId="1"/>
    <xf numFmtId="167" fontId="57" fillId="0" borderId="0" applyAlignment="1" pivotButton="0" quotePrefix="0" xfId="1">
      <alignment horizontal="center"/>
    </xf>
    <xf numFmtId="167" fontId="57" fillId="0" borderId="0" pivotButton="0" quotePrefix="0" xfId="1"/>
    <xf numFmtId="10" fontId="57" fillId="0" borderId="0" pivotButton="0" quotePrefix="0" xfId="3"/>
    <xf numFmtId="167" fontId="57" fillId="0" borderId="0" pivotButton="0" quotePrefix="0" xfId="1"/>
    <xf numFmtId="167" fontId="57" fillId="0" borderId="0" pivotButton="0" quotePrefix="0" xfId="1"/>
    <xf numFmtId="4" fontId="57" fillId="0" borderId="0" pivotButton="0" quotePrefix="0" xfId="0"/>
    <xf numFmtId="4" fontId="73" fillId="0" borderId="0" pivotButton="0" quotePrefix="0" xfId="0"/>
    <xf numFmtId="43" fontId="57" fillId="0" borderId="0" applyAlignment="1" pivotButton="0" quotePrefix="0" xfId="0">
      <alignment horizontal="center"/>
    </xf>
    <xf numFmtId="43" fontId="57" fillId="0" borderId="0" pivotButton="0" quotePrefix="0" xfId="0"/>
    <xf numFmtId="43" fontId="62" fillId="0" borderId="0" pivotButton="0" quotePrefix="0" xfId="0"/>
    <xf numFmtId="176" fontId="57" fillId="0" borderId="0" applyAlignment="1" pivotButton="0" quotePrefix="0" xfId="3">
      <alignment horizontal="center"/>
    </xf>
    <xf numFmtId="10" fontId="65" fillId="0" borderId="0" pivotButton="0" quotePrefix="0" xfId="3"/>
    <xf numFmtId="168" fontId="57" fillId="0" borderId="0" pivotButton="0" quotePrefix="0" xfId="2"/>
    <xf numFmtId="168" fontId="57" fillId="0" borderId="0" pivotButton="0" quotePrefix="0" xfId="2"/>
    <xf numFmtId="0" fontId="56" fillId="27" borderId="4" applyAlignment="1" pivotButton="0" quotePrefix="0" xfId="0">
      <alignment horizontal="center" vertical="center" wrapText="1"/>
    </xf>
    <xf numFmtId="197" fontId="68" fillId="25" borderId="4" applyAlignment="1" pivotButton="0" quotePrefix="0" xfId="0">
      <alignment horizontal="center"/>
    </xf>
    <xf numFmtId="198" fontId="68" fillId="25" borderId="4" applyAlignment="1" pivotButton="0" quotePrefix="0" xfId="0">
      <alignment horizontal="center"/>
    </xf>
    <xf numFmtId="9" fontId="68" fillId="25" borderId="4" applyAlignment="1" pivotButton="0" quotePrefix="0" xfId="3">
      <alignment horizontal="center"/>
    </xf>
    <xf numFmtId="0" fontId="62" fillId="28" borderId="4" applyAlignment="1" applyProtection="1" pivotButton="0" quotePrefix="0" xfId="0">
      <alignment horizontal="center"/>
      <protection locked="0" hidden="0"/>
    </xf>
    <xf numFmtId="0" fontId="62" fillId="25" borderId="4" applyAlignment="1" pivotButton="0" quotePrefix="0" xfId="0">
      <alignment horizontal="center" vertical="center"/>
    </xf>
    <xf numFmtId="0" fontId="68" fillId="29" borderId="4" applyAlignment="1" pivotButton="0" quotePrefix="0" xfId="0">
      <alignment horizontal="center" vertical="center"/>
    </xf>
    <xf numFmtId="0" fontId="60" fillId="26" borderId="5" pivotButton="0" quotePrefix="0" xfId="0"/>
    <xf numFmtId="0" fontId="68" fillId="26" borderId="30" applyAlignment="1" pivotButton="0" quotePrefix="0" xfId="2">
      <alignment horizontal="center" vertical="center"/>
    </xf>
    <xf numFmtId="0" fontId="68" fillId="26" borderId="31" applyAlignment="1" pivotButton="0" quotePrefix="0" xfId="0">
      <alignment horizontal="center" vertical="center"/>
    </xf>
    <xf numFmtId="9" fontId="68" fillId="26" borderId="30" applyAlignment="1" pivotButton="0" quotePrefix="0" xfId="3">
      <alignment horizontal="center" vertical="center"/>
    </xf>
    <xf numFmtId="198" fontId="68" fillId="26" borderId="31" applyAlignment="1" pivotButton="0" quotePrefix="0" xfId="0">
      <alignment horizontal="center"/>
    </xf>
    <xf numFmtId="167" fontId="73" fillId="26" borderId="5" pivotButton="0" quotePrefix="0" xfId="0"/>
    <xf numFmtId="167" fontId="73" fillId="26" borderId="0" pivotButton="0" quotePrefix="0" xfId="0"/>
    <xf numFmtId="198" fontId="68" fillId="26" borderId="31" applyAlignment="1" pivotButton="0" quotePrefix="0" xfId="3">
      <alignment horizontal="center"/>
    </xf>
    <xf numFmtId="43" fontId="68" fillId="26" borderId="31" applyAlignment="1" pivotButton="0" quotePrefix="0" xfId="1">
      <alignment horizontal="center"/>
    </xf>
    <xf numFmtId="197" fontId="68" fillId="26" borderId="31" applyAlignment="1" pivotButton="0" quotePrefix="0" xfId="0">
      <alignment horizontal="center"/>
    </xf>
    <xf numFmtId="197" fontId="68" fillId="26" borderId="0" applyAlignment="1" pivotButton="0" quotePrefix="0" xfId="0">
      <alignment horizontal="center"/>
    </xf>
    <xf numFmtId="43" fontId="73" fillId="26" borderId="5" applyAlignment="1" pivotButton="0" quotePrefix="0" xfId="0">
      <alignment horizontal="center"/>
    </xf>
    <xf numFmtId="0" fontId="68" fillId="26" borderId="0" applyAlignment="1" pivotButton="0" quotePrefix="0" xfId="2">
      <alignment horizontal="center" vertical="center"/>
    </xf>
    <xf numFmtId="0" fontId="73" fillId="26" borderId="5" pivotButton="0" quotePrefix="0" xfId="0"/>
    <xf numFmtId="0" fontId="60" fillId="26" borderId="5" applyAlignment="1" pivotButton="0" quotePrefix="0" xfId="0">
      <alignment horizontal="center"/>
    </xf>
    <xf numFmtId="9" fontId="68" fillId="26" borderId="31" applyAlignment="1" pivotButton="0" quotePrefix="0" xfId="3">
      <alignment horizontal="center"/>
    </xf>
    <xf numFmtId="197" fontId="68" fillId="26" borderId="32" applyAlignment="1" pivotButton="0" quotePrefix="0" xfId="0">
      <alignment horizontal="center"/>
    </xf>
    <xf numFmtId="0" fontId="73" fillId="26" borderId="0" pivotButton="0" quotePrefix="0" xfId="0"/>
    <xf numFmtId="10" fontId="68" fillId="26" borderId="31" applyAlignment="1" pivotButton="0" quotePrefix="0" xfId="0">
      <alignment horizontal="center"/>
    </xf>
    <xf numFmtId="10" fontId="68" fillId="26" borderId="0" applyAlignment="1" pivotButton="0" quotePrefix="0" xfId="0">
      <alignment horizontal="center"/>
    </xf>
    <xf numFmtId="0" fontId="73" fillId="26" borderId="24" pivotButton="0" quotePrefix="0" xfId="0"/>
    <xf numFmtId="0" fontId="73" fillId="26" borderId="15" pivotButton="0" quotePrefix="0" xfId="0"/>
    <xf numFmtId="2" fontId="68" fillId="26" borderId="31" applyAlignment="1" pivotButton="0" quotePrefix="0" xfId="2">
      <alignment horizontal="center" vertical="center"/>
    </xf>
    <xf numFmtId="198" fontId="68" fillId="26" borderId="30" applyAlignment="1" pivotButton="0" quotePrefix="0" xfId="0">
      <alignment horizontal="center"/>
    </xf>
    <xf numFmtId="167" fontId="62" fillId="26" borderId="33" pivotButton="0" quotePrefix="0" xfId="1"/>
    <xf numFmtId="167" fontId="62" fillId="26" borderId="0" pivotButton="0" quotePrefix="0" xfId="1"/>
    <xf numFmtId="0" fontId="62" fillId="26" borderId="5" applyAlignment="1" pivotButton="0" quotePrefix="0" xfId="0">
      <alignment horizontal="center"/>
    </xf>
    <xf numFmtId="165" fontId="62" fillId="26" borderId="5" applyAlignment="1" pivotButton="0" quotePrefix="0" xfId="3">
      <alignment horizontal="center"/>
    </xf>
    <xf numFmtId="0" fontId="62" fillId="26" borderId="5" pivotButton="0" quotePrefix="0" xfId="0"/>
    <xf numFmtId="167" fontId="62" fillId="26" borderId="6" pivotButton="0" quotePrefix="0" xfId="1"/>
    <xf numFmtId="167" fontId="62" fillId="26" borderId="0" pivotButton="0" quotePrefix="0" xfId="1"/>
    <xf numFmtId="167" fontId="62" fillId="26" borderId="22" pivotButton="0" quotePrefix="0" xfId="1"/>
    <xf numFmtId="0" fontId="62" fillId="26" borderId="7" pivotButton="0" quotePrefix="0" xfId="0"/>
    <xf numFmtId="0" fontId="57" fillId="26" borderId="0" pivotButton="0" quotePrefix="0" xfId="0"/>
    <xf numFmtId="0" fontId="60" fillId="26" borderId="10" applyAlignment="1" pivotButton="0" quotePrefix="0" xfId="0">
      <alignment horizontal="left"/>
    </xf>
    <xf numFmtId="0" fontId="60" fillId="26" borderId="11" applyAlignment="1" pivotButton="0" quotePrefix="0" xfId="0">
      <alignment horizontal="left" wrapText="1"/>
    </xf>
    <xf numFmtId="0" fontId="56" fillId="26" borderId="0" applyAlignment="1" pivotButton="0" quotePrefix="0" xfId="0">
      <alignment horizontal="left" wrapText="1"/>
    </xf>
    <xf numFmtId="0" fontId="56" fillId="27" borderId="1" applyAlignment="1" pivotButton="0" quotePrefix="0" xfId="0">
      <alignment horizontal="center" vertical="center" wrapText="1"/>
    </xf>
    <xf numFmtId="197" fontId="68" fillId="0" borderId="26" applyAlignment="1" pivotButton="0" quotePrefix="0" xfId="0">
      <alignment horizontal="center"/>
    </xf>
    <xf numFmtId="0" fontId="56" fillId="0" borderId="21" pivotButton="0" quotePrefix="0" xfId="0"/>
    <xf numFmtId="0" fontId="56" fillId="0" borderId="4" applyAlignment="1" pivotButton="0" quotePrefix="0" xfId="0">
      <alignment horizontal="center" wrapText="1"/>
    </xf>
    <xf numFmtId="0" fontId="56" fillId="0" borderId="4" applyAlignment="1" pivotButton="0" quotePrefix="0" xfId="0">
      <alignment wrapText="1"/>
    </xf>
    <xf numFmtId="0" fontId="56" fillId="0" borderId="26" applyAlignment="1" pivotButton="0" quotePrefix="0" xfId="0">
      <alignment horizontal="center"/>
    </xf>
    <xf numFmtId="0" fontId="60" fillId="4" borderId="5" applyAlignment="1" pivotButton="0" quotePrefix="0" xfId="0">
      <alignment horizontal="center"/>
    </xf>
    <xf numFmtId="0" fontId="58" fillId="4" borderId="5" applyAlignment="1" pivotButton="0" quotePrefix="0" xfId="0">
      <alignment horizontal="center"/>
    </xf>
    <xf numFmtId="0" fontId="60" fillId="0" borderId="5" applyAlignment="1" pivotButton="0" quotePrefix="0" xfId="0">
      <alignment horizontal="center"/>
    </xf>
    <xf numFmtId="0" fontId="56" fillId="0" borderId="25" applyAlignment="1" pivotButton="0" quotePrefix="0" xfId="0">
      <alignment horizontal="center"/>
    </xf>
    <xf numFmtId="0" fontId="57" fillId="26" borderId="0" applyAlignment="1" pivotButton="0" quotePrefix="0" xfId="0">
      <alignment horizontal="center"/>
    </xf>
    <xf numFmtId="201" fontId="68" fillId="25" borderId="26" applyAlignment="1" pivotButton="0" quotePrefix="0" xfId="2">
      <alignment horizontal="center" vertical="center"/>
    </xf>
    <xf numFmtId="0" fontId="68" fillId="25" borderId="26" applyAlignment="1" pivotButton="0" quotePrefix="0" xfId="2">
      <alignment horizontal="center" vertical="center"/>
    </xf>
    <xf numFmtId="187" fontId="68" fillId="25" borderId="26" applyAlignment="1" pivotButton="0" quotePrefix="0" xfId="1">
      <alignment horizontal="center" vertical="center"/>
    </xf>
    <xf numFmtId="0" fontId="68" fillId="25" borderId="26" applyAlignment="1" pivotButton="0" quotePrefix="0" xfId="2">
      <alignment vertical="center"/>
    </xf>
    <xf numFmtId="176" fontId="68" fillId="25" borderId="26" applyAlignment="1" pivotButton="0" quotePrefix="0" xfId="3">
      <alignment horizontal="center" vertical="center"/>
    </xf>
    <xf numFmtId="0" fontId="68" fillId="25" borderId="26" applyAlignment="1" pivotButton="0" quotePrefix="0" xfId="2">
      <alignment horizontal="center" vertical="center"/>
    </xf>
    <xf numFmtId="0" fontId="70" fillId="25" borderId="26" applyAlignment="1" pivotButton="0" quotePrefix="0" xfId="2">
      <alignment horizontal="center" vertical="center"/>
    </xf>
    <xf numFmtId="201" fontId="68" fillId="25" borderId="7" applyAlignment="1" pivotButton="0" quotePrefix="0" xfId="2">
      <alignment horizontal="center" vertical="center"/>
    </xf>
    <xf numFmtId="201" fontId="68" fillId="25" borderId="5" applyAlignment="1" pivotButton="0" quotePrefix="0" xfId="2">
      <alignment horizontal="center" vertical="center"/>
    </xf>
    <xf numFmtId="201" fontId="68" fillId="25" borderId="4" applyAlignment="1" pivotButton="0" quotePrefix="0" xfId="2">
      <alignment horizontal="center" vertical="center"/>
    </xf>
    <xf numFmtId="0" fontId="68" fillId="25" borderId="4" applyAlignment="1" pivotButton="0" quotePrefix="0" xfId="2">
      <alignment horizontal="center" vertical="center"/>
    </xf>
    <xf numFmtId="187" fontId="68" fillId="25" borderId="4" applyAlignment="1" pivotButton="0" quotePrefix="0" xfId="1">
      <alignment horizontal="center" vertical="center"/>
    </xf>
    <xf numFmtId="0" fontId="68" fillId="25" borderId="4" applyAlignment="1" pivotButton="0" quotePrefix="0" xfId="2">
      <alignment vertical="center"/>
    </xf>
    <xf numFmtId="176" fontId="68" fillId="25" borderId="4" applyAlignment="1" pivotButton="0" quotePrefix="0" xfId="3">
      <alignment horizontal="center" vertical="center"/>
    </xf>
    <xf numFmtId="0" fontId="68" fillId="25" borderId="4" applyAlignment="1" pivotButton="0" quotePrefix="0" xfId="2">
      <alignment horizontal="center" vertical="center"/>
    </xf>
    <xf numFmtId="0" fontId="70" fillId="25" borderId="4" applyAlignment="1" pivotButton="0" quotePrefix="0" xfId="2">
      <alignment horizontal="center" vertical="center"/>
    </xf>
    <xf numFmtId="201" fontId="68" fillId="25" borderId="1" applyAlignment="1" pivotButton="0" quotePrefix="0" xfId="2">
      <alignment horizontal="center" vertical="center"/>
    </xf>
    <xf numFmtId="43" fontId="68" fillId="25" borderId="27" applyAlignment="1" pivotButton="0" quotePrefix="0" xfId="1">
      <alignment horizontal="center"/>
    </xf>
    <xf numFmtId="197" fontId="68" fillId="29" borderId="4" applyAlignment="1" pivotButton="0" quotePrefix="0" xfId="3">
      <alignment horizontal="center"/>
    </xf>
    <xf numFmtId="167" fontId="68" fillId="25" borderId="4" applyAlignment="1" pivotButton="0" quotePrefix="0" xfId="1">
      <alignment horizontal="center"/>
    </xf>
    <xf numFmtId="167" fontId="68" fillId="25" borderId="15" applyAlignment="1" pivotButton="0" quotePrefix="0" xfId="1">
      <alignment horizontal="center"/>
    </xf>
    <xf numFmtId="14" fontId="62" fillId="0" borderId="37" applyAlignment="1" pivotButton="0" quotePrefix="0" xfId="0">
      <alignment horizontal="center"/>
    </xf>
    <xf numFmtId="164" fontId="56" fillId="0" borderId="21" applyAlignment="1" pivotButton="0" quotePrefix="0" xfId="2">
      <alignment horizontal="center"/>
    </xf>
    <xf numFmtId="2" fontId="68" fillId="29" borderId="8" applyAlignment="1" pivotButton="0" quotePrefix="0" xfId="2">
      <alignment horizontal="center" vertical="center"/>
    </xf>
    <xf numFmtId="2" fontId="68" fillId="29" borderId="4" applyAlignment="1" pivotButton="0" quotePrefix="0" xfId="2">
      <alignment horizontal="center" vertical="center"/>
    </xf>
    <xf numFmtId="0" fontId="58" fillId="3" borderId="4" applyAlignment="1" pivotButton="0" quotePrefix="0" xfId="0">
      <alignment horizontal="center" vertical="center" wrapText="1"/>
    </xf>
    <xf numFmtId="0" fontId="56" fillId="3" borderId="4" applyAlignment="1" pivotButton="0" quotePrefix="0" xfId="0">
      <alignment horizontal="center" vertical="center" wrapText="1"/>
    </xf>
    <xf numFmtId="0" fontId="5" fillId="26" borderId="0" pivotButton="0" quotePrefix="0" xfId="0"/>
    <xf numFmtId="0" fontId="3" fillId="26" borderId="0" pivotButton="0" quotePrefix="0" xfId="0"/>
    <xf numFmtId="0" fontId="65" fillId="0" borderId="0" applyAlignment="1" pivotButton="0" quotePrefix="0" xfId="0">
      <alignment horizontal="center"/>
    </xf>
    <xf numFmtId="0" fontId="65" fillId="0" borderId="0" applyAlignment="1" pivotButton="0" quotePrefix="0" xfId="0">
      <alignment horizontal="left"/>
    </xf>
    <xf numFmtId="0" fontId="57" fillId="0" borderId="0" applyAlignment="1" pivotButton="0" quotePrefix="0" xfId="0">
      <alignment horizontal="center" vertical="center"/>
    </xf>
    <xf numFmtId="11" fontId="57" fillId="0" borderId="0" pivotButton="0" quotePrefix="0" xfId="0"/>
    <xf numFmtId="0" fontId="74" fillId="0" borderId="0" applyAlignment="1" pivotButton="0" quotePrefix="0" xfId="0">
      <alignment horizontal="center"/>
    </xf>
    <xf numFmtId="0" fontId="62" fillId="25" borderId="4" applyAlignment="1" pivotButton="0" quotePrefix="0" xfId="0">
      <alignment horizontal="left" vertical="center"/>
    </xf>
    <xf numFmtId="14" fontId="62" fillId="25" borderId="4" applyAlignment="1" pivotButton="0" quotePrefix="0" xfId="0">
      <alignment horizontal="center" vertical="center"/>
    </xf>
    <xf numFmtId="167" fontId="72" fillId="25" borderId="4" applyAlignment="1" pivotButton="0" quotePrefix="0" xfId="1">
      <alignment horizontal="center" vertical="center"/>
    </xf>
    <xf numFmtId="43" fontId="72" fillId="25" borderId="4" applyAlignment="1" pivotButton="0" quotePrefix="0" xfId="1">
      <alignment horizontal="center" vertical="center"/>
    </xf>
    <xf numFmtId="167" fontId="72" fillId="0" borderId="4" applyAlignment="1" pivotButton="0" quotePrefix="0" xfId="1">
      <alignment horizontal="center" vertical="center"/>
    </xf>
    <xf numFmtId="202" fontId="62" fillId="25" borderId="4" applyAlignment="1" pivotButton="0" quotePrefix="0" xfId="1">
      <alignment horizontal="center" vertical="center"/>
    </xf>
    <xf numFmtId="43" fontId="72" fillId="0" borderId="4" applyAlignment="1" pivotButton="0" quotePrefix="0" xfId="1">
      <alignment horizontal="center" vertical="center"/>
    </xf>
    <xf numFmtId="10" fontId="62" fillId="25" borderId="4" applyAlignment="1" pivotButton="0" quotePrefix="0" xfId="3">
      <alignment horizontal="center"/>
    </xf>
    <xf numFmtId="43" fontId="62" fillId="25" borderId="4" applyAlignment="1" pivotButton="0" quotePrefix="0" xfId="1">
      <alignment horizontal="center" vertical="center"/>
    </xf>
    <xf numFmtId="0" fontId="57" fillId="0" borderId="0" applyAlignment="1" pivotButton="0" quotePrefix="0" xfId="0">
      <alignment horizontal="left"/>
    </xf>
    <xf numFmtId="0" fontId="57" fillId="0" borderId="2" applyAlignment="1" pivotButton="0" quotePrefix="0" xfId="0">
      <alignment horizontal="center"/>
    </xf>
    <xf numFmtId="0" fontId="57" fillId="0" borderId="2" applyAlignment="1" pivotButton="0" quotePrefix="0" xfId="0">
      <alignment wrapText="1"/>
    </xf>
    <xf numFmtId="187" fontId="62" fillId="25" borderId="4" applyAlignment="1" pivotButton="0" quotePrefix="0" xfId="1">
      <alignment horizontal="center" vertical="center"/>
    </xf>
    <xf numFmtId="183" fontId="76" fillId="0" borderId="4" applyAlignment="1" pivotButton="0" quotePrefix="0" xfId="1">
      <alignment horizontal="center" vertical="center"/>
    </xf>
    <xf numFmtId="43" fontId="76" fillId="0" borderId="4" applyAlignment="1" pivotButton="0" quotePrefix="0" xfId="1">
      <alignment horizontal="center" vertical="center"/>
    </xf>
    <xf numFmtId="0" fontId="63" fillId="4" borderId="0" pivotButton="0" quotePrefix="0" xfId="0"/>
    <xf numFmtId="9" fontId="58" fillId="0" borderId="54" applyAlignment="1" pivotButton="0" quotePrefix="0" xfId="3">
      <alignment horizontal="center" vertical="center"/>
    </xf>
    <xf numFmtId="9" fontId="61" fillId="0" borderId="54" applyAlignment="1" pivotButton="0" quotePrefix="0" xfId="3">
      <alignment horizontal="center" vertical="center"/>
    </xf>
    <xf numFmtId="0" fontId="57" fillId="4" borderId="0" applyAlignment="1" pivotButton="0" quotePrefix="0" xfId="0">
      <alignment horizontal="left" wrapText="1"/>
    </xf>
    <xf numFmtId="164" fontId="58" fillId="0" borderId="54" applyAlignment="1" pivotButton="0" quotePrefix="0" xfId="2">
      <alignment horizontal="center" vertical="center"/>
    </xf>
    <xf numFmtId="164" fontId="61" fillId="0" borderId="54" applyAlignment="1" pivotButton="0" quotePrefix="0" xfId="2">
      <alignment horizontal="center" vertical="center"/>
    </xf>
    <xf numFmtId="4" fontId="57" fillId="4" borderId="0" pivotButton="0" quotePrefix="0" xfId="0"/>
    <xf numFmtId="0" fontId="77" fillId="24" borderId="0" applyAlignment="1" pivotButton="0" quotePrefix="0" xfId="16">
      <alignment horizontal="center"/>
    </xf>
    <xf numFmtId="0" fontId="78" fillId="0" borderId="12" pivotButton="0" quotePrefix="0" xfId="0"/>
    <xf numFmtId="0" fontId="78" fillId="0" borderId="13" pivotButton="0" quotePrefix="0" xfId="0"/>
    <xf numFmtId="0" fontId="78" fillId="0" borderId="14" pivotButton="0" quotePrefix="0" xfId="0"/>
    <xf numFmtId="0" fontId="65" fillId="0" borderId="4" applyAlignment="1" pivotButton="0" quotePrefix="0" xfId="0">
      <alignment horizontal="center" vertical="center" wrapText="1"/>
    </xf>
    <xf numFmtId="0" fontId="65" fillId="0" borderId="0" applyAlignment="1" pivotButton="0" quotePrefix="0" xfId="0">
      <alignment wrapText="1"/>
    </xf>
    <xf numFmtId="0" fontId="79" fillId="13" borderId="45" pivotButton="0" quotePrefix="0" xfId="15"/>
    <xf numFmtId="168" fontId="79" fillId="13" borderId="45" applyAlignment="1" pivotButton="0" quotePrefix="0" xfId="15">
      <alignment horizontal="right"/>
    </xf>
    <xf numFmtId="0" fontId="79" fillId="13" borderId="45" applyAlignment="1" pivotButton="0" quotePrefix="0" xfId="15">
      <alignment horizontal="right"/>
    </xf>
    <xf numFmtId="9" fontId="79" fillId="13" borderId="45" applyAlignment="1" pivotButton="0" quotePrefix="0" xfId="15">
      <alignment horizontal="right"/>
    </xf>
    <xf numFmtId="0" fontId="79" fillId="13" borderId="45" applyAlignment="1" pivotButton="0" quotePrefix="0" xfId="15">
      <alignment horizontal="right"/>
    </xf>
    <xf numFmtId="0" fontId="79" fillId="13" borderId="45" applyAlignment="1" pivotButton="0" quotePrefix="0" xfId="15">
      <alignment horizontal="left"/>
    </xf>
    <xf numFmtId="0" fontId="80" fillId="0" borderId="0" pivotButton="0" quotePrefix="0" xfId="0"/>
    <xf numFmtId="0" fontId="79" fillId="13" borderId="42" pivotButton="0" quotePrefix="0" xfId="15"/>
    <xf numFmtId="0" fontId="65" fillId="0" borderId="13" pivotButton="0" quotePrefix="0" xfId="0"/>
    <xf numFmtId="0" fontId="65" fillId="0" borderId="14" pivotButton="0" quotePrefix="0" xfId="0"/>
    <xf numFmtId="0" fontId="65" fillId="0" borderId="0" applyAlignment="1" pivotButton="0" quotePrefix="0" xfId="0">
      <alignment horizontal="right"/>
    </xf>
    <xf numFmtId="0" fontId="65" fillId="0" borderId="26" applyAlignment="1" pivotButton="0" quotePrefix="0" xfId="0">
      <alignment horizontal="center"/>
    </xf>
    <xf numFmtId="0" fontId="75" fillId="0" borderId="4" applyAlignment="1" pivotButton="0" quotePrefix="0" xfId="0">
      <alignment horizontal="justify" vertical="center" wrapText="1"/>
    </xf>
    <xf numFmtId="169" fontId="79" fillId="13" borderId="42" applyAlignment="1" pivotButton="0" quotePrefix="0" xfId="15">
      <alignment horizontal="center"/>
    </xf>
    <xf numFmtId="0" fontId="79" fillId="13" borderId="42" applyAlignment="1" pivotButton="0" quotePrefix="0" xfId="15">
      <alignment horizontal="center"/>
    </xf>
    <xf numFmtId="10" fontId="79" fillId="13" borderId="42" applyAlignment="1" pivotButton="0" quotePrefix="0" xfId="15">
      <alignment horizontal="center" vertical="center" wrapText="1"/>
    </xf>
    <xf numFmtId="9" fontId="79" fillId="13" borderId="42" applyAlignment="1" pivotButton="0" quotePrefix="0" xfId="15">
      <alignment horizontal="center" vertical="center" wrapText="1"/>
    </xf>
    <xf numFmtId="0" fontId="65" fillId="0" borderId="4" applyAlignment="1" pivotButton="0" quotePrefix="0" xfId="0">
      <alignment horizontal="center"/>
    </xf>
    <xf numFmtId="165" fontId="79" fillId="13" borderId="42" applyAlignment="1" pivotButton="0" quotePrefix="0" xfId="15">
      <alignment horizontal="center" vertical="center" wrapText="1"/>
    </xf>
    <xf numFmtId="165" fontId="65" fillId="0" borderId="0" pivotButton="0" quotePrefix="0" xfId="0"/>
    <xf numFmtId="0" fontId="75" fillId="20" borderId="17" applyAlignment="1" pivotButton="0" quotePrefix="0" xfId="0">
      <alignment horizontal="justify" vertical="center" wrapText="1"/>
    </xf>
    <xf numFmtId="0" fontId="79" fillId="20" borderId="43" applyAlignment="1" pivotButton="0" quotePrefix="0" xfId="15">
      <alignment horizontal="center"/>
    </xf>
    <xf numFmtId="0" fontId="65" fillId="20" borderId="8" pivotButton="0" quotePrefix="0" xfId="0"/>
    <xf numFmtId="0" fontId="65" fillId="20" borderId="16" pivotButton="0" quotePrefix="0" xfId="0"/>
    <xf numFmtId="0" fontId="65" fillId="20" borderId="0" pivotButton="0" quotePrefix="0" xfId="0"/>
    <xf numFmtId="0" fontId="75" fillId="20" borderId="6" applyAlignment="1" pivotButton="0" quotePrefix="0" xfId="0">
      <alignment horizontal="justify" vertical="center" wrapText="1"/>
    </xf>
    <xf numFmtId="9" fontId="79" fillId="20" borderId="42" applyAlignment="1" pivotButton="0" quotePrefix="0" xfId="15">
      <alignment horizontal="center"/>
    </xf>
    <xf numFmtId="0" fontId="65" fillId="20" borderId="22" pivotButton="0" quotePrefix="0" xfId="0"/>
    <xf numFmtId="0" fontId="75" fillId="20" borderId="7" applyAlignment="1" pivotButton="0" quotePrefix="0" xfId="0">
      <alignment horizontal="justify" vertical="center" wrapText="1"/>
    </xf>
    <xf numFmtId="203" fontId="79" fillId="20" borderId="44" applyAlignment="1" pivotButton="0" quotePrefix="0" xfId="15">
      <alignment horizontal="center"/>
    </xf>
    <xf numFmtId="0" fontId="65" fillId="20" borderId="5" pivotButton="0" quotePrefix="0" xfId="0"/>
    <xf numFmtId="0" fontId="65" fillId="20" borderId="15" pivotButton="0" quotePrefix="0" xfId="0"/>
    <xf numFmtId="0" fontId="75" fillId="0" borderId="0" applyAlignment="1" pivotButton="0" quotePrefix="0" xfId="0">
      <alignment horizontal="justify" vertical="center" wrapText="1"/>
    </xf>
    <xf numFmtId="0" fontId="65" fillId="0" borderId="23" applyAlignment="1" pivotButton="0" quotePrefix="0" xfId="0">
      <alignment horizontal="center"/>
    </xf>
    <xf numFmtId="0" fontId="65" fillId="0" borderId="4" pivotButton="0" quotePrefix="0" xfId="0"/>
    <xf numFmtId="0" fontId="79" fillId="13" borderId="4" applyAlignment="1" pivotButton="0" quotePrefix="0" xfId="15">
      <alignment horizontal="center"/>
    </xf>
    <xf numFmtId="165" fontId="79" fillId="13" borderId="4" applyAlignment="1" pivotButton="0" quotePrefix="0" xfId="15">
      <alignment horizontal="center" vertical="center" wrapText="1"/>
    </xf>
    <xf numFmtId="0" fontId="57" fillId="0" borderId="4" pivotButton="0" quotePrefix="0" xfId="0"/>
    <xf numFmtId="2" fontId="79" fillId="13" borderId="4" applyAlignment="1" pivotButton="0" quotePrefix="0" xfId="15">
      <alignment horizontal="center" vertical="center" wrapText="1"/>
    </xf>
    <xf numFmtId="165" fontId="79" fillId="13" borderId="4" applyAlignment="1" pivotButton="0" quotePrefix="0" xfId="3">
      <alignment horizontal="center" vertical="center" wrapText="1"/>
    </xf>
    <xf numFmtId="0" fontId="57" fillId="0" borderId="21" pivotButton="0" quotePrefix="0" xfId="0"/>
    <xf numFmtId="2" fontId="79" fillId="13" borderId="21" applyAlignment="1" pivotButton="0" quotePrefix="0" xfId="15">
      <alignment horizontal="center" vertical="center" wrapText="1"/>
    </xf>
    <xf numFmtId="165" fontId="79" fillId="13" borderId="21" applyAlignment="1" pivotButton="0" quotePrefix="0" xfId="3">
      <alignment horizontal="center" vertical="center" wrapText="1"/>
    </xf>
    <xf numFmtId="0" fontId="57" fillId="0" borderId="12" pivotButton="0" quotePrefix="0" xfId="0"/>
    <xf numFmtId="0" fontId="65" fillId="0" borderId="13" applyAlignment="1" pivotButton="0" quotePrefix="0" xfId="0">
      <alignment horizontal="right"/>
    </xf>
    <xf numFmtId="2" fontId="79" fillId="13" borderId="48" applyAlignment="1" pivotButton="0" quotePrefix="0" xfId="15">
      <alignment horizontal="center" vertical="center" wrapText="1"/>
    </xf>
    <xf numFmtId="165" fontId="79" fillId="13" borderId="49" applyAlignment="1" pivotButton="0" quotePrefix="0" xfId="3">
      <alignment horizontal="center" vertical="center" wrapText="1"/>
    </xf>
    <xf numFmtId="2" fontId="79" fillId="13" borderId="0" applyAlignment="1" pivotButton="0" quotePrefix="0" xfId="15">
      <alignment horizontal="center" vertical="center" wrapText="1"/>
    </xf>
    <xf numFmtId="165" fontId="79" fillId="13" borderId="0" applyAlignment="1" pivotButton="0" quotePrefix="0" xfId="3">
      <alignment horizontal="center" vertical="center" wrapText="1"/>
    </xf>
    <xf numFmtId="0" fontId="81" fillId="0" borderId="0" pivotButton="0" quotePrefix="0" xfId="0"/>
    <xf numFmtId="187" fontId="79" fillId="13" borderId="42" pivotButton="0" quotePrefix="0" xfId="15"/>
    <xf numFmtId="165" fontId="79" fillId="13" borderId="42" applyAlignment="1" pivotButton="0" quotePrefix="0" xfId="15">
      <alignment horizontal="center"/>
    </xf>
    <xf numFmtId="164" fontId="79" fillId="13" borderId="42" pivotButton="0" quotePrefix="0" xfId="15"/>
    <xf numFmtId="165" fontId="65" fillId="0" borderId="0" pivotButton="0" quotePrefix="0" xfId="3"/>
    <xf numFmtId="0" fontId="40" fillId="0" borderId="0" pivotButton="0" quotePrefix="0" xfId="0"/>
    <xf numFmtId="204" fontId="40" fillId="0" borderId="0" pivotButton="0" quotePrefix="0" xfId="0"/>
    <xf numFmtId="0" fontId="57" fillId="0" borderId="0" applyAlignment="1" pivotButton="0" quotePrefix="0" xfId="0">
      <alignment vertical="center" wrapText="1"/>
    </xf>
    <xf numFmtId="0" fontId="57" fillId="0" borderId="0" applyAlignment="1" pivotButton="0" quotePrefix="0" xfId="0">
      <alignment horizontal="center" vertical="center" wrapText="1"/>
    </xf>
    <xf numFmtId="0" fontId="56" fillId="0" borderId="0" applyAlignment="1" pivotButton="0" quotePrefix="0" xfId="0">
      <alignment horizontal="center" vertical="center" wrapText="1"/>
    </xf>
    <xf numFmtId="10" fontId="62" fillId="25" borderId="4" applyAlignment="1" pivotButton="0" quotePrefix="0" xfId="3">
      <alignment horizontal="center" vertical="center" wrapText="1"/>
    </xf>
    <xf numFmtId="0" fontId="0" fillId="0" borderId="0" applyAlignment="1" pivotButton="0" quotePrefix="0" xfId="0">
      <alignment vertical="center" wrapText="1"/>
    </xf>
    <xf numFmtId="0" fontId="2" fillId="20" borderId="0" pivotButton="0" quotePrefix="0" xfId="0"/>
    <xf numFmtId="0" fontId="56" fillId="27" borderId="1" pivotButton="0" quotePrefix="0" xfId="0"/>
    <xf numFmtId="0" fontId="56" fillId="27" borderId="2" pivotButton="0" quotePrefix="0" xfId="0"/>
    <xf numFmtId="0" fontId="56" fillId="27" borderId="3" pivotButton="0" quotePrefix="0" xfId="0"/>
    <xf numFmtId="202" fontId="57" fillId="0" borderId="0" pivotButton="0" quotePrefix="0" xfId="0"/>
    <xf numFmtId="10" fontId="63" fillId="25" borderId="4" applyAlignment="1" pivotButton="0" quotePrefix="0" xfId="3">
      <alignment horizontal="center" vertical="center"/>
    </xf>
    <xf numFmtId="182" fontId="6" fillId="0" borderId="0" applyAlignment="1" pivotButton="0" quotePrefix="0" xfId="0">
      <alignment horizontal="center"/>
    </xf>
    <xf numFmtId="182" fontId="3" fillId="0" borderId="0" pivotButton="0" quotePrefix="0" xfId="0"/>
    <xf numFmtId="182" fontId="6" fillId="0" borderId="0" applyAlignment="1" pivotButton="0" quotePrefix="0" xfId="0">
      <alignment horizontal="right"/>
    </xf>
    <xf numFmtId="182" fontId="6" fillId="22" borderId="0" applyAlignment="1" pivotButton="0" quotePrefix="0" xfId="0">
      <alignment horizontal="center"/>
    </xf>
    <xf numFmtId="182" fontId="3" fillId="22" borderId="0" pivotButton="0" quotePrefix="0" xfId="0"/>
    <xf numFmtId="182" fontId="6" fillId="22" borderId="0" applyAlignment="1" pivotButton="0" quotePrefix="0" xfId="0">
      <alignment horizontal="right"/>
    </xf>
    <xf numFmtId="182" fontId="6" fillId="0" borderId="0" applyAlignment="1" pivotButton="0" quotePrefix="1" xfId="0">
      <alignment horizontal="right"/>
    </xf>
    <xf numFmtId="182" fontId="39" fillId="21" borderId="0" applyAlignment="1" pivotButton="0" quotePrefix="0" xfId="0">
      <alignment horizontal="left"/>
    </xf>
    <xf numFmtId="202" fontId="0" fillId="0" borderId="0" pivotButton="0" quotePrefix="0" xfId="0"/>
    <xf numFmtId="202" fontId="40" fillId="0" borderId="0" pivotButton="0" quotePrefix="0" xfId="0"/>
    <xf numFmtId="184" fontId="0" fillId="0" borderId="0" pivotButton="0" quotePrefix="0" xfId="0"/>
    <xf numFmtId="193" fontId="48" fillId="0" borderId="0" applyAlignment="1" pivotButton="0" quotePrefix="0" xfId="0">
      <alignment horizontal="right"/>
    </xf>
    <xf numFmtId="192" fontId="53" fillId="0" borderId="0" applyAlignment="1" pivotButton="0" quotePrefix="0" xfId="0">
      <alignment horizontal="right"/>
    </xf>
    <xf numFmtId="193" fontId="53" fillId="0" borderId="0" applyAlignment="1" pivotButton="0" quotePrefix="0" xfId="0">
      <alignment horizontal="right"/>
    </xf>
    <xf numFmtId="183" fontId="48" fillId="0" borderId="0" applyAlignment="1" pivotButton="0" quotePrefix="0" xfId="0">
      <alignment horizontal="right"/>
    </xf>
    <xf numFmtId="183" fontId="53" fillId="0" borderId="0" applyAlignment="1" pivotButton="0" quotePrefix="0" xfId="0">
      <alignment horizontal="right"/>
    </xf>
    <xf numFmtId="193" fontId="51" fillId="0" borderId="0" applyAlignment="1" pivotButton="0" quotePrefix="0" xfId="0">
      <alignment horizontal="right"/>
    </xf>
    <xf numFmtId="195" fontId="50" fillId="0" borderId="0" applyAlignment="1" pivotButton="0" quotePrefix="0" xfId="0">
      <alignment horizontal="right"/>
    </xf>
    <xf numFmtId="195" fontId="51" fillId="0" borderId="0" applyAlignment="1" pivotButton="0" quotePrefix="0" xfId="0">
      <alignment horizontal="right"/>
    </xf>
    <xf numFmtId="195" fontId="40" fillId="0" borderId="0" applyAlignment="1" pivotButton="0" quotePrefix="0" xfId="0">
      <alignment horizontal="right"/>
    </xf>
    <xf numFmtId="195" fontId="55" fillId="0" borderId="0" applyAlignment="1" pivotButton="0" quotePrefix="0" xfId="0">
      <alignment horizontal="right"/>
    </xf>
    <xf numFmtId="183" fontId="51" fillId="0" borderId="0" applyAlignment="1" pivotButton="0" quotePrefix="0" xfId="0">
      <alignment horizontal="right"/>
    </xf>
    <xf numFmtId="201" fontId="56" fillId="0" borderId="0" applyAlignment="1" pivotButton="0" quotePrefix="0" xfId="0">
      <alignment horizontal="center"/>
    </xf>
    <xf numFmtId="205" fontId="56" fillId="0" borderId="0" applyAlignment="1" pivotButton="0" quotePrefix="0" xfId="0">
      <alignment horizontal="center"/>
    </xf>
    <xf numFmtId="2" fontId="68" fillId="0" borderId="56" applyAlignment="1" pivotButton="0" quotePrefix="0" xfId="2">
      <alignment horizontal="center" vertical="center"/>
    </xf>
    <xf numFmtId="2" fontId="68" fillId="0" borderId="4" applyAlignment="1" pivotButton="0" quotePrefix="0" xfId="2">
      <alignment horizontal="center" vertical="center"/>
    </xf>
    <xf numFmtId="2" fontId="68" fillId="29" borderId="21" applyAlignment="1" pivotButton="0" quotePrefix="0" xfId="2">
      <alignment horizontal="center" vertical="center"/>
    </xf>
    <xf numFmtId="187" fontId="68" fillId="0" borderId="4" applyAlignment="1" pivotButton="0" quotePrefix="0" xfId="2">
      <alignment horizontal="center" vertical="center"/>
    </xf>
    <xf numFmtId="187" fontId="68" fillId="0" borderId="26" applyAlignment="1" pivotButton="0" quotePrefix="0" xfId="2">
      <alignment horizontal="center" vertical="center"/>
    </xf>
    <xf numFmtId="197" fontId="71" fillId="25" borderId="4" applyAlignment="1" pivotButton="0" quotePrefix="0" xfId="0">
      <alignment horizontal="center"/>
    </xf>
    <xf numFmtId="0" fontId="56" fillId="27" borderId="3" applyAlignment="1" pivotButton="0" quotePrefix="0" xfId="0">
      <alignment horizontal="center" vertical="center" wrapText="1"/>
    </xf>
    <xf numFmtId="0" fontId="56" fillId="27" borderId="57" applyAlignment="1" pivotButton="0" quotePrefix="0" xfId="0">
      <alignment horizontal="center" vertical="center" wrapText="1"/>
    </xf>
    <xf numFmtId="9" fontId="56" fillId="0" borderId="19" applyAlignment="1" pivotButton="0" quotePrefix="0" xfId="3">
      <alignment wrapText="1"/>
    </xf>
    <xf numFmtId="9" fontId="56" fillId="0" borderId="47" applyAlignment="1" pivotButton="0" quotePrefix="0" xfId="3">
      <alignment wrapText="1"/>
    </xf>
    <xf numFmtId="167" fontId="68" fillId="25" borderId="5" applyAlignment="1" pivotButton="0" quotePrefix="0" xfId="1">
      <alignment horizontal="center"/>
    </xf>
    <xf numFmtId="0" fontId="56" fillId="27" borderId="29" applyAlignment="1" pivotButton="0" quotePrefix="0" xfId="0">
      <alignment horizontal="center" vertical="center" wrapText="1"/>
    </xf>
    <xf numFmtId="198" fontId="68" fillId="0" borderId="28" applyAlignment="1" pivotButton="0" quotePrefix="0" xfId="0">
      <alignment horizontal="center"/>
    </xf>
    <xf numFmtId="187" fontId="68" fillId="0" borderId="29" applyAlignment="1" pivotButton="0" quotePrefix="0" xfId="2">
      <alignment horizontal="center" vertical="center"/>
    </xf>
    <xf numFmtId="3" fontId="57" fillId="0" borderId="0" pivotButton="0" quotePrefix="0" xfId="0"/>
    <xf numFmtId="196" fontId="57" fillId="0" borderId="0" pivotButton="0" quotePrefix="0" xfId="0"/>
    <xf numFmtId="183" fontId="57" fillId="0" borderId="0" pivotButton="0" quotePrefix="0" xfId="0"/>
    <xf numFmtId="202" fontId="53" fillId="0" borderId="0" pivotButton="0" quotePrefix="0" xfId="0"/>
    <xf numFmtId="202" fontId="46" fillId="0" borderId="8" pivotButton="0" quotePrefix="0" xfId="0"/>
    <xf numFmtId="167" fontId="53" fillId="0" borderId="0" pivotButton="0" quotePrefix="0" xfId="1"/>
    <xf numFmtId="0" fontId="39" fillId="21" borderId="0" applyAlignment="1" pivotButton="0" quotePrefix="0" xfId="0">
      <alignment horizontal="centerContinuous"/>
    </xf>
    <xf numFmtId="10" fontId="0" fillId="0" borderId="0" pivotButton="0" quotePrefix="0" xfId="3"/>
    <xf numFmtId="10" fontId="0" fillId="0" borderId="0" pivotButton="0" quotePrefix="0" xfId="0"/>
    <xf numFmtId="182" fontId="41" fillId="0" borderId="0" pivotButton="0" quotePrefix="0" xfId="0"/>
    <xf numFmtId="202" fontId="46" fillId="0" borderId="0" pivotButton="0" quotePrefix="0" xfId="0"/>
    <xf numFmtId="0" fontId="41" fillId="0" borderId="0" pivotButton="0" quotePrefix="0" xfId="0"/>
    <xf numFmtId="0" fontId="15" fillId="0" borderId="0" pivotButton="0" quotePrefix="0" xfId="0"/>
    <xf numFmtId="10" fontId="63" fillId="0" borderId="4" applyAlignment="1" pivotButton="0" quotePrefix="0" xfId="3">
      <alignment horizontal="center" vertical="center"/>
    </xf>
    <xf numFmtId="10" fontId="62" fillId="0" borderId="4" applyAlignment="1" pivotButton="0" quotePrefix="0" xfId="3">
      <alignment horizontal="center" vertical="center" wrapText="1"/>
    </xf>
    <xf numFmtId="10" fontId="59" fillId="0" borderId="4" applyAlignment="1" pivotButton="0" quotePrefix="0" xfId="3">
      <alignment horizontal="center" vertical="center" wrapText="1"/>
    </xf>
    <xf numFmtId="10" fontId="82" fillId="0" borderId="4" applyAlignment="1" pivotButton="0" quotePrefix="0" xfId="3">
      <alignment horizontal="center" vertical="center"/>
    </xf>
    <xf numFmtId="10" fontId="62" fillId="0" borderId="4" applyAlignment="1" pivotButton="0" quotePrefix="0" xfId="3">
      <alignment horizontal="center"/>
    </xf>
    <xf numFmtId="14" fontId="56" fillId="25" borderId="4" applyAlignment="1" applyProtection="1" pivotButton="0" quotePrefix="0" xfId="0">
      <alignment horizontal="center"/>
      <protection locked="0" hidden="0"/>
    </xf>
    <xf numFmtId="164" fontId="61" fillId="25" borderId="4" applyAlignment="1" applyProtection="1" pivotButton="0" quotePrefix="0" xfId="2">
      <alignment horizontal="center" vertical="center"/>
      <protection locked="0" hidden="0"/>
    </xf>
    <xf numFmtId="164" fontId="58" fillId="4" borderId="4" applyAlignment="1" pivotButton="0" quotePrefix="0" xfId="2">
      <alignment horizontal="center" vertical="center"/>
    </xf>
    <xf numFmtId="0" fontId="68" fillId="0" borderId="4" applyAlignment="1" applyProtection="1" pivotButton="0" quotePrefix="0" xfId="2">
      <alignment horizontal="center" vertical="center"/>
      <protection locked="0" hidden="0"/>
    </xf>
    <xf numFmtId="0" fontId="68" fillId="26" borderId="30" applyAlignment="1" applyProtection="1" pivotButton="0" quotePrefix="0" xfId="2">
      <alignment horizontal="center" vertical="center"/>
      <protection locked="0" hidden="0"/>
    </xf>
    <xf numFmtId="0" fontId="57" fillId="0" borderId="0" applyProtection="1" pivotButton="0" quotePrefix="0" xfId="0">
      <protection locked="0" hidden="0"/>
    </xf>
    <xf numFmtId="0" fontId="56" fillId="0" borderId="0" applyProtection="1" pivotButton="0" quotePrefix="0" xfId="0">
      <protection locked="0" hidden="0"/>
    </xf>
    <xf numFmtId="0" fontId="0" fillId="0" borderId="0" applyProtection="1" pivotButton="0" quotePrefix="0" xfId="0">
      <protection locked="0" hidden="0"/>
    </xf>
    <xf numFmtId="2" fontId="68" fillId="25" borderId="4" applyAlignment="1" applyProtection="1" pivotButton="0" quotePrefix="0" xfId="2">
      <alignment horizontal="center" vertical="center"/>
      <protection locked="0" hidden="0"/>
    </xf>
    <xf numFmtId="167" fontId="68" fillId="25" borderId="4" applyAlignment="1" applyProtection="1" pivotButton="0" quotePrefix="0" xfId="1">
      <alignment horizontal="center"/>
      <protection locked="0" hidden="0"/>
    </xf>
    <xf numFmtId="0" fontId="73" fillId="26" borderId="5" applyProtection="1" pivotButton="0" quotePrefix="0" xfId="0">
      <protection locked="0" hidden="0"/>
    </xf>
    <xf numFmtId="2" fontId="68" fillId="26" borderId="31" applyAlignment="1" applyProtection="1" pivotButton="0" quotePrefix="0" xfId="2">
      <alignment horizontal="center" vertical="center"/>
      <protection locked="0" hidden="0"/>
    </xf>
    <xf numFmtId="167" fontId="57" fillId="0" borderId="0" applyProtection="1" pivotButton="0" quotePrefix="0" xfId="1">
      <protection locked="0" hidden="0"/>
    </xf>
    <xf numFmtId="167" fontId="57" fillId="0" borderId="0" applyProtection="1" pivotButton="0" quotePrefix="0" xfId="1">
      <protection locked="0" hidden="0"/>
    </xf>
    <xf numFmtId="0" fontId="3" fillId="0" borderId="0" applyProtection="1" pivotButton="0" quotePrefix="0" xfId="0">
      <protection locked="0" hidden="0"/>
    </xf>
    <xf numFmtId="167" fontId="68" fillId="25" borderId="29" applyAlignment="1" applyProtection="1" pivotButton="0" quotePrefix="0" xfId="1">
      <alignment horizontal="center"/>
      <protection locked="0" hidden="0"/>
    </xf>
    <xf numFmtId="0" fontId="62" fillId="25" borderId="4" applyAlignment="1" applyProtection="1" pivotButton="0" quotePrefix="0" xfId="0">
      <alignment horizontal="left" vertical="center"/>
      <protection locked="0" hidden="0"/>
    </xf>
    <xf numFmtId="0" fontId="62" fillId="25" borderId="4" applyAlignment="1" applyProtection="1" pivotButton="0" quotePrefix="0" xfId="0">
      <alignment horizontal="center" vertical="center"/>
      <protection locked="0" hidden="0"/>
    </xf>
    <xf numFmtId="14" fontId="62" fillId="25" borderId="4" applyAlignment="1" applyProtection="1" pivotButton="0" quotePrefix="0" xfId="0">
      <alignment horizontal="center" vertical="center"/>
      <protection locked="0" hidden="0"/>
    </xf>
    <xf numFmtId="167" fontId="62" fillId="25" borderId="4" applyAlignment="1" applyProtection="1" pivotButton="0" quotePrefix="0" xfId="1">
      <alignment horizontal="center" vertical="center"/>
      <protection locked="0" hidden="0"/>
    </xf>
    <xf numFmtId="43" fontId="62" fillId="25" borderId="4" applyAlignment="1" applyProtection="1" pivotButton="0" quotePrefix="0" xfId="1">
      <alignment horizontal="center" vertical="center"/>
      <protection locked="0" hidden="0"/>
    </xf>
    <xf numFmtId="202" fontId="62" fillId="25" borderId="4" applyAlignment="1" applyProtection="1" pivotButton="0" quotePrefix="0" xfId="1">
      <alignment horizontal="center" vertical="center"/>
      <protection locked="0" hidden="0"/>
    </xf>
    <xf numFmtId="187" fontId="62" fillId="25" borderId="4" applyAlignment="1" applyProtection="1" pivotButton="0" quotePrefix="0" xfId="1">
      <alignment horizontal="center" vertical="center"/>
      <protection locked="0" hidden="0"/>
    </xf>
    <xf numFmtId="14" fontId="61" fillId="25" borderId="4" applyAlignment="1" applyProtection="1" pivotButton="0" quotePrefix="0" xfId="0">
      <alignment horizontal="center" vertical="center"/>
      <protection locked="0" hidden="0"/>
    </xf>
    <xf numFmtId="0" fontId="63" fillId="4" borderId="0" applyProtection="1" pivotButton="0" quotePrefix="0" xfId="0">
      <protection locked="0" hidden="0"/>
    </xf>
    <xf numFmtId="0" fontId="57" fillId="4" borderId="0" applyProtection="1" pivotButton="0" quotePrefix="0" xfId="0">
      <protection locked="0" hidden="0"/>
    </xf>
    <xf numFmtId="9" fontId="0" fillId="0" borderId="0" pivotButton="0" quotePrefix="0" xfId="3"/>
    <xf numFmtId="0" fontId="39" fillId="21" borderId="0" applyAlignment="1" pivotButton="0" quotePrefix="0" xfId="0">
      <alignment horizontal="center" wrapText="1"/>
    </xf>
    <xf numFmtId="167" fontId="53" fillId="0" borderId="0" pivotButton="0" quotePrefix="0" xfId="1"/>
    <xf numFmtId="187" fontId="40" fillId="0" borderId="0" pivotButton="0" quotePrefix="0" xfId="1"/>
    <xf numFmtId="3" fontId="0" fillId="0" borderId="0" pivotButton="0" quotePrefix="0" xfId="0"/>
    <xf numFmtId="167" fontId="40" fillId="0" borderId="0" pivotButton="0" quotePrefix="0" xfId="1"/>
    <xf numFmtId="10" fontId="0" fillId="0" borderId="0" pivotButton="0" quotePrefix="0" xfId="3"/>
    <xf numFmtId="9" fontId="0" fillId="0" borderId="0" pivotButton="0" quotePrefix="0" xfId="3"/>
    <xf numFmtId="206" fontId="0" fillId="0" borderId="0" pivotButton="0" quotePrefix="0" xfId="0"/>
    <xf numFmtId="167" fontId="0" fillId="0" borderId="0" pivotButton="0" quotePrefix="0" xfId="1"/>
    <xf numFmtId="43" fontId="3" fillId="0" borderId="0" pivotButton="0" quotePrefix="0" xfId="0"/>
    <xf numFmtId="0" fontId="68" fillId="4" borderId="4" applyAlignment="1" applyProtection="1" pivotButton="0" quotePrefix="0" xfId="2">
      <alignment horizontal="center" vertical="center"/>
      <protection locked="0" hidden="0"/>
    </xf>
    <xf numFmtId="2" fontId="68" fillId="30" borderId="4" applyAlignment="1" applyProtection="1" pivotButton="0" quotePrefix="0" xfId="2">
      <alignment horizontal="center" vertical="center"/>
      <protection locked="0" hidden="0"/>
    </xf>
    <xf numFmtId="10" fontId="69" fillId="31" borderId="4" applyAlignment="1" pivotButton="0" quotePrefix="0" xfId="3">
      <alignment horizontal="center"/>
    </xf>
    <xf numFmtId="167" fontId="40" fillId="0" borderId="0" pivotButton="0" quotePrefix="0" xfId="1"/>
    <xf numFmtId="187" fontId="40" fillId="0" borderId="0" applyAlignment="1" pivotButton="0" quotePrefix="0" xfId="1">
      <alignment horizontal="right"/>
    </xf>
    <xf numFmtId="49" fontId="48" fillId="0" borderId="35" applyAlignment="1" pivotButton="0" quotePrefix="0" xfId="0">
      <alignment horizontal="left"/>
    </xf>
    <xf numFmtId="49" fontId="48" fillId="0" borderId="35" applyAlignment="1" pivotButton="0" quotePrefix="0" xfId="0">
      <alignment horizontal="center"/>
    </xf>
    <xf numFmtId="49" fontId="40" fillId="0" borderId="35" applyAlignment="1" pivotButton="0" quotePrefix="0" xfId="0">
      <alignment horizontal="center"/>
    </xf>
    <xf numFmtId="0" fontId="48" fillId="0" borderId="35" applyAlignment="1" pivotButton="0" quotePrefix="0" xfId="0">
      <alignment horizontal="center"/>
    </xf>
    <xf numFmtId="194" fontId="40" fillId="0" borderId="35" applyAlignment="1" pivotButton="0" quotePrefix="0" xfId="0">
      <alignment horizontal="right"/>
    </xf>
    <xf numFmtId="164" fontId="57" fillId="4" borderId="0" pivotButton="0" quotePrefix="0" xfId="0"/>
    <xf numFmtId="43" fontId="0" fillId="0" borderId="0" pivotButton="0" quotePrefix="0" xfId="1"/>
    <xf numFmtId="187" fontId="40" fillId="0" borderId="0" pivotButton="0" quotePrefix="0" xfId="1"/>
    <xf numFmtId="0" fontId="15" fillId="32" borderId="0" pivotButton="0" quotePrefix="0" xfId="0"/>
    <xf numFmtId="0" fontId="35" fillId="0" borderId="0" pivotButton="0" quotePrefix="0" xfId="0"/>
    <xf numFmtId="18" fontId="0" fillId="0" borderId="0" pivotButton="0" quotePrefix="0" xfId="0"/>
    <xf numFmtId="0" fontId="15" fillId="33" borderId="0" pivotButton="0" quotePrefix="0" xfId="0"/>
    <xf numFmtId="0" fontId="83" fillId="34" borderId="0" pivotButton="0" quotePrefix="0" xfId="0"/>
    <xf numFmtId="207" fontId="0" fillId="0" borderId="0" pivotButton="0" quotePrefix="0" xfId="0"/>
    <xf numFmtId="0" fontId="84" fillId="34" borderId="0" pivotButton="0" quotePrefix="0" xfId="0"/>
    <xf numFmtId="0" fontId="84" fillId="26" borderId="0" pivotButton="0" quotePrefix="0" xfId="0"/>
    <xf numFmtId="197" fontId="0" fillId="0" borderId="0" pivotButton="0" quotePrefix="0" xfId="0"/>
    <xf numFmtId="0" fontId="0" fillId="25" borderId="0" applyAlignment="1" pivotButton="0" quotePrefix="0" xfId="0">
      <alignment horizontal="center"/>
    </xf>
    <xf numFmtId="0" fontId="40" fillId="25" borderId="0" pivotButton="0" quotePrefix="0" xfId="0"/>
    <xf numFmtId="182" fontId="40" fillId="25" borderId="0" applyAlignment="1" pivotButton="0" quotePrefix="0" xfId="0">
      <alignment horizontal="center"/>
    </xf>
    <xf numFmtId="167" fontId="53" fillId="25" borderId="0" pivotButton="0" quotePrefix="0" xfId="1"/>
    <xf numFmtId="182" fontId="41" fillId="25" borderId="0" pivotButton="0" quotePrefix="0" xfId="0"/>
    <xf numFmtId="167" fontId="40" fillId="25" borderId="0" pivotButton="0" quotePrefix="0" xfId="1"/>
    <xf numFmtId="183" fontId="0" fillId="25" borderId="0" applyAlignment="1" pivotButton="0" quotePrefix="0" xfId="0">
      <alignment horizontal="right"/>
    </xf>
    <xf numFmtId="187" fontId="40" fillId="25" borderId="0" applyAlignment="1" pivotButton="0" quotePrefix="0" xfId="1">
      <alignment horizontal="right"/>
    </xf>
    <xf numFmtId="0" fontId="43" fillId="25" borderId="0" pivotButton="0" quotePrefix="0" xfId="0"/>
    <xf numFmtId="182" fontId="0" fillId="25" borderId="0" pivotButton="0" quotePrefix="0" xfId="0"/>
    <xf numFmtId="0" fontId="0" fillId="25" borderId="0" pivotButton="0" quotePrefix="0" xfId="0"/>
    <xf numFmtId="202" fontId="40" fillId="25" borderId="0" pivotButton="0" quotePrefix="0" xfId="0"/>
    <xf numFmtId="202" fontId="53" fillId="25" borderId="0" pivotButton="0" quotePrefix="0" xfId="0"/>
    <xf numFmtId="10" fontId="0" fillId="25" borderId="0" pivotButton="0" quotePrefix="0" xfId="3"/>
    <xf numFmtId="9" fontId="0" fillId="25" borderId="0" pivotButton="0" quotePrefix="0" xfId="3"/>
    <xf numFmtId="0" fontId="0" fillId="2" borderId="0" pivotButton="0" quotePrefix="0" xfId="0"/>
    <xf numFmtId="194" fontId="40" fillId="35" borderId="35" applyAlignment="1" pivotButton="0" quotePrefix="0" xfId="0">
      <alignment horizontal="right"/>
    </xf>
    <xf numFmtId="0" fontId="50" fillId="35" borderId="35" applyAlignment="1" pivotButton="0" quotePrefix="0" xfId="0">
      <alignment horizontal="center"/>
    </xf>
    <xf numFmtId="194" fontId="50" fillId="35" borderId="35" applyAlignment="1" pivotButton="0" quotePrefix="0" xfId="0">
      <alignment horizontal="center"/>
    </xf>
    <xf numFmtId="49" fontId="50" fillId="35" borderId="35" applyAlignment="1" pivotButton="0" quotePrefix="0" xfId="0">
      <alignment horizontal="center"/>
    </xf>
    <xf numFmtId="14" fontId="48" fillId="35" borderId="0" applyAlignment="1" pivotButton="0" quotePrefix="0" xfId="0">
      <alignment horizontal="center"/>
    </xf>
    <xf numFmtId="0" fontId="24" fillId="36" borderId="0" applyAlignment="1" pivotButton="0" quotePrefix="0" xfId="0">
      <alignment horizontal="center"/>
    </xf>
    <xf numFmtId="0" fontId="84" fillId="37" borderId="0" pivotButton="0" quotePrefix="0" xfId="0"/>
    <xf numFmtId="0" fontId="85" fillId="0" borderId="0" pivotButton="0" quotePrefix="0" xfId="0"/>
    <xf numFmtId="0" fontId="87" fillId="0" borderId="0" pivotButton="0" quotePrefix="0" xfId="0"/>
    <xf numFmtId="0" fontId="88" fillId="0" borderId="0" pivotButton="0" quotePrefix="0" xfId="0"/>
    <xf numFmtId="0" fontId="89" fillId="0" borderId="0" pivotButton="0" quotePrefix="0" xfId="0"/>
    <xf numFmtId="197" fontId="0" fillId="32" borderId="0" pivotButton="0" quotePrefix="0" xfId="0"/>
    <xf numFmtId="0" fontId="90" fillId="0" borderId="0" pivotButton="0" quotePrefix="0" xfId="0"/>
    <xf numFmtId="10" fontId="0" fillId="38" borderId="0" pivotButton="0" quotePrefix="0" xfId="0"/>
    <xf numFmtId="0" fontId="36" fillId="0" borderId="0" pivotButton="0" quotePrefix="0" xfId="0"/>
    <xf numFmtId="165" fontId="36" fillId="0" borderId="0" pivotButton="0" quotePrefix="0" xfId="0"/>
    <xf numFmtId="199" fontId="36" fillId="0" borderId="0" pivotButton="0" quotePrefix="0" xfId="0"/>
    <xf numFmtId="0" fontId="86" fillId="38" borderId="0" applyAlignment="1" pivotButton="0" quotePrefix="0" xfId="0">
      <alignment horizontal="center"/>
    </xf>
    <xf numFmtId="197" fontId="36" fillId="0" borderId="0" applyAlignment="1" pivotButton="0" quotePrefix="0" xfId="0">
      <alignment horizontal="right"/>
    </xf>
    <xf numFmtId="165" fontId="36" fillId="0" borderId="0" applyAlignment="1" pivotButton="0" quotePrefix="0" xfId="0">
      <alignment horizontal="right"/>
    </xf>
    <xf numFmtId="0" fontId="84" fillId="37" borderId="0" applyAlignment="1" pivotButton="0" quotePrefix="0" xfId="0">
      <alignment horizontal="center"/>
    </xf>
    <xf numFmtId="0" fontId="46" fillId="40" borderId="0" pivotButton="0" quotePrefix="0" xfId="0"/>
    <xf numFmtId="0" fontId="46" fillId="40" borderId="0" applyAlignment="1" pivotButton="0" quotePrefix="0" xfId="0">
      <alignment horizontal="right"/>
    </xf>
    <xf numFmtId="0" fontId="91" fillId="41" borderId="0" pivotButton="0" quotePrefix="0" xfId="0"/>
    <xf numFmtId="0" fontId="0" fillId="42" borderId="0" pivotButton="0" quotePrefix="0" xfId="0"/>
    <xf numFmtId="197" fontId="0" fillId="42" borderId="0" pivotButton="0" quotePrefix="0" xfId="0"/>
    <xf numFmtId="2" fontId="0" fillId="42" borderId="0" pivotButton="0" quotePrefix="0" xfId="0"/>
    <xf numFmtId="10" fontId="0" fillId="42" borderId="0" pivotButton="0" quotePrefix="0" xfId="0"/>
    <xf numFmtId="207" fontId="0" fillId="42" borderId="0" pivotButton="0" quotePrefix="0" xfId="0"/>
    <xf numFmtId="197" fontId="0" fillId="43" borderId="0" pivotButton="0" quotePrefix="0" xfId="0"/>
    <xf numFmtId="0" fontId="15" fillId="44" borderId="0" applyAlignment="1" pivotButton="0" quotePrefix="0" xfId="0">
      <alignment horizontal="center"/>
    </xf>
    <xf numFmtId="0" fontId="24" fillId="21" borderId="0" applyAlignment="1" pivotButton="0" quotePrefix="0" xfId="0">
      <alignment horizontal="center"/>
    </xf>
    <xf numFmtId="0" fontId="0" fillId="33" borderId="0" pivotButton="0" quotePrefix="0" xfId="0"/>
    <xf numFmtId="0" fontId="0" fillId="45" borderId="0" pivotButton="0" quotePrefix="0" xfId="0"/>
    <xf numFmtId="0" fontId="15" fillId="46" borderId="0" pivotButton="0" quotePrefix="0" xfId="0"/>
    <xf numFmtId="0" fontId="84" fillId="21" borderId="0" applyAlignment="1" pivotButton="0" quotePrefix="0" xfId="0">
      <alignment horizontal="center"/>
    </xf>
    <xf numFmtId="0" fontId="83" fillId="37" borderId="0" pivotButton="0" quotePrefix="0" xfId="0"/>
    <xf numFmtId="0" fontId="92" fillId="0" borderId="0" pivotButton="0" quotePrefix="0" xfId="0"/>
    <xf numFmtId="0" fontId="0" fillId="32" borderId="0" pivotButton="0" quotePrefix="0" xfId="0"/>
    <xf numFmtId="0" fontId="0" fillId="47" borderId="0" pivotButton="0" quotePrefix="0" xfId="0"/>
    <xf numFmtId="0" fontId="0" fillId="48" borderId="0" pivotButton="0" quotePrefix="0" xfId="0"/>
    <xf numFmtId="0" fontId="0" fillId="46" borderId="0" pivotButton="0" quotePrefix="0" xfId="0"/>
    <xf numFmtId="0" fontId="83" fillId="21" borderId="0" applyAlignment="1" pivotButton="0" quotePrefix="0" xfId="0">
      <alignment horizontal="center"/>
    </xf>
    <xf numFmtId="0" fontId="93" fillId="0" borderId="0" pivotButton="0" quotePrefix="0" xfId="0"/>
    <xf numFmtId="0" fontId="15" fillId="45" borderId="0" applyAlignment="1" pivotButton="0" quotePrefix="0" xfId="0">
      <alignment horizontal="center"/>
    </xf>
    <xf numFmtId="0" fontId="0" fillId="45" borderId="0" applyAlignment="1" pivotButton="0" quotePrefix="0" xfId="0">
      <alignment horizontal="center"/>
    </xf>
    <xf numFmtId="0" fontId="94" fillId="0" borderId="0" applyAlignment="1" pivotButton="0" quotePrefix="0" xfId="0">
      <alignment horizontal="center"/>
    </xf>
    <xf numFmtId="0" fontId="83" fillId="37" borderId="0" applyAlignment="1" pivotButton="0" quotePrefix="0" xfId="0">
      <alignment horizontal="center"/>
    </xf>
    <xf numFmtId="0" fontId="0" fillId="32" borderId="0" applyAlignment="1" pivotButton="0" quotePrefix="0" xfId="0">
      <alignment horizontal="center"/>
    </xf>
    <xf numFmtId="0" fontId="0" fillId="33" borderId="0" applyAlignment="1" pivotButton="0" quotePrefix="0" xfId="0">
      <alignment horizontal="center"/>
    </xf>
    <xf numFmtId="0" fontId="15" fillId="47" borderId="0" applyAlignment="1" pivotButton="0" quotePrefix="0" xfId="0">
      <alignment horizontal="center"/>
    </xf>
    <xf numFmtId="0" fontId="0" fillId="47" borderId="0" applyAlignment="1" pivotButton="0" quotePrefix="0" xfId="0">
      <alignment horizontal="center"/>
    </xf>
    <xf numFmtId="0" fontId="0" fillId="0" borderId="0" applyAlignment="1" pivotButton="0" quotePrefix="0" xfId="0">
      <alignment wrapText="1"/>
    </xf>
    <xf numFmtId="0" fontId="15" fillId="32" borderId="0" applyAlignment="1" pivotButton="0" quotePrefix="0" xfId="0">
      <alignment wrapText="1"/>
    </xf>
    <xf numFmtId="0" fontId="15" fillId="0" borderId="0" applyAlignment="1" pivotButton="0" quotePrefix="0" xfId="0">
      <alignment wrapText="1"/>
    </xf>
    <xf numFmtId="0" fontId="0" fillId="46" borderId="0" applyAlignment="1" pivotButton="0" quotePrefix="0" xfId="0">
      <alignment wrapText="1"/>
    </xf>
    <xf numFmtId="0" fontId="0" fillId="33" borderId="0" applyAlignment="1" pivotButton="0" quotePrefix="0" xfId="0">
      <alignment horizontal="center" wrapText="1"/>
    </xf>
    <xf numFmtId="207" fontId="15" fillId="33" borderId="0" pivotButton="0" quotePrefix="0" xfId="0"/>
    <xf numFmtId="0" fontId="0" fillId="0" borderId="0" applyAlignment="1" pivotButton="0" quotePrefix="0" xfId="0">
      <alignment horizontal="centerContinuous"/>
    </xf>
    <xf numFmtId="0" fontId="0" fillId="0" borderId="0" applyAlignment="1" pivotButton="0" quotePrefix="0" xfId="0">
      <alignment horizontal="centerContinuous" wrapText="1"/>
    </xf>
    <xf numFmtId="0" fontId="35" fillId="0" borderId="0" applyAlignment="1" pivotButton="0" quotePrefix="0" xfId="0">
      <alignment horizontal="centerContinuous"/>
    </xf>
    <xf numFmtId="0" fontId="0" fillId="37" borderId="0" pivotButton="0" quotePrefix="0" xfId="0"/>
    <xf numFmtId="0" fontId="95" fillId="0" borderId="0" pivotButton="0" quotePrefix="0" xfId="0"/>
    <xf numFmtId="208" fontId="36" fillId="0" borderId="0" applyAlignment="1" pivotButton="0" quotePrefix="0" xfId="0">
      <alignment horizontal="right"/>
    </xf>
    <xf numFmtId="0" fontId="96" fillId="49" borderId="0" pivotButton="0" quotePrefix="0" xfId="0"/>
    <xf numFmtId="0" fontId="97" fillId="49" borderId="0" pivotButton="0" quotePrefix="0" xfId="0"/>
    <xf numFmtId="0" fontId="96" fillId="33" borderId="0" pivotButton="0" quotePrefix="0" xfId="0"/>
    <xf numFmtId="0" fontId="100" fillId="37" borderId="58" applyAlignment="1" pivotButton="0" quotePrefix="0" xfId="0">
      <alignment horizontal="center"/>
    </xf>
    <xf numFmtId="0" fontId="101" fillId="37" borderId="60" pivotButton="0" quotePrefix="0" xfId="0"/>
    <xf numFmtId="0" fontId="101" fillId="34" borderId="60" pivotButton="0" quotePrefix="0" xfId="0"/>
    <xf numFmtId="0" fontId="100" fillId="37" borderId="59" applyAlignment="1" pivotButton="0" quotePrefix="0" xfId="0">
      <alignment horizontal="center"/>
    </xf>
    <xf numFmtId="197" fontId="102" fillId="51" borderId="0" pivotButton="0" quotePrefix="0" xfId="0"/>
    <xf numFmtId="197" fontId="102" fillId="45" borderId="0" pivotButton="0" quotePrefix="0" xfId="0"/>
    <xf numFmtId="197" fontId="99" fillId="39" borderId="0" pivotButton="0" quotePrefix="0" xfId="0"/>
    <xf numFmtId="197" fontId="103" fillId="39" borderId="0" pivotButton="0" quotePrefix="0" xfId="0"/>
    <xf numFmtId="0" fontId="36" fillId="50" borderId="0" pivotButton="0" quotePrefix="0" xfId="0"/>
    <xf numFmtId="197" fontId="36" fillId="50" borderId="0" pivotButton="0" quotePrefix="0" xfId="0"/>
    <xf numFmtId="199" fontId="36" fillId="50" borderId="0" pivotButton="0" quotePrefix="0" xfId="0"/>
    <xf numFmtId="0" fontId="98" fillId="41" borderId="61" pivotButton="0" quotePrefix="0" xfId="0"/>
    <xf numFmtId="49" fontId="58" fillId="25" borderId="1" applyAlignment="1" pivotButton="0" quotePrefix="0" xfId="0">
      <alignment horizontal="left" vertical="center"/>
    </xf>
    <xf numFmtId="49" fontId="58" fillId="25" borderId="2" applyAlignment="1" pivotButton="0" quotePrefix="0" xfId="0">
      <alignment horizontal="left" vertical="center"/>
    </xf>
    <xf numFmtId="49" fontId="58" fillId="25" borderId="3" applyAlignment="1" pivotButton="0" quotePrefix="0" xfId="0">
      <alignment horizontal="left" vertical="center"/>
    </xf>
    <xf numFmtId="0" fontId="57" fillId="0" borderId="0" applyAlignment="1" pivotButton="0" quotePrefix="0" xfId="0">
      <alignment horizontal="left" vertical="top" wrapText="1"/>
    </xf>
    <xf numFmtId="0" fontId="57" fillId="15" borderId="0" applyAlignment="1" pivotButton="0" quotePrefix="0" xfId="0">
      <alignment horizontal="left" vertical="top" wrapText="1"/>
    </xf>
    <xf numFmtId="0" fontId="62" fillId="0" borderId="5" applyAlignment="1" pivotButton="0" quotePrefix="0" xfId="0">
      <alignment horizontal="left" vertical="top" wrapText="1"/>
    </xf>
    <xf numFmtId="0" fontId="56" fillId="27" borderId="7" applyAlignment="1" pivotButton="0" quotePrefix="0" xfId="0">
      <alignment horizontal="center"/>
    </xf>
    <xf numFmtId="0" fontId="56" fillId="27" borderId="5" applyAlignment="1" pivotButton="0" quotePrefix="0" xfId="0">
      <alignment horizontal="center"/>
    </xf>
    <xf numFmtId="0" fontId="56" fillId="27" borderId="15" applyAlignment="1" pivotButton="0" quotePrefix="0" xfId="0">
      <alignment horizontal="center"/>
    </xf>
    <xf numFmtId="0" fontId="56" fillId="27" borderId="1" applyAlignment="1" pivotButton="0" quotePrefix="0" xfId="0">
      <alignment horizontal="center"/>
    </xf>
    <xf numFmtId="0" fontId="56" fillId="27" borderId="3" applyAlignment="1" pivotButton="0" quotePrefix="0" xfId="0">
      <alignment horizontal="center"/>
    </xf>
    <xf numFmtId="0" fontId="56" fillId="27" borderId="2" applyAlignment="1" pivotButton="0" quotePrefix="0" xfId="0">
      <alignment horizontal="center"/>
    </xf>
    <xf numFmtId="0" fontId="56" fillId="0" borderId="12" applyAlignment="1" pivotButton="0" quotePrefix="0" xfId="0">
      <alignment horizontal="center"/>
    </xf>
    <xf numFmtId="0" fontId="56" fillId="0" borderId="13" applyAlignment="1" pivotButton="0" quotePrefix="0" xfId="0">
      <alignment horizontal="center"/>
    </xf>
    <xf numFmtId="0" fontId="56" fillId="0" borderId="14" applyAlignment="1" pivotButton="0" quotePrefix="0" xfId="0">
      <alignment horizontal="center"/>
    </xf>
    <xf numFmtId="0" fontId="56" fillId="0" borderId="12" applyAlignment="1" pivotButton="0" quotePrefix="0" xfId="0">
      <alignment horizontal="center" wrapText="1"/>
    </xf>
    <xf numFmtId="0" fontId="56" fillId="0" borderId="13" applyAlignment="1" pivotButton="0" quotePrefix="0" xfId="0">
      <alignment horizontal="center" wrapText="1"/>
    </xf>
    <xf numFmtId="0" fontId="56" fillId="27" borderId="17" applyAlignment="1" pivotButton="0" quotePrefix="0" xfId="0">
      <alignment horizontal="center" vertical="center"/>
    </xf>
    <xf numFmtId="0" fontId="56" fillId="27" borderId="8" applyAlignment="1" pivotButton="0" quotePrefix="0" xfId="0">
      <alignment horizontal="center" vertical="center"/>
    </xf>
    <xf numFmtId="0" fontId="56" fillId="27" borderId="16" applyAlignment="1" pivotButton="0" quotePrefix="0" xfId="0">
      <alignment horizontal="center" vertical="center"/>
    </xf>
    <xf numFmtId="0" fontId="56" fillId="27" borderId="6" applyAlignment="1" pivotButton="0" quotePrefix="0" xfId="0">
      <alignment horizontal="center" vertical="center"/>
    </xf>
    <xf numFmtId="0" fontId="56" fillId="27" borderId="0" applyAlignment="1" pivotButton="0" quotePrefix="0" xfId="0">
      <alignment horizontal="center" vertical="center"/>
    </xf>
    <xf numFmtId="0" fontId="56" fillId="27" borderId="22" applyAlignment="1" pivotButton="0" quotePrefix="0" xfId="0">
      <alignment horizontal="center" vertical="center"/>
    </xf>
    <xf numFmtId="0" fontId="56" fillId="27" borderId="7" applyAlignment="1" pivotButton="0" quotePrefix="0" xfId="0">
      <alignment horizontal="center" vertical="center"/>
    </xf>
    <xf numFmtId="0" fontId="56" fillId="27" borderId="5" applyAlignment="1" pivotButton="0" quotePrefix="0" xfId="0">
      <alignment horizontal="center" vertical="center"/>
    </xf>
    <xf numFmtId="0" fontId="56" fillId="27" borderId="15" applyAlignment="1" pivotButton="0" quotePrefix="0" xfId="0">
      <alignment horizontal="center" vertical="center"/>
    </xf>
    <xf numFmtId="0" fontId="56" fillId="3" borderId="17" applyAlignment="1" pivotButton="0" quotePrefix="0" xfId="0">
      <alignment horizontal="center" vertical="center"/>
    </xf>
    <xf numFmtId="0" fontId="56" fillId="3" borderId="8" applyAlignment="1" pivotButton="0" quotePrefix="0" xfId="0">
      <alignment horizontal="center" vertical="center"/>
    </xf>
    <xf numFmtId="0" fontId="56" fillId="3" borderId="16" applyAlignment="1" pivotButton="0" quotePrefix="0" xfId="0">
      <alignment horizontal="center" vertical="center"/>
    </xf>
    <xf numFmtId="0" fontId="56" fillId="3" borderId="6" applyAlignment="1" pivotButton="0" quotePrefix="0" xfId="0">
      <alignment horizontal="center" vertical="center"/>
    </xf>
    <xf numFmtId="0" fontId="56" fillId="3" borderId="0" applyAlignment="1" pivotButton="0" quotePrefix="0" xfId="0">
      <alignment horizontal="center" vertical="center"/>
    </xf>
    <xf numFmtId="0" fontId="56" fillId="3" borderId="22" applyAlignment="1" pivotButton="0" quotePrefix="0" xfId="0">
      <alignment horizontal="center" vertical="center"/>
    </xf>
    <xf numFmtId="0" fontId="56" fillId="3" borderId="7" applyAlignment="1" pivotButton="0" quotePrefix="0" xfId="0">
      <alignment horizontal="center" vertical="center"/>
    </xf>
    <xf numFmtId="0" fontId="56" fillId="3" borderId="5" applyAlignment="1" pivotButton="0" quotePrefix="0" xfId="0">
      <alignment horizontal="center" vertical="center"/>
    </xf>
    <xf numFmtId="0" fontId="56" fillId="3" borderId="15" applyAlignment="1" pivotButton="0" quotePrefix="0" xfId="0">
      <alignment horizontal="center" vertical="center"/>
    </xf>
    <xf numFmtId="0" fontId="56" fillId="27" borderId="17" applyAlignment="1" pivotButton="0" quotePrefix="0" xfId="0">
      <alignment horizontal="center" vertical="center" wrapText="1"/>
    </xf>
    <xf numFmtId="0" fontId="56" fillId="27" borderId="8" applyAlignment="1" pivotButton="0" quotePrefix="0" xfId="0">
      <alignment horizontal="center" vertical="center" wrapText="1"/>
    </xf>
    <xf numFmtId="0" fontId="56" fillId="27" borderId="16" applyAlignment="1" pivotButton="0" quotePrefix="0" xfId="0">
      <alignment horizontal="center" vertical="center" wrapText="1"/>
    </xf>
    <xf numFmtId="0" fontId="56" fillId="27" borderId="6" applyAlignment="1" pivotButton="0" quotePrefix="0" xfId="0">
      <alignment horizontal="center" vertical="center" wrapText="1"/>
    </xf>
    <xf numFmtId="0" fontId="56" fillId="27" borderId="0" applyAlignment="1" pivotButton="0" quotePrefix="0" xfId="0">
      <alignment horizontal="center" vertical="center" wrapText="1"/>
    </xf>
    <xf numFmtId="0" fontId="56" fillId="27" borderId="22" applyAlignment="1" pivotButton="0" quotePrefix="0" xfId="0">
      <alignment horizontal="center" vertical="center" wrapText="1"/>
    </xf>
    <xf numFmtId="0" fontId="56" fillId="27" borderId="7" applyAlignment="1" pivotButton="0" quotePrefix="0" xfId="0">
      <alignment horizontal="center" vertical="center" wrapText="1"/>
    </xf>
    <xf numFmtId="0" fontId="56" fillId="27" borderId="5" applyAlignment="1" pivotButton="0" quotePrefix="0" xfId="0">
      <alignment horizontal="center" vertical="center" wrapText="1"/>
    </xf>
    <xf numFmtId="0" fontId="56" fillId="27" borderId="15" applyAlignment="1" pivotButton="0" quotePrefix="0" xfId="0">
      <alignment horizontal="center" vertical="center" wrapText="1"/>
    </xf>
    <xf numFmtId="0" fontId="60" fillId="26" borderId="34" applyAlignment="1" pivotButton="0" quotePrefix="0" xfId="0">
      <alignment horizontal="left" wrapText="1"/>
    </xf>
    <xf numFmtId="0" fontId="65" fillId="26" borderId="0" applyAlignment="1" pivotButton="0" quotePrefix="0" xfId="0">
      <alignment wrapText="1"/>
    </xf>
    <xf numFmtId="0" fontId="66" fillId="23" borderId="1" applyAlignment="1" pivotButton="0" quotePrefix="0" xfId="0">
      <alignment horizontal="center"/>
    </xf>
    <xf numFmtId="0" fontId="66" fillId="23" borderId="2" applyAlignment="1" pivotButton="0" quotePrefix="0" xfId="0">
      <alignment horizontal="center"/>
    </xf>
    <xf numFmtId="0" fontId="66" fillId="23" borderId="3" applyAlignment="1" pivotButton="0" quotePrefix="0" xfId="0">
      <alignment horizontal="center"/>
    </xf>
    <xf numFmtId="0" fontId="60" fillId="26" borderId="12" applyAlignment="1" pivotButton="0" quotePrefix="0" xfId="0">
      <alignment horizontal="center"/>
    </xf>
    <xf numFmtId="0" fontId="60" fillId="26" borderId="13" applyAlignment="1" pivotButton="0" quotePrefix="0" xfId="0">
      <alignment horizontal="center"/>
    </xf>
    <xf numFmtId="0" fontId="60" fillId="26" borderId="14" applyAlignment="1" pivotButton="0" quotePrefix="0" xfId="0">
      <alignment horizontal="center"/>
    </xf>
    <xf numFmtId="0" fontId="56" fillId="0" borderId="7" applyAlignment="1" pivotButton="0" quotePrefix="0" xfId="0">
      <alignment horizontal="center"/>
    </xf>
    <xf numFmtId="0" fontId="56" fillId="0" borderId="5" applyAlignment="1" pivotButton="0" quotePrefix="0" xfId="0">
      <alignment horizontal="center"/>
    </xf>
    <xf numFmtId="0" fontId="56" fillId="0" borderId="24" applyAlignment="1" pivotButton="0" quotePrefix="0" xfId="0">
      <alignment horizontal="center"/>
    </xf>
    <xf numFmtId="0" fontId="56" fillId="0" borderId="15" applyAlignment="1" pivotButton="0" quotePrefix="0" xfId="0">
      <alignment horizontal="center"/>
    </xf>
    <xf numFmtId="0" fontId="56" fillId="3" borderId="4" applyAlignment="1" pivotButton="0" quotePrefix="0" xfId="0">
      <alignment horizontal="center" vertical="center" wrapText="1"/>
    </xf>
    <xf numFmtId="0" fontId="57" fillId="3" borderId="4" applyAlignment="1" pivotButton="0" quotePrefix="0" xfId="0">
      <alignment horizontal="center" wrapText="1"/>
    </xf>
    <xf numFmtId="0" fontId="57" fillId="3" borderId="4" applyAlignment="1" pivotButton="0" quotePrefix="0" xfId="0">
      <alignment wrapText="1"/>
    </xf>
    <xf numFmtId="49" fontId="49" fillId="5" borderId="0" applyAlignment="1" pivotButton="0" quotePrefix="0" xfId="0">
      <alignment horizontal="left"/>
    </xf>
    <xf numFmtId="14" fontId="52" fillId="8" borderId="0" applyAlignment="1" pivotButton="0" quotePrefix="0" xfId="0">
      <alignment horizontal="left"/>
    </xf>
    <xf numFmtId="0" fontId="57" fillId="0" borderId="0" applyAlignment="1" pivotButton="0" quotePrefix="0" xfId="0">
      <alignment horizontal="left" wrapText="1"/>
    </xf>
    <xf numFmtId="0" fontId="57" fillId="0" borderId="0" applyAlignment="1" pivotButton="0" quotePrefix="0" xfId="0">
      <alignment horizontal="left" vertical="center" wrapText="1"/>
    </xf>
    <xf numFmtId="0" fontId="24" fillId="26" borderId="0" applyAlignment="1" pivotButton="0" quotePrefix="0" xfId="0">
      <alignment horizontal="center"/>
    </xf>
    <xf numFmtId="0" fontId="24" fillId="36" borderId="0" applyAlignment="1" pivotButton="0" quotePrefix="0" xfId="0">
      <alignment horizontal="center"/>
    </xf>
    <xf numFmtId="0" fontId="104" fillId="0" borderId="0" pivotButton="0" quotePrefix="0" xfId="0"/>
    <xf numFmtId="0" fontId="105" fillId="50" borderId="0" pivotButton="0" quotePrefix="0" xfId="0"/>
    <xf numFmtId="0" fontId="106" fillId="0" borderId="0" pivotButton="0" quotePrefix="0" xfId="0"/>
    <xf numFmtId="0" fontId="107" fillId="0" borderId="0" pivotButton="0" quotePrefix="0" xfId="0"/>
    <xf numFmtId="0" fontId="108" fillId="0" borderId="0" pivotButton="0" quotePrefix="0" xfId="0"/>
    <xf numFmtId="0" fontId="109" fillId="0" borderId="0" pivotButton="0" quotePrefix="0" xfId="0"/>
    <xf numFmtId="0" fontId="111" fillId="54" borderId="0" pivotButton="0" quotePrefix="0" xfId="0"/>
    <xf numFmtId="0" fontId="0" fillId="54" borderId="0" pivotButton="0" quotePrefix="0" xfId="0"/>
    <xf numFmtId="0" fontId="15" fillId="54" borderId="0" pivotButton="0" quotePrefix="0" xfId="0"/>
    <xf numFmtId="0" fontId="112" fillId="0" borderId="0" pivotButton="0" quotePrefix="0" xfId="0"/>
    <xf numFmtId="0" fontId="113" fillId="0" borderId="0" pivotButton="0" quotePrefix="0" xfId="0"/>
    <xf numFmtId="0" fontId="114" fillId="0" borderId="0" pivotButton="0" quotePrefix="0" xfId="0"/>
    <xf numFmtId="22" fontId="114" fillId="0" borderId="0" pivotButton="0" quotePrefix="0" xfId="0"/>
    <xf numFmtId="169" fontId="114" fillId="0" borderId="0" pivotButton="0" quotePrefix="0" xfId="0"/>
    <xf numFmtId="0" fontId="115" fillId="0" borderId="0" pivotButton="0" quotePrefix="0" xfId="0"/>
    <xf numFmtId="0" fontId="116" fillId="0" borderId="0" pivotButton="0" quotePrefix="0" xfId="0"/>
    <xf numFmtId="0" fontId="110" fillId="53" borderId="62" applyAlignment="1" pivotButton="0" quotePrefix="0" xfId="0">
      <alignment horizontal="center"/>
    </xf>
    <xf numFmtId="0" fontId="110" fillId="53" borderId="62" pivotButton="0" quotePrefix="0" xfId="0"/>
    <xf numFmtId="0" fontId="110" fillId="53" borderId="62" applyAlignment="1" pivotButton="0" quotePrefix="0" xfId="0">
      <alignment horizontal="center" wrapText="1"/>
    </xf>
    <xf numFmtId="0" fontId="0" fillId="54" borderId="0" applyAlignment="1" pivotButton="0" quotePrefix="0" xfId="0">
      <alignment wrapText="1"/>
    </xf>
    <xf numFmtId="0" fontId="15" fillId="54" borderId="0" applyAlignment="1" pivotButton="0" quotePrefix="0" xfId="0">
      <alignment wrapText="1"/>
    </xf>
    <xf numFmtId="0" fontId="114" fillId="0" borderId="0" applyAlignment="1" pivotButton="0" quotePrefix="0" xfId="0">
      <alignment wrapText="1"/>
    </xf>
    <xf numFmtId="0" fontId="115" fillId="0" borderId="0" applyAlignment="1" pivotButton="0" quotePrefix="0" xfId="0">
      <alignment wrapText="1"/>
    </xf>
    <xf numFmtId="0" fontId="110" fillId="53" borderId="62" applyAlignment="1" pivotButton="0" quotePrefix="0" xfId="0">
      <alignment wrapText="1"/>
    </xf>
    <xf numFmtId="10" fontId="0" fillId="0" borderId="0" applyAlignment="1" pivotButton="0" quotePrefix="0" xfId="0">
      <alignment wrapText="1"/>
    </xf>
    <xf numFmtId="0" fontId="0" fillId="0" borderId="0" applyAlignment="1" pivotButton="0" quotePrefix="1" xfId="0">
      <alignment wrapText="1"/>
    </xf>
    <xf numFmtId="0" fontId="84" fillId="52" borderId="0" applyAlignment="1" pivotButton="0" quotePrefix="0" xfId="0">
      <alignment horizontal="left"/>
    </xf>
    <xf numFmtId="49" fontId="58" fillId="25" borderId="4" applyAlignment="1" pivotButton="0" quotePrefix="0" xfId="0">
      <alignment horizontal="left" vertical="center"/>
    </xf>
    <xf numFmtId="0" fontId="0" fillId="0" borderId="2" pivotButton="0" quotePrefix="0" xfId="0"/>
    <xf numFmtId="0" fontId="0" fillId="0" borderId="3" pivotButton="0" quotePrefix="0" xfId="0"/>
    <xf numFmtId="168" fontId="57" fillId="0" borderId="0" pivotButton="0" quotePrefix="0" xfId="0"/>
    <xf numFmtId="0" fontId="0" fillId="0" borderId="5" pivotButton="0" quotePrefix="0" xfId="0"/>
    <xf numFmtId="187" fontId="57" fillId="0" borderId="0" applyAlignment="1" pivotButton="0" quotePrefix="0" xfId="3">
      <alignment horizontal="right"/>
    </xf>
    <xf numFmtId="168" fontId="57" fillId="4" borderId="0" pivotButton="0" quotePrefix="0" xfId="0"/>
    <xf numFmtId="168" fontId="63" fillId="0" borderId="0" applyAlignment="1" pivotButton="0" quotePrefix="0" xfId="2">
      <alignment horizontal="center"/>
    </xf>
    <xf numFmtId="168" fontId="62" fillId="4" borderId="55" applyAlignment="1" pivotButton="0" quotePrefix="0" xfId="2">
      <alignment horizontal="center"/>
    </xf>
    <xf numFmtId="168" fontId="63" fillId="0" borderId="5" applyAlignment="1" pivotButton="0" quotePrefix="0" xfId="2">
      <alignment horizontal="center"/>
    </xf>
    <xf numFmtId="168" fontId="62" fillId="4" borderId="0" applyAlignment="1" pivotButton="0" quotePrefix="0" xfId="2">
      <alignment horizontal="center"/>
    </xf>
    <xf numFmtId="168" fontId="62" fillId="4" borderId="8" applyAlignment="1" pivotButton="0" quotePrefix="0" xfId="2">
      <alignment horizontal="center"/>
    </xf>
    <xf numFmtId="185" fontId="57" fillId="0" borderId="0" pivotButton="0" quotePrefix="0" xfId="0"/>
    <xf numFmtId="202" fontId="57" fillId="0" borderId="0" pivotButton="0" quotePrefix="0" xfId="0"/>
    <xf numFmtId="196" fontId="57" fillId="0" borderId="0" pivotButton="0" quotePrefix="0" xfId="0"/>
    <xf numFmtId="183" fontId="57" fillId="0" borderId="0" pivotButton="0" quotePrefix="0" xfId="0"/>
    <xf numFmtId="182" fontId="57" fillId="0" borderId="0" pivotButton="0" quotePrefix="0" xfId="0"/>
    <xf numFmtId="167" fontId="0" fillId="0" borderId="0" pivotButton="0" quotePrefix="0" xfId="1"/>
    <xf numFmtId="167" fontId="57" fillId="0" borderId="0" applyAlignment="1" pivotButton="0" quotePrefix="0" xfId="1">
      <alignment horizontal="center"/>
    </xf>
    <xf numFmtId="167" fontId="57" fillId="0" borderId="0" pivotButton="0" quotePrefix="0" xfId="1"/>
    <xf numFmtId="167" fontId="3" fillId="0" borderId="0" pivotButton="0" quotePrefix="0" xfId="1"/>
    <xf numFmtId="167" fontId="57" fillId="0" borderId="0" pivotButton="0" quotePrefix="0" xfId="0"/>
    <xf numFmtId="0" fontId="60" fillId="26" borderId="36" applyAlignment="1" pivotButton="0" quotePrefix="0" xfId="0">
      <alignment horizontal="center"/>
    </xf>
    <xf numFmtId="0" fontId="0" fillId="0" borderId="13" pivotButton="0" quotePrefix="0" xfId="0"/>
    <xf numFmtId="0" fontId="0" fillId="0" borderId="14" pivotButton="0" quotePrefix="0" xfId="0"/>
    <xf numFmtId="167" fontId="62" fillId="0" borderId="0" pivotButton="0" quotePrefix="0" xfId="1"/>
    <xf numFmtId="197" fontId="56" fillId="0" borderId="0" applyAlignment="1" pivotButton="0" quotePrefix="0" xfId="0">
      <alignment horizontal="right"/>
    </xf>
    <xf numFmtId="201" fontId="56" fillId="0" borderId="0" applyAlignment="1" pivotButton="0" quotePrefix="0" xfId="0">
      <alignment horizontal="center"/>
    </xf>
    <xf numFmtId="0" fontId="66" fillId="23" borderId="4" applyAlignment="1" pivotButton="0" quotePrefix="0" xfId="0">
      <alignment horizontal="center"/>
    </xf>
    <xf numFmtId="0" fontId="56" fillId="0" borderId="36" applyAlignment="1" pivotButton="0" quotePrefix="0" xfId="0">
      <alignment horizontal="center"/>
    </xf>
    <xf numFmtId="0" fontId="56" fillId="0" borderId="27" applyAlignment="1" pivotButton="0" quotePrefix="0" xfId="0">
      <alignment horizontal="center"/>
    </xf>
    <xf numFmtId="0" fontId="0" fillId="0" borderId="15" pivotButton="0" quotePrefix="0" xfId="0"/>
    <xf numFmtId="0" fontId="56" fillId="3" borderId="4" applyAlignment="1" pivotButton="0" quotePrefix="0" xfId="0">
      <alignment horizontal="center" vertical="center"/>
    </xf>
    <xf numFmtId="0" fontId="0" fillId="0" borderId="63" pivotButton="0" quotePrefix="0" xfId="0"/>
    <xf numFmtId="0" fontId="0" fillId="0" borderId="16" pivotButton="0" quotePrefix="0" xfId="0"/>
    <xf numFmtId="0" fontId="56" fillId="27" borderId="64" applyAlignment="1" pivotButton="0" quotePrefix="0" xfId="0">
      <alignment horizontal="center" vertical="center"/>
    </xf>
    <xf numFmtId="0" fontId="0" fillId="0" borderId="8" pivotButton="0" quotePrefix="0" xfId="0"/>
    <xf numFmtId="0" fontId="0" fillId="0" borderId="65" pivotButton="0" quotePrefix="0" xfId="0"/>
    <xf numFmtId="0" fontId="56" fillId="27" borderId="4" applyAlignment="1" pivotButton="0" quotePrefix="0" xfId="0">
      <alignment horizontal="center" vertical="center"/>
    </xf>
    <xf numFmtId="0" fontId="56" fillId="27" borderId="1" applyAlignment="1" pivotButton="0" quotePrefix="0" xfId="0">
      <alignment horizontal="center" vertical="center"/>
    </xf>
    <xf numFmtId="198" fontId="56" fillId="0" borderId="0" applyAlignment="1" pivotButton="0" quotePrefix="0" xfId="0">
      <alignment horizontal="center"/>
    </xf>
    <xf numFmtId="205" fontId="56" fillId="0" borderId="0" applyAlignment="1" pivotButton="0" quotePrefix="0" xfId="0">
      <alignment horizontal="center"/>
    </xf>
    <xf numFmtId="0" fontId="0" fillId="0" borderId="6" pivotButton="0" quotePrefix="0" xfId="0"/>
    <xf numFmtId="0" fontId="0" fillId="0" borderId="22" pivotButton="0" quotePrefix="0" xfId="0"/>
    <xf numFmtId="0" fontId="56" fillId="27" borderId="26" applyAlignment="1" pivotButton="0" quotePrefix="0" xfId="0">
      <alignment horizontal="center"/>
    </xf>
    <xf numFmtId="0" fontId="0" fillId="0" borderId="7" pivotButton="0" quotePrefix="0" xfId="0"/>
    <xf numFmtId="0" fontId="56" fillId="27" borderId="4" applyAlignment="1" pivotButton="0" quotePrefix="0" xfId="0">
      <alignment horizontal="center"/>
    </xf>
    <xf numFmtId="197" fontId="68" fillId="0" borderId="4" applyAlignment="1" pivotButton="0" quotePrefix="0" xfId="0">
      <alignment horizontal="center"/>
    </xf>
    <xf numFmtId="197" fontId="68" fillId="25" borderId="4" applyAlignment="1" pivotButton="0" quotePrefix="0" xfId="0">
      <alignment horizontal="center"/>
    </xf>
    <xf numFmtId="198" fontId="68" fillId="25" borderId="4" applyAlignment="1" pivotButton="0" quotePrefix="0" xfId="0">
      <alignment horizontal="center"/>
    </xf>
    <xf numFmtId="198" fontId="68" fillId="0" borderId="4" applyAlignment="1" pivotButton="0" quotePrefix="0" xfId="0">
      <alignment horizontal="center"/>
    </xf>
    <xf numFmtId="197" fontId="68" fillId="0" borderId="26" applyAlignment="1" pivotButton="0" quotePrefix="0" xfId="0">
      <alignment horizontal="center"/>
    </xf>
    <xf numFmtId="201" fontId="68" fillId="25" borderId="26" applyAlignment="1" pivotButton="0" quotePrefix="0" xfId="2">
      <alignment horizontal="center" vertical="center"/>
    </xf>
    <xf numFmtId="201" fontId="68" fillId="25" borderId="4" applyAlignment="1" pivotButton="0" quotePrefix="0" xfId="2">
      <alignment horizontal="center" vertical="center"/>
    </xf>
    <xf numFmtId="187" fontId="68" fillId="25" borderId="26" applyAlignment="1" pivotButton="0" quotePrefix="0" xfId="1">
      <alignment horizontal="center" vertical="center"/>
    </xf>
    <xf numFmtId="176" fontId="68" fillId="25" borderId="26" applyAlignment="1" pivotButton="0" quotePrefix="0" xfId="3">
      <alignment horizontal="center" vertical="center"/>
    </xf>
    <xf numFmtId="201" fontId="68" fillId="25" borderId="7" applyAlignment="1" pivotButton="0" quotePrefix="0" xfId="2">
      <alignment horizontal="center" vertical="center"/>
    </xf>
    <xf numFmtId="201" fontId="68" fillId="25" borderId="5" applyAlignment="1" pivotButton="0" quotePrefix="0" xfId="2">
      <alignment horizontal="center" vertical="center"/>
    </xf>
    <xf numFmtId="197" fontId="68" fillId="23" borderId="4" applyAlignment="1" pivotButton="0" quotePrefix="0" xfId="0">
      <alignment horizontal="center"/>
    </xf>
    <xf numFmtId="197" fontId="68" fillId="23" borderId="4" applyAlignment="1" pivotButton="0" quotePrefix="0" xfId="3">
      <alignment horizontal="center"/>
    </xf>
    <xf numFmtId="197" fontId="71" fillId="23" borderId="0" applyAlignment="1" pivotButton="0" quotePrefix="0" xfId="0">
      <alignment horizontal="center"/>
    </xf>
    <xf numFmtId="197" fontId="71" fillId="25" borderId="4" applyAlignment="1" pivotButton="0" quotePrefix="0" xfId="0">
      <alignment horizontal="center"/>
    </xf>
    <xf numFmtId="197" fontId="68" fillId="29" borderId="4" applyAlignment="1" pivotButton="0" quotePrefix="0" xfId="3">
      <alignment horizontal="center"/>
    </xf>
    <xf numFmtId="198" fontId="68" fillId="0" borderId="28" applyAlignment="1" pivotButton="0" quotePrefix="0" xfId="0">
      <alignment horizontal="center"/>
    </xf>
    <xf numFmtId="167" fontId="68" fillId="25" borderId="5" applyAlignment="1" pivotButton="0" quotePrefix="0" xfId="1">
      <alignment horizontal="center"/>
    </xf>
    <xf numFmtId="167" fontId="68" fillId="25" borderId="4" applyAlignment="1" pivotButton="0" quotePrefix="0" xfId="1">
      <alignment horizontal="center"/>
    </xf>
    <xf numFmtId="167" fontId="68" fillId="25" borderId="15" applyAlignment="1" pivotButton="0" quotePrefix="0" xfId="1">
      <alignment horizontal="center"/>
    </xf>
    <xf numFmtId="187" fontId="68" fillId="0" borderId="3" applyAlignment="1" pivotButton="0" quotePrefix="0" xfId="2">
      <alignment horizontal="center" vertical="center"/>
    </xf>
    <xf numFmtId="187" fontId="68" fillId="0" borderId="29" applyAlignment="1" pivotButton="0" quotePrefix="0" xfId="2">
      <alignment horizontal="center" vertical="center"/>
    </xf>
    <xf numFmtId="187" fontId="68" fillId="0" borderId="15" applyAlignment="1" pivotButton="0" quotePrefix="0" xfId="2">
      <alignment horizontal="center" vertical="center"/>
    </xf>
    <xf numFmtId="187" fontId="68" fillId="0" borderId="4" applyAlignment="1" pivotButton="0" quotePrefix="0" xfId="2">
      <alignment horizontal="center" vertical="center"/>
    </xf>
    <xf numFmtId="187" fontId="68" fillId="0" borderId="0" applyAlignment="1" pivotButton="0" quotePrefix="0" xfId="2">
      <alignment horizontal="center" vertical="center"/>
    </xf>
    <xf numFmtId="199" fontId="68" fillId="0" borderId="4" applyAlignment="1" pivotButton="0" quotePrefix="0" xfId="2">
      <alignment horizontal="center" vertical="center"/>
    </xf>
    <xf numFmtId="199" fontId="68" fillId="0" borderId="29" applyAlignment="1" pivotButton="0" quotePrefix="0" xfId="2">
      <alignment horizontal="center" vertical="center"/>
    </xf>
    <xf numFmtId="200" fontId="68" fillId="0" borderId="4" applyAlignment="1" pivotButton="0" quotePrefix="0" xfId="0">
      <alignment horizontal="center"/>
    </xf>
    <xf numFmtId="167" fontId="68" fillId="25" borderId="4" applyAlignment="1" applyProtection="1" pivotButton="0" quotePrefix="0" xfId="1">
      <alignment horizontal="center"/>
      <protection locked="0" hidden="0"/>
    </xf>
    <xf numFmtId="167" fontId="68" fillId="25" borderId="29" applyAlignment="1" applyProtection="1" pivotButton="0" quotePrefix="0" xfId="1">
      <alignment horizontal="center"/>
      <protection locked="0" hidden="0"/>
    </xf>
    <xf numFmtId="198" fontId="68" fillId="0" borderId="3" applyAlignment="1" pivotButton="0" quotePrefix="0" xfId="0">
      <alignment horizontal="center"/>
    </xf>
    <xf numFmtId="167" fontId="62" fillId="0" borderId="4" applyAlignment="1" pivotButton="0" quotePrefix="0" xfId="1">
      <alignment horizontal="center"/>
    </xf>
    <xf numFmtId="167" fontId="62" fillId="23" borderId="4" pivotButton="0" quotePrefix="0" xfId="1"/>
    <xf numFmtId="167" fontId="62" fillId="0" borderId="4" pivotButton="0" quotePrefix="0" xfId="1"/>
    <xf numFmtId="167" fontId="62" fillId="0" borderId="3" pivotButton="0" quotePrefix="0" xfId="1"/>
    <xf numFmtId="187" fontId="68" fillId="25" borderId="4" applyAlignment="1" pivotButton="0" quotePrefix="0" xfId="1">
      <alignment horizontal="center" vertical="center"/>
    </xf>
    <xf numFmtId="176" fontId="68" fillId="25" borderId="4" applyAlignment="1" pivotButton="0" quotePrefix="0" xfId="3">
      <alignment horizontal="center" vertical="center"/>
    </xf>
    <xf numFmtId="201" fontId="68" fillId="25" borderId="1" applyAlignment="1" pivotButton="0" quotePrefix="0" xfId="2">
      <alignment horizontal="center" vertical="center"/>
    </xf>
    <xf numFmtId="187" fontId="68" fillId="0" borderId="26" applyAlignment="1" pivotButton="0" quotePrefix="0" xfId="2">
      <alignment horizontal="center" vertical="center"/>
    </xf>
    <xf numFmtId="187" fontId="68" fillId="0" borderId="28" applyAlignment="1" pivotButton="0" quotePrefix="0" xfId="2">
      <alignment horizontal="center" vertical="center"/>
    </xf>
    <xf numFmtId="198" fontId="68" fillId="26" borderId="31" applyAlignment="1" pivotButton="0" quotePrefix="0" xfId="0">
      <alignment horizontal="center"/>
    </xf>
    <xf numFmtId="167" fontId="73" fillId="26" borderId="5" pivotButton="0" quotePrefix="0" xfId="0"/>
    <xf numFmtId="167" fontId="73" fillId="26" borderId="0" pivotButton="0" quotePrefix="0" xfId="0"/>
    <xf numFmtId="198" fontId="68" fillId="26" borderId="31" applyAlignment="1" pivotButton="0" quotePrefix="0" xfId="3">
      <alignment horizontal="center"/>
    </xf>
    <xf numFmtId="197" fontId="68" fillId="26" borderId="31" applyAlignment="1" pivotButton="0" quotePrefix="0" xfId="0">
      <alignment horizontal="center"/>
    </xf>
    <xf numFmtId="197" fontId="68" fillId="26" borderId="0" applyAlignment="1" pivotButton="0" quotePrefix="0" xfId="0">
      <alignment horizontal="center"/>
    </xf>
    <xf numFmtId="197" fontId="68" fillId="26" borderId="32" applyAlignment="1" pivotButton="0" quotePrefix="0" xfId="0">
      <alignment horizontal="center"/>
    </xf>
    <xf numFmtId="198" fontId="68" fillId="26" borderId="30" applyAlignment="1" pivotButton="0" quotePrefix="0" xfId="0">
      <alignment horizontal="center"/>
    </xf>
    <xf numFmtId="167" fontId="62" fillId="26" borderId="33" pivotButton="0" quotePrefix="0" xfId="1"/>
    <xf numFmtId="167" fontId="62" fillId="26" borderId="0" pivotButton="0" quotePrefix="0" xfId="1"/>
    <xf numFmtId="167" fontId="62" fillId="26" borderId="6" pivotButton="0" quotePrefix="0" xfId="1"/>
    <xf numFmtId="167" fontId="62" fillId="26" borderId="22" pivotButton="0" quotePrefix="0" xfId="1"/>
    <xf numFmtId="167" fontId="57" fillId="0" borderId="0" applyProtection="1" pivotButton="0" quotePrefix="0" xfId="1">
      <protection locked="0" hidden="0"/>
    </xf>
    <xf numFmtId="176" fontId="57" fillId="0" borderId="0" applyAlignment="1" pivotButton="0" quotePrefix="0" xfId="3">
      <alignment horizontal="center"/>
    </xf>
    <xf numFmtId="168" fontId="57" fillId="0" borderId="0" pivotButton="0" quotePrefix="0" xfId="2"/>
    <xf numFmtId="168" fontId="3" fillId="0" borderId="0" pivotButton="0" quotePrefix="0" xfId="2"/>
    <xf numFmtId="176" fontId="3" fillId="0" borderId="0" pivotButton="0" quotePrefix="0" xfId="3"/>
    <xf numFmtId="167" fontId="3" fillId="0" borderId="0" pivotButton="0" quotePrefix="0" xfId="0"/>
    <xf numFmtId="167" fontId="0" fillId="0" borderId="0" pivotButton="0" quotePrefix="0" xfId="0"/>
    <xf numFmtId="166" fontId="3" fillId="0" borderId="0" applyAlignment="1" pivotButton="0" quotePrefix="0" xfId="0">
      <alignment horizontal="left"/>
    </xf>
    <xf numFmtId="167" fontId="3" fillId="0" borderId="6" applyAlignment="1" pivotButton="0" quotePrefix="0" xfId="1">
      <alignment horizontal="center"/>
    </xf>
    <xf numFmtId="167" fontId="6" fillId="0" borderId="6" applyAlignment="1" pivotButton="0" quotePrefix="0" xfId="1">
      <alignment horizontal="center"/>
    </xf>
    <xf numFmtId="167" fontId="3" fillId="0" borderId="0" applyAlignment="1" pivotButton="0" quotePrefix="0" xfId="1">
      <alignment horizontal="center"/>
    </xf>
    <xf numFmtId="167" fontId="3" fillId="0" borderId="8" applyAlignment="1" pivotButton="0" quotePrefix="0" xfId="1">
      <alignment horizontal="center"/>
    </xf>
    <xf numFmtId="167" fontId="3" fillId="0" borderId="9" pivotButton="0" quotePrefix="0" xfId="1"/>
    <xf numFmtId="178" fontId="3" fillId="0" borderId="0" pivotButton="0" quotePrefix="0" xfId="0"/>
    <xf numFmtId="179" fontId="3" fillId="0" borderId="0" applyAlignment="1" pivotButton="0" quotePrefix="0" xfId="0">
      <alignment horizontal="left"/>
    </xf>
    <xf numFmtId="180" fontId="3" fillId="0" borderId="0" applyAlignment="1" pivotButton="0" quotePrefix="0" xfId="0">
      <alignment horizontal="left"/>
    </xf>
    <xf numFmtId="181" fontId="3" fillId="0" borderId="0" applyAlignment="1" pivotButton="0" quotePrefix="0" xfId="0">
      <alignment horizontal="left"/>
    </xf>
    <xf numFmtId="182" fontId="6" fillId="0" borderId="0" applyAlignment="1" pivotButton="0" quotePrefix="0" xfId="0">
      <alignment horizontal="center"/>
    </xf>
    <xf numFmtId="182" fontId="3" fillId="0" borderId="0" pivotButton="0" quotePrefix="0" xfId="0"/>
    <xf numFmtId="182" fontId="6" fillId="0" borderId="0" applyAlignment="1" pivotButton="0" quotePrefix="0" xfId="0">
      <alignment horizontal="right"/>
    </xf>
    <xf numFmtId="188" fontId="2" fillId="0" borderId="0" applyAlignment="1" pivotButton="0" quotePrefix="0" xfId="0">
      <alignment horizontal="left"/>
    </xf>
    <xf numFmtId="170" fontId="2" fillId="0" borderId="0" applyAlignment="1" pivotButton="0" quotePrefix="0" xfId="0">
      <alignment horizontal="left"/>
    </xf>
    <xf numFmtId="186" fontId="2" fillId="22" borderId="0" applyAlignment="1" pivotButton="0" quotePrefix="0" xfId="0">
      <alignment horizontal="left"/>
    </xf>
    <xf numFmtId="170" fontId="2" fillId="22" borderId="0" applyAlignment="1" pivotButton="0" quotePrefix="0" xfId="0">
      <alignment horizontal="left"/>
    </xf>
    <xf numFmtId="182" fontId="6" fillId="22" borderId="0" applyAlignment="1" pivotButton="0" quotePrefix="0" xfId="0">
      <alignment horizontal="center"/>
    </xf>
    <xf numFmtId="182" fontId="3" fillId="22" borderId="0" pivotButton="0" quotePrefix="0" xfId="0"/>
    <xf numFmtId="182" fontId="6" fillId="22" borderId="0" applyAlignment="1" pivotButton="0" quotePrefix="0" xfId="0">
      <alignment horizontal="right"/>
    </xf>
    <xf numFmtId="169" fontId="3" fillId="0" borderId="0" pivotButton="0" quotePrefix="0" xfId="0"/>
    <xf numFmtId="182" fontId="6" fillId="0" borderId="0" applyAlignment="1" pivotButton="0" quotePrefix="1" xfId="0">
      <alignment horizontal="right"/>
    </xf>
    <xf numFmtId="187" fontId="42" fillId="0" borderId="0" applyAlignment="1" pivotButton="0" quotePrefix="0" xfId="0">
      <alignment horizontal="center"/>
    </xf>
    <xf numFmtId="171" fontId="28" fillId="0" borderId="0" applyAlignment="1" pivotButton="0" quotePrefix="0" xfId="3">
      <alignment horizontal="center" vertical="center" readingOrder="1"/>
    </xf>
    <xf numFmtId="172" fontId="28" fillId="0" borderId="0" applyAlignment="1" pivotButton="0" quotePrefix="0" xfId="3">
      <alignment vertical="center" wrapText="1" readingOrder="1"/>
    </xf>
    <xf numFmtId="172" fontId="29" fillId="0" borderId="0" applyAlignment="1" pivotButton="0" quotePrefix="0" xfId="3">
      <alignment horizontal="center" vertical="center" wrapText="1" readingOrder="1"/>
    </xf>
    <xf numFmtId="173" fontId="29" fillId="0" borderId="0" applyAlignment="1" pivotButton="0" quotePrefix="0" xfId="3">
      <alignment horizontal="center" vertical="center" wrapText="1" readingOrder="1"/>
    </xf>
    <xf numFmtId="174" fontId="29" fillId="0" borderId="0" applyAlignment="1" pivotButton="0" quotePrefix="0" xfId="3">
      <alignment horizontal="center" vertical="center" wrapText="1" readingOrder="1"/>
    </xf>
    <xf numFmtId="175" fontId="29" fillId="0" borderId="0" applyAlignment="1" pivotButton="0" quotePrefix="0" xfId="3">
      <alignment horizontal="center" vertical="center" wrapText="1" readingOrder="1"/>
    </xf>
    <xf numFmtId="173" fontId="32" fillId="18" borderId="2" applyAlignment="1" pivotButton="0" quotePrefix="0" xfId="3">
      <alignment horizontal="center" vertical="center" wrapText="1" readingOrder="1"/>
    </xf>
    <xf numFmtId="173" fontId="31" fillId="18" borderId="2" applyAlignment="1" pivotButton="0" quotePrefix="0" xfId="3">
      <alignment horizontal="center" vertical="center" wrapText="1" readingOrder="1"/>
    </xf>
    <xf numFmtId="174" fontId="31" fillId="18" borderId="2" applyAlignment="1" pivotButton="0" quotePrefix="0" xfId="3">
      <alignment horizontal="center" vertical="center" wrapText="1" readingOrder="1"/>
    </xf>
    <xf numFmtId="175" fontId="31" fillId="18" borderId="2" applyAlignment="1" pivotButton="0" quotePrefix="0" xfId="3">
      <alignment horizontal="center" vertical="center" wrapText="1" readingOrder="1"/>
    </xf>
    <xf numFmtId="172" fontId="29" fillId="0" borderId="0" pivotButton="0" quotePrefix="0" xfId="0"/>
    <xf numFmtId="173" fontId="32" fillId="19" borderId="2" applyAlignment="1" pivotButton="0" quotePrefix="0" xfId="3">
      <alignment horizontal="center" vertical="center" wrapText="1" readingOrder="1"/>
    </xf>
    <xf numFmtId="173" fontId="31" fillId="19" borderId="2" applyAlignment="1" pivotButton="0" quotePrefix="0" xfId="3">
      <alignment horizontal="center" vertical="center" wrapText="1" readingOrder="1"/>
    </xf>
    <xf numFmtId="174" fontId="31" fillId="19" borderId="2" applyAlignment="1" pivotButton="0" quotePrefix="0" xfId="3">
      <alignment horizontal="center" vertical="center" wrapText="1" readingOrder="1"/>
    </xf>
    <xf numFmtId="175" fontId="31" fillId="19" borderId="2" applyAlignment="1" pivotButton="0" quotePrefix="0" xfId="3">
      <alignment horizontal="center" vertical="center" wrapText="1" readingOrder="1"/>
    </xf>
    <xf numFmtId="176" fontId="35" fillId="0" borderId="0" pivotButton="0" quotePrefix="0" xfId="3"/>
    <xf numFmtId="177" fontId="15" fillId="0" borderId="0" pivotButton="0" quotePrefix="0" xfId="3"/>
    <xf numFmtId="176" fontId="15" fillId="0" borderId="0" pivotButton="0" quotePrefix="0" xfId="3"/>
    <xf numFmtId="168" fontId="79" fillId="13" borderId="45" applyAlignment="1" pivotButton="0" quotePrefix="0" xfId="15">
      <alignment horizontal="right"/>
    </xf>
    <xf numFmtId="169" fontId="79" fillId="13" borderId="42" applyAlignment="1" pivotButton="0" quotePrefix="0" xfId="15">
      <alignment horizontal="center"/>
    </xf>
    <xf numFmtId="203" fontId="79" fillId="20" borderId="44" applyAlignment="1" pivotButton="0" quotePrefix="0" xfId="15">
      <alignment horizontal="center"/>
    </xf>
    <xf numFmtId="187" fontId="79" fillId="13" borderId="42" pivotButton="0" quotePrefix="0" xfId="15"/>
    <xf numFmtId="167" fontId="62" fillId="25" borderId="4" applyAlignment="1" applyProtection="1" pivotButton="0" quotePrefix="0" xfId="1">
      <alignment horizontal="center" vertical="center"/>
      <protection locked="0" hidden="0"/>
    </xf>
    <xf numFmtId="167" fontId="72" fillId="0" borderId="4" applyAlignment="1" pivotButton="0" quotePrefix="0" xfId="1">
      <alignment horizontal="center" vertical="center"/>
    </xf>
    <xf numFmtId="202" fontId="62" fillId="25" borderId="4" applyAlignment="1" applyProtection="1" pivotButton="0" quotePrefix="0" xfId="1">
      <alignment horizontal="center" vertical="center"/>
      <protection locked="0" hidden="0"/>
    </xf>
    <xf numFmtId="183" fontId="76" fillId="0" borderId="4" applyAlignment="1" pivotButton="0" quotePrefix="0" xfId="1">
      <alignment horizontal="center" vertical="center"/>
    </xf>
    <xf numFmtId="187" fontId="62" fillId="25" borderId="4" applyAlignment="1" applyProtection="1" pivotButton="0" quotePrefix="0" xfId="1">
      <alignment horizontal="center" vertical="center"/>
      <protection locked="0" hidden="0"/>
    </xf>
    <xf numFmtId="167" fontId="72" fillId="25" borderId="4" applyAlignment="1" pivotButton="0" quotePrefix="0" xfId="1">
      <alignment horizontal="center" vertical="center"/>
    </xf>
    <xf numFmtId="202" fontId="62" fillId="25" borderId="4" applyAlignment="1" pivotButton="0" quotePrefix="0" xfId="1">
      <alignment horizontal="center" vertical="center"/>
    </xf>
    <xf numFmtId="187" fontId="62" fillId="25" borderId="4" applyAlignment="1" pivotButton="0" quotePrefix="0" xfId="1">
      <alignment horizontal="center" vertical="center"/>
    </xf>
    <xf numFmtId="189" fontId="50" fillId="5" borderId="0" applyAlignment="1" pivotButton="0" quotePrefix="0" xfId="0">
      <alignment horizontal="left"/>
    </xf>
    <xf numFmtId="190" fontId="19" fillId="7" borderId="36" applyAlignment="1" pivotButton="0" quotePrefix="0" xfId="1">
      <alignment horizontal="left"/>
    </xf>
    <xf numFmtId="191" fontId="53" fillId="5" borderId="0" applyAlignment="1" pivotButton="0" quotePrefix="0" xfId="0">
      <alignment horizontal="right"/>
    </xf>
    <xf numFmtId="167" fontId="16" fillId="10" borderId="40" applyAlignment="1" pivotButton="0" quotePrefix="0" xfId="1">
      <alignment horizontal="center" wrapText="1"/>
    </xf>
    <xf numFmtId="167" fontId="16" fillId="10" borderId="41" applyAlignment="1" pivotButton="0" quotePrefix="0" xfId="1">
      <alignment horizontal="center" wrapText="1"/>
    </xf>
    <xf numFmtId="192" fontId="53" fillId="6" borderId="35" applyAlignment="1" pivotButton="0" quotePrefix="0" xfId="0">
      <alignment horizontal="right"/>
    </xf>
    <xf numFmtId="191" fontId="51" fillId="6" borderId="35" applyAlignment="1" pivotButton="0" quotePrefix="0" xfId="0">
      <alignment horizontal="right"/>
    </xf>
    <xf numFmtId="191" fontId="53" fillId="6" borderId="35" applyAlignment="1" pivotButton="0" quotePrefix="0" xfId="0">
      <alignment horizontal="right"/>
    </xf>
    <xf numFmtId="193" fontId="50" fillId="6" borderId="35" applyAlignment="1" pivotButton="0" quotePrefix="0" xfId="0">
      <alignment horizontal="right"/>
    </xf>
    <xf numFmtId="192" fontId="40" fillId="6" borderId="35" applyAlignment="1" pivotButton="0" quotePrefix="0" xfId="0">
      <alignment horizontal="right"/>
    </xf>
    <xf numFmtId="194" fontId="40" fillId="6" borderId="35" applyAlignment="1" pivotButton="0" quotePrefix="0" xfId="0">
      <alignment horizontal="right"/>
    </xf>
    <xf numFmtId="194" fontId="50" fillId="11" borderId="35" applyAlignment="1" pivotButton="0" quotePrefix="0" xfId="0">
      <alignment horizontal="center"/>
    </xf>
    <xf numFmtId="167" fontId="53" fillId="12" borderId="18" applyAlignment="1" pivotButton="0" quotePrefix="0" xfId="1">
      <alignment horizontal="center"/>
    </xf>
    <xf numFmtId="167" fontId="53" fillId="12" borderId="20" applyAlignment="1" pivotButton="0" quotePrefix="0" xfId="1">
      <alignment horizontal="center"/>
    </xf>
    <xf numFmtId="193" fontId="48" fillId="0" borderId="35" applyAlignment="1" pivotButton="0" quotePrefix="0" xfId="0">
      <alignment horizontal="right"/>
    </xf>
    <xf numFmtId="192" fontId="51" fillId="0" borderId="35" applyAlignment="1" pivotButton="0" quotePrefix="0" xfId="0">
      <alignment horizontal="right"/>
    </xf>
    <xf numFmtId="193" fontId="53" fillId="0" borderId="35" applyAlignment="1" pivotButton="0" quotePrefix="0" xfId="0">
      <alignment horizontal="right"/>
    </xf>
    <xf numFmtId="195" fontId="48" fillId="0" borderId="35" applyAlignment="1" pivotButton="0" quotePrefix="0" xfId="0">
      <alignment horizontal="right"/>
    </xf>
    <xf numFmtId="195" fontId="53" fillId="0" borderId="35" applyAlignment="1" pivotButton="0" quotePrefix="0" xfId="0">
      <alignment horizontal="right"/>
    </xf>
    <xf numFmtId="193" fontId="51" fillId="0" borderId="35" applyAlignment="1" pivotButton="0" quotePrefix="0" xfId="0">
      <alignment horizontal="right"/>
    </xf>
    <xf numFmtId="195" fontId="50" fillId="0" borderId="35" applyAlignment="1" pivotButton="0" quotePrefix="0" xfId="0">
      <alignment horizontal="right"/>
    </xf>
    <xf numFmtId="195" fontId="51" fillId="0" borderId="35" applyAlignment="1" pivotButton="0" quotePrefix="0" xfId="0">
      <alignment horizontal="right"/>
    </xf>
    <xf numFmtId="183" fontId="53" fillId="0" borderId="35" applyAlignment="1" pivotButton="0" quotePrefix="0" xfId="0">
      <alignment horizontal="right"/>
    </xf>
    <xf numFmtId="195" fontId="40" fillId="0" borderId="35" applyAlignment="1" pivotButton="0" quotePrefix="0" xfId="0">
      <alignment horizontal="right"/>
    </xf>
    <xf numFmtId="195" fontId="55" fillId="0" borderId="35" applyAlignment="1" pivotButton="0" quotePrefix="0" xfId="0">
      <alignment horizontal="right"/>
    </xf>
    <xf numFmtId="183" fontId="51" fillId="0" borderId="35" applyAlignment="1" pivotButton="0" quotePrefix="0" xfId="0">
      <alignment horizontal="right"/>
    </xf>
    <xf numFmtId="192" fontId="53" fillId="0" borderId="35" applyAlignment="1" pivotButton="0" quotePrefix="0" xfId="0">
      <alignment horizontal="right"/>
    </xf>
    <xf numFmtId="183" fontId="48" fillId="0" borderId="35" applyAlignment="1" pivotButton="0" quotePrefix="0" xfId="0">
      <alignment horizontal="right"/>
    </xf>
    <xf numFmtId="194" fontId="40" fillId="11" borderId="35" applyAlignment="1" pivotButton="0" quotePrefix="0" xfId="0">
      <alignment horizontal="center"/>
    </xf>
    <xf numFmtId="195" fontId="50" fillId="0" borderId="0" applyAlignment="1" pivotButton="0" quotePrefix="0" xfId="0">
      <alignment horizontal="right"/>
    </xf>
    <xf numFmtId="194" fontId="40" fillId="0" borderId="35" applyAlignment="1" pivotButton="0" quotePrefix="0" xfId="0">
      <alignment horizontal="right"/>
    </xf>
    <xf numFmtId="193" fontId="48" fillId="0" borderId="0" applyAlignment="1" pivotButton="0" quotePrefix="0" xfId="0">
      <alignment horizontal="right"/>
    </xf>
    <xf numFmtId="192" fontId="53" fillId="0" borderId="0" applyAlignment="1" pivotButton="0" quotePrefix="0" xfId="0">
      <alignment horizontal="right"/>
    </xf>
    <xf numFmtId="193" fontId="53" fillId="0" borderId="0" applyAlignment="1" pivotButton="0" quotePrefix="0" xfId="0">
      <alignment horizontal="right"/>
    </xf>
    <xf numFmtId="183" fontId="48" fillId="0" borderId="0" applyAlignment="1" pivotButton="0" quotePrefix="0" xfId="0">
      <alignment horizontal="right"/>
    </xf>
    <xf numFmtId="183" fontId="53" fillId="0" borderId="0" applyAlignment="1" pivotButton="0" quotePrefix="0" xfId="0">
      <alignment horizontal="right"/>
    </xf>
    <xf numFmtId="193" fontId="51" fillId="0" borderId="0" applyAlignment="1" pivotButton="0" quotePrefix="0" xfId="0">
      <alignment horizontal="right"/>
    </xf>
    <xf numFmtId="195" fontId="51" fillId="0" borderId="0" applyAlignment="1" pivotButton="0" quotePrefix="0" xfId="0">
      <alignment horizontal="right"/>
    </xf>
    <xf numFmtId="195" fontId="40" fillId="0" borderId="0" applyAlignment="1" pivotButton="0" quotePrefix="0" xfId="0">
      <alignment horizontal="right"/>
    </xf>
    <xf numFmtId="195" fontId="55" fillId="0" borderId="0" applyAlignment="1" pivotButton="0" quotePrefix="0" xfId="0">
      <alignment horizontal="right"/>
    </xf>
    <xf numFmtId="183" fontId="51" fillId="0" borderId="0" applyAlignment="1" pivotButton="0" quotePrefix="0" xfId="0">
      <alignment horizontal="right"/>
    </xf>
    <xf numFmtId="193" fontId="50" fillId="5" borderId="35" applyAlignment="1" pivotButton="0" quotePrefix="0" xfId="0">
      <alignment horizontal="right"/>
    </xf>
    <xf numFmtId="192" fontId="50" fillId="5" borderId="35" applyAlignment="1" pivotButton="0" quotePrefix="0" xfId="0">
      <alignment horizontal="right"/>
    </xf>
    <xf numFmtId="194" fontId="40" fillId="35" borderId="35" applyAlignment="1" pivotButton="0" quotePrefix="0" xfId="0">
      <alignment horizontal="right"/>
    </xf>
    <xf numFmtId="194" fontId="50" fillId="35" borderId="35" applyAlignment="1" pivotButton="0" quotePrefix="0" xfId="0">
      <alignment horizontal="center"/>
    </xf>
    <xf numFmtId="184" fontId="0" fillId="0" borderId="0" pivotButton="0" quotePrefix="0" xfId="0"/>
    <xf numFmtId="182" fontId="0" fillId="0" borderId="0" pivotButton="0" quotePrefix="0" xfId="0"/>
    <xf numFmtId="182" fontId="0" fillId="0" borderId="0" applyAlignment="1" pivotButton="0" quotePrefix="0" xfId="0">
      <alignment vertical="center"/>
    </xf>
    <xf numFmtId="182" fontId="39" fillId="21" borderId="0" applyAlignment="1" pivotButton="0" quotePrefix="0" xfId="0">
      <alignment horizontal="center"/>
    </xf>
    <xf numFmtId="182" fontId="39" fillId="21" borderId="0" applyAlignment="1" pivotButton="0" quotePrefix="0" xfId="0">
      <alignment horizontal="left"/>
    </xf>
    <xf numFmtId="204" fontId="40" fillId="0" borderId="0" pivotButton="0" quotePrefix="0" xfId="0"/>
    <xf numFmtId="182" fontId="40" fillId="0" borderId="0" applyAlignment="1" pivotButton="0" quotePrefix="0" xfId="0">
      <alignment horizontal="center"/>
    </xf>
    <xf numFmtId="167" fontId="53" fillId="0" borderId="0" pivotButton="0" quotePrefix="0" xfId="1"/>
    <xf numFmtId="182" fontId="41" fillId="0" borderId="0" pivotButton="0" quotePrefix="0" xfId="0"/>
    <xf numFmtId="167" fontId="40" fillId="0" borderId="0" pivotButton="0" quotePrefix="0" xfId="1"/>
    <xf numFmtId="183" fontId="0" fillId="0" borderId="0" applyAlignment="1" pivotButton="0" quotePrefix="0" xfId="0">
      <alignment horizontal="right"/>
    </xf>
    <xf numFmtId="187" fontId="40" fillId="0" borderId="0" pivotButton="0" quotePrefix="0" xfId="1"/>
    <xf numFmtId="202" fontId="40" fillId="0" borderId="0" pivotButton="0" quotePrefix="0" xfId="0"/>
    <xf numFmtId="202" fontId="53" fillId="0" borderId="0" pivotButton="0" quotePrefix="0" xfId="0"/>
    <xf numFmtId="206" fontId="0" fillId="0" borderId="0" pivotButton="0" quotePrefix="0" xfId="0"/>
    <xf numFmtId="187" fontId="40" fillId="0" borderId="0" applyAlignment="1" pivotButton="0" quotePrefix="0" xfId="1">
      <alignment horizontal="right"/>
    </xf>
    <xf numFmtId="182" fontId="40" fillId="25" borderId="0" applyAlignment="1" pivotButton="0" quotePrefix="0" xfId="0">
      <alignment horizontal="center"/>
    </xf>
    <xf numFmtId="167" fontId="53" fillId="25" borderId="0" pivotButton="0" quotePrefix="0" xfId="1"/>
    <xf numFmtId="182" fontId="41" fillId="25" borderId="0" pivotButton="0" quotePrefix="0" xfId="0"/>
    <xf numFmtId="167" fontId="40" fillId="25" borderId="0" pivotButton="0" quotePrefix="0" xfId="1"/>
    <xf numFmtId="183" fontId="0" fillId="25" borderId="0" applyAlignment="1" pivotButton="0" quotePrefix="0" xfId="0">
      <alignment horizontal="right"/>
    </xf>
    <xf numFmtId="187" fontId="40" fillId="25" borderId="0" applyAlignment="1" pivotButton="0" quotePrefix="0" xfId="1">
      <alignment horizontal="right"/>
    </xf>
    <xf numFmtId="182" fontId="0" fillId="25" borderId="0" pivotButton="0" quotePrefix="0" xfId="0"/>
    <xf numFmtId="202" fontId="40" fillId="25" borderId="0" pivotButton="0" quotePrefix="0" xfId="0"/>
    <xf numFmtId="202" fontId="53" fillId="25" borderId="0" pivotButton="0" quotePrefix="0" xfId="0"/>
    <xf numFmtId="182" fontId="40" fillId="0" borderId="0" pivotButton="0" quotePrefix="0" xfId="0"/>
    <xf numFmtId="183" fontId="40" fillId="0" borderId="0" applyAlignment="1" pivotButton="0" quotePrefix="0" xfId="0">
      <alignment horizontal="right"/>
    </xf>
    <xf numFmtId="182" fontId="46" fillId="0" borderId="8" pivotButton="0" quotePrefix="0" xfId="0"/>
    <xf numFmtId="183" fontId="46" fillId="0" borderId="8" applyAlignment="1" pivotButton="0" quotePrefix="0" xfId="0">
      <alignment horizontal="right"/>
    </xf>
    <xf numFmtId="183" fontId="46" fillId="0" borderId="8" pivotButton="0" quotePrefix="0" xfId="0"/>
    <xf numFmtId="202" fontId="46" fillId="0" borderId="8" pivotButton="0" quotePrefix="0" xfId="0"/>
    <xf numFmtId="202" fontId="46" fillId="0" borderId="0" pivotButton="0" quotePrefix="0" xfId="0"/>
    <xf numFmtId="196" fontId="0" fillId="0" borderId="0" pivotButton="0" quotePrefix="0" xfId="0"/>
    <xf numFmtId="183" fontId="0" fillId="0" borderId="0" pivotButton="0" quotePrefix="0" xfId="0"/>
    <xf numFmtId="202" fontId="0" fillId="0" borderId="0" pivotButton="0" quotePrefix="0" xfId="0"/>
    <xf numFmtId="182" fontId="0" fillId="0" borderId="8" pivotButton="0" quotePrefix="0" xfId="0"/>
    <xf numFmtId="184" fontId="0" fillId="0" borderId="0" applyAlignment="1" pivotButton="0" quotePrefix="0" xfId="0">
      <alignment vertical="center"/>
    </xf>
    <xf numFmtId="184" fontId="0" fillId="0" borderId="0" applyAlignment="1" pivotButton="0" quotePrefix="0" xfId="0">
      <alignment horizontal="center" vertical="center"/>
    </xf>
    <xf numFmtId="184" fontId="39" fillId="21" borderId="0" applyAlignment="1" pivotButton="0" quotePrefix="0" xfId="0">
      <alignment horizontal="center" vertical="center"/>
    </xf>
    <xf numFmtId="184" fontId="39" fillId="21" borderId="0" applyAlignment="1" pivotButton="0" quotePrefix="0" xfId="0">
      <alignment horizontal="center" vertical="center" wrapText="1"/>
    </xf>
    <xf numFmtId="184" fontId="39" fillId="21" borderId="53" applyAlignment="1" pivotButton="0" quotePrefix="0" xfId="0">
      <alignment horizontal="centerContinuous" vertical="center" wrapText="1"/>
    </xf>
    <xf numFmtId="185" fontId="41" fillId="0" borderId="0" applyAlignment="1" pivotButton="0" quotePrefix="0" xfId="3">
      <alignment horizontal="left" vertical="center" wrapText="1" readingOrder="1"/>
    </xf>
    <xf numFmtId="185" fontId="41" fillId="0" borderId="0" applyAlignment="1" pivotButton="0" quotePrefix="0" xfId="3">
      <alignment horizontal="center" vertical="center" wrapText="1" readingOrder="1"/>
    </xf>
    <xf numFmtId="184" fontId="41" fillId="0" borderId="0" applyAlignment="1" pivotButton="0" quotePrefix="0" xfId="3">
      <alignment horizontal="left" vertical="center" wrapText="1" readingOrder="1"/>
    </xf>
    <xf numFmtId="184" fontId="41" fillId="0" borderId="0" applyAlignment="1" pivotButton="0" quotePrefix="0" xfId="3">
      <alignment horizontal="center" vertical="center" wrapText="1" readingOrder="1"/>
    </xf>
    <xf numFmtId="185" fontId="15" fillId="0" borderId="8" applyAlignment="1" pivotButton="0" quotePrefix="0" xfId="0">
      <alignment vertical="center"/>
    </xf>
    <xf numFmtId="207" fontId="15" fillId="33" borderId="0" pivotButton="0" quotePrefix="0" xfId="0"/>
    <xf numFmtId="207" fontId="0" fillId="0" borderId="0" pivotButton="0" quotePrefix="0" xfId="0"/>
    <xf numFmtId="197" fontId="0" fillId="0" borderId="0" pivotButton="0" quotePrefix="0" xfId="0"/>
    <xf numFmtId="197" fontId="0" fillId="42" borderId="0" pivotButton="0" quotePrefix="0" xfId="0"/>
    <xf numFmtId="207" fontId="0" fillId="42" borderId="0" pivotButton="0" quotePrefix="0" xfId="0"/>
    <xf numFmtId="197" fontId="0" fillId="43" borderId="0" pivotButton="0" quotePrefix="0" xfId="0"/>
    <xf numFmtId="197" fontId="102" fillId="51" borderId="0" pivotButton="0" quotePrefix="0" xfId="0"/>
    <xf numFmtId="197" fontId="102" fillId="45" borderId="0" pivotButton="0" quotePrefix="0" xfId="0"/>
    <xf numFmtId="197" fontId="0" fillId="32" borderId="0" pivotButton="0" quotePrefix="0" xfId="0"/>
    <xf numFmtId="197" fontId="99" fillId="39" borderId="0" pivotButton="0" quotePrefix="0" xfId="0"/>
    <xf numFmtId="197" fontId="103" fillId="39" borderId="0" pivotButton="0" quotePrefix="0" xfId="0"/>
    <xf numFmtId="197" fontId="36" fillId="50" borderId="0" pivotButton="0" quotePrefix="0" xfId="0"/>
    <xf numFmtId="199" fontId="36" fillId="50" borderId="0" pivotButton="0" quotePrefix="0" xfId="0"/>
    <xf numFmtId="199" fontId="36" fillId="0" borderId="0" pivotButton="0" quotePrefix="0" xfId="0"/>
    <xf numFmtId="197" fontId="36" fillId="0" borderId="0" applyAlignment="1" pivotButton="0" quotePrefix="0" xfId="0">
      <alignment horizontal="right"/>
    </xf>
    <xf numFmtId="208" fontId="36" fillId="0" borderId="0" applyAlignment="1" pivotButton="0" quotePrefix="0" xfId="0">
      <alignment horizontal="right"/>
    </xf>
    <xf numFmtId="169" fontId="114" fillId="0" borderId="0" pivotButton="0" quotePrefix="0" xfId="0"/>
  </cellXfs>
  <cellStyles count="21">
    <cellStyle name="Normal" xfId="0" builtinId="0"/>
    <cellStyle name="Comma" xfId="1" builtinId="3"/>
    <cellStyle name="Currency" xfId="2" builtinId="4"/>
    <cellStyle name="Percent" xfId="3" builtinId="5"/>
    <cellStyle name="Normal 4 8" xfId="4"/>
    <cellStyle name="Normal 2" xfId="5"/>
    <cellStyle name="Normal 3" xfId="6"/>
    <cellStyle name="Normal 4" xfId="7"/>
    <cellStyle name="Normal 5" xfId="8"/>
    <cellStyle name="Normal 6" xfId="9"/>
    <cellStyle name="Normal 7" xfId="10"/>
    <cellStyle name="Normal 8" xfId="11"/>
    <cellStyle name="Normal 9" xfId="12"/>
    <cellStyle name="Normal 10" xfId="13"/>
    <cellStyle name="Normal 11" xfId="14"/>
    <cellStyle name="Input" xfId="15" builtinId="20"/>
    <cellStyle name="Good" xfId="16" builtinId="26"/>
    <cellStyle name="Normal 2 4 2" xfId="17"/>
    <cellStyle name="Normal 12" xfId="18"/>
    <cellStyle name="Percent 2" xfId="19"/>
    <cellStyle name="Comma 2" xfId="20"/>
  </cellStyles>
  <dxfs count="39">
    <dxf>
      <font>
        <color rgb="FF006100"/>
      </font>
      <fill>
        <patternFill patternType="solid">
          <fgColor indexed="64"/>
          <bgColor rgb="FFC6EFCE"/>
        </patternFill>
      </fill>
    </dxf>
    <dxf>
      <font>
        <color rgb="FF9C0006"/>
      </font>
      <fill>
        <patternFill patternType="solid">
          <fgColor indexed="64"/>
          <bgColor rgb="FFFFC7CE"/>
        </patternFill>
      </fill>
    </dxf>
    <dxf>
      <fill>
        <patternFill>
          <bgColor theme="0" tint="-0.1499679555650502"/>
        </patternFill>
      </fill>
    </dxf>
    <dxf>
      <font>
        <color rgb="FFFF0000"/>
      </font>
      <fill>
        <patternFill>
          <bgColor theme="0" tint="-0.1499679555650502"/>
        </patternFill>
      </fill>
    </dxf>
    <dxf>
      <fill>
        <patternFill>
          <bgColor theme="9" tint="0.5999633777886288"/>
        </patternFill>
      </fill>
    </dxf>
    <dxf>
      <fill>
        <patternFill>
          <bgColor theme="9" tint="0.5999633777886288"/>
        </patternFill>
      </fill>
    </dxf>
    <dxf>
      <font>
        <color rgb="FFFF0000"/>
      </font>
      <fill>
        <patternFill>
          <bgColor theme="0" tint="-0.1499679555650502"/>
        </patternFill>
      </fill>
    </dxf>
    <dxf>
      <font>
        <color rgb="FFFF0000"/>
      </font>
      <fill>
        <patternFill>
          <bgColor theme="0" tint="-0.1499679555650502"/>
        </patternFill>
      </fill>
    </dxf>
    <dxf>
      <fill>
        <patternFill>
          <bgColor theme="9" tint="0.5999633777886288"/>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149967955565050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0000"/>
        </patternFill>
      </fill>
    </dxf>
    <dxf>
      <font>
        <color rgb="FF9C0006"/>
      </font>
      <fill>
        <patternFill>
          <bgColor rgb="FFFFC7CE"/>
        </patternFill>
      </fill>
    </dxf>
    <dxf>
      <font>
        <color rgb="FF9C0006"/>
      </font>
      <fill>
        <patternFill>
          <bgColor rgb="FFFFC7CE"/>
        </patternFill>
      </fill>
    </dxf>
    <dxf>
      <fill>
        <patternFill>
          <bgColor theme="9" tint="0.5999633777886288"/>
        </patternFill>
      </fill>
    </dxf>
    <dxf>
      <font>
        <color rgb="FF9C0006"/>
      </font>
      <fill>
        <patternFill>
          <bgColor rgb="FFFFC7CE"/>
        </patternFill>
      </fill>
    </dxf>
  </dxfs>
  <tableStyles count="1" defaultTableStyle="TableStyleMedium2" defaultPivotStyle="PivotStyleLight16">
    <tableStyle name="Invisible" pivot="0" table="0" count="0"/>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comments/comment1.xml><?xml version="1.0" encoding="utf-8"?>
<comments xmlns="http://schemas.openxmlformats.org/spreadsheetml/2006/main">
  <authors>
    <author>Yuan, Jiakun</author>
  </authors>
  <commentList>
    <comment ref="DO4" authorId="0" shapeId="0">
      <text>
        <t xml:space="preserve">Yuan, Jiakun:
interest coverage n/a need more info
</t>
      </text>
    </comment>
    <comment ref="I8" authorId="0" shapeId="0">
      <text>
        <t>Yuan, Jiakun:
na, use 100%</t>
      </text>
    </comment>
    <comment ref="BK8" authorId="0" shapeId="0">
      <text>
        <t>Yuan, Jiakun:
na, assume it is the closing date</t>
      </text>
    </comment>
    <comment ref="BL8" authorId="0" shapeId="0">
      <text>
        <t xml:space="preserve">Yuan, Jiakun:
na, assume it is the closing date
</t>
      </text>
    </comment>
  </commentList>
</comments>
</file>

<file path=xl/comments/comment2.xml><?xml version="1.0" encoding="utf-8"?>
<comments xmlns="http://schemas.openxmlformats.org/spreadsheetml/2006/main">
  <authors>
    <author>Yuan, Jiakun</author>
    <author>Matthew Guitard</author>
  </authors>
  <commentList>
    <comment ref="K3" authorId="0" shapeId="0">
      <text>
        <t xml:space="preserve">Yuan, Jiakun:
N/A need more ifno. Current assume all TL
</t>
      </text>
    </comment>
    <comment ref="AN3" authorId="0" shapeId="0">
      <text>
        <t>Yuan, Jiakun:
na, assume it is the investment date</t>
      </text>
    </comment>
    <comment ref="BC3" authorId="0" shapeId="0">
      <text>
        <t xml:space="preserve">Yuan, Jiakun:
n/a
use leverage through SMC. Loan tape AF
</t>
      </text>
    </comment>
    <comment ref="BD3" authorId="0" shapeId="0">
      <text>
        <t xml:space="preserve">Yuan, Jiakun:
n/a
use leverage through SMC. Loan tape AF
</t>
      </text>
    </comment>
    <comment ref="AE18" authorId="1" shapeId="0">
      <text>
        <t>Matthew Guitard:
At close, willl increase post-syndication</t>
      </text>
    </comment>
    <comment ref="AE56" authorId="1" shapeId="0">
      <text>
        <t>Matthew Guitard:
At close, willl increase post-syndication</t>
      </text>
    </comment>
  </commentList>
</comments>
</file>

<file path=xl/comments/comment3.xml><?xml version="1.0" encoding="utf-8"?>
<comments xmlns="http://schemas.openxmlformats.org/spreadsheetml/2006/main">
  <authors>
    <author>Siddharth Tripurani</author>
  </authors>
  <commentList>
    <comment ref="Y42" authorId="0" shapeId="0">
      <text>
        <t>Siddharth Tripurani:
FV at PAR given recent close, will update to external provided mark post QE</t>
      </text>
    </comment>
  </commentList>
</comments>
</file>

<file path=xl/comments/comment4.xml><?xml version="1.0" encoding="utf-8"?>
<comments xmlns="http://schemas.openxmlformats.org/spreadsheetml/2006/main">
  <authors>
    <author>Siddharth Tripurani</author>
  </authors>
  <commentList>
    <comment ref="B53" authorId="0" shapeId="0">
      <text>
        <t>Siddharth Tripurani:
Claude captures this before running pro forma</t>
      </text>
    </comment>
  </commentList>
</comment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34</col>
      <colOff>675835</colOff>
      <row>0</row>
      <rowOff>40821</rowOff>
    </from>
    <to>
      <col>35</col>
      <colOff>771587</colOff>
      <row>3</row>
      <rowOff>136071</rowOff>
    </to>
    <pic>
      <nvPicPr>
        <cNvPr id="2" name="Picture 1"/>
        <cNvPicPr>
          <a:picLocks noChangeAspect="1"/>
        </cNvPicPr>
      </nvPicPr>
      <blipFill>
        <a:blip cstate="print" r:embed="rId1"/>
        <a:stretch>
          <a:fillRect/>
        </a:stretch>
      </blipFill>
      <spPr>
        <a:xfrm>
          <a:off x="34832485" y="40821"/>
          <a:ext cx="1600702" cy="771525"/>
        </a:xfrm>
        <a:prstGeom prst="rect">
          <avLst/>
        </a:prstGeom>
        <a:ln>
          <a:prstDash val="solid"/>
        </a:ln>
      </spPr>
    </pic>
    <clientData/>
  </twoCellAnchor>
</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drawing" Target="/xl/drawings/drawing1.xml" Id="rId1" /></Relationships>
</file>

<file path=xl/worksheets/_rels/sheet8.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9.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14.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sheet1.xml><?xml version="1.0" encoding="utf-8"?>
<worksheet xmlns="http://schemas.openxmlformats.org/spreadsheetml/2006/main">
  <sheetPr codeName="Sheet1">
    <outlinePr summaryBelow="1" summaryRight="1"/>
    <pageSetUpPr/>
  </sheetPr>
  <dimension ref="A1:R65"/>
  <sheetViews>
    <sheetView showGridLines="0" zoomScale="85" zoomScaleNormal="85" workbookViewId="0">
      <selection activeCell="M75" sqref="M75"/>
    </sheetView>
  </sheetViews>
  <sheetFormatPr baseColWidth="8" defaultColWidth="8.5703125" defaultRowHeight="12.75" outlineLevelRow="1"/>
  <cols>
    <col width="1.5703125" customWidth="1" style="2" min="1" max="1"/>
    <col width="14.28515625" bestFit="1" customWidth="1" style="2" min="2" max="2"/>
    <col width="23.28515625" bestFit="1" customWidth="1" style="2" min="3" max="3"/>
    <col width="8.5703125" customWidth="1" style="2" min="4" max="5"/>
    <col width="18.85546875" customWidth="1" style="2" min="6" max="6"/>
    <col width="8.5703125" customWidth="1" style="2" min="7" max="7"/>
    <col width="2.28515625" bestFit="1" customWidth="1" style="2" min="8" max="8"/>
    <col width="15.5703125" customWidth="1" style="2" min="9" max="10"/>
    <col width="21.5703125" bestFit="1" customWidth="1" style="2" min="11" max="11"/>
    <col width="24.5703125" customWidth="1" style="3" min="12" max="12"/>
    <col width="43.5703125" customWidth="1" style="2" min="13" max="13"/>
    <col width="33.28515625" bestFit="1" customWidth="1" style="2" min="14" max="14"/>
    <col width="12.28515625" bestFit="1" customWidth="1" style="2" min="15" max="15"/>
    <col width="11.28515625" bestFit="1" customWidth="1" style="2" min="16" max="16"/>
    <col width="17.28515625" bestFit="1" customWidth="1" style="2" min="17" max="18"/>
    <col width="8.5703125" customWidth="1" style="2" min="19" max="16384"/>
  </cols>
  <sheetData>
    <row r="1" customFormat="1" s="322">
      <c r="L1" s="346" t="n"/>
    </row>
    <row r="2" customFormat="1" s="322">
      <c r="L2" s="346" t="n"/>
    </row>
    <row r="3" customFormat="1" s="322">
      <c r="B3" s="324" t="inlineStr">
        <is>
          <t>Borrower:</t>
        </is>
      </c>
      <c r="F3" s="973" t="inlineStr">
        <is>
          <t>Star Mountain Lower Middle-Market Capital Corp.</t>
        </is>
      </c>
      <c r="G3" s="974" t="n"/>
      <c r="H3" s="974" t="n"/>
      <c r="I3" s="974" t="n"/>
      <c r="J3" s="975" t="n"/>
      <c r="L3" s="346" t="n"/>
    </row>
    <row r="4" customFormat="1" s="322">
      <c r="L4" s="346" t="n"/>
    </row>
    <row r="5" customFormat="1" s="322">
      <c r="B5" s="324" t="inlineStr">
        <is>
          <t>Effective Date:</t>
        </is>
      </c>
      <c r="F5" s="727" t="n">
        <v>46022</v>
      </c>
      <c r="G5" s="325" t="n"/>
      <c r="L5" s="346" t="n"/>
    </row>
    <row r="6" customFormat="1" s="322">
      <c r="B6" s="324" t="inlineStr">
        <is>
          <t>Scheduled Revolving Period End Date:</t>
        </is>
      </c>
      <c r="F6" s="326" t="n">
        <v>46570</v>
      </c>
      <c r="L6" s="346" t="n"/>
    </row>
    <row r="7" customFormat="1" s="322">
      <c r="B7" s="324" t="inlineStr">
        <is>
          <t>Termination Date:</t>
        </is>
      </c>
      <c r="F7" s="326" t="n">
        <v>46934</v>
      </c>
      <c r="L7" s="346" t="n"/>
    </row>
    <row r="8" customFormat="1" s="322">
      <c r="B8" s="324" t="inlineStr">
        <is>
          <t>Measurement Date</t>
        </is>
      </c>
      <c r="F8" s="727" t="n">
        <v>46022</v>
      </c>
      <c r="L8" s="346" t="n"/>
    </row>
    <row r="9" customFormat="1" s="322">
      <c r="B9" s="324" t="inlineStr">
        <is>
          <t>Interest Payment Date:</t>
        </is>
      </c>
      <c r="F9" s="326" t="inlineStr">
        <is>
          <t>N/A</t>
        </is>
      </c>
      <c r="L9" s="346" t="n"/>
    </row>
    <row r="10" customFormat="1" s="322">
      <c r="B10" s="324" t="inlineStr">
        <is>
          <t>Advance Date:</t>
        </is>
      </c>
      <c r="F10" s="727" t="inlineStr">
        <is>
          <t>N/A</t>
        </is>
      </c>
      <c r="L10" s="346" t="n"/>
    </row>
    <row r="11" customFormat="1" s="322">
      <c r="L11" s="346" t="n"/>
    </row>
    <row r="12" customFormat="1" s="322">
      <c r="L12" s="346" t="n"/>
    </row>
    <row r="13" customFormat="1" s="322">
      <c r="L13" s="367" t="inlineStr">
        <is>
          <t>BORROWER INPUTS</t>
        </is>
      </c>
    </row>
    <row r="14" customFormat="1" s="322">
      <c r="L14" s="346" t="n"/>
    </row>
    <row r="15" customFormat="1" s="322">
      <c r="B15" s="368" t="inlineStr">
        <is>
          <t>PRO FORMA BORROWING BASE</t>
        </is>
      </c>
      <c r="C15" s="368" t="n"/>
      <c r="D15" s="368" t="n"/>
      <c r="E15" s="368" t="n"/>
      <c r="F15" s="368" t="n"/>
      <c r="G15" s="368" t="n"/>
      <c r="H15" s="368" t="n"/>
      <c r="I15" s="368" t="n"/>
      <c r="J15" s="368" t="n"/>
      <c r="K15" s="368" t="n"/>
      <c r="L15" s="371" t="n"/>
    </row>
    <row r="16" customFormat="1" s="322">
      <c r="B16" s="322" t="inlineStr">
        <is>
          <t>Facility Amount</t>
        </is>
      </c>
      <c r="L16" s="729" t="n">
        <v>200000000</v>
      </c>
    </row>
    <row r="17" customFormat="1" s="322">
      <c r="L17" s="327" t="n"/>
    </row>
    <row r="18" ht="15" customFormat="1" customHeight="1" s="322">
      <c r="B18" s="322" t="inlineStr">
        <is>
          <t>Cash on deposit in Principal Collection Account</t>
        </is>
      </c>
      <c r="L18" s="728" t="n">
        <v>5470977.55</v>
      </c>
    </row>
    <row r="19" customFormat="1" s="322">
      <c r="B19" s="329" t="inlineStr">
        <is>
          <t>Interest Reserve 
Amount</t>
        </is>
      </c>
      <c r="C19" s="329" t="n"/>
      <c r="D19" s="329" t="n"/>
      <c r="E19" s="329" t="n"/>
      <c r="F19" s="329" t="n"/>
      <c r="G19" s="329" t="n"/>
      <c r="H19" s="329" t="n"/>
      <c r="I19" s="329" t="n"/>
      <c r="J19" s="329" t="n"/>
      <c r="K19" s="329" t="n"/>
      <c r="L19" s="728" t="n">
        <v>0</v>
      </c>
    </row>
    <row r="20" customFormat="1" s="322">
      <c r="L20" s="346" t="n"/>
    </row>
    <row r="21" customFormat="1" s="322">
      <c r="B21" s="322" t="inlineStr">
        <is>
          <t>Availability is defined as the least of:</t>
        </is>
      </c>
      <c r="L21" s="346" t="n"/>
    </row>
    <row r="22" ht="24" customFormat="1" customHeight="1" s="322">
      <c r="C22" s="330" t="inlineStr">
        <is>
          <t>(a)</t>
        </is>
      </c>
      <c r="D22" s="884" t="inlineStr">
        <is>
          <t>the Maximum Facility Amount</t>
        </is>
      </c>
      <c r="L22" s="331">
        <f>L16</f>
        <v/>
      </c>
    </row>
    <row r="23" ht="54.75" customFormat="1" customHeight="1" s="322">
      <c r="C23" s="330" t="inlineStr">
        <is>
          <t>(b)</t>
        </is>
      </c>
      <c r="D23" s="884" t="inlineStr">
        <is>
          <t>(a) the product of (x) the Borrowing Base multiplied by (y) the Weighted Average Advance Rate, minus 
(b) the Aggregate Unfunded Exposure Equity Amount, minus 
(c) the Interest Reserve Amount, plus 
(d) the amount of Available Collections on deposit in the Principal Collection Account as of such date</t>
        </is>
      </c>
      <c r="L23" s="331">
        <f>L35*L48-L37-L19+L18</f>
        <v/>
      </c>
      <c r="M23" s="332" t="n"/>
    </row>
    <row r="24" hidden="1" outlineLevel="1" ht="53.25" customFormat="1" customHeight="1" s="322">
      <c r="A24" s="333" t="n"/>
      <c r="B24" s="333" t="n"/>
      <c r="C24" s="334" t="n"/>
      <c r="D24" s="885" t="n"/>
      <c r="L24" s="335" t="n"/>
      <c r="M24" s="976" t="n"/>
    </row>
    <row r="25" collapsed="1" ht="69.75" customFormat="1" customHeight="1" s="322">
      <c r="C25" s="337" t="inlineStr">
        <is>
          <t xml:space="preserve">(c) </t>
        </is>
      </c>
      <c r="D25" s="886" t="inlineStr">
        <is>
          <t>(a) the aggregate Adjusted Borrowing Value of all Eligible Loan Assets as of such date minus
(b) the Minimum Credit Enhancement Amount, plus 
(c) the amount of Available Collections on deposit in the Principal Collection Account as of such date, minus 
(d) the Aggregate Unfunded Exposure Equity Amount, minus 
(e) the Interest Reserve Amount</t>
        </is>
      </c>
      <c r="E25" s="977" t="n"/>
      <c r="F25" s="977" t="n"/>
      <c r="G25" s="977" t="n"/>
      <c r="H25" s="977" t="n"/>
      <c r="I25" s="977" t="n"/>
      <c r="J25" s="977" t="n"/>
      <c r="K25" s="977" t="n"/>
      <c r="L25" s="338">
        <f>L33-L41+L18-L37-L19</f>
        <v/>
      </c>
      <c r="M25" s="976" t="n"/>
    </row>
    <row r="26" ht="15" customFormat="1" customHeight="1" s="322">
      <c r="C26" s="322" t="inlineStr">
        <is>
          <t>The least of (a), (b) and (c)</t>
        </is>
      </c>
      <c r="L26" s="339">
        <f>MIN(L22,L23,L25)</f>
        <v/>
      </c>
      <c r="M26" s="775" t="n"/>
      <c r="N26" s="774" t="n"/>
      <c r="P26" s="329" t="n"/>
      <c r="Q26" s="340" t="n"/>
    </row>
    <row r="27" customFormat="1" s="322">
      <c r="L27" s="346" t="n"/>
      <c r="N27" s="329" t="n"/>
      <c r="P27" s="329" t="n"/>
      <c r="Q27" s="341" t="n"/>
    </row>
    <row r="28" customFormat="1" s="322">
      <c r="K28" s="342" t="inlineStr">
        <is>
          <t>Effective Advance Rate</t>
        </is>
      </c>
      <c r="L28" s="343">
        <f>L26/L31</f>
        <v/>
      </c>
      <c r="N28" s="329" t="n"/>
      <c r="P28" s="329" t="n"/>
      <c r="Q28" s="341" t="n"/>
    </row>
    <row r="29" customFormat="1" s="322">
      <c r="K29" s="342" t="inlineStr">
        <is>
          <t>Effective Debt to Equity</t>
        </is>
      </c>
      <c r="L29" s="978">
        <f>L28/(1-L28)</f>
        <v/>
      </c>
      <c r="N29" s="329" t="n"/>
      <c r="P29" s="329" t="n"/>
      <c r="Q29" s="345" t="n"/>
    </row>
    <row r="30" customFormat="1" s="322">
      <c r="L30" s="346" t="n"/>
      <c r="N30" s="368" t="inlineStr">
        <is>
          <t>Commitments/Outstandings ($mm)</t>
        </is>
      </c>
      <c r="O30" s="368" t="n"/>
      <c r="P30" s="368" t="n"/>
      <c r="Q30" s="369" t="n"/>
      <c r="R30" s="370" t="n"/>
    </row>
    <row r="31" customFormat="1" s="322">
      <c r="B31" s="322" t="inlineStr">
        <is>
          <t>Par value of portfolio</t>
        </is>
      </c>
      <c r="L31" s="346">
        <f>Portfolio!Y61</f>
        <v/>
      </c>
      <c r="N31" s="329" t="n"/>
      <c r="O31" s="979" t="n"/>
      <c r="P31" s="348" t="inlineStr">
        <is>
          <t>Comm. %</t>
        </is>
      </c>
      <c r="Q31" s="348" t="inlineStr">
        <is>
          <t>Commitment</t>
        </is>
      </c>
      <c r="R31" s="349" t="inlineStr">
        <is>
          <t xml:space="preserve">Outstanding </t>
        </is>
      </c>
    </row>
    <row r="32" customFormat="1" s="322">
      <c r="L32" s="346" t="n"/>
      <c r="N32" s="329" t="inlineStr">
        <is>
          <t>Webster Bank</t>
        </is>
      </c>
      <c r="O32" s="979" t="n"/>
      <c r="P32" s="350">
        <f>Q32/$Q$40</f>
        <v/>
      </c>
      <c r="Q32" s="980" t="n">
        <v>67500000</v>
      </c>
      <c r="R32" s="981">
        <f>P32*$L$54</f>
        <v/>
      </c>
    </row>
    <row r="33" customFormat="1" s="322">
      <c r="B33" s="322" t="inlineStr">
        <is>
          <t>Aggregate Adjusted Borrowing Value of Eligible Loans</t>
        </is>
      </c>
      <c r="L33" s="346">
        <f>Portfolio!V61</f>
        <v/>
      </c>
      <c r="N33" s="329" t="inlineStr">
        <is>
          <t>Dime Community Bank</t>
        </is>
      </c>
      <c r="O33" s="979" t="n"/>
      <c r="P33" s="350">
        <f>Q33/$Q$40</f>
        <v/>
      </c>
      <c r="Q33" s="980" t="n">
        <v>25000000</v>
      </c>
      <c r="R33" s="981">
        <f>P33*$L$54</f>
        <v/>
      </c>
    </row>
    <row r="34" customFormat="1" s="322">
      <c r="B34" s="353" t="inlineStr">
        <is>
          <t>Less any Excess Concentrations</t>
        </is>
      </c>
      <c r="C34" s="353" t="n"/>
      <c r="D34" s="353" t="n"/>
      <c r="E34" s="353" t="n"/>
      <c r="F34" s="353" t="n"/>
      <c r="G34" s="353" t="n"/>
      <c r="H34" s="353" t="n"/>
      <c r="I34" s="353" t="n"/>
      <c r="J34" s="353" t="n"/>
      <c r="K34" s="353" t="n"/>
      <c r="L34" s="354">
        <f>'Concentration Limits'!M44</f>
        <v/>
      </c>
      <c r="N34" s="322" t="inlineStr">
        <is>
          <t>Woodforest National Bank</t>
        </is>
      </c>
      <c r="P34" s="350">
        <f>Q34/$Q$40</f>
        <v/>
      </c>
      <c r="Q34" s="980" t="n">
        <v>20000000</v>
      </c>
      <c r="R34" s="981">
        <f>P34*$L$54</f>
        <v/>
      </c>
    </row>
    <row r="35" customFormat="1" s="322">
      <c r="B35" s="322" t="inlineStr">
        <is>
          <t>Adjusted Borrowing Value of Eligible Loans (Aggregate Adjusted Borrowing Value of Eligible Loans less Excess Concentration Amounts)</t>
        </is>
      </c>
      <c r="L35" s="346">
        <f>L33-L34</f>
        <v/>
      </c>
      <c r="N35" s="329" t="inlineStr">
        <is>
          <t>First Foundation Bank</t>
        </is>
      </c>
      <c r="O35" s="979" t="n"/>
      <c r="P35" s="350">
        <f>Q35/$Q$40</f>
        <v/>
      </c>
      <c r="Q35" s="980" t="n">
        <v>20000000</v>
      </c>
      <c r="R35" s="981">
        <f>P35*$L$54</f>
        <v/>
      </c>
    </row>
    <row r="36" customFormat="1" s="322">
      <c r="L36" s="346" t="n"/>
      <c r="N36" s="329" t="inlineStr">
        <is>
          <t>Mitsubishi HC Capital America, Inc.</t>
        </is>
      </c>
      <c r="O36" s="979" t="n"/>
      <c r="P36" s="350">
        <f>Q36/$Q$40</f>
        <v/>
      </c>
      <c r="Q36" s="980" t="n">
        <v>20000000</v>
      </c>
      <c r="R36" s="981">
        <f>P36*$L$54</f>
        <v/>
      </c>
    </row>
    <row r="37" customFormat="1" s="322">
      <c r="B37" s="329" t="inlineStr">
        <is>
          <t>Unfunded Exposure Equity Amount</t>
        </is>
      </c>
      <c r="C37" s="329" t="n"/>
      <c r="D37" s="329" t="n"/>
      <c r="E37" s="329" t="n"/>
      <c r="F37" s="329" t="n"/>
      <c r="G37" s="329" t="n"/>
      <c r="H37" s="329" t="n"/>
      <c r="I37" s="329" t="n"/>
      <c r="J37" s="329" t="n"/>
      <c r="K37" s="329" t="n"/>
      <c r="L37" s="346">
        <f t="array" ref="L37">SUMPRODUCT(Portfolio!AB9:AB59,--(Portfolio!BU9:BU59="Yes"))-SUMPRODUCT(Portfolio!AB9:AB59,--(Portfolio!BU9:BU59="Yes"),Portfolio!AL9:AL59,Portfolio!U9:U59)</f>
        <v/>
      </c>
      <c r="N37" s="329" t="inlineStr">
        <is>
          <t>Peapack-Gladstone Bank</t>
        </is>
      </c>
      <c r="O37" s="979" t="n"/>
      <c r="P37" s="350">
        <f>Q37/$Q$40</f>
        <v/>
      </c>
      <c r="Q37" s="980" t="n">
        <v>17000000</v>
      </c>
      <c r="R37" s="981">
        <f>P37*$L$54</f>
        <v/>
      </c>
    </row>
    <row r="38" customFormat="1" s="322">
      <c r="B38" s="322" t="inlineStr">
        <is>
          <t>Unfunded Exposure Amount</t>
        </is>
      </c>
      <c r="C38" s="329" t="n"/>
      <c r="D38" s="329" t="n"/>
      <c r="E38" s="329" t="n"/>
      <c r="F38" s="329" t="n"/>
      <c r="G38" s="329" t="n"/>
      <c r="H38" s="329" t="n"/>
      <c r="I38" s="329" t="n"/>
      <c r="J38" s="329" t="n"/>
      <c r="K38" s="329" t="n"/>
      <c r="L38" s="346">
        <f>SUMIF(Portfolio!$BU$9:$BU$98,"Yes",Portfolio!$A$9:$A$98)</f>
        <v/>
      </c>
      <c r="N38" s="329" t="inlineStr">
        <is>
          <t>Hanmi Bank</t>
        </is>
      </c>
      <c r="O38" s="979" t="n"/>
      <c r="P38" s="350">
        <f>Q38/$Q$40</f>
        <v/>
      </c>
      <c r="Q38" s="980" t="n">
        <v>15500000</v>
      </c>
      <c r="R38" s="981">
        <f>P38*$L$54</f>
        <v/>
      </c>
    </row>
    <row r="39" customFormat="1" s="322">
      <c r="B39" s="329" t="n"/>
      <c r="C39" s="329" t="n"/>
      <c r="D39" s="329" t="n"/>
      <c r="E39" s="329" t="n"/>
      <c r="F39" s="329" t="n"/>
      <c r="G39" s="329" t="n"/>
      <c r="H39" s="329" t="n"/>
      <c r="I39" s="329" t="n"/>
      <c r="J39" s="329" t="n"/>
      <c r="K39" s="329" t="n"/>
      <c r="L39" s="363" t="n"/>
      <c r="N39" s="353" t="inlineStr">
        <is>
          <t xml:space="preserve">Apple Bank </t>
        </is>
      </c>
      <c r="O39" s="353" t="n"/>
      <c r="P39" s="357">
        <f>Q39/$Q$40</f>
        <v/>
      </c>
      <c r="Q39" s="982" t="n">
        <v>15000000</v>
      </c>
      <c r="R39" s="981">
        <f>P39*$L$54</f>
        <v/>
      </c>
    </row>
    <row r="40" customFormat="1" s="322">
      <c r="L40" s="346" t="n"/>
      <c r="N40" s="329" t="inlineStr">
        <is>
          <t>Total</t>
        </is>
      </c>
      <c r="O40" s="329" t="n"/>
      <c r="P40" s="350">
        <f>SUM(P32:P39)</f>
        <v/>
      </c>
      <c r="Q40" s="983">
        <f>SUM(Q32:Q39)</f>
        <v/>
      </c>
      <c r="R40" s="984">
        <f>SUM(R32:R39)</f>
        <v/>
      </c>
    </row>
    <row r="41" customFormat="1" s="322">
      <c r="B41" s="361" t="inlineStr">
        <is>
          <t>Minimum Equity</t>
        </is>
      </c>
      <c r="L41" s="346">
        <f>MAX(15000000,(LARGE(Portfolio!FJ:FJ,1)+LARGE(Portfolio!FJ:FJ,2)+LARGE(Portfolio!FJ:FJ,3)))</f>
        <v/>
      </c>
    </row>
    <row r="42" customFormat="1" s="322">
      <c r="B42" s="361" t="n"/>
      <c r="L42" s="346">
        <f>IF((L31-L26)&gt;L41,"Pass")</f>
        <v/>
      </c>
      <c r="R42" s="976" t="n"/>
    </row>
    <row r="43" hidden="1" outlineLevel="1" customFormat="1" s="322">
      <c r="B43" s="361" t="n"/>
      <c r="L43" s="346" t="n"/>
      <c r="R43" s="985" t="n">
        <v>5000000</v>
      </c>
    </row>
    <row r="44" hidden="1" outlineLevel="1" customFormat="1" s="322">
      <c r="B44" s="329" t="n"/>
      <c r="C44" s="329" t="n"/>
      <c r="D44" s="329" t="n"/>
      <c r="E44" s="329" t="n"/>
      <c r="F44" s="329" t="n"/>
      <c r="G44" s="329" t="n"/>
      <c r="H44" s="329" t="n"/>
      <c r="I44" s="329" t="n"/>
      <c r="J44" s="329" t="n"/>
      <c r="K44" s="329" t="n"/>
      <c r="L44" s="363" t="n"/>
    </row>
    <row r="45" hidden="1" outlineLevel="1" customFormat="1" s="322">
      <c r="B45" s="329" t="n"/>
      <c r="C45" s="329" t="n"/>
      <c r="D45" s="329" t="n"/>
      <c r="E45" s="329" t="n"/>
      <c r="F45" s="329" t="n"/>
      <c r="G45" s="329" t="n"/>
      <c r="H45" s="329" t="n"/>
      <c r="I45" s="329" t="n"/>
      <c r="J45" s="329" t="n"/>
      <c r="K45" s="329" t="n"/>
      <c r="L45" s="363" t="n"/>
    </row>
    <row r="46" hidden="1" outlineLevel="1" customFormat="1" s="329">
      <c r="B46" s="364" t="n"/>
      <c r="N46" s="322" t="n"/>
      <c r="O46" s="322" t="n"/>
      <c r="P46" s="322" t="n"/>
      <c r="Q46" s="322" t="n"/>
      <c r="R46" s="322" t="n"/>
    </row>
    <row r="47" collapsed="1" customFormat="1" s="322">
      <c r="B47" s="361" t="n"/>
      <c r="L47" s="327" t="n"/>
    </row>
    <row r="48" customFormat="1" s="322">
      <c r="B48" s="322" t="inlineStr">
        <is>
          <t>Weighted Average Advance Rate</t>
        </is>
      </c>
      <c r="L48" s="343">
        <f>MIN('Concentration Limits'!G38,_xlfn.IFS('Concentration Limits'!G34&lt;'Concentration Limits'!F35,Cap_1,AND('Concentration Limits'!G34&gt;='Concentration Limits'!F35,'Concentration Limits'!G34&lt;'Concentration Limits'!F37),Cap_2,'Concentration Limits'!G34&gt;='Concentration Limits'!F37,Cap_3))</f>
        <v/>
      </c>
      <c r="N48" s="329" t="n"/>
      <c r="O48" s="329" t="n"/>
      <c r="P48" s="329" t="n"/>
      <c r="Q48" s="329" t="n"/>
      <c r="R48" s="329" t="n"/>
    </row>
    <row r="49" customFormat="1" s="322">
      <c r="L49" s="346" t="n"/>
    </row>
    <row r="50" customFormat="1" s="322">
      <c r="B50" s="368" t="inlineStr">
        <is>
          <t>MAXIMUM ADVANCE RATE TEST AND UTILIZATION</t>
        </is>
      </c>
      <c r="C50" s="368" t="n"/>
      <c r="D50" s="368" t="n"/>
      <c r="E50" s="368" t="n"/>
      <c r="F50" s="368" t="n"/>
      <c r="G50" s="368" t="n"/>
      <c r="H50" s="368" t="n"/>
      <c r="I50" s="368" t="n"/>
      <c r="J50" s="368" t="n"/>
      <c r="K50" s="368" t="n"/>
      <c r="L50" s="368" t="n"/>
    </row>
    <row r="51" customFormat="1" s="322">
      <c r="B51" s="322" t="inlineStr">
        <is>
          <t>Current Advances Outstanding</t>
        </is>
      </c>
      <c r="L51" s="728" t="n">
        <v>122300000</v>
      </c>
      <c r="M51" s="709" t="n"/>
      <c r="N51" s="986" t="n"/>
      <c r="P51" s="987" t="n"/>
      <c r="Q51" s="988" t="n"/>
    </row>
    <row r="52" customFormat="1" s="322">
      <c r="B52" s="322" t="inlineStr">
        <is>
          <t>Advances Repaid</t>
        </is>
      </c>
      <c r="L52" s="728" t="n"/>
      <c r="M52" s="709" t="n"/>
      <c r="N52" s="986" t="n"/>
      <c r="P52" s="987" t="n"/>
      <c r="Q52" s="988" t="n"/>
    </row>
    <row r="53" customFormat="1" s="322">
      <c r="B53" s="322" t="inlineStr">
        <is>
          <t>Advances Requested</t>
        </is>
      </c>
      <c r="L53" s="728" t="n"/>
      <c r="M53" s="709" t="n"/>
      <c r="N53" s="986" t="n"/>
    </row>
    <row r="54" customFormat="1" s="322">
      <c r="B54" s="322" t="inlineStr">
        <is>
          <t>Pro Forma Advances Outstanding</t>
        </is>
      </c>
      <c r="L54" s="346">
        <f>L51-L52+L53</f>
        <v/>
      </c>
      <c r="M54" s="332" t="n"/>
      <c r="N54" s="986" t="n"/>
      <c r="O54" s="989" t="n"/>
      <c r="P54" s="989" t="n"/>
    </row>
    <row r="55" customFormat="1" s="322">
      <c r="L55" s="346" t="n"/>
      <c r="M55" s="976" t="n"/>
    </row>
    <row r="56" customFormat="1" s="322">
      <c r="B56" s="322" t="inlineStr">
        <is>
          <t>Maximum Advance Rate Test</t>
        </is>
      </c>
      <c r="C56" s="324" t="n"/>
      <c r="L56" s="365">
        <f>L26&gt;=L54</f>
        <v/>
      </c>
    </row>
    <row r="57" customFormat="1" s="322">
      <c r="L57" s="346" t="n"/>
    </row>
    <row r="58" customFormat="1" s="322">
      <c r="B58" s="322" t="inlineStr">
        <is>
          <t>Utilization on Borrowing Base</t>
        </is>
      </c>
      <c r="L58" s="366">
        <f>L54/L26</f>
        <v/>
      </c>
    </row>
    <row r="59" customFormat="1" s="322">
      <c r="B59" s="322" t="inlineStr">
        <is>
          <t>Facility Utilization</t>
        </is>
      </c>
      <c r="L59" s="366">
        <f>L54/L16</f>
        <v/>
      </c>
    </row>
    <row r="60" customFormat="1" s="322">
      <c r="B60" s="322" t="inlineStr">
        <is>
          <t>Actual Advance Rate</t>
        </is>
      </c>
      <c r="L60" s="366">
        <f>L54/L31</f>
        <v/>
      </c>
    </row>
    <row r="61" ht="15" customFormat="1" customHeight="1" s="322">
      <c r="L61" s="346" t="n"/>
      <c r="M61" s="990" t="n"/>
    </row>
    <row r="62" customFormat="1" s="322">
      <c r="L62" s="991">
        <f>L26-L51</f>
        <v/>
      </c>
      <c r="M62" s="992" t="n"/>
    </row>
    <row r="63">
      <c r="M63" s="993" t="n"/>
    </row>
    <row r="64">
      <c r="M64" s="993" t="n"/>
    </row>
    <row r="65">
      <c r="M65" s="763" t="n"/>
    </row>
  </sheetData>
  <mergeCells count="5">
    <mergeCell ref="F3:J3"/>
    <mergeCell ref="D25:K25"/>
    <mergeCell ref="D24:K24"/>
    <mergeCell ref="D22:K22"/>
    <mergeCell ref="D23:K23"/>
  </mergeCells>
  <conditionalFormatting sqref="L55">
    <cfRule type="cellIs" priority="2" operator="lessThan" dxfId="9">
      <formula>0</formula>
    </cfRule>
  </conditionalFormatting>
  <conditionalFormatting sqref="L42:L43">
    <cfRule type="containsText" priority="1" operator="containsText" dxfId="4" text="Pass">
      <formula>NOT(ISERROR(SEARCH("Pass",L42)))</formula>
    </cfRule>
  </conditionalFormatting>
  <pageMargins left="0.7" right="0.7" top="0.75" bottom="0.75" header="0.3" footer="0.3"/>
  <pageSetup orientation="portrait" scale="58"/>
</worksheet>
</file>

<file path=xl/worksheets/sheet2.xml><?xml version="1.0" encoding="utf-8"?>
<worksheet xmlns="http://schemas.openxmlformats.org/spreadsheetml/2006/main">
  <sheetPr codeName="Sheet2">
    <outlinePr summaryBelow="1" summaryRight="1"/>
    <pageSetUpPr autoPageBreaks="0"/>
  </sheetPr>
  <dimension ref="A1:HP207"/>
  <sheetViews>
    <sheetView topLeftCell="A8" zoomScale="85" zoomScaleNormal="85" workbookViewId="0">
      <selection activeCell="V50" sqref="V50"/>
    </sheetView>
  </sheetViews>
  <sheetFormatPr baseColWidth="8" defaultRowHeight="15"/>
  <cols>
    <col width="9.28515625" bestFit="1" customWidth="1" min="1" max="1"/>
    <col width="31.28515625" bestFit="1" customWidth="1" min="2" max="2"/>
    <col width="17.28515625" bestFit="1" customWidth="1" min="3" max="3"/>
    <col width="9.5703125" bestFit="1" customWidth="1" min="4" max="4"/>
    <col width="8" customWidth="1" min="5" max="6"/>
    <col width="10.5703125" customWidth="1" min="7" max="7"/>
    <col width="11.28515625" customWidth="1" min="8" max="8"/>
    <col width="9.85546875" customWidth="1" min="9" max="9"/>
    <col width="8.28515625" customWidth="1" min="10" max="10"/>
    <col width="9.28515625" customWidth="1" min="11" max="11"/>
    <col width="8.28515625" customWidth="1" min="12" max="12"/>
    <col width="11.5703125" customWidth="1" min="13" max="14"/>
    <col width="11" customWidth="1" min="15" max="15"/>
    <col collapsed="1" width="9.85546875" customWidth="1" min="16" max="16"/>
    <col width="11.28515625" customWidth="1" min="17" max="17"/>
    <col width="35.28515625" customWidth="1" min="18" max="18"/>
    <col width="7.28515625" customWidth="1" min="19" max="19"/>
    <col width="20" customWidth="1" min="20" max="20"/>
    <col width="9.5703125" bestFit="1" customWidth="1" min="21" max="21"/>
    <col width="27" bestFit="1" customWidth="1" min="22" max="22"/>
    <col width="17.28515625" customWidth="1" min="23" max="23"/>
    <col width="10.5703125" bestFit="1" customWidth="1" min="24" max="24"/>
    <col width="13" bestFit="1" customWidth="1" min="25" max="25"/>
    <col width="14.28515625" bestFit="1" customWidth="1" min="26" max="27"/>
    <col width="11.5703125" customWidth="1" min="28" max="28"/>
    <col width="12.28515625" bestFit="1" customWidth="1" min="29" max="29"/>
    <col width="1.5703125" customWidth="1" min="30" max="30"/>
    <col width="8.5703125" customWidth="1" min="31" max="31"/>
    <col width="11.5703125" customWidth="1" min="32" max="32"/>
    <col width="16.28515625" customWidth="1" min="33" max="33"/>
    <col width="17" bestFit="1" customWidth="1" min="34" max="34"/>
    <col width="13" bestFit="1" customWidth="1" min="35" max="35"/>
    <col width="8.5703125" bestFit="1" customWidth="1" min="36" max="36"/>
    <col width="13.5703125" customWidth="1" min="37" max="37"/>
    <col width="10.28515625" customWidth="1" min="38" max="38"/>
    <col width="1.5703125" customWidth="1" min="39" max="40"/>
    <col width="13.28515625" bestFit="1" customWidth="1" min="41" max="41"/>
    <col width="12" customWidth="1" min="42" max="42"/>
    <col width="13.28515625" bestFit="1" customWidth="1" min="43" max="43"/>
    <col width="1.28515625" customWidth="1" min="44" max="46"/>
    <col width="12" bestFit="1" customWidth="1" min="47" max="49"/>
    <col width="1.5703125" customWidth="1" min="50" max="52"/>
    <col width="11" bestFit="1" customWidth="1" min="53" max="53"/>
    <col width="1.5703125" customWidth="1" min="54" max="55"/>
    <col width="10.28515625" customWidth="1" min="56" max="56"/>
    <col width="1.28515625" customWidth="1" min="57" max="60"/>
    <col width="11" customWidth="1" min="61" max="61"/>
    <col width="8.5703125" customWidth="1" min="62" max="62"/>
    <col width="13.5703125" customWidth="1" min="63" max="63"/>
    <col width="10.28515625" customWidth="1" min="64" max="64"/>
    <col width="9.5703125" customWidth="1" min="65" max="65"/>
    <col hidden="1" outlineLevel="1" width="10" customWidth="1" min="66" max="66"/>
    <col hidden="1" outlineLevel="1" width="16.28515625" customWidth="1" min="67" max="67"/>
    <col hidden="1" outlineLevel="1" width="12.5703125" customWidth="1" min="68" max="68"/>
    <col hidden="1" outlineLevel="1" width="8.28515625" customWidth="1" min="69" max="69"/>
    <col collapsed="1" width="24.28515625" customWidth="1" min="70" max="70"/>
    <col width="9.28515625" customWidth="1" min="71" max="71"/>
    <col width="10.28515625" customWidth="1" min="72" max="72"/>
    <col width="19" customWidth="1" min="73" max="73"/>
    <col width="12.5703125" customWidth="1" min="74" max="74"/>
    <col width="12" customWidth="1" min="75" max="75"/>
    <col width="13.85546875" bestFit="1" customWidth="1" min="76" max="76"/>
    <col width="9" customWidth="1" min="77" max="77"/>
    <col width="10.5703125" customWidth="1" min="78" max="78"/>
    <col width="8.5703125" customWidth="1" min="79" max="79"/>
    <col width="11.85546875" customWidth="1" min="80" max="80"/>
    <col width="14" customWidth="1" min="81" max="81"/>
    <col width="13" customWidth="1" min="82" max="82"/>
    <col hidden="1" width="6.5703125" customWidth="1" min="83" max="83"/>
    <col hidden="1" width="8" customWidth="1" min="84" max="84"/>
    <col hidden="1" width="10.5703125" customWidth="1" min="85" max="85"/>
    <col hidden="1" width="11" customWidth="1" min="86" max="86"/>
    <col hidden="1" width="2.5703125" customWidth="1" min="87" max="87"/>
    <col width="23.28515625" bestFit="1" customWidth="1" min="88" max="88"/>
    <col width="12" customWidth="1" min="89" max="89"/>
    <col width="12.5703125" customWidth="1" min="90" max="90"/>
    <col hidden="1" outlineLevel="1" width="9.28515625" customWidth="1" min="91" max="91"/>
    <col hidden="1" outlineLevel="1" width="10.28515625" customWidth="1" min="92" max="92"/>
    <col hidden="1" outlineLevel="1" width="9" customWidth="1" min="93" max="93"/>
    <col hidden="1" outlineLevel="1" width="9.28515625" customWidth="1" min="94" max="94"/>
    <col hidden="1" outlineLevel="1" width="9.5703125" customWidth="1" min="95" max="96"/>
    <col collapsed="1" width="12.5703125" customWidth="1" min="97" max="97"/>
    <col width="11.28515625" customWidth="1" min="98" max="98"/>
    <col width="12.5703125" customWidth="1" min="99" max="99"/>
    <col width="11.5703125" customWidth="1" min="100" max="100"/>
    <col width="13.28515625" customWidth="1" min="101" max="101"/>
    <col hidden="1" width="10" customWidth="1" min="102" max="102"/>
    <col width="12.5703125" customWidth="1" min="103" max="103"/>
    <col hidden="1" width="11.85546875" customWidth="1" min="104" max="104"/>
    <col hidden="1" width="11.28515625" customWidth="1" min="105" max="105"/>
    <col hidden="1" width="10.28515625" customWidth="1" min="106" max="106"/>
    <col hidden="1" width="15.28515625" customWidth="1" min="107" max="107"/>
    <col width="11.5703125" customWidth="1" min="108" max="108"/>
    <col width="13.5703125" bestFit="1" customWidth="1" min="109" max="109"/>
    <col hidden="1" width="18" customWidth="1" min="110" max="110"/>
    <col hidden="1" width="10.28515625" customWidth="1" min="111" max="111"/>
    <col hidden="1" width="6.5703125" customWidth="1" min="112" max="112"/>
    <col width="14.5703125" customWidth="1" min="113" max="115"/>
    <col width="10.28515625" customWidth="1" min="116" max="116"/>
    <col width="11.28515625" bestFit="1" customWidth="1" min="117" max="117"/>
    <col hidden="1" width="2.5703125" customWidth="1" min="118" max="118"/>
    <col width="14.28515625" customWidth="1" min="119" max="120"/>
    <col width="12.28515625" customWidth="1" min="121" max="121"/>
    <col width="8" bestFit="1" customWidth="1" min="122" max="122"/>
    <col width="7.28515625" customWidth="1" min="123" max="123"/>
    <col width="6.5703125" customWidth="1" min="124" max="124"/>
    <col width="12.5703125" customWidth="1" style="2" min="125" max="127"/>
    <col width="9.85546875" bestFit="1" customWidth="1" style="2" min="128" max="128"/>
    <col width="12.5703125" customWidth="1" style="2" min="129" max="129"/>
    <col width="17.28515625" bestFit="1" customWidth="1" min="130" max="130"/>
    <col width="15.28515625" customWidth="1" min="131" max="131"/>
    <col width="10.5703125" customWidth="1" min="132" max="132"/>
    <col width="16.5703125" customWidth="1" min="133" max="133"/>
    <col width="16" customWidth="1" min="134" max="134"/>
    <col width="13.28515625" customWidth="1" min="135" max="136"/>
    <col width="12" customWidth="1" min="137" max="137"/>
    <col width="10.5703125" customWidth="1" min="138" max="139"/>
    <col width="16.28515625" customWidth="1" min="140" max="140"/>
    <col width="15.5703125" bestFit="1" customWidth="1" min="141" max="141"/>
    <col width="15.28515625" customWidth="1" min="142" max="145"/>
    <col width="14" bestFit="1" customWidth="1" min="146" max="146"/>
    <col width="15.28515625" customWidth="1" min="147" max="147"/>
    <col width="11.5703125" bestFit="1" customWidth="1" min="148" max="148"/>
    <col width="15.28515625" customWidth="1" min="149" max="151"/>
    <col width="11.5703125" bestFit="1" customWidth="1" min="152" max="152"/>
    <col width="12" bestFit="1" customWidth="1" min="153" max="153"/>
    <col width="8.5703125" bestFit="1" customWidth="1" min="154" max="154"/>
    <col width="12" bestFit="1" customWidth="1" min="155" max="155"/>
    <col width="15.28515625" customWidth="1" min="156" max="156"/>
    <col width="11.5703125" bestFit="1" customWidth="1" min="157" max="158"/>
    <col width="8.28515625" customWidth="1" min="159" max="159"/>
    <col width="12" bestFit="1" customWidth="1" min="160" max="160"/>
    <col hidden="1" outlineLevel="1" width="12.5703125" customWidth="1" min="161" max="161"/>
    <col hidden="1" outlineLevel="1" width="11.5703125" customWidth="1" min="162" max="162"/>
    <col hidden="1" outlineLevel="1" width="11.28515625" customWidth="1" min="163" max="163"/>
    <col collapsed="1" width="16.5703125" bestFit="1" customWidth="1" min="164" max="164"/>
    <col width="12" bestFit="1" customWidth="1" min="165" max="165"/>
    <col width="13.85546875" customWidth="1" min="166" max="168"/>
    <col hidden="1" outlineLevel="1" width="10.5703125" customWidth="1" min="169" max="171"/>
    <col collapsed="1" width="10.5703125" bestFit="1" customWidth="1" min="172" max="172"/>
    <col width="12" bestFit="1" customWidth="1" min="173" max="175"/>
    <col width="9.28515625" customWidth="1" min="176" max="176"/>
    <col width="10.28515625" customWidth="1" min="177" max="177"/>
    <col width="12" bestFit="1" customWidth="1" min="178" max="180"/>
    <col width="10.5703125" bestFit="1" customWidth="1" min="181" max="181"/>
    <col width="9.28515625" customWidth="1" min="182" max="182"/>
    <col width="12" bestFit="1" customWidth="1" min="183" max="185"/>
    <col width="14" customWidth="1" min="186" max="186"/>
    <col width="9.28515625" customWidth="1" min="187" max="187"/>
    <col width="12" bestFit="1" customWidth="1" min="188" max="189"/>
    <col width="7" customWidth="1" min="190" max="190"/>
    <col width="8.5703125" bestFit="1" customWidth="1" min="191" max="191"/>
    <col width="12" bestFit="1" customWidth="1" min="192" max="193"/>
    <col width="11" customWidth="1" min="194" max="194"/>
    <col width="11.5703125" customWidth="1" min="195" max="195"/>
    <col width="8" customWidth="1" min="196" max="196"/>
    <col width="12" bestFit="1" customWidth="1" min="197" max="198"/>
    <col width="11" customWidth="1" min="199" max="199"/>
    <col width="7.5703125" customWidth="1" min="200" max="200"/>
    <col width="8" customWidth="1" min="201" max="201"/>
    <col width="12" bestFit="1" customWidth="1" min="202" max="202"/>
    <col width="12" customWidth="1" min="203" max="203"/>
    <col width="12.5703125" customWidth="1" min="204" max="204"/>
    <col width="12" bestFit="1" customWidth="1" min="205" max="205"/>
    <col width="9" bestFit="1" customWidth="1" min="206" max="206"/>
    <col width="12" bestFit="1" customWidth="1" min="207" max="207"/>
    <col width="14.5703125" customWidth="1" min="208" max="208"/>
    <col width="12.28515625" customWidth="1" min="209" max="209"/>
    <col width="12" bestFit="1" customWidth="1" min="210" max="210"/>
    <col width="9" customWidth="1" min="211" max="211"/>
    <col width="13" customWidth="1" min="212" max="212"/>
    <col width="12" bestFit="1" customWidth="1" min="213" max="213"/>
    <col width="15.5703125" bestFit="1" customWidth="1" min="214" max="214"/>
    <col width="12" bestFit="1" customWidth="1" min="215" max="215"/>
    <col width="10.28515625" customWidth="1" min="216" max="216"/>
    <col outlineLevel="1" width="1.28515625" customWidth="1" min="217" max="220"/>
    <col width="11" bestFit="1" customWidth="1" min="221" max="221"/>
    <col width="8.5703125" bestFit="1" customWidth="1" min="222" max="222"/>
    <col width="27.5703125" bestFit="1" customWidth="1" min="223" max="223"/>
  </cols>
  <sheetData>
    <row r="1" ht="10.5" customFormat="1" customHeight="1" s="322">
      <c r="C1" s="372" t="n"/>
      <c r="AE1" s="373" t="n"/>
      <c r="AF1" s="373" t="n"/>
      <c r="AG1" s="374" t="n"/>
      <c r="AH1" s="374" t="n"/>
      <c r="AI1" s="374" t="n"/>
      <c r="AJ1" s="374" t="n"/>
      <c r="AK1" s="374" t="n"/>
      <c r="AL1" s="373" t="n"/>
      <c r="AM1" s="373" t="n"/>
      <c r="AN1" s="373" t="n"/>
      <c r="AO1" s="373" t="n"/>
      <c r="AP1" s="373" t="n"/>
      <c r="AQ1" s="373" t="n"/>
      <c r="AR1" s="373" t="n"/>
      <c r="AS1" s="373" t="n"/>
      <c r="AT1" s="373" t="n"/>
      <c r="AU1" s="373" t="n"/>
      <c r="AV1" s="373" t="n"/>
      <c r="AW1" s="373" t="n"/>
      <c r="AX1" s="373" t="n"/>
      <c r="AY1" s="373" t="n"/>
      <c r="AZ1" s="374" t="n"/>
      <c r="BA1" s="374" t="n"/>
      <c r="BB1" s="374" t="n"/>
      <c r="BC1" s="374" t="n"/>
      <c r="BD1" s="374" t="n"/>
      <c r="BE1" s="374" t="n"/>
      <c r="BF1" s="374" t="n"/>
      <c r="BG1" s="374" t="n"/>
      <c r="BH1" s="374" t="n"/>
      <c r="BI1" s="374" t="n"/>
      <c r="BJ1" s="374" t="n"/>
      <c r="BK1" s="374" t="n"/>
      <c r="BL1" s="374" t="n"/>
      <c r="BM1" s="374" t="n"/>
      <c r="BN1" s="374" t="n"/>
      <c r="BO1" s="374" t="n"/>
      <c r="BP1" s="374" t="n"/>
      <c r="BQ1" s="374" t="n"/>
      <c r="BR1" s="374" t="n"/>
      <c r="BS1" s="374" t="n"/>
      <c r="BT1" s="374" t="n"/>
      <c r="BU1" s="374" t="n"/>
      <c r="BV1" s="374" t="n"/>
      <c r="BW1" s="374" t="n"/>
      <c r="BX1" s="374" t="n"/>
      <c r="BY1" s="374" t="n"/>
      <c r="BZ1" s="374" t="n"/>
      <c r="CA1" s="374" t="n"/>
      <c r="CB1" s="374" t="n"/>
      <c r="CC1" s="374" t="n"/>
      <c r="CD1" s="374" t="n"/>
      <c r="CE1" s="374" t="n"/>
      <c r="CF1" s="374" t="n"/>
      <c r="CG1" s="374" t="n"/>
      <c r="CH1" s="374" t="n"/>
      <c r="CI1" s="374" t="n"/>
      <c r="CJ1" s="374" t="n"/>
      <c r="DR1" s="373" t="n"/>
      <c r="DS1" s="373" t="n"/>
      <c r="DT1" s="373" t="n"/>
      <c r="DU1" s="375" t="n"/>
      <c r="DV1" s="375" t="n"/>
      <c r="DW1" s="375" t="n"/>
      <c r="DX1" s="375" t="n"/>
      <c r="DY1" s="375" t="n"/>
      <c r="FE1" s="373" t="n"/>
      <c r="FF1" s="373" t="n"/>
      <c r="FG1" s="373" t="n"/>
      <c r="FH1" s="366" t="n"/>
      <c r="HO1" s="374" t="n"/>
    </row>
    <row r="2" ht="9.75" customFormat="1" customHeight="1" s="322">
      <c r="AE2" s="373" t="n"/>
      <c r="AF2" s="373" t="n"/>
      <c r="AG2" s="374" t="n"/>
      <c r="AH2" s="374" t="n"/>
      <c r="AI2" s="374" t="n"/>
      <c r="AJ2" s="374" t="n"/>
      <c r="AK2" s="374" t="n"/>
      <c r="AL2" s="373" t="n"/>
      <c r="AM2" s="376" t="n"/>
      <c r="AN2" s="376" t="n"/>
      <c r="AO2" s="377" t="n"/>
      <c r="AP2" s="377" t="n"/>
      <c r="AQ2" s="377" t="n"/>
      <c r="AR2" s="377" t="n"/>
      <c r="AS2" s="376" t="n"/>
      <c r="AT2" s="376" t="n"/>
      <c r="AU2" s="377" t="n"/>
      <c r="AV2" s="377" t="n"/>
      <c r="AW2" s="377" t="n"/>
      <c r="AX2" s="377" t="n"/>
      <c r="AY2" s="377" t="n"/>
      <c r="AZ2" s="376" t="n"/>
      <c r="BA2" s="374" t="n"/>
      <c r="BB2" s="374" t="n"/>
      <c r="BC2" s="374" t="n"/>
      <c r="BD2" s="374" t="n"/>
      <c r="BE2" s="374" t="n"/>
      <c r="BF2" s="374" t="n"/>
      <c r="BG2" s="374" t="n"/>
      <c r="BH2" s="374" t="n"/>
      <c r="BI2" s="374" t="n"/>
      <c r="BJ2" s="374" t="n"/>
      <c r="BK2" s="374" t="n"/>
      <c r="BL2" s="374" t="n"/>
      <c r="BM2" s="373" t="n"/>
      <c r="BN2" s="373" t="n"/>
      <c r="BO2" s="373" t="n"/>
      <c r="BP2" s="373" t="n"/>
      <c r="BQ2" s="373" t="n"/>
      <c r="BU2" s="373" t="n"/>
      <c r="BV2" s="373" t="n"/>
      <c r="BW2" s="373" t="n"/>
      <c r="BX2" s="373" t="n"/>
      <c r="DW2" s="378" t="n"/>
      <c r="HO2" s="374" t="n"/>
    </row>
    <row r="3" customFormat="1" s="322" thickBot="1">
      <c r="AE3" s="373" t="n"/>
      <c r="AF3" s="373" t="n"/>
      <c r="AG3" s="925" t="inlineStr">
        <is>
          <t>VAE : Historical Value(s)</t>
        </is>
      </c>
      <c r="AL3" s="541" t="n"/>
      <c r="AM3" s="528" t="inlineStr">
        <is>
          <t>Leverage Metrics: First Lien</t>
        </is>
      </c>
      <c r="AN3" s="529" t="n"/>
      <c r="AO3" s="529" t="n"/>
      <c r="AP3" s="529" t="n"/>
      <c r="AQ3" s="529" t="n"/>
      <c r="AR3" s="529" t="n"/>
      <c r="AS3" s="528" t="inlineStr">
        <is>
          <t>Leverage Metrics: FILO</t>
        </is>
      </c>
      <c r="AT3" s="529" t="n"/>
      <c r="AU3" s="529" t="n"/>
      <c r="AV3" s="529" t="n"/>
      <c r="AW3" s="529" t="n"/>
      <c r="AX3" s="529" t="n"/>
      <c r="AY3" s="528" t="inlineStr">
        <is>
          <t>Leverage Metrics: Other loans</t>
        </is>
      </c>
      <c r="AZ3" s="528" t="n"/>
      <c r="BA3" s="530" t="n"/>
      <c r="BB3" s="530" t="n"/>
      <c r="BC3" s="530" t="n"/>
      <c r="BD3" s="530" t="n"/>
      <c r="BE3" s="530" t="n"/>
      <c r="BF3" s="530" t="n"/>
      <c r="BG3" s="530" t="n"/>
      <c r="BH3" s="530" t="n"/>
      <c r="BI3" s="530" t="n"/>
      <c r="BJ3" s="379" t="n"/>
      <c r="BK3" s="379" t="n"/>
      <c r="BL3" s="379" t="n"/>
      <c r="BM3" s="373" t="n"/>
      <c r="BN3" s="373" t="n"/>
      <c r="BO3" s="373" t="n"/>
      <c r="BP3" s="373" t="n"/>
      <c r="BQ3" s="373" t="n"/>
      <c r="BU3" s="373" t="n"/>
      <c r="BV3" s="373" t="n"/>
      <c r="BW3" s="373" t="n"/>
      <c r="BX3" s="373" t="n"/>
      <c r="DR3" s="373" t="n"/>
      <c r="DS3" s="373" t="n"/>
      <c r="DT3" s="373" t="n"/>
      <c r="DU3" s="373" t="n"/>
      <c r="DV3" s="373" t="n"/>
      <c r="DW3" s="380" t="n"/>
      <c r="DX3" s="373" t="n"/>
      <c r="DY3" s="373" t="n"/>
      <c r="EC3" s="375" t="n"/>
      <c r="ED3" s="375" t="n"/>
      <c r="EE3" s="375" t="n"/>
      <c r="EK3" s="994">
        <f>SUM(EK9:EK20)</f>
        <v/>
      </c>
      <c r="EL3" s="994" t="n"/>
      <c r="EM3" s="994" t="n"/>
      <c r="EN3" s="994" t="n"/>
      <c r="EO3" s="994" t="n"/>
      <c r="EP3" s="994" t="n"/>
      <c r="ES3" s="378" t="n"/>
      <c r="FE3" s="373" t="n"/>
      <c r="FF3" s="373" t="n"/>
      <c r="FG3" s="373" t="n"/>
      <c r="FH3" s="366" t="n"/>
      <c r="GT3" s="994" t="n"/>
    </row>
    <row r="4" customFormat="1" s="322" thickBot="1">
      <c r="B4" s="491" t="inlineStr">
        <is>
          <t>AGENT INPUTS</t>
        </is>
      </c>
      <c r="W4" s="382" t="n"/>
      <c r="X4" s="382" t="n"/>
      <c r="Y4" s="382" t="n"/>
      <c r="Z4" s="382" t="n"/>
      <c r="AA4" s="382" t="n"/>
      <c r="AB4" s="382" t="n"/>
      <c r="AC4" s="382" t="n"/>
      <c r="AD4" s="382" t="n"/>
      <c r="AE4" s="373" t="n"/>
      <c r="AF4" s="373" t="n"/>
      <c r="AG4" s="375" t="n"/>
      <c r="AH4" s="375" t="n"/>
      <c r="AI4" s="375" t="n"/>
      <c r="AJ4" s="375" t="n"/>
      <c r="AK4" s="375" t="n"/>
      <c r="AL4" s="373" t="n"/>
      <c r="AM4" s="375" t="n"/>
      <c r="AN4" s="375" t="n"/>
      <c r="AO4" s="375" t="n"/>
      <c r="AP4" s="375" t="n"/>
      <c r="AQ4" s="375" t="n"/>
      <c r="AR4" s="375" t="n"/>
      <c r="AS4" s="383" t="n"/>
      <c r="AT4" s="375" t="n"/>
      <c r="AU4" s="375" t="n"/>
      <c r="AV4" s="375" t="n"/>
      <c r="AW4" s="375" t="n"/>
      <c r="AX4" s="375" t="n"/>
      <c r="AY4" s="375" t="n"/>
      <c r="AZ4" s="375" t="n"/>
      <c r="BA4" s="375" t="n"/>
      <c r="BB4" s="375" t="n"/>
      <c r="BC4" s="375" t="n"/>
      <c r="BD4" s="375" t="n"/>
      <c r="BE4" s="375" t="n"/>
      <c r="BF4" s="375" t="n"/>
      <c r="BG4" s="375" t="n"/>
      <c r="BH4" s="375" t="n"/>
      <c r="BI4" s="374" t="n"/>
      <c r="BJ4" s="374" t="n"/>
      <c r="BK4" s="374" t="n"/>
      <c r="BL4" s="374" t="n"/>
      <c r="BM4" s="373" t="n"/>
      <c r="BN4" s="373" t="n"/>
      <c r="BO4" s="373" t="n"/>
      <c r="BP4" s="373" t="n"/>
      <c r="BQ4" s="373" t="n"/>
      <c r="BU4" s="373" t="n"/>
      <c r="BV4" s="373" t="n"/>
      <c r="BW4" s="373" t="n"/>
      <c r="BX4" s="373" t="n"/>
      <c r="CM4" s="375" t="n"/>
      <c r="CN4" s="375" t="n"/>
      <c r="CO4" s="375" t="n"/>
      <c r="CP4" s="375" t="n"/>
      <c r="CQ4" s="375" t="n"/>
      <c r="CR4" s="375" t="n"/>
      <c r="CV4" s="375" t="n"/>
      <c r="CW4" s="375" t="n"/>
      <c r="CX4" s="375" t="n"/>
      <c r="DD4" s="373" t="n"/>
      <c r="DE4" s="375" t="n"/>
      <c r="DF4" s="375" t="n"/>
      <c r="DG4" s="375" t="n"/>
      <c r="DH4" s="375" t="n"/>
      <c r="DI4" s="375" t="n"/>
      <c r="DJ4" s="375" t="n"/>
      <c r="DK4" s="375" t="n"/>
      <c r="DL4" s="373" t="n"/>
      <c r="DM4" s="375" t="n"/>
      <c r="DN4" s="375" t="n"/>
      <c r="DO4" s="375" t="n"/>
      <c r="DP4" s="375" t="n"/>
      <c r="DQ4" s="375" t="n"/>
      <c r="DR4" s="373" t="n"/>
      <c r="DS4" s="373" t="n"/>
      <c r="DT4" s="373" t="n"/>
      <c r="DU4" s="995" t="inlineStr">
        <is>
          <t>Value Adjustment Events</t>
        </is>
      </c>
      <c r="DV4" s="996" t="n"/>
      <c r="DW4" s="996" t="n"/>
      <c r="DX4" s="996" t="n"/>
      <c r="DY4" s="996" t="n"/>
      <c r="DZ4" s="996" t="n"/>
      <c r="EA4" s="996" t="n"/>
      <c r="EB4" s="996" t="n"/>
      <c r="EC4" s="996" t="n"/>
      <c r="ED4" s="996" t="n"/>
      <c r="EE4" s="996" t="n"/>
      <c r="EF4" s="996" t="n"/>
      <c r="EG4" s="996" t="n"/>
      <c r="EH4" s="997" t="n"/>
      <c r="EI4" s="563" t="n"/>
      <c r="EJ4" s="563" t="n"/>
      <c r="EK4" s="563" t="n"/>
      <c r="EL4" s="384" t="n"/>
      <c r="EM4" s="384" t="n"/>
      <c r="EN4" s="384" t="n"/>
      <c r="EO4" s="384" t="n"/>
      <c r="EP4" s="384" t="n"/>
      <c r="EQ4" s="384" t="n"/>
      <c r="ER4" s="384" t="n"/>
      <c r="ES4" s="384" t="n"/>
      <c r="ET4" s="384" t="n"/>
      <c r="EV4" s="384" t="n"/>
      <c r="EW4" s="384" t="n"/>
      <c r="EX4" s="384" t="n"/>
      <c r="EY4" s="384" t="n"/>
      <c r="EZ4" s="385" t="n"/>
      <c r="FA4" s="384" t="n"/>
      <c r="FB4" s="384" t="n"/>
      <c r="FC4" s="384" t="n"/>
      <c r="FD4" s="384" t="n"/>
      <c r="FE4" s="373" t="n"/>
      <c r="FF4" s="373" t="n"/>
      <c r="FG4" s="373" t="n"/>
      <c r="FH4" s="386" t="n"/>
      <c r="FI4" s="353" t="n"/>
      <c r="FJ4" s="998" t="n"/>
      <c r="FK4" s="353" t="n"/>
      <c r="FL4" s="353" t="n"/>
      <c r="FM4" s="353" t="n"/>
      <c r="FN4" s="353" t="n"/>
      <c r="FO4" s="353" t="n"/>
      <c r="FP4" s="353" t="n"/>
      <c r="FQ4" s="353" t="n"/>
      <c r="FR4" s="353" t="n"/>
      <c r="FS4" s="353" t="n"/>
      <c r="FT4" s="353" t="n"/>
      <c r="FU4" s="353" t="n"/>
      <c r="FV4" s="353" t="n"/>
      <c r="FW4" s="353" t="n"/>
      <c r="FX4" s="353" t="n"/>
      <c r="FY4" s="353" t="n"/>
      <c r="FZ4" s="353" t="n"/>
      <c r="GA4" s="353" t="n"/>
      <c r="GB4" s="353" t="n"/>
      <c r="GC4" s="353" t="n"/>
      <c r="GD4" s="353" t="n"/>
      <c r="GE4" s="353" t="n"/>
      <c r="GF4" s="353" t="n"/>
      <c r="GG4" s="353" t="n"/>
      <c r="GH4" s="353" t="n"/>
      <c r="GI4" s="353" t="n"/>
      <c r="GJ4" s="353" t="n"/>
      <c r="GK4" s="353" t="n"/>
      <c r="GL4" s="353" t="n"/>
      <c r="GM4" s="353" t="n"/>
      <c r="GN4" s="353" t="n"/>
      <c r="GO4" s="353" t="n"/>
      <c r="GP4" s="353" t="n"/>
      <c r="GQ4" s="353" t="n"/>
      <c r="GR4" s="353" t="n"/>
      <c r="GS4" s="353" t="n"/>
      <c r="GT4" s="353" t="n"/>
      <c r="GU4" s="353" t="n"/>
      <c r="GV4" s="353" t="n"/>
      <c r="GW4" s="353" t="n"/>
      <c r="GX4" s="353" t="n"/>
      <c r="GY4" s="353" t="n"/>
      <c r="GZ4" s="353" t="n"/>
      <c r="HA4" s="353" t="n"/>
      <c r="HB4" s="353" t="n"/>
      <c r="HC4" s="353" t="n"/>
      <c r="HD4" s="353" t="n"/>
    </row>
    <row r="5" ht="45" customFormat="1" customHeight="1" s="324" thickBot="1">
      <c r="A5" s="389" t="inlineStr">
        <is>
          <t>smc</t>
        </is>
      </c>
      <c r="B5" s="492" t="inlineStr">
        <is>
          <t>BORROWER INPUTS</t>
        </is>
      </c>
      <c r="D5" s="390" t="n"/>
      <c r="E5" s="390" t="n"/>
      <c r="F5" s="390" t="n"/>
      <c r="G5" s="390" t="n"/>
      <c r="H5" s="390" t="n"/>
      <c r="I5" s="390" t="n"/>
      <c r="J5" s="390" t="n"/>
      <c r="K5" s="390" t="n"/>
      <c r="L5" s="390" t="n"/>
      <c r="M5" s="390" t="n"/>
      <c r="N5" s="390" t="n"/>
      <c r="O5" s="390" t="n"/>
      <c r="P5" s="390" t="n"/>
      <c r="Q5" s="390" t="n"/>
      <c r="R5" s="390" t="n"/>
      <c r="S5" s="390" t="n"/>
      <c r="T5" s="391" t="n"/>
      <c r="U5" s="390" t="n"/>
      <c r="V5" s="999" t="n"/>
      <c r="W5" s="375" t="n"/>
      <c r="X5" s="375" t="n"/>
      <c r="Z5" s="375" t="n"/>
      <c r="AA5" s="375" t="n"/>
      <c r="AB5" s="375" t="n"/>
      <c r="AC5" s="375" t="n"/>
      <c r="AD5" s="375" t="n"/>
      <c r="AE5" s="375" t="n"/>
      <c r="AF5" s="375" t="n"/>
      <c r="AG5" s="375" t="n"/>
      <c r="AH5" s="375" t="n"/>
      <c r="AI5" s="375" t="n"/>
      <c r="AJ5" s="375" t="n"/>
      <c r="AK5" s="375" t="n"/>
      <c r="AL5" s="375" t="n"/>
      <c r="AM5" s="375" t="n"/>
      <c r="AN5" s="375" t="n"/>
      <c r="AO5" s="375" t="n"/>
      <c r="AP5" s="375" t="n"/>
      <c r="AQ5" s="375" t="n"/>
      <c r="AR5" s="375" t="n"/>
      <c r="AS5" s="383" t="n"/>
      <c r="AT5" s="375" t="n"/>
      <c r="AU5" s="375" t="n"/>
      <c r="AV5" s="375" t="n"/>
      <c r="AW5" s="375" t="n"/>
      <c r="AX5" s="375" t="n"/>
      <c r="AY5" s="393" t="n"/>
      <c r="AZ5" s="375" t="n"/>
      <c r="BA5" s="375" t="n"/>
      <c r="BB5" s="375" t="n"/>
      <c r="BC5" s="375" t="n"/>
      <c r="BD5" s="375" t="n"/>
      <c r="BE5" s="375" t="n"/>
      <c r="BF5" s="375" t="n"/>
      <c r="BG5" s="375" t="n"/>
      <c r="BH5" s="375" t="n"/>
      <c r="BK5" s="390" t="n"/>
      <c r="BM5" s="1000" t="n"/>
      <c r="BN5" s="1001" t="inlineStr">
        <is>
          <t>Based on at time of origination or acquisition</t>
        </is>
      </c>
      <c r="BO5" s="974" t="n"/>
      <c r="BP5" s="974" t="n"/>
      <c r="BQ5" s="975" t="n"/>
      <c r="BR5" s="322" t="n"/>
      <c r="BU5" s="390" t="n"/>
      <c r="BV5" s="390" t="n"/>
      <c r="BW5" s="390" t="n"/>
      <c r="BX5" s="390" t="n"/>
      <c r="CK5" s="1002" t="inlineStr">
        <is>
          <t>Initial EBITDA (in $MM)</t>
        </is>
      </c>
      <c r="CL5" s="996" t="n"/>
      <c r="CM5" s="996" t="n"/>
      <c r="CN5" s="996" t="n"/>
      <c r="CO5" s="996" t="n"/>
      <c r="CP5" s="996" t="n"/>
      <c r="CQ5" s="996" t="n"/>
      <c r="CR5" s="996" t="n"/>
      <c r="CS5" s="996" t="n"/>
      <c r="CT5" s="997" t="n"/>
      <c r="CU5" s="893" t="inlineStr">
        <is>
          <t>Current EBITDA (in $MM)</t>
        </is>
      </c>
      <c r="CV5" s="996" t="n"/>
      <c r="CW5" s="996" t="n"/>
      <c r="CX5" s="996" t="n"/>
      <c r="CY5" s="996" t="n"/>
      <c r="CZ5" s="896" t="inlineStr">
        <is>
          <t>Initial Net Debt in $ and Multiple Based on Permitted EBITDA</t>
        </is>
      </c>
      <c r="DA5" s="996" t="n"/>
      <c r="DB5" s="996" t="n"/>
      <c r="DC5" s="996" t="n"/>
      <c r="DD5" s="996" t="n"/>
      <c r="DE5" s="996" t="n"/>
      <c r="DF5" s="1002" t="inlineStr">
        <is>
          <t>Current Net Debt in $ and Multiple Based on Permitted EBITDA</t>
        </is>
      </c>
      <c r="DG5" s="996" t="n"/>
      <c r="DH5" s="996" t="n"/>
      <c r="DI5" s="996" t="n"/>
      <c r="DJ5" s="996" t="n"/>
      <c r="DK5" s="996" t="n"/>
      <c r="DL5" s="996" t="n"/>
      <c r="DM5" s="997" t="n"/>
      <c r="DO5" s="1002" t="inlineStr">
        <is>
          <t>Interest Coverage</t>
        </is>
      </c>
      <c r="DP5" s="996" t="n"/>
      <c r="DQ5" s="997" t="n"/>
      <c r="DR5" s="375" t="n"/>
      <c r="DS5" s="375" t="n"/>
      <c r="DT5" s="375" t="n"/>
      <c r="DU5" s="1003" t="inlineStr">
        <is>
          <t>(a) Credit Quality Deterioration Events</t>
        </is>
      </c>
      <c r="DV5" s="977" t="n"/>
      <c r="DW5" s="1004" t="n"/>
      <c r="DX5" s="933" t="inlineStr">
        <is>
          <t>(b)</t>
        </is>
      </c>
      <c r="DY5" s="936" t="inlineStr">
        <is>
          <t>(c)</t>
        </is>
      </c>
      <c r="DZ5" s="933" t="inlineStr">
        <is>
          <t>(d) Material Modification</t>
        </is>
      </c>
      <c r="EA5" s="977" t="n"/>
      <c r="EB5" s="977" t="n"/>
      <c r="EC5" s="977" t="n"/>
      <c r="ED5" s="977" t="n"/>
      <c r="EE5" s="977" t="n"/>
      <c r="EF5" s="977" t="n"/>
      <c r="EG5" s="933" t="inlineStr">
        <is>
          <t xml:space="preserve">(e) </t>
        </is>
      </c>
      <c r="EH5" s="933" t="inlineStr">
        <is>
          <t>(f)</t>
        </is>
      </c>
      <c r="EI5" s="533" t="n"/>
      <c r="EJ5" s="533" t="n"/>
      <c r="EK5" s="564" t="n"/>
      <c r="EL5" s="1005" t="inlineStr">
        <is>
          <t>1) Max Second lien and FILO with senior lev in front of SMC &gt;= 1.50x</t>
        </is>
      </c>
      <c r="EM5" s="1006" t="n"/>
      <c r="EN5" s="1006" t="n"/>
      <c r="EO5" s="1006" t="n"/>
      <c r="EP5" s="1007" t="n"/>
      <c r="EQ5" s="1005" t="inlineStr">
        <is>
          <t>1)b Max Second Lien Loans</t>
        </is>
      </c>
      <c r="ER5" s="1006" t="n"/>
      <c r="ES5" s="1006" t="n"/>
      <c r="ET5" s="1007" t="n"/>
      <c r="EU5" s="487" t="inlineStr">
        <is>
          <t>2) Max Non-First Lien (Second Lien and FILO with Senior Lev in front of SMC &gt; 1.00x)</t>
        </is>
      </c>
      <c r="EV5" s="1006" t="n"/>
      <c r="EW5" s="1006" t="n"/>
      <c r="EX5" s="1006" t="n"/>
      <c r="EY5" s="1007" t="n"/>
      <c r="EZ5" s="1005" t="inlineStr">
        <is>
          <t>3) Max EBITDA &lt; $5MM</t>
        </is>
      </c>
      <c r="FA5" s="1006" t="n"/>
      <c r="FB5" s="1006" t="n"/>
      <c r="FC5" s="1006" t="n"/>
      <c r="FD5" s="1007" t="n"/>
      <c r="FE5" s="397" t="n"/>
      <c r="FF5" s="398" t="n"/>
      <c r="FG5" s="398" t="n"/>
      <c r="FH5" s="1008" t="inlineStr">
        <is>
          <t>4) Largest Obligor</t>
        </is>
      </c>
      <c r="FI5" s="1009" t="n"/>
      <c r="FJ5" s="1009" t="n"/>
      <c r="FK5" s="1009" t="n"/>
      <c r="FL5" s="1009" t="n"/>
      <c r="FM5" s="1009" t="n"/>
      <c r="FN5" s="1009" t="n"/>
      <c r="FO5" s="1009" t="n"/>
      <c r="FP5" s="1009" t="n"/>
      <c r="FQ5" s="1010" t="n"/>
      <c r="FR5" s="1005" t="inlineStr">
        <is>
          <t>5) Largest Industry</t>
        </is>
      </c>
      <c r="FS5" s="1006" t="n"/>
      <c r="FT5" s="1006" t="n"/>
      <c r="FU5" s="1006" t="n"/>
      <c r="FV5" s="1007" t="n"/>
      <c r="FW5" s="1005" t="inlineStr">
        <is>
          <t>2nd Largest Industry</t>
        </is>
      </c>
      <c r="FX5" s="1006" t="n"/>
      <c r="FY5" s="1006" t="n"/>
      <c r="FZ5" s="1006" t="n"/>
      <c r="GA5" s="1007" t="n"/>
      <c r="GB5" s="1005" t="inlineStr">
        <is>
          <t>All Other Industry Classifications</t>
        </is>
      </c>
      <c r="GC5" s="1006" t="n"/>
      <c r="GD5" s="1006" t="n"/>
      <c r="GE5" s="1006" t="n"/>
      <c r="GF5" s="1007" t="n"/>
      <c r="GG5" s="1005" t="inlineStr">
        <is>
          <t>6) Fixed Rate</t>
        </is>
      </c>
      <c r="GH5" s="1006" t="n"/>
      <c r="GI5" s="1006" t="n"/>
      <c r="GJ5" s="1007" t="n"/>
      <c r="GK5" s="1011" t="inlineStr">
        <is>
          <t>7) Max limit industry</t>
        </is>
      </c>
      <c r="GL5" s="1006" t="n"/>
      <c r="GM5" s="1006" t="n"/>
      <c r="GN5" s="1006" t="n"/>
      <c r="GO5" s="1007" t="n"/>
      <c r="GP5" s="1005" t="inlineStr">
        <is>
          <t>8) Max DDTL and Revolver</t>
        </is>
      </c>
      <c r="GQ5" s="1006" t="n"/>
      <c r="GR5" s="1006" t="n"/>
      <c r="GS5" s="1006" t="n"/>
      <c r="GT5" s="1007" t="n"/>
      <c r="GU5" s="1012" t="inlineStr">
        <is>
          <t>9)a Max Non-Sponsor/Non-Family Office</t>
        </is>
      </c>
      <c r="GV5" s="1006" t="n"/>
      <c r="GW5" s="1006" t="n"/>
      <c r="GX5" s="1006" t="n"/>
      <c r="GY5" s="1006" t="n"/>
      <c r="GZ5" s="1011" t="inlineStr">
        <is>
          <t>9)b Max Div Recap for Non-Sponsor/Non-Family Office</t>
        </is>
      </c>
      <c r="HA5" s="1006" t="n"/>
      <c r="HB5" s="1006" t="n"/>
      <c r="HC5" s="1006" t="n"/>
      <c r="HD5" s="1007" t="n"/>
      <c r="HE5" s="666" t="n"/>
      <c r="HF5" s="667" t="n"/>
      <c r="HG5" s="667" t="n"/>
      <c r="HH5" s="667" t="n"/>
      <c r="HI5" s="667" t="n"/>
      <c r="HJ5" s="667" t="n"/>
      <c r="HK5" s="667" t="n"/>
      <c r="HL5" s="667" t="n"/>
      <c r="HM5" s="668" t="n"/>
    </row>
    <row r="6" ht="12.75" customFormat="1" customHeight="1" s="324">
      <c r="C6" s="375" t="n"/>
      <c r="D6" s="375" t="n"/>
      <c r="E6" s="375" t="n"/>
      <c r="F6" s="375" t="n"/>
      <c r="G6" s="375" t="n"/>
      <c r="H6" s="375" t="n"/>
      <c r="I6" s="375" t="n"/>
      <c r="J6" s="375" t="n"/>
      <c r="K6" s="375" t="n"/>
      <c r="L6" s="375" t="n"/>
      <c r="M6" s="375" t="n"/>
      <c r="N6" s="375" t="n"/>
      <c r="O6" s="375" t="n"/>
      <c r="P6" s="375" t="n"/>
      <c r="Q6" s="375" t="n"/>
      <c r="R6" s="375" t="n"/>
      <c r="S6" s="375" t="n"/>
      <c r="T6" s="383" t="n"/>
      <c r="U6" s="375" t="n"/>
      <c r="V6" s="375" t="n"/>
      <c r="W6" s="375" t="n"/>
      <c r="X6" s="375" t="n"/>
      <c r="Y6" s="375" t="n"/>
      <c r="Z6" s="375" t="n"/>
      <c r="AA6" s="375" t="n"/>
      <c r="AB6" s="375" t="n"/>
      <c r="AC6" s="375" t="n"/>
      <c r="AD6" s="375" t="n"/>
      <c r="AE6" s="375" t="n"/>
      <c r="AF6" s="383" t="n"/>
      <c r="AG6" s="375" t="n"/>
      <c r="AH6" s="375" t="n"/>
      <c r="AI6" s="375" t="n"/>
      <c r="AJ6" s="375" t="n"/>
      <c r="AK6" s="375" t="n"/>
      <c r="AL6" s="375" t="n"/>
      <c r="AM6" s="1013" t="n"/>
      <c r="AN6" s="375" t="n"/>
      <c r="AO6" s="375" t="n"/>
      <c r="AP6" s="375" t="n"/>
      <c r="AQ6" s="400" t="n"/>
      <c r="AR6" s="400" t="n"/>
      <c r="AS6" s="1013" t="n"/>
      <c r="AT6" s="375" t="n"/>
      <c r="AU6" s="375" t="n"/>
      <c r="AV6" s="375" t="n"/>
      <c r="AW6" s="400" t="n"/>
      <c r="AX6" s="400" t="n"/>
      <c r="AY6" s="376" t="n"/>
      <c r="AZ6" s="401" t="n"/>
      <c r="BA6" s="401" t="n"/>
      <c r="BB6" s="401" t="n"/>
      <c r="BC6" s="401" t="n"/>
      <c r="BD6" s="401" t="n"/>
      <c r="BE6" s="400" t="n"/>
      <c r="BF6" s="400" t="n"/>
      <c r="BG6" s="400" t="n"/>
      <c r="BH6" s="400" t="n"/>
      <c r="BI6" s="400" t="n"/>
      <c r="BM6" s="1014" t="n"/>
      <c r="BN6" s="402" t="n"/>
      <c r="BO6" s="402" t="n"/>
      <c r="BP6" s="402" t="n"/>
      <c r="BQ6" s="402" t="n"/>
      <c r="BR6" s="375" t="n"/>
      <c r="BS6" s="375" t="n"/>
      <c r="BT6" s="375" t="n"/>
      <c r="BU6" s="375" t="n"/>
      <c r="BV6" s="375" t="n"/>
      <c r="BW6" s="375" t="n"/>
      <c r="BX6" s="375" t="n"/>
      <c r="BY6" s="375" t="n"/>
      <c r="BZ6" s="375" t="n"/>
      <c r="CA6" s="375" t="n"/>
      <c r="CB6" s="375" t="n"/>
      <c r="CC6" s="375" t="n"/>
      <c r="CD6" s="375" t="n"/>
      <c r="CE6" s="375" t="n"/>
      <c r="CF6" s="375" t="n"/>
      <c r="CG6" s="375" t="n"/>
      <c r="CH6" s="375" t="n"/>
      <c r="CI6" s="375" t="n"/>
      <c r="CJ6" s="375" t="n"/>
      <c r="CK6" s="403" t="n"/>
      <c r="CL6" s="404" t="n"/>
      <c r="CM6" s="404" t="n"/>
      <c r="CN6" s="404" t="n"/>
      <c r="CO6" s="404" t="n"/>
      <c r="CP6" s="404" t="n"/>
      <c r="CQ6" s="404" t="n"/>
      <c r="CR6" s="404" t="n"/>
      <c r="CS6" s="405" t="n"/>
      <c r="CT6" s="406" t="n"/>
      <c r="CU6" s="407" t="n"/>
      <c r="CV6" s="404" t="n"/>
      <c r="CW6" s="404" t="n"/>
      <c r="CX6" s="404" t="n"/>
      <c r="CY6" s="408" t="n"/>
      <c r="CZ6" s="703" t="n"/>
      <c r="DA6" s="409" t="n"/>
      <c r="DB6" s="409" t="n"/>
      <c r="DC6" s="409" t="n"/>
      <c r="DD6" s="409" t="n"/>
      <c r="DE6" s="408" t="n"/>
      <c r="DF6" s="410" t="n"/>
      <c r="DG6" s="405" t="n"/>
      <c r="DH6" s="405" t="n"/>
      <c r="DI6" s="405" t="n"/>
      <c r="DJ6" s="405" t="n"/>
      <c r="DK6" s="405" t="n"/>
      <c r="DL6" s="405" t="n"/>
      <c r="DM6" s="408" t="n"/>
      <c r="DN6" s="375" t="n"/>
      <c r="DO6" s="411" t="n"/>
      <c r="DP6" s="412" t="n"/>
      <c r="DQ6" s="413" t="n"/>
      <c r="DR6" s="375" t="n"/>
      <c r="DS6" s="375" t="n"/>
      <c r="DT6" s="375" t="n"/>
      <c r="DU6" s="414" t="inlineStr">
        <is>
          <t>(i)</t>
        </is>
      </c>
      <c r="DV6" s="375" t="inlineStr">
        <is>
          <t>(ii)</t>
        </is>
      </c>
      <c r="DW6" s="415" t="inlineStr">
        <is>
          <t>(iii)</t>
        </is>
      </c>
      <c r="DX6" s="375" t="n"/>
      <c r="DY6" s="375" t="n"/>
      <c r="DZ6" s="416" t="n"/>
      <c r="EA6" s="417" t="n"/>
      <c r="EB6" s="417" t="n"/>
      <c r="EC6" s="417" t="n"/>
      <c r="ED6" s="417" t="n"/>
      <c r="EE6" s="417" t="n"/>
      <c r="EF6" s="418" t="n"/>
      <c r="EG6" s="417" t="n"/>
      <c r="EH6" s="416" t="n"/>
      <c r="EI6" s="432" t="n"/>
      <c r="EJ6" s="432" t="n"/>
      <c r="EK6" s="432" t="n"/>
      <c r="EL6" s="1015" t="n"/>
      <c r="EP6" s="1016" t="n"/>
      <c r="EQ6" s="1015" t="n"/>
      <c r="ET6" s="1016" t="n"/>
      <c r="EU6" s="1015" t="n"/>
      <c r="EY6" s="1016" t="n"/>
      <c r="EZ6" s="1015" t="n"/>
      <c r="FD6" s="1016" t="n"/>
      <c r="FE6" s="419" t="n"/>
      <c r="FF6" s="420" t="n"/>
      <c r="FG6" s="420" t="n"/>
      <c r="FQ6" s="1016" t="n"/>
      <c r="FR6" s="1015" t="n"/>
      <c r="FV6" s="1016" t="n"/>
      <c r="FW6" s="1015" t="n"/>
      <c r="GA6" s="1016" t="n"/>
      <c r="GB6" s="1015" t="n"/>
      <c r="GF6" s="1016" t="n"/>
      <c r="GG6" s="1015" t="n"/>
      <c r="GJ6" s="1016" t="n"/>
      <c r="GK6" s="1015" t="n"/>
      <c r="GO6" s="1016" t="n"/>
      <c r="GP6" s="1015" t="n"/>
      <c r="GT6" s="1016" t="n"/>
      <c r="GU6" s="1015" t="n"/>
      <c r="GZ6" s="1015" t="n"/>
      <c r="HD6" s="1016" t="n"/>
      <c r="HE6" s="1017" t="inlineStr">
        <is>
          <t>Revised Values Allocating Collateral Tiers</t>
        </is>
      </c>
      <c r="HF6" s="977" t="n"/>
      <c r="HG6" s="977" t="n"/>
      <c r="HH6" s="977" t="n"/>
      <c r="HI6" s="977" t="n"/>
      <c r="HJ6" s="977" t="n"/>
      <c r="HK6" s="977" t="n"/>
      <c r="HL6" s="977" t="n"/>
      <c r="HM6" s="1004" t="n"/>
      <c r="HN6" s="375" t="n"/>
    </row>
    <row r="7" ht="13.5" customFormat="1" customHeight="1" s="324" thickBot="1">
      <c r="C7" s="375" t="n"/>
      <c r="D7" s="375" t="n"/>
      <c r="E7" s="375" t="n"/>
      <c r="F7" s="375" t="n"/>
      <c r="G7" s="375" t="n"/>
      <c r="H7" s="375" t="n"/>
      <c r="I7" s="375" t="n"/>
      <c r="J7" s="375" t="n"/>
      <c r="K7" s="375" t="n"/>
      <c r="L7" s="375" t="n"/>
      <c r="M7" s="375" t="inlineStr">
        <is>
          <t>X</t>
        </is>
      </c>
      <c r="N7" s="375" t="n"/>
      <c r="O7" s="375" t="n"/>
      <c r="P7" s="375" t="n"/>
      <c r="Q7" s="375" t="n"/>
      <c r="R7" s="375" t="n"/>
      <c r="S7" s="375" t="n"/>
      <c r="T7" s="376" t="n"/>
      <c r="U7" s="375" t="n"/>
      <c r="V7" s="421" t="inlineStr">
        <is>
          <t>(Used for concentrations)</t>
        </is>
      </c>
      <c r="W7" s="375" t="n"/>
      <c r="X7" s="375" t="n"/>
      <c r="Y7" s="375" t="n"/>
      <c r="Z7" s="375" t="n"/>
      <c r="AA7" s="375" t="n"/>
      <c r="AB7" s="375" t="n"/>
      <c r="AC7" s="375" t="n"/>
      <c r="AD7" s="375" t="n"/>
      <c r="AE7" s="375" t="n"/>
      <c r="AF7" s="375" t="n"/>
      <c r="AG7" s="375" t="n"/>
      <c r="AH7" s="375" t="n"/>
      <c r="AI7" s="375" t="n"/>
      <c r="AJ7" s="375" t="n"/>
      <c r="AK7" s="375" t="n"/>
      <c r="AL7" s="422" t="n"/>
      <c r="AM7" s="375" t="n"/>
      <c r="AN7" s="375" t="n"/>
      <c r="AO7" s="375" t="n"/>
      <c r="AP7" s="933" t="n"/>
      <c r="AQ7" s="537" t="n"/>
      <c r="AR7" s="537" t="n"/>
      <c r="AS7" s="934" t="n"/>
      <c r="AT7" s="934" t="n"/>
      <c r="AU7" s="934" t="n"/>
      <c r="AV7" s="934" t="n"/>
      <c r="AW7" s="537" t="n"/>
      <c r="AX7" s="537" t="n"/>
      <c r="AY7" s="538" t="n"/>
      <c r="AZ7" s="434" t="n"/>
      <c r="BA7" s="434" t="n"/>
      <c r="BB7" s="434" t="n"/>
      <c r="BC7" s="434" t="n"/>
      <c r="BD7" s="434" t="n"/>
      <c r="BE7" s="537" t="n"/>
      <c r="BF7" s="537" t="n"/>
      <c r="BG7" s="539" t="n"/>
      <c r="BH7" s="539" t="n"/>
      <c r="BI7" s="537" t="n"/>
      <c r="BJ7" s="388" t="n"/>
      <c r="BK7" s="388" t="n"/>
      <c r="BL7" s="934" t="n"/>
      <c r="BM7" s="934" t="n"/>
      <c r="BN7" s="433" t="n"/>
      <c r="BO7" s="433" t="n"/>
      <c r="BP7" s="433" t="n"/>
      <c r="BQ7" s="433" t="n"/>
      <c r="BR7" s="388" t="n"/>
      <c r="BS7" s="934" t="n"/>
      <c r="BT7" s="934" t="n"/>
      <c r="BU7" s="934" t="n"/>
      <c r="BV7" s="934" t="n"/>
      <c r="BW7" s="934" t="n"/>
      <c r="BX7" s="934" t="n"/>
      <c r="BY7" s="934" t="n"/>
      <c r="BZ7" s="934" t="n"/>
      <c r="CA7" s="934" t="n"/>
      <c r="CB7" s="934" t="n"/>
      <c r="CC7" s="934" t="n"/>
      <c r="CD7" s="934" t="n"/>
      <c r="CE7" s="934" t="n"/>
      <c r="CF7" s="934" t="n"/>
      <c r="CG7" s="934" t="n"/>
      <c r="CH7" s="934" t="n"/>
      <c r="CI7" s="934" t="n"/>
      <c r="CJ7" s="540" t="n"/>
      <c r="CK7" s="423" t="n"/>
      <c r="CL7" s="424" t="n"/>
      <c r="CM7" s="424" t="n"/>
      <c r="CN7" s="424" t="n"/>
      <c r="CO7" s="424" t="n"/>
      <c r="CP7" s="424" t="n"/>
      <c r="CQ7" s="424" t="n"/>
      <c r="CR7" s="424" t="n"/>
      <c r="CS7" s="425" t="n"/>
      <c r="CT7" s="426" t="n"/>
      <c r="CU7" s="427" t="n"/>
      <c r="CV7" s="424" t="n"/>
      <c r="CW7" s="424" t="n"/>
      <c r="CX7" s="424" t="n"/>
      <c r="CY7" s="428" t="n"/>
      <c r="CZ7" s="704" t="n"/>
      <c r="DA7" s="429" t="n"/>
      <c r="DB7" s="429" t="n"/>
      <c r="DC7" s="429" t="n"/>
      <c r="DD7" s="429" t="n"/>
      <c r="DE7" s="428" t="n"/>
      <c r="DF7" s="430" t="n"/>
      <c r="DG7" s="425" t="n"/>
      <c r="DH7" s="425" t="n"/>
      <c r="DI7" s="425" t="n"/>
      <c r="DJ7" s="425" t="n"/>
      <c r="DK7" s="425" t="n"/>
      <c r="DL7" s="425" t="n"/>
      <c r="DM7" s="428" t="n"/>
      <c r="DN7" s="375" t="n"/>
      <c r="DO7" s="430" t="n"/>
      <c r="DP7" s="425" t="n"/>
      <c r="DQ7" s="428" t="n"/>
      <c r="DR7" s="375" t="n"/>
      <c r="DS7" s="375" t="n"/>
      <c r="DT7" s="375" t="n"/>
      <c r="DU7" s="414" t="n"/>
      <c r="DV7" s="375" t="n"/>
      <c r="DW7" s="415" t="n"/>
      <c r="DX7" s="375" t="n"/>
      <c r="DY7" s="375" t="n"/>
      <c r="DZ7" s="431" t="n"/>
      <c r="EA7" s="375" t="n"/>
      <c r="EB7" s="375" t="n"/>
      <c r="EC7" s="375" t="n"/>
      <c r="ED7" s="375" t="n"/>
      <c r="EE7" s="375" t="n"/>
      <c r="EF7" s="432" t="n"/>
      <c r="EG7" s="431" t="n"/>
      <c r="EH7" s="431" t="n"/>
      <c r="EI7" s="536" t="n"/>
      <c r="EJ7" s="536" t="n"/>
      <c r="EK7" s="536" t="n"/>
      <c r="EL7" s="1018" t="n"/>
      <c r="EM7" s="977" t="n"/>
      <c r="EN7" s="977" t="n"/>
      <c r="EO7" s="977" t="n"/>
      <c r="EP7" s="1004" t="n"/>
      <c r="EQ7" s="1018" t="n"/>
      <c r="ER7" s="977" t="n"/>
      <c r="ES7" s="977" t="n"/>
      <c r="ET7" s="1004" t="n"/>
      <c r="EU7" s="1018" t="n"/>
      <c r="EV7" s="977" t="n"/>
      <c r="EW7" s="977" t="n"/>
      <c r="EX7" s="977" t="n"/>
      <c r="EY7" s="1004" t="n"/>
      <c r="EZ7" s="1018" t="n"/>
      <c r="FA7" s="977" t="n"/>
      <c r="FB7" s="977" t="n"/>
      <c r="FC7" s="977" t="n"/>
      <c r="FD7" s="1004" t="n"/>
      <c r="FE7" s="933" t="n"/>
      <c r="FF7" s="934" t="n"/>
      <c r="FG7" s="934" t="n"/>
      <c r="FH7" s="977" t="n"/>
      <c r="FI7" s="977" t="n"/>
      <c r="FJ7" s="977" t="n"/>
      <c r="FK7" s="977" t="n"/>
      <c r="FL7" s="977" t="n"/>
      <c r="FM7" s="977" t="n"/>
      <c r="FN7" s="977" t="n"/>
      <c r="FO7" s="977" t="n"/>
      <c r="FP7" s="977" t="n"/>
      <c r="FQ7" s="1004" t="n"/>
      <c r="FR7" s="1018" t="n"/>
      <c r="FS7" s="977" t="n"/>
      <c r="FT7" s="977" t="n"/>
      <c r="FU7" s="977" t="n"/>
      <c r="FV7" s="1004" t="n"/>
      <c r="FW7" s="1018" t="n"/>
      <c r="FX7" s="977" t="n"/>
      <c r="FY7" s="977" t="n"/>
      <c r="FZ7" s="977" t="n"/>
      <c r="GA7" s="1004" t="n"/>
      <c r="GB7" s="1018" t="n"/>
      <c r="GC7" s="977" t="n"/>
      <c r="GD7" s="977" t="n"/>
      <c r="GE7" s="977" t="n"/>
      <c r="GF7" s="1004" t="n"/>
      <c r="GG7" s="1018" t="n"/>
      <c r="GH7" s="977" t="n"/>
      <c r="GI7" s="977" t="n"/>
      <c r="GJ7" s="1004" t="n"/>
      <c r="GK7" s="1018" t="n"/>
      <c r="GL7" s="977" t="n"/>
      <c r="GM7" s="977" t="n"/>
      <c r="GN7" s="977" t="n"/>
      <c r="GO7" s="1004" t="n"/>
      <c r="GP7" s="1018" t="n"/>
      <c r="GQ7" s="977" t="n"/>
      <c r="GR7" s="977" t="n"/>
      <c r="GS7" s="977" t="n"/>
      <c r="GT7" s="1004" t="n"/>
      <c r="GU7" s="1018" t="n"/>
      <c r="GV7" s="977" t="n"/>
      <c r="GW7" s="977" t="n"/>
      <c r="GX7" s="977" t="n"/>
      <c r="GY7" s="977" t="n"/>
      <c r="GZ7" s="1018" t="n"/>
      <c r="HA7" s="977" t="n"/>
      <c r="HB7" s="977" t="n"/>
      <c r="HC7" s="977" t="n"/>
      <c r="HD7" s="1004" t="n"/>
      <c r="HE7" s="1019" t="inlineStr">
        <is>
          <t>First Lien Loan</t>
        </is>
      </c>
      <c r="HF7" s="975" t="n"/>
      <c r="HG7" s="1019" t="inlineStr">
        <is>
          <t>Other Type of Loans</t>
        </is>
      </c>
      <c r="HH7" s="974" t="n"/>
      <c r="HI7" s="974" t="n"/>
      <c r="HJ7" s="974" t="n"/>
      <c r="HK7" s="974" t="n"/>
      <c r="HL7" s="974" t="n"/>
      <c r="HM7" s="975" t="n"/>
      <c r="HN7" s="375" t="n"/>
    </row>
    <row r="8" ht="65.25" customFormat="1" customHeight="1" s="436">
      <c r="A8" s="487" t="inlineStr">
        <is>
          <t>CCM ID</t>
        </is>
      </c>
      <c r="B8" s="487" t="inlineStr">
        <is>
          <t>Obligor</t>
        </is>
      </c>
      <c r="C8" s="487" t="inlineStr">
        <is>
          <t>Security</t>
        </is>
      </c>
      <c r="D8" s="487" t="inlineStr">
        <is>
          <t>Loan Type</t>
        </is>
      </c>
      <c r="E8" s="487" t="inlineStr">
        <is>
          <t>Type</t>
        </is>
      </c>
      <c r="F8" s="487" t="inlineStr">
        <is>
          <t>Non PIK, DIP</t>
        </is>
      </c>
      <c r="G8" s="487" t="inlineStr">
        <is>
          <t>Second Lien EBITDA Criteria</t>
        </is>
      </c>
      <c r="H8" s="487" t="inlineStr">
        <is>
          <t>Total Leverage Criteria</t>
        </is>
      </c>
      <c r="I8" s="487" t="inlineStr">
        <is>
          <t>Acquired Price</t>
        </is>
      </c>
      <c r="J8" s="487" t="inlineStr">
        <is>
          <t>USD</t>
        </is>
      </c>
      <c r="K8" s="487" t="inlineStr">
        <is>
          <t>Domicile</t>
        </is>
      </c>
      <c r="L8" s="487" t="inlineStr">
        <is>
          <t>Cov-lite</t>
        </is>
      </c>
      <c r="M8" s="487" t="inlineStr">
        <is>
          <t>Original Maturity</t>
        </is>
      </c>
      <c r="N8" s="487" t="inlineStr">
        <is>
          <t>Loan is Not in Payment Default</t>
        </is>
      </c>
      <c r="O8" s="487" t="inlineStr">
        <is>
          <t>Agent Approval</t>
        </is>
      </c>
      <c r="P8" s="487" t="inlineStr">
        <is>
          <t>Eligible Loan</t>
        </is>
      </c>
      <c r="Q8" s="487" t="inlineStr">
        <is>
          <t>Specified Loan</t>
        </is>
      </c>
      <c r="R8" s="487" t="inlineStr">
        <is>
          <t>Eligible Obligor</t>
        </is>
      </c>
      <c r="S8" s="487" t="n"/>
      <c r="T8" s="487" t="inlineStr">
        <is>
          <t>Advance Rate Definition</t>
        </is>
      </c>
      <c r="U8" s="487" t="inlineStr">
        <is>
          <t>Advance Rate</t>
        </is>
      </c>
      <c r="V8" s="487" t="inlineStr">
        <is>
          <t>Aggregate Adjusted Borrowing Value</t>
        </is>
      </c>
      <c r="W8" s="487" t="inlineStr">
        <is>
          <t>Borrower Outstanding Principal Balance</t>
        </is>
      </c>
      <c r="X8" s="487" t="inlineStr">
        <is>
          <t>Exchange Rate</t>
        </is>
      </c>
      <c r="Y8" s="487" t="inlineStr">
        <is>
          <t>Dollar Equiv Outstanding Principal Balance</t>
        </is>
      </c>
      <c r="Z8" s="487" t="inlineStr">
        <is>
          <t xml:space="preserve"> Borrower Facility Commitment</t>
        </is>
      </c>
      <c r="AA8" s="487" t="inlineStr">
        <is>
          <t>Dollar Equiv Borrower Facility Commitment</t>
        </is>
      </c>
      <c r="AB8" s="487" t="inlineStr">
        <is>
          <t>Dollar Equiv Borrower Unfunded Amount</t>
        </is>
      </c>
      <c r="AC8" s="487" t="inlineStr">
        <is>
          <t>Acquisition Price</t>
        </is>
      </c>
      <c r="AD8" s="487" t="n"/>
      <c r="AE8" s="487" t="inlineStr">
        <is>
          <t>FMV</t>
        </is>
      </c>
      <c r="AF8" s="487" t="inlineStr">
        <is>
          <t>Applicable Collateral Value</t>
        </is>
      </c>
      <c r="AG8" s="487" t="inlineStr">
        <is>
          <t>Value Adjustment Event (Recorded on VAE Tab)</t>
        </is>
      </c>
      <c r="AH8" s="487" t="inlineStr">
        <is>
          <t>Event Type</t>
        </is>
      </c>
      <c r="AI8" s="487" t="inlineStr">
        <is>
          <t>Material Modification</t>
        </is>
      </c>
      <c r="AJ8" s="487" t="inlineStr">
        <is>
          <t>VAE Date</t>
        </is>
      </c>
      <c r="AK8" s="487" t="inlineStr">
        <is>
          <t>VAE Agent Assigned Value</t>
        </is>
      </c>
      <c r="AL8" s="487" t="inlineStr">
        <is>
          <t>Assigned Value</t>
        </is>
      </c>
      <c r="AM8" s="487" t="n"/>
      <c r="AN8" s="487" t="n"/>
      <c r="AO8" s="531" t="inlineStr">
        <is>
          <t>First Lien Amount</t>
        </is>
      </c>
      <c r="AP8" s="531" t="inlineStr">
        <is>
          <t>Non Eligible First Lien</t>
        </is>
      </c>
      <c r="AQ8" s="531" t="inlineStr">
        <is>
          <t>First Lien Value</t>
        </is>
      </c>
      <c r="AR8" s="531" t="n"/>
      <c r="AS8" s="531" t="n"/>
      <c r="AT8" s="531" t="n"/>
      <c r="AU8" s="531" t="inlineStr">
        <is>
          <t>FILO Amount</t>
        </is>
      </c>
      <c r="AV8" s="531" t="inlineStr">
        <is>
          <t>Non Eligible FILO</t>
        </is>
      </c>
      <c r="AW8" s="531" t="inlineStr">
        <is>
          <t>FILO Value</t>
        </is>
      </c>
      <c r="AX8" s="531" t="n"/>
      <c r="AY8" s="531" t="n"/>
      <c r="AZ8" s="531" t="n"/>
      <c r="BA8" s="531" t="inlineStr">
        <is>
          <t>Second Lien Amount</t>
        </is>
      </c>
      <c r="BB8" s="531" t="n"/>
      <c r="BC8" s="531" t="n"/>
      <c r="BD8" s="531" t="inlineStr">
        <is>
          <t>Non Eligible Second Lien</t>
        </is>
      </c>
      <c r="BE8" s="531" t="n"/>
      <c r="BF8" s="531" t="n"/>
      <c r="BG8" s="531" t="n"/>
      <c r="BH8" s="531" t="n"/>
      <c r="BI8" s="531" t="inlineStr">
        <is>
          <t>Second Lien Value</t>
        </is>
      </c>
      <c r="BJ8" s="531" t="inlineStr">
        <is>
          <t>Check</t>
        </is>
      </c>
      <c r="BK8" s="487" t="inlineStr">
        <is>
          <t>Origination Date</t>
        </is>
      </c>
      <c r="BL8" s="487" t="inlineStr">
        <is>
          <t>Inclusion Date</t>
        </is>
      </c>
      <c r="BM8" s="487" t="inlineStr">
        <is>
          <t>Maturity Date</t>
        </is>
      </c>
      <c r="BN8" s="487" t="inlineStr">
        <is>
          <t>PermittedEBITDA ≥$5MM</t>
        </is>
      </c>
      <c r="BO8" s="487" t="inlineStr">
        <is>
          <t>PermittedSecond Lien EBITDA ≥$10MM</t>
        </is>
      </c>
      <c r="BP8" s="487" t="inlineStr">
        <is>
          <t>Debt-to-Cash Capitalization</t>
        </is>
      </c>
      <c r="BQ8" s="487" t="inlineStr">
        <is>
          <t>Eligible Cov-Lite</t>
        </is>
      </c>
      <c r="BR8" s="487" t="inlineStr">
        <is>
          <t>S&amp;P Industry</t>
        </is>
      </c>
      <c r="BS8" s="487" t="inlineStr">
        <is>
          <t xml:space="preserve"> Cov-Lite?</t>
        </is>
      </c>
      <c r="BT8" s="487" t="inlineStr">
        <is>
          <t xml:space="preserve"> Spread</t>
        </is>
      </c>
      <c r="BU8" s="487" t="inlineStr">
        <is>
          <t>Delayed Draw Term Loans/Revolver?</t>
        </is>
      </c>
      <c r="BV8" s="487" t="inlineStr">
        <is>
          <t>Limited Industries</t>
        </is>
      </c>
      <c r="BW8" s="487" t="inlineStr">
        <is>
          <t>Non-Sponsor/ Non-Family Office</t>
        </is>
      </c>
      <c r="BX8" s="487" t="inlineStr">
        <is>
          <t xml:space="preserve">Divdend Recap for Non-Family office/Non-Sponsor </t>
        </is>
      </c>
      <c r="BY8" s="487" t="inlineStr">
        <is>
          <t>Fixed Rate?</t>
        </is>
      </c>
      <c r="BZ8" s="487" t="inlineStr">
        <is>
          <t>PIK or Partial PIK</t>
        </is>
      </c>
      <c r="CA8" s="487" t="inlineStr">
        <is>
          <t>DIP Loans</t>
        </is>
      </c>
      <c r="CB8" s="487" t="inlineStr">
        <is>
          <t>CAD Currency</t>
        </is>
      </c>
      <c r="CC8" s="487" t="inlineStr">
        <is>
          <t>Interest Paid (Mthly, Qtrly)</t>
        </is>
      </c>
      <c r="CD8" s="487" t="inlineStr">
        <is>
          <t>Paid Less than Qtrly</t>
        </is>
      </c>
      <c r="CE8" s="487" t="inlineStr">
        <is>
          <t>S&amp;P Rating</t>
        </is>
      </c>
      <c r="CF8" s="487" t="inlineStr">
        <is>
          <t>Moody's Rating</t>
        </is>
      </c>
      <c r="CG8" s="487" t="inlineStr">
        <is>
          <t>Rated B- or better</t>
        </is>
      </c>
      <c r="CH8" s="487" t="inlineStr">
        <is>
          <t>Bid Side  Quote</t>
        </is>
      </c>
      <c r="CI8" s="487" t="inlineStr">
        <is>
          <t>Relevant Test Period</t>
        </is>
      </c>
      <c r="CJ8" s="487" t="inlineStr">
        <is>
          <t>Last Financial Received</t>
        </is>
      </c>
      <c r="CK8" s="487" t="inlineStr">
        <is>
          <t xml:space="preserve">TTM Adjusted </t>
        </is>
      </c>
      <c r="CL8" s="487" t="inlineStr">
        <is>
          <t>TTM Non-adjusted EBITDA</t>
        </is>
      </c>
      <c r="CM8" s="487" t="inlineStr">
        <is>
          <t xml:space="preserve"> Capped Add-backs</t>
        </is>
      </c>
      <c r="CN8" s="487" t="inlineStr">
        <is>
          <t xml:space="preserve"> Add-Backs Percentage</t>
        </is>
      </c>
      <c r="CO8" s="487" t="inlineStr">
        <is>
          <t xml:space="preserve"> Add-Back Cap</t>
        </is>
      </c>
      <c r="CP8" s="487" t="inlineStr">
        <is>
          <t xml:space="preserve"> Excess Add-backs</t>
        </is>
      </c>
      <c r="CQ8" s="487" t="inlineStr">
        <is>
          <t>Agent Add-Back Discretion</t>
        </is>
      </c>
      <c r="CR8" s="487" t="inlineStr">
        <is>
          <t>Agent Approved Add-Backs</t>
        </is>
      </c>
      <c r="CS8" s="487" t="inlineStr">
        <is>
          <t>Cut Off Permitted TTM EBITDA</t>
        </is>
      </c>
      <c r="CT8" s="702" t="inlineStr">
        <is>
          <t>Adjusted EBITDA Haircut</t>
        </is>
      </c>
      <c r="CU8" s="701" t="inlineStr">
        <is>
          <t xml:space="preserve">Current TTM EBITDA  </t>
        </is>
      </c>
      <c r="CV8" s="487" t="inlineStr">
        <is>
          <t>Inclusion Adj. EBITDA Hiarcut</t>
        </is>
      </c>
      <c r="CW8" s="487" t="inlineStr">
        <is>
          <t>Agent Post-Inclusion Adj. Haircut</t>
        </is>
      </c>
      <c r="CX8" s="487" t="inlineStr">
        <is>
          <t>Agent Adjusted Addback Haircut</t>
        </is>
      </c>
      <c r="CY8" s="706" t="inlineStr">
        <is>
          <t xml:space="preserve">Current Permitted TTM EBITDA  </t>
        </is>
      </c>
      <c r="CZ8" s="701" t="inlineStr">
        <is>
          <t xml:space="preserve">Initial Unrestricted Cash  </t>
        </is>
      </c>
      <c r="DA8" s="487" t="inlineStr">
        <is>
          <t xml:space="preserve">Initial Senior Debt  </t>
        </is>
      </c>
      <c r="DB8" s="487" t="inlineStr">
        <is>
          <t xml:space="preserve">Initial Total Debt  </t>
        </is>
      </c>
      <c r="DC8" s="487" t="inlineStr">
        <is>
          <t xml:space="preserve">Initial Net Senior Leverage in Front of SMC  </t>
        </is>
      </c>
      <c r="DD8" s="487" t="inlineStr">
        <is>
          <t xml:space="preserve">Initial Permitted Net Senior leverage  </t>
        </is>
      </c>
      <c r="DE8" s="702" t="inlineStr">
        <is>
          <t xml:space="preserve">Initial Permitted Net Total Leverage </t>
        </is>
      </c>
      <c r="DF8" s="701" t="inlineStr">
        <is>
          <t xml:space="preserve">Current Unrestricted Cash  </t>
        </is>
      </c>
      <c r="DG8" s="487" t="inlineStr">
        <is>
          <t xml:space="preserve">Current Senior Debt  </t>
        </is>
      </c>
      <c r="DH8" s="487" t="inlineStr">
        <is>
          <t xml:space="preserve">Current Total Debt  </t>
        </is>
      </c>
      <c r="DI8" s="487" t="inlineStr">
        <is>
          <t xml:space="preserve">Current Net Senior Leverage in Front of SMC  </t>
        </is>
      </c>
      <c r="DJ8" s="487" t="inlineStr">
        <is>
          <t>VAE Net Senior (Initial if no VAE recorded)</t>
        </is>
      </c>
      <c r="DK8" s="487" t="inlineStr">
        <is>
          <t>VAE Net Total (Initial if no VAE recorded)</t>
        </is>
      </c>
      <c r="DL8" s="487" t="inlineStr">
        <is>
          <t xml:space="preserve">Current Net Senior Leverage  </t>
        </is>
      </c>
      <c r="DM8" s="702" t="inlineStr">
        <is>
          <t xml:space="preserve">Current Net Total Leverage  </t>
        </is>
      </c>
      <c r="DN8" s="701" t="n"/>
      <c r="DO8" s="487" t="inlineStr">
        <is>
          <t>Initial Interest Coverage</t>
        </is>
      </c>
      <c r="DP8" s="487" t="inlineStr">
        <is>
          <t>VAE Coverage</t>
        </is>
      </c>
      <c r="DQ8" s="702" t="inlineStr">
        <is>
          <t>Current Interest Coverage</t>
        </is>
      </c>
      <c r="DR8" s="701" t="inlineStr">
        <is>
          <t xml:space="preserve"> VAE Trigger</t>
        </is>
      </c>
      <c r="DS8" s="487" t="inlineStr">
        <is>
          <t xml:space="preserve"> Mths of VAE</t>
        </is>
      </c>
      <c r="DT8" s="706" t="inlineStr">
        <is>
          <t xml:space="preserve"> 12 mth VAE</t>
        </is>
      </c>
      <c r="DU8" s="701" t="inlineStr">
        <is>
          <t>Cash Interest Coverage Ratio Test</t>
        </is>
      </c>
      <c r="DV8" s="487" t="inlineStr">
        <is>
          <t xml:space="preserve"> Net Senior Leverage Ratio Test</t>
        </is>
      </c>
      <c r="DW8" s="487" t="inlineStr">
        <is>
          <t>Net Total Leverage Ratio Test</t>
        </is>
      </c>
      <c r="DX8" s="487" t="inlineStr">
        <is>
          <t>Obligor Payment Default</t>
        </is>
      </c>
      <c r="DY8" s="487" t="inlineStr">
        <is>
          <t>Exercise of Rights and Remedies</t>
        </is>
      </c>
      <c r="DZ8" s="487" t="inlineStr">
        <is>
          <t>(a) Reduces/Waives Principal</t>
        </is>
      </c>
      <c r="EA8" s="487" t="inlineStr">
        <is>
          <t>(b) Extends Princ./ Interest Payment</t>
        </is>
      </c>
      <c r="EB8" s="487" t="inlineStr">
        <is>
          <t>(c)  Reduce/ Defer interest</t>
        </is>
      </c>
      <c r="EC8" s="487" t="inlineStr">
        <is>
          <t>(d) Subordinates Loan</t>
        </is>
      </c>
      <c r="ED8" s="487" t="inlineStr">
        <is>
          <t>(e)  Releases Collateral/Lien</t>
        </is>
      </c>
      <c r="EE8" s="487" t="inlineStr">
        <is>
          <t>(f) Amends Leverage or IC</t>
        </is>
      </c>
      <c r="EF8" s="487" t="inlineStr">
        <is>
          <t xml:space="preserve">Material Modification </t>
        </is>
      </c>
      <c r="EG8" s="487" t="inlineStr">
        <is>
          <t xml:space="preserve"> Obligor Insolvency</t>
        </is>
      </c>
      <c r="EH8" s="487" t="inlineStr">
        <is>
          <t xml:space="preserve">Reporting Failure </t>
        </is>
      </c>
      <c r="EI8" s="487" t="inlineStr">
        <is>
          <t>First Lien Advance Rate Class</t>
        </is>
      </c>
      <c r="EJ8" s="487" t="inlineStr">
        <is>
          <t>FILO Advance Rate Class</t>
        </is>
      </c>
      <c r="EK8" s="487" t="inlineStr">
        <is>
          <t>Dollar Equivalent Adjusted Collateral Value</t>
        </is>
      </c>
      <c r="EL8" s="567" t="inlineStr">
        <is>
          <t>Max</t>
        </is>
      </c>
      <c r="EM8" s="567" t="inlineStr">
        <is>
          <t>Qualifies?</t>
        </is>
      </c>
      <c r="EN8" s="567" t="inlineStr">
        <is>
          <t>Limt</t>
        </is>
      </c>
      <c r="EO8" s="567" t="inlineStr">
        <is>
          <t>Excess</t>
        </is>
      </c>
      <c r="EP8" s="567" t="inlineStr">
        <is>
          <t>Revised Value</t>
        </is>
      </c>
      <c r="EQ8" s="937" t="inlineStr">
        <is>
          <t xml:space="preserve"> Max</t>
        </is>
      </c>
      <c r="ER8" s="937" t="inlineStr">
        <is>
          <t>Limt</t>
        </is>
      </c>
      <c r="ES8" s="937" t="inlineStr">
        <is>
          <t>Excess</t>
        </is>
      </c>
      <c r="ET8" s="937" t="inlineStr">
        <is>
          <t>Revised Value</t>
        </is>
      </c>
      <c r="EU8" s="487" t="inlineStr">
        <is>
          <t>Max</t>
        </is>
      </c>
      <c r="EV8" s="487" t="inlineStr">
        <is>
          <t>Qualifies?</t>
        </is>
      </c>
      <c r="EW8" s="487" t="inlineStr">
        <is>
          <t>loan limit</t>
        </is>
      </c>
      <c r="EX8" s="487" t="inlineStr">
        <is>
          <t>Excess</t>
        </is>
      </c>
      <c r="EY8" s="487" t="inlineStr">
        <is>
          <t>Revised Value</t>
        </is>
      </c>
      <c r="EZ8" s="937" t="inlineStr">
        <is>
          <t>Max</t>
        </is>
      </c>
      <c r="FA8" s="937" t="inlineStr">
        <is>
          <t>Qualifies?</t>
        </is>
      </c>
      <c r="FB8" s="937" t="inlineStr">
        <is>
          <t>loan limit</t>
        </is>
      </c>
      <c r="FC8" s="937" t="inlineStr">
        <is>
          <t>Excess</t>
        </is>
      </c>
      <c r="FD8" s="937" t="inlineStr">
        <is>
          <t>Revised Value</t>
        </is>
      </c>
      <c r="FE8" s="487" t="inlineStr">
        <is>
          <t>Largest Max</t>
        </is>
      </c>
      <c r="FF8" s="487" t="inlineStr">
        <is>
          <t>Second Largest Max</t>
        </is>
      </c>
      <c r="FG8" s="487" t="inlineStr">
        <is>
          <t>Third  Largest Max</t>
        </is>
      </c>
      <c r="FH8" s="487" t="inlineStr">
        <is>
          <t>Max Obligor</t>
        </is>
      </c>
      <c r="FI8" s="487" t="inlineStr">
        <is>
          <t xml:space="preserve"> Obligor</t>
        </is>
      </c>
      <c r="FJ8" s="487" t="inlineStr">
        <is>
          <t>Remove Dupes</t>
        </is>
      </c>
      <c r="FK8" s="487" t="inlineStr">
        <is>
          <t xml:space="preserve"> Rank</t>
        </is>
      </c>
      <c r="FL8" s="487" t="inlineStr">
        <is>
          <t xml:space="preserve"> Rank</t>
        </is>
      </c>
      <c r="FM8" s="487" t="inlineStr">
        <is>
          <t>Largest Excess</t>
        </is>
      </c>
      <c r="FN8" s="487" t="inlineStr">
        <is>
          <t>Second Largest Excess</t>
        </is>
      </c>
      <c r="FO8" s="487" t="inlineStr">
        <is>
          <t>Third Largest Excess</t>
        </is>
      </c>
      <c r="FP8" s="487" t="inlineStr">
        <is>
          <t>Excess</t>
        </is>
      </c>
      <c r="FQ8" s="487" t="inlineStr">
        <is>
          <t>Revised Value</t>
        </is>
      </c>
      <c r="FR8" s="937" t="inlineStr">
        <is>
          <t xml:space="preserve"> Max</t>
        </is>
      </c>
      <c r="FS8" s="937" t="inlineStr">
        <is>
          <t>Loan Limit</t>
        </is>
      </c>
      <c r="FT8" s="937" t="inlineStr">
        <is>
          <t>Largest Industry</t>
        </is>
      </c>
      <c r="FU8" s="937" t="inlineStr">
        <is>
          <t xml:space="preserve"> Excess</t>
        </is>
      </c>
      <c r="FV8" s="937" t="inlineStr">
        <is>
          <t>Revised Value</t>
        </is>
      </c>
      <c r="FW8" s="937" t="inlineStr">
        <is>
          <t xml:space="preserve"> Max</t>
        </is>
      </c>
      <c r="FX8" s="937" t="inlineStr">
        <is>
          <t>Loan Limit</t>
        </is>
      </c>
      <c r="FY8" s="937" t="inlineStr">
        <is>
          <t>2nd Largest Industry</t>
        </is>
      </c>
      <c r="FZ8" s="937" t="inlineStr">
        <is>
          <t xml:space="preserve"> Excess</t>
        </is>
      </c>
      <c r="GA8" s="937" t="inlineStr">
        <is>
          <t>Revised Value</t>
        </is>
      </c>
      <c r="GB8" s="937" t="inlineStr">
        <is>
          <t xml:space="preserve"> Max</t>
        </is>
      </c>
      <c r="GC8" s="937" t="inlineStr">
        <is>
          <t>Loan Limit</t>
        </is>
      </c>
      <c r="GD8" s="937" t="inlineStr">
        <is>
          <t>All Other Industries</t>
        </is>
      </c>
      <c r="GE8" s="937" t="inlineStr">
        <is>
          <t xml:space="preserve"> Excess</t>
        </is>
      </c>
      <c r="GF8" s="937" t="inlineStr">
        <is>
          <t>Revised Value</t>
        </is>
      </c>
      <c r="GG8" s="937" t="inlineStr">
        <is>
          <t xml:space="preserve"> Max</t>
        </is>
      </c>
      <c r="GH8" s="937" t="inlineStr">
        <is>
          <t>Loan Limit</t>
        </is>
      </c>
      <c r="GI8" s="937" t="inlineStr">
        <is>
          <t xml:space="preserve"> Excess</t>
        </is>
      </c>
      <c r="GJ8" s="937" t="inlineStr">
        <is>
          <t>Revised Value</t>
        </is>
      </c>
      <c r="GK8" s="487" t="inlineStr">
        <is>
          <t xml:space="preserve"> Max</t>
        </is>
      </c>
      <c r="GL8" s="487" t="inlineStr">
        <is>
          <t xml:space="preserve"> Qualifies?</t>
        </is>
      </c>
      <c r="GM8" s="487" t="inlineStr">
        <is>
          <t>Loan Limit</t>
        </is>
      </c>
      <c r="GN8" s="487" t="inlineStr">
        <is>
          <t xml:space="preserve"> Excess</t>
        </is>
      </c>
      <c r="GO8" s="487" t="inlineStr">
        <is>
          <t>Revised Value</t>
        </is>
      </c>
      <c r="GP8" s="937" t="inlineStr">
        <is>
          <t xml:space="preserve"> Max</t>
        </is>
      </c>
      <c r="GQ8" s="937" t="inlineStr">
        <is>
          <t xml:space="preserve"> Qualifies?</t>
        </is>
      </c>
      <c r="GR8" s="937" t="inlineStr">
        <is>
          <t>Loan Limit</t>
        </is>
      </c>
      <c r="GS8" s="937" t="inlineStr">
        <is>
          <t xml:space="preserve"> Excess</t>
        </is>
      </c>
      <c r="GT8" s="937" t="inlineStr">
        <is>
          <t>Revised Value</t>
        </is>
      </c>
      <c r="GU8" s="487" t="inlineStr">
        <is>
          <t>Max</t>
        </is>
      </c>
      <c r="GV8" s="487" t="inlineStr">
        <is>
          <t xml:space="preserve"> Qualifies?</t>
        </is>
      </c>
      <c r="GW8" s="487" t="inlineStr">
        <is>
          <t>Loan Limit</t>
        </is>
      </c>
      <c r="GX8" s="487" t="inlineStr">
        <is>
          <t xml:space="preserve"> Excess</t>
        </is>
      </c>
      <c r="GY8" s="487" t="inlineStr">
        <is>
          <t>Revised Value</t>
        </is>
      </c>
      <c r="GZ8" s="487" t="inlineStr">
        <is>
          <t>Max</t>
        </is>
      </c>
      <c r="HA8" s="487" t="inlineStr">
        <is>
          <t xml:space="preserve"> Qualifies?</t>
        </is>
      </c>
      <c r="HB8" s="487" t="inlineStr">
        <is>
          <t>Loan Limit</t>
        </is>
      </c>
      <c r="HC8" s="487" t="inlineStr">
        <is>
          <t xml:space="preserve"> Excess</t>
        </is>
      </c>
      <c r="HD8" s="487" t="inlineStr">
        <is>
          <t>Revised Value</t>
        </is>
      </c>
      <c r="HE8" s="487" t="inlineStr">
        <is>
          <t>First Lien</t>
        </is>
      </c>
      <c r="HF8" s="487" t="n"/>
      <c r="HG8" s="487" t="inlineStr">
        <is>
          <t>FILO</t>
        </is>
      </c>
      <c r="HH8" s="487" t="n"/>
      <c r="HI8" s="487" t="n"/>
      <c r="HJ8" s="487" t="n"/>
      <c r="HK8" s="487" t="n"/>
      <c r="HL8" s="487" t="n"/>
      <c r="HM8" s="487" t="inlineStr">
        <is>
          <t>Second Lien</t>
        </is>
      </c>
      <c r="HN8" s="377" t="inlineStr">
        <is>
          <t>check</t>
        </is>
      </c>
      <c r="HO8" s="435" t="n"/>
    </row>
    <row r="9" ht="12.75" customFormat="1" customHeight="1" s="469">
      <c r="A9" s="55" t="n">
        <v>1</v>
      </c>
      <c r="B9" s="437">
        <f>INDEX('Loan Tape - Settled'!$B$4:$AP$55,MATCH($A9,'Loan Tape - Settled'!$E$4:$E$55,0),MATCH("Obligor Name",'Loan Tape - Settled'!$B$4:$AM$4,0))</f>
        <v/>
      </c>
      <c r="C9" s="437">
        <f>INDEX('Loan Tape - Settled'!$B$4:$AP$55,MATCH($A9,'Loan Tape - Settled'!$E$4:$E$55,0),MATCH("Security",'Loan Tape - Settled'!$B$4:$AM$4,0))</f>
        <v/>
      </c>
      <c r="D9" s="438">
        <f>INDEX('Loan Tape - Settled'!$B$4:$AP$55,MATCH($A9,'Loan Tape - Settled'!$E$4:$E$55,0),MATCH("Loan Type",'Loan Tape - Settled'!$B$4:$AM$4,0))</f>
        <v/>
      </c>
      <c r="E9" s="439">
        <f>IF(ISERROR(MATCH(D9,AGENT!$A$4:$A$10,0))=FALSE, TRUE)</f>
        <v/>
      </c>
      <c r="F9" s="439">
        <f>IF(AND(BZ9="no",CA9="no"),TRUE)</f>
        <v/>
      </c>
      <c r="G9" s="439">
        <f>IF(D9&lt;&gt;"Second Lien",TRUE, IF(CY9&gt;=AGENT!$B$4,TRUE))</f>
        <v/>
      </c>
      <c r="H9" s="439">
        <f>IF(DE9&lt;=AGENT!$D$4,TRUE)</f>
        <v/>
      </c>
      <c r="I9" s="439">
        <f>IF(VLOOKUP(CONCATENATE($A$5,A9),'Loan Tape - Settled'!$A$5:$Q$55,17,FALSE)&gt;=AGENT!$E$4,TRUE)</f>
        <v/>
      </c>
      <c r="J9" s="439">
        <f>IF(INDEX('Loan Tape - Settled'!$B$4:$AP$55,MATCH($A9,'Loan Tape - Settled'!$E$4:$E$55,0),MATCH("Loan Denomination",'Loan Tape - Settled'!$B$4:$AP$4,0))="USD", TRUE)</f>
        <v/>
      </c>
      <c r="K9" s="439">
        <f>IF(INDEX('Loan Tape - Settled'!$B$4:$AP$55,MATCH($A9,'Loan Tape - Settled'!$E$4:$E$55,0),MATCH("Exposure Country",'Loan Tape - Settled'!$B$4:$AP$4,0))="United States", TRUE)</f>
        <v/>
      </c>
      <c r="L9" s="439">
        <f>IF(BS9="NO",TRUE)</f>
        <v/>
      </c>
      <c r="M9" s="439">
        <f>IF(((BM9-BL9)/365)&lt;=AGENT!$F$4,TRUE)</f>
        <v/>
      </c>
      <c r="N9" s="439">
        <f>IF(DX9="Yes",FALSE,TRUE)</f>
        <v/>
      </c>
      <c r="O9" s="493" t="n"/>
      <c r="P9" s="764">
        <f>IF($B9="","",IF(OR(O9=TRUE,COUNTIFS($E9:$N9,TRUE)=10),"Yes","No"))</f>
        <v/>
      </c>
      <c r="Q9" s="730" t="inlineStr">
        <is>
          <t>Yes</t>
        </is>
      </c>
      <c r="R9" s="440">
        <f>IF(P9="Yes",B9,"N/A")</f>
        <v/>
      </c>
      <c r="S9" s="440" t="n"/>
      <c r="T9" s="441">
        <f t="array" ref="T9">_xlfn.IFS(D9="Second Lien",D9,D9="First Lien",CONCATENATE(D9," ",EI9),D9="FILO",CONCATENATE(D9," ",EJ9))</f>
        <v/>
      </c>
      <c r="U9" s="442">
        <f>VLOOKUP(T9,'Concentration Limits'!D:G,4,FALSE)</f>
        <v/>
      </c>
      <c r="V9" s="1020">
        <f>AQ9+AW9+BI9</f>
        <v/>
      </c>
      <c r="W9" s="1021">
        <f>(SUMIFS('Loan Tape - Settled'!$AR$4:$AR$55,'Loan Tape - Settled'!$E$4:$E$55,$A9,'Loan Tape - Settled'!$C$4:$C$55,$A$5))</f>
        <v/>
      </c>
      <c r="X9" s="1022" t="n">
        <v>1</v>
      </c>
      <c r="Y9" s="1023">
        <f>W9*X9</f>
        <v/>
      </c>
      <c r="Z9" s="1022">
        <f>(SUMIFS('Loan Tape - Settled'!$AQ$4:$AQ$55,'Loan Tape - Settled'!$E$4:$E$55,$A9,'Loan Tape - Settled'!$C$4:$C$55,$A$5))</f>
        <v/>
      </c>
      <c r="AA9" s="1023">
        <f>Z9*X9</f>
        <v/>
      </c>
      <c r="AB9" s="1023">
        <f>AA9-Y9</f>
        <v/>
      </c>
      <c r="AC9" s="490">
        <f>VLOOKUP(CONCATENATE($A$5,A9),'Loan Tape - Settled'!$A$5:$Q$55,17,FALSE)</f>
        <v/>
      </c>
      <c r="AD9" s="445" t="n"/>
      <c r="AE9" s="446">
        <f>INDEX('Loan Tape - Settled'!$B$4:$AP$55,MATCH($A9,'Loan Tape - Settled'!$E$4:$E$55,0),MATCH("FMV",'Loan Tape - Settled'!$B$4:$AM$4,0))</f>
        <v/>
      </c>
      <c r="AF9" s="446">
        <f t="array" ref="AF9">_xlfn.IFS(D9="First Lien",
_xlfn.IFS(AND(DL9&gt;0,DL9&lt;Tier_1_1L),Tier_1_ApplicableValue,
AND(DL9&gt;=Tier_1_1L,DL9&lt;Tier_2_1L),((Tier_1_1L/DL9)*Tier_1_ApplicableValue)+((DL9-Tier_1_1L)/DL9*Tier_2_ApplicableValue),
AND(DL9&gt;=Tier_2_1L, DL9&lt;Tier_3_1L),((Tier_1_1L/DL9)*Tier_1_ApplicableValue+(Tier_2_1L-Tier_1_1L)/DL9*Tier_2_ApplicableValue+(DL9-Tier_2_1L)/DL9*Tier_3_ApplicableValue),
AND(DL9&gt;=Tier_3_1L, DL9&lt;=Tier_totalzerovalue),((Tier_1_1L/DL9)*Tier_1_ApplicableValue+(Tier_2_1L-Tier_1_1L)/DL9*Tier_2_ApplicableValue+(Tier_3_1L-Tier_2_1L)/DL9*Tier_3_ApplicableValue+(DL9-Tier_partialzerovalue)/DL9*0%),
DL9&gt;Tier_totalzerovalue,0%),
OR(D9="Second Lien", D9="FILO"),
_xlfn.IFS(AND(DM9&gt;0,DM9&lt;Tier_1_2L),Tier_1_ApplicableValue,
AND(DM9&gt;=Tier_1_2L,DM9&lt;Tier_2_2L),((Tier_1_2L/DM9)*Tier_1_ApplicableValue)+((DM9-Tier_1_2L)/DM9*Tier_2_ApplicableValue),
AND(DM9&gt;=Tier_2_2L, DM9&lt;Tier_3_2L),((Tier_1_2L/DM9)*Tier_1_ApplicableValue+(Tier_2_2L-Tier_1_2L)/DM9*Tier_2_ApplicableValue+(DM9-Tier_2_2L)/DM9*Tier_3_ApplicableValue),
AND(DM9&gt;=Tier_3_2L, DM9&lt;=Tier_totalzerovalue),((Tier_1_2L/DM9)*Tier_1_ApplicableValue+(Tier_2_2L-Tier_1_2L)/DM9*Tier_2_ApplicableValue+(Tier_3_2L-Tier_2_2L)/DM9*Tier_3_ApplicableValue+(DM9-Tier_partialzerovalue)/DM9*0%),
DM9&gt;Tier_totalzerovalue,0%))</f>
        <v/>
      </c>
      <c r="AG9" s="447">
        <f>IF(COUNTIFS(VAE!$C$5:$C$96,B9,VAE!$G$5:$G$96,"&lt;="&amp;Availability!$F$8)&gt;=1,"Yes","-")</f>
        <v/>
      </c>
      <c r="AH9" s="447">
        <f t="array" ref="AH9">IFERROR(IF(AG9="Yes",INDEX(VAE!$D$5:$D$96,MATCH(B9&amp;AJ9,VAE!$C$5:$C$96&amp;VAE!$G$5:$G$96,0)),"-"),0)</f>
        <v/>
      </c>
      <c r="AI9" s="447">
        <f t="array" ref="AI9">IFERROR(IF(AG9="Yes",INDEX(VAE!$F$5:$F$96,MATCH(B9&amp;AJ9,VAE!$C$5:$C$96&amp;VAE!$G$5:$G$96,0)),"-"),0)</f>
        <v/>
      </c>
      <c r="AJ9" s="448">
        <f>IF(AG9="-","-",_xlfn.MAXIFS(VAE!$G$5:$G$96,VAE!$C$5:$C$96,$B9))</f>
        <v/>
      </c>
      <c r="AK9" s="449">
        <f t="array" ref="AK9">IFERROR(IF(AG9="Yes",INDEX(VAE!$P$5:$P$96,MATCH(B9&amp;AJ9,VAE!$C$5:$C$96&amp;VAE!$G$5:$G$96,0)),"-"),0)</f>
        <v/>
      </c>
      <c r="AL9" s="446">
        <f>IF($A9="","",IF(P9="No",0,(IF(AG9="Yes",MIN(AE9,AK9,AF9),MIN(AE9,AF9)))))</f>
        <v/>
      </c>
      <c r="AM9" s="1020" t="n"/>
      <c r="AN9" s="1020" t="n"/>
      <c r="AO9" s="1020">
        <f>IF(AND(D9="First Lien",P9="No"),0,IF(D9&lt;&gt;"First Lien",0,Y9))</f>
        <v/>
      </c>
      <c r="AP9" s="1024">
        <f>IF(AND(D9="First Lien",P9="No"),W9,0)</f>
        <v/>
      </c>
      <c r="AQ9" s="1024">
        <f>AO9*AL9</f>
        <v/>
      </c>
      <c r="AR9" s="1024" t="n"/>
      <c r="AS9" s="1024" t="n"/>
      <c r="AT9" s="1024" t="n"/>
      <c r="AU9" s="1024">
        <f>IF(AND(D9="FILO",P9="No"),0,IF(D9&lt;&gt;"FILO",0,Y9))</f>
        <v/>
      </c>
      <c r="AV9" s="1024">
        <f>IF(AND(D9="FILO",P9="No"),W9,0)</f>
        <v/>
      </c>
      <c r="AW9" s="1024">
        <f>AU9*AL9</f>
        <v/>
      </c>
      <c r="AX9" s="1024" t="n"/>
      <c r="AY9" s="1024" t="n"/>
      <c r="AZ9" s="1024" t="n"/>
      <c r="BA9" s="1024">
        <f>IF(AND(OR(D9="First Lien",D9="FILO"),P9="No"),0,IF(OR(D9="First Lien",D9="FILO"),0,(Y9)))</f>
        <v/>
      </c>
      <c r="BB9" s="1024" t="n"/>
      <c r="BC9" s="1024" t="n"/>
      <c r="BD9" s="1024">
        <f>IF(AND(D9="Second Lien",P9="No"),W9,0)</f>
        <v/>
      </c>
      <c r="BE9" s="1024" t="n"/>
      <c r="BF9" s="1024" t="n"/>
      <c r="BG9" s="1024" t="n"/>
      <c r="BH9" s="1024" t="n"/>
      <c r="BI9" s="1024">
        <f>IF(D9="Second Lien",BA9*AL9,0)</f>
        <v/>
      </c>
      <c r="BJ9" s="1024">
        <f>SUM(AM9:AP9)+SUM(AZ9:BD9)+SUM(AS9:AV9)=Y9</f>
        <v/>
      </c>
      <c r="BK9" s="1025">
        <f>INDEX('Loan Tape - Settled'!$B$4:$AP$55,MATCH($A9,'Loan Tape - Settled'!$E$4:$E$55,0),MATCH("Inception Date",'Loan Tape - Settled'!$B$4:$AP$4,0))</f>
        <v/>
      </c>
      <c r="BL9" s="1025">
        <f>INDEX('Loan Tape - Settled'!$B$4:$AP$55,MATCH($A9,'Loan Tape - Settled'!$E$4:$E$55,0),MATCH("Inclusion Date",'Loan Tape - Settled'!$B$4:$AP$4,0))</f>
        <v/>
      </c>
      <c r="BM9" s="1026">
        <f>INDEX('Loan Tape - Settled'!$B$4:$AP$55,MATCH($A9,'Loan Tape - Settled'!$E$4:$E$55,0),MATCH("Maturity Date",'Loan Tape - Settled'!$B$4:$AP$4,0))</f>
        <v/>
      </c>
      <c r="BN9" s="547" t="n"/>
      <c r="BO9" s="547" t="n"/>
      <c r="BP9" s="1027" t="n"/>
      <c r="BQ9" s="547" t="n"/>
      <c r="BR9" s="545">
        <f>INDEX('Loan Tape - Settled'!$B$4:$AP$55,MATCH($A9,'Loan Tape - Settled'!$E$4:$E$55,0),MATCH("Industry Classification",'Loan Tape - Settled'!$B$4:$AP$4,0))</f>
        <v/>
      </c>
      <c r="BS9" s="547">
        <f>IF(INDEX('Loan Tape - Settled'!$B$4:$AP$55,MATCH($A9,'Loan Tape - Settled'!$E$4:$E$55,0),MATCH("Covenant Lite",'Loan Tape - Settled'!$B$4:$AP$4,0))=-1, "Yes", "No")</f>
        <v/>
      </c>
      <c r="BT9" s="1028">
        <f>INDEX('Loan Tape - Settled'!$B$4:$AP$55,MATCH($A9,'Loan Tape - Settled'!$E$4:$E$55,0),MATCH("Spread / Coupon (%)",'Loan Tape - Settled'!$B$4:$AP$4,0))</f>
        <v/>
      </c>
      <c r="BU9" s="547">
        <f>IF(INDEX('Loan Tape - Settled'!$B$4:$AP$55,MATCH($A9,'Loan Tape - Settled'!$E$4:$E$55,0),MATCH("Security Type",'Loan Tape - Settled'!$B$4:$AP$4,0))="Delayed Draw Term Loan", "Yes", "No")</f>
        <v/>
      </c>
      <c r="BV9" s="548" t="inlineStr">
        <is>
          <t>No</t>
        </is>
      </c>
      <c r="BW9" s="548" t="inlineStr">
        <is>
          <t>No</t>
        </is>
      </c>
      <c r="BX9" s="548" t="inlineStr">
        <is>
          <t>No</t>
        </is>
      </c>
      <c r="BY9" s="547">
        <f>IF(INDEX('Loan Tape - Settled'!$B$4:$AP$55,MATCH($A9,'Loan Tape - Settled'!$E$4:$E$55,0),MATCH("Fixed/Floating",'Loan Tape - Settled'!$B$4:$AP$4,0))="Fixed", "Yes", "No")</f>
        <v/>
      </c>
      <c r="BZ9" s="548" t="inlineStr">
        <is>
          <t>No</t>
        </is>
      </c>
      <c r="CA9" s="548" t="inlineStr">
        <is>
          <t>No</t>
        </is>
      </c>
      <c r="CB9" s="547">
        <f>IF(INDEX('Loan Tape - Settled'!$B$4:$AP$55,MATCH($A9,'Loan Tape - Settled'!$E$4:$E$55,0),MATCH("Loan Denomination",'Loan Tape - Settled'!$B$4:$AP$4,0))="CAD", "Yes", "No")</f>
        <v/>
      </c>
      <c r="CC9" s="547">
        <f>INDEX('Loan Tape - Settled'!$B$4:$AP$55,MATCH($A9,'Loan Tape - Settled'!$E$4:$E$55,0),MATCH("Payment Frequency",'Loan Tape - Settled'!$B$4:$AP$4,0))</f>
        <v/>
      </c>
      <c r="CD9" s="548" t="inlineStr">
        <is>
          <t>No</t>
        </is>
      </c>
      <c r="CE9" s="547">
        <f>INDEX('Loan Tape - Settled'!$B$4:$AP$55,MATCH($A9,'Loan Tape - Settled'!$E$4:$E$55,0),MATCH("S&amp;P Loan Rating (if applicable)",'Loan Tape - Settled'!$B$4:$AP$4,0))</f>
        <v/>
      </c>
      <c r="CF9" s="547">
        <f>INDEX('Loan Tape - Settled'!$B$4:$AP$55,MATCH($A9,'Loan Tape - Settled'!$E$4:$E$55,0),MATCH("Moody's Loan Rating (if applicable)",'Loan Tape - Settled'!$B$4:$AP$4,0))</f>
        <v/>
      </c>
      <c r="CG9" s="547" t="n"/>
      <c r="CH9" s="547" t="n"/>
      <c r="CI9" s="1029" t="n"/>
      <c r="CJ9" s="1030">
        <f>INDEX('Loan Tape - Settled'!$B$4:$BF$55,MATCH($A9,'Loan Tape - Settled'!$E$4:$E$55,0),MATCH("Last Financial Received",'Loan Tape - Settled'!$B$4:$BF$4,0))</f>
        <v/>
      </c>
      <c r="CK9" s="559">
        <f>INDEX('Loan Tape - Settled'!$B$4:$BJ$55,MATCH($A9,'Loan Tape - Settled'!$E$4:$E$55,0),MATCH("Initial Adjusted TTM EBITDA",'Loan Tape - Settled'!$B$4:$BJ$4,0))</f>
        <v/>
      </c>
      <c r="CL9" s="559">
        <f>INDEX('Loan Tape - Settled'!$B$4:$BJ$55,MATCH($A9,'Loan Tape - Settled'!$E$4:$E$55,0),MATCH("Initial TTM Non-adjusted EBITDA",'Loan Tape - Settled'!$B$4:$BJ$4,0))</f>
        <v/>
      </c>
      <c r="CM9" s="1031" t="n"/>
      <c r="CN9" s="451" t="n"/>
      <c r="CO9" s="451" t="n"/>
      <c r="CP9" s="1032" t="n"/>
      <c r="CQ9" s="1033" t="inlineStr">
        <is>
          <t>N</t>
        </is>
      </c>
      <c r="CR9" s="1032" t="n"/>
      <c r="CS9" s="454">
        <f>CK9-CP9+CR9</f>
        <v/>
      </c>
      <c r="CT9" s="455">
        <f>1-CS9/CK9</f>
        <v/>
      </c>
      <c r="CU9" s="559">
        <f>INDEX('Loan Tape - Settled'!$B$4:$BJ$55,MATCH($A9,'Loan Tape - Settled'!$E$4:$E$55,0),MATCH("Current TTM Non-adjusted EBITDA",'Loan Tape - Settled'!$B$4:$BJ$4,0))</f>
        <v/>
      </c>
      <c r="CV9" s="456">
        <f>CT9</f>
        <v/>
      </c>
      <c r="CW9" s="1034" t="inlineStr">
        <is>
          <t>N</t>
        </is>
      </c>
      <c r="CX9" s="1035" t="n"/>
      <c r="CY9" s="1036">
        <f>IF(CW9="N",(1-CV9)*CU9,(1-CX9)*CU9)</f>
        <v/>
      </c>
      <c r="CZ9" s="1037" t="n"/>
      <c r="DA9" s="1038" t="n"/>
      <c r="DB9" s="1039" t="n"/>
      <c r="DC9" s="1040" t="n"/>
      <c r="DD9" s="1040">
        <f>INDEX('Loan Tape - Settled'!$B$4:$BJ$55,MATCH($A9,'Loan Tape - Settled'!$E$4:$E$55,0),MATCH("Initial Senior Net Leverage Senior",'Loan Tape - Settled'!$B$4:$BJ$4,0))</f>
        <v/>
      </c>
      <c r="DE9" s="1041">
        <f>INDEX('Loan Tape - Settled'!$B$4:$BJ$55,MATCH($A9,'Loan Tape - Settled'!$E$4:$E$55,0),MATCH("Initial Total Net Leverage",'Loan Tape - Settled'!$B$4:$BJ$4,0))</f>
        <v/>
      </c>
      <c r="DF9" s="1037" t="n"/>
      <c r="DG9" s="1038" t="n"/>
      <c r="DH9" s="1039" t="n"/>
      <c r="DI9" s="1042">
        <f>INDEX('Loan Tape - Settled'!$B$4:$BJ$55,MATCH($A9,'Loan Tape - Settled'!$E$4:$E$55,0),MATCH("Net Attachment",'Loan Tape - Settled'!$B$4:$BJ$4,0))</f>
        <v/>
      </c>
      <c r="DJ9" s="566">
        <f t="array" ref="DJ9">IF(AG9="Yes",INDEX(VAE!$M$5:$M$53,MATCH($B9&amp;$AJ9,VAE!$C$5:$C$53&amp;VAE!$G$5:$G$53,0)),DD9)</f>
        <v/>
      </c>
      <c r="DK9" s="697">
        <f t="array" ref="DK9">IF(AG9="Yes",INDEX(VAE!$N$5:$N$53,MATCH($B9&amp;$AJ9,VAE!$C$5:$C$53&amp;VAE!$G$5:$G$53,0)),DE9)</f>
        <v/>
      </c>
      <c r="DL9" s="1043">
        <f>INDEX('Loan Tape - Settled'!$B$4:$BJ$55,MATCH($A9,'Loan Tape - Settled'!$E$4:$E$55,0),MATCH("Current Senior Net Leverage Senior",'Loan Tape - Settled'!$B$4:$BJ$4,0))</f>
        <v/>
      </c>
      <c r="DM9" s="1041">
        <f>INDEX('Loan Tape - Settled'!$B$4:$BJ$55,MATCH($A9,'Loan Tape - Settled'!$E$4:$E$55,0),MATCH("Current Total Net Leverage",'Loan Tape - Settled'!$B$4:$BJ$4,0))</f>
        <v/>
      </c>
      <c r="DN9" s="1044" t="n"/>
      <c r="DO9" s="1045">
        <f>INDEX('Loan Tape - Settled'!$B$4:$BJ$55,MATCH($A9,'Loan Tape - Settled'!$E$4:$E$55,0),MATCH("Initial Interest Coverage",'Loan Tape - Settled'!$B$4:$BJ$4,0))</f>
        <v/>
      </c>
      <c r="DP9" s="565">
        <f t="array" ref="DP9">IF(AG9="Yes",INDEX(VAE!$O$5:$O$53,MATCH($B9&amp;$AJ9,VAE!$C$5:$C$53&amp;VAE!$G$5:$G$53,0)),DO9)</f>
        <v/>
      </c>
      <c r="DQ9" s="1046">
        <f>INDEX('Loan Tape - Settled'!$B$4:$BJ$55,MATCH($A9,'Loan Tape - Settled'!$E$4:$E$55,0),MATCH("Current Interest Coverage",'Loan Tape - Settled'!$B$4:$BJ$4,0))</f>
        <v/>
      </c>
      <c r="DR9" s="462">
        <f>IF(OR(DU9="Yes",DU9="N/A",DV9="Yes",DV9="N/A",DW9="Yes",DX9="Yes",DY9="Yes",EF9="Yes",EG9="Yes",EH9="Yes"),"Yes","No")</f>
        <v/>
      </c>
      <c r="DS9" s="1047">
        <f>IF(AG9="Yes",DATEDIF(AJ9,Availability!$F$8,"m"),"")</f>
        <v/>
      </c>
      <c r="DT9" s="1047">
        <f>IF(DS9="","No",IF(DS9&gt;12,"Yes","No"))</f>
        <v/>
      </c>
      <c r="DU9" s="695">
        <f>IFERROR(IF(AND(DQ9/DP9&lt;0.75,DQ9&lt;1.5),"Yes","No"),"N/A")</f>
        <v/>
      </c>
      <c r="DV9" s="696">
        <f>IFERROR(IF(OR(D9="First Lien",D9="FILO"),IF(AND((DL9-DJ9)&gt;0.75,DL9&gt;4),"Yes","No"),"No"),"N/A")</f>
        <v/>
      </c>
      <c r="DW9" s="696">
        <f t="array" ref="DW9">_xlfn.IFS(D9&lt;&gt;"Second Lien","No",D9="Second Lien",IF(AND((DM9-DK9)&gt;0.5,DM9&gt;4.5),"Yes","No"))</f>
        <v/>
      </c>
      <c r="DX9" s="735" t="inlineStr">
        <is>
          <t>Yes</t>
        </is>
      </c>
      <c r="DY9" s="735" t="inlineStr">
        <is>
          <t>No</t>
        </is>
      </c>
      <c r="DZ9" s="1048" t="inlineStr">
        <is>
          <t>No</t>
        </is>
      </c>
      <c r="EA9" s="1048" t="inlineStr">
        <is>
          <t>No</t>
        </is>
      </c>
      <c r="EB9" s="1048" t="inlineStr">
        <is>
          <t>Yes</t>
        </is>
      </c>
      <c r="EC9" s="1048" t="inlineStr">
        <is>
          <t>No</t>
        </is>
      </c>
      <c r="ED9" s="1048" t="inlineStr">
        <is>
          <t>No</t>
        </is>
      </c>
      <c r="EE9" s="1048" t="inlineStr">
        <is>
          <t>No</t>
        </is>
      </c>
      <c r="EF9" s="442">
        <f>IF(OR(DZ9="Yes",EA9="Yes",EB9="Yes",EC9="Yes",ED9="Yes",EE9="Yes"),"Yes","No")</f>
        <v/>
      </c>
      <c r="EG9" s="1048" t="inlineStr">
        <is>
          <t>No</t>
        </is>
      </c>
      <c r="EH9" s="1049" t="inlineStr">
        <is>
          <t>No</t>
        </is>
      </c>
      <c r="EI9" s="1050">
        <f t="array" ref="EI9">IF(D9="First Lien",_xlfn.IFS(CY9&gt;AGENT!$B$23, "&gt; $20MM",CY9&lt;=AGENT!$C$25, "&lt;= $10MM",AND(CY9&lt;=AGENT!$C$24,CY9&gt;AGENT!$B$24),"&lt;= $20MM"), "N/A")</f>
        <v/>
      </c>
      <c r="EJ9" s="1050">
        <f t="array" ref="EJ9">IF(D9="FILO",_xlfn.IFS(DI9&gt;AGENT!$B$29, "&gt; 1.25x",DI9&lt;AGENT!$C$27, "&lt; 0.75x",AND(DI9&lt;=AGENT!$C$28,DI9&gt;=AGENT!$B$28),"&lt;= 1.25x"), "N/A")</f>
        <v/>
      </c>
      <c r="EK9" s="1051">
        <f>V9</f>
        <v/>
      </c>
      <c r="EL9" s="1051">
        <f>'Concentration Limits'!$J$49</f>
        <v/>
      </c>
      <c r="EM9" s="1051">
        <f>IF(OR(D9="Second Lien",AND(D9="FILO",DI9&gt;AGENT!$C$57)), "Yes", "No")</f>
        <v/>
      </c>
      <c r="EN9" s="1051">
        <f>IF(EM9="Yes",SUMIF(EM:EM,"Yes",EK:EK),0)</f>
        <v/>
      </c>
      <c r="EO9" s="1051">
        <f>IF(EN9&gt;EL9,(EN9-EL9)*(EK9/SUMIF(EM:EM,"Yes",EK:EK)),0)</f>
        <v/>
      </c>
      <c r="EP9" s="1051">
        <f>MAX(0,EK9-EO9)</f>
        <v/>
      </c>
      <c r="EQ9" s="1051">
        <f>'Concentration Limits'!$J$50</f>
        <v/>
      </c>
      <c r="ER9" s="1051">
        <f>IF(D9="Second Lien",SUMIF(D:D,D9,EP:EP),0)</f>
        <v/>
      </c>
      <c r="ES9" s="1051">
        <f>MAX(0,(ER9-EQ9)*IFERROR((EP9/SUMIF($D:$D,D9,EP:EP )),0)                  )</f>
        <v/>
      </c>
      <c r="ET9" s="1051">
        <f>MAX(0,EP9-ES9)</f>
        <v/>
      </c>
      <c r="EU9" s="1051">
        <f>'Concentration Limits'!$J$51</f>
        <v/>
      </c>
      <c r="EV9" s="1051">
        <f>IF(OR(D9="Second Lien", AND(D9="FILO",DI9&gt;AGENT!$C$59)), "Yes", "No")</f>
        <v/>
      </c>
      <c r="EW9" s="1051">
        <f>IF(EV9="Yes",SUMIF(EV:EV,"Yes",ET:ET),0)</f>
        <v/>
      </c>
      <c r="EX9" s="1051">
        <f>IF(EW9&gt;EU9,(EW9-EU9)*(ET9/SUMIF(EV:EV,"Yes",ET:ET)),0)</f>
        <v/>
      </c>
      <c r="EY9" s="1051">
        <f>MAX(0,ET9-EX9)</f>
        <v/>
      </c>
      <c r="EZ9" s="1051">
        <f>'Concentration Limits'!$J$52</f>
        <v/>
      </c>
      <c r="FA9" s="1051">
        <f>IF(CY9&gt;'Concentration Limits'!$E$52, "No", "Yes")</f>
        <v/>
      </c>
      <c r="FB9" s="1051">
        <f>IF(FA9="Yes",SUMIF(FA:FA,"Yes",EY:EY),0)</f>
        <v/>
      </c>
      <c r="FC9" s="1051">
        <f>IF(FB9&gt;EZ9,(FB9-EZ9)*(EY9/SUMIF(FA:FA,"Yes",EY:EY)),0)</f>
        <v/>
      </c>
      <c r="FD9" s="1051">
        <f>MAX(0,EY9-FC9)</f>
        <v/>
      </c>
      <c r="FE9" s="1052">
        <f>'Concentration Limits'!$J$54</f>
        <v/>
      </c>
      <c r="FF9" s="1052">
        <f>'Concentration Limits'!$J$55</f>
        <v/>
      </c>
      <c r="FG9" s="1052">
        <f>'Concentration Limits'!$J$56</f>
        <v/>
      </c>
      <c r="FH9" s="1053">
        <f>'Concentration Limits'!$J$57</f>
        <v/>
      </c>
      <c r="FI9" s="1053">
        <f>SUMIF($B:$B,$B9,$FD:$FD)</f>
        <v/>
      </c>
      <c r="FJ9" s="1053">
        <f>IF(MATCH($B9,$B:$B,0)=ROW(),$FI9,0)</f>
        <v/>
      </c>
      <c r="FK9" s="1053">
        <f>INDEX(FL$8:FL$60,MATCH(B9,B$8:B$60,0))</f>
        <v/>
      </c>
      <c r="FL9" s="1053">
        <f>IF(FJ9&gt;0,RANK(FJ9,$FJ$9:$FJ$60)+COUNTIF($FJ$9:FJ9,FJ9)-1,0)</f>
        <v/>
      </c>
      <c r="FM9" s="1052">
        <f>IF(FK9=1,IF(FI9&gt;FE9,(FI9-FE9)*(V9/SUMIF($B:$B,B9,$FD:$FD)),0),0)</f>
        <v/>
      </c>
      <c r="FN9" s="1052">
        <f>IF(FK9=2,IF(FI9&gt;FF9,(FI9-FF9)*(V9/SUMIF($B:$B,B9,$FD:$FD)),0),0)</f>
        <v/>
      </c>
      <c r="FO9" s="1052">
        <f>IF(FK9=3,IF(FI9&gt;FG9,(FI9-FG9)*(V9/SUMIF($B:$B,B9,$FD:$FD)),0),0)</f>
        <v/>
      </c>
      <c r="FP9" s="1053">
        <f>IF(FK9&gt;0,IF(FI9&gt;FH9,(FI9-FH9)*(FD9/(SUMIF($B:$B,$B9,$FD:$FD))),0),0)</f>
        <v/>
      </c>
      <c r="FQ9" s="1053">
        <f>MAX(0,FD9-FM9-FN9-FO9-FP9)</f>
        <v/>
      </c>
      <c r="FR9" s="1053">
        <f>'Concentration Limits'!$J$58</f>
        <v/>
      </c>
      <c r="FS9" s="1053">
        <f>SUMIF($BR:$BR,$BR9,FQ:FQ)</f>
        <v/>
      </c>
      <c r="FT9" s="1053">
        <f>VLOOKUP(BR9,'Concentration Limits'!$E$81:$H$153,4,FALSE)</f>
        <v/>
      </c>
      <c r="FU9" s="1053">
        <f>IF(FT9=1,MAX(0,(FS9-FR9)*(FQ9/SUMIF($BR:$BR,BR9,FQ:FQ))),0)</f>
        <v/>
      </c>
      <c r="FV9" s="1053">
        <f>MAX(0,FQ9-FU9)</f>
        <v/>
      </c>
      <c r="FW9" s="1053">
        <f>'Concentration Limits'!$J$59</f>
        <v/>
      </c>
      <c r="FX9" s="1053">
        <f>SUMIF($BR:$BR,$BR9,FV:FV)</f>
        <v/>
      </c>
      <c r="FY9" s="1053">
        <f>VLOOKUP(BR9,'Concentration Limits'!$E$81:$H$153,4,FALSE)</f>
        <v/>
      </c>
      <c r="FZ9" s="1053">
        <f>MAX(0,IF(FY9=2,(FX9-FW9)*(FV9/SUMIF($BR:$BR,BR9,FV:FV)),0))</f>
        <v/>
      </c>
      <c r="GA9" s="1053">
        <f>MAX(0,FV9-FZ9)</f>
        <v/>
      </c>
      <c r="GB9" s="1053">
        <f>'Concentration Limits'!$J$61</f>
        <v/>
      </c>
      <c r="GC9" s="1053">
        <f>SUMIF($BR:$BR,$BR9,GA:GA)</f>
        <v/>
      </c>
      <c r="GD9" s="1051">
        <f>VLOOKUP(BR9,'Concentration Limits'!$E$81:$H$153,4,FALSE)</f>
        <v/>
      </c>
      <c r="GE9" s="1053">
        <f>IF(GA9=0,0,MAX(0,IF(GD9&lt;3,0,(GC9-GB9)*($GA9/SUMIF($BR:$BR,BR9,GA:GA)))))</f>
        <v/>
      </c>
      <c r="GF9" s="1053">
        <f>MAX(0,GA9-GE9)</f>
        <v/>
      </c>
      <c r="GG9" s="1053">
        <f>'Concentration Limits'!$J$64</f>
        <v/>
      </c>
      <c r="GH9" s="1053">
        <f>IF(BY9="Yes",SUMIF(BY:BY,BY9,GF:GF),0)</f>
        <v/>
      </c>
      <c r="GI9" s="1053">
        <f>IFERROR(MAX(0,(GH9-GG9)*(GF9/SUMIF($T:$T,T9,GF:GF ))),0)</f>
        <v/>
      </c>
      <c r="GJ9" s="1053">
        <f>MAX(0,GF9-GI9)</f>
        <v/>
      </c>
      <c r="GK9" s="1053">
        <f>'Concentration Limits'!$J$67</f>
        <v/>
      </c>
      <c r="GL9" s="1051">
        <f>IF(OR(BV9="Yes",OR(ISNUMBER(SEARCH("Travel",BR9)),ISNUMBER(SEARCH("Energy",BR9)),ISNUMBER(SEARCH("Leisure",BR9)),ISNUMBER(SEARCH("hotel",BR9)))),"Yes","No")</f>
        <v/>
      </c>
      <c r="GM9" s="1053">
        <f>IF(GL9="Yes",SUMIF(GL:GL,"Yes",GJ:GJ),0)</f>
        <v/>
      </c>
      <c r="GN9" s="1053">
        <f>IF(GM9&gt;GK9,(GM9-GK9)*(GJ9/SUMIF(GL:GL,"Yes",GJ:GJ)),0)</f>
        <v/>
      </c>
      <c r="GO9" s="1053">
        <f>MAX(0,GJ9-GN9)</f>
        <v/>
      </c>
      <c r="GP9" s="1053">
        <f>'Concentration Limits'!$J$68</f>
        <v/>
      </c>
      <c r="GQ9" s="1051">
        <f>IF(BU9="Yes","Yes", "No")</f>
        <v/>
      </c>
      <c r="GR9" s="1053">
        <f>IF(GQ9="Yes",SUMIF(GQ:GQ,"Yes",GO:GO),0)</f>
        <v/>
      </c>
      <c r="GS9" s="1053">
        <f>IF(GR9&gt;GP9,(GR9-GP9)*(GO9/SUMIF(GQ:GQ,"Yes",GO:GO)),0)</f>
        <v/>
      </c>
      <c r="GT9" s="1053">
        <f>MAX(0,GO9-GS9)</f>
        <v/>
      </c>
      <c r="GU9" s="1051">
        <f>'Concentration Limits'!$J$69</f>
        <v/>
      </c>
      <c r="GV9" s="1051">
        <f>IF(BW9="Yes", "Yes", "No")</f>
        <v/>
      </c>
      <c r="GW9" s="1051">
        <f>IF(GV9="Yes",SUMIF(GV:GV,"Yes",GT:GT),0)</f>
        <v/>
      </c>
      <c r="GX9" s="1051">
        <f>IF(GW9&gt;GU9,(GW9-GU9)*(GT9/SUMIF(GV:GV,"Yes",GT:GT)),0)</f>
        <v/>
      </c>
      <c r="GY9" s="1051">
        <f>MAX(0,GT9-GX9)</f>
        <v/>
      </c>
      <c r="GZ9" s="1051">
        <f>'Concentration Limits'!$J$70</f>
        <v/>
      </c>
      <c r="HA9" s="1051">
        <f>IF(BX9="Yes", "Yes", "No")</f>
        <v/>
      </c>
      <c r="HB9" s="1051">
        <f>IF(HA9="Yes",SUMIF(HA:HA,"Yes",GY:GY),0)</f>
        <v/>
      </c>
      <c r="HC9" s="1051">
        <f>IF(HB9&gt;GZ9,(HB9-GZ9)*(GY9/SUMIF(HA:HA,"Yes",GY:GY)),0)</f>
        <v/>
      </c>
      <c r="HD9" s="1051">
        <f>MAX(0,GY9-HC9)</f>
        <v/>
      </c>
      <c r="HE9" s="1053">
        <f>IF(AQ9=0,0,HD9*AQ9/(AQ9+AR9))</f>
        <v/>
      </c>
      <c r="HF9" s="1053">
        <f>IF(AR9=0,0,HD9*AR9/(AQ9+AR9))</f>
        <v/>
      </c>
      <c r="HG9" s="1053">
        <f>IF(AW9=0,0,HD9*AW9/(AW9+AX9))</f>
        <v/>
      </c>
      <c r="HH9" s="1053">
        <f>IF(AX9=0,0,HD9*AX9/(AX9+AW9))</f>
        <v/>
      </c>
      <c r="HI9" s="1053">
        <f>IF(BE9=0,0,#REF!*BE9/(BE9+BG9))</f>
        <v/>
      </c>
      <c r="HJ9" s="1053">
        <f>IF(BG9=0,0,#REF!*BG9/(BG9+BE9))</f>
        <v/>
      </c>
      <c r="HK9" s="1054">
        <f>IF(BF9=0,0,#REF!*BF9/(BF9+BH9))</f>
        <v/>
      </c>
      <c r="HL9" s="1053">
        <f>IF(BH9=0,0,#REF!*BH9/(BH9+BF9))</f>
        <v/>
      </c>
      <c r="HM9" s="1053">
        <f>IF(D9="Second Lien",HD9,0)</f>
        <v/>
      </c>
      <c r="HN9" s="1053">
        <f>SUM(HE9:HM9)=HD9</f>
        <v/>
      </c>
    </row>
    <row r="10" ht="12.75" customFormat="1" customHeight="1" s="469">
      <c r="A10" s="55">
        <f>A9+1</f>
        <v/>
      </c>
      <c r="B10" s="437">
        <f>INDEX('Loan Tape - Settled'!$B$4:$AP$55,MATCH($A10,'Loan Tape - Settled'!$E$4:$E$55,0),MATCH("Obligor Name",'Loan Tape - Settled'!$B$4:$AM$4,0))</f>
        <v/>
      </c>
      <c r="C10" s="437">
        <f>INDEX('Loan Tape - Settled'!$B$4:$AP$55,MATCH($A10,'Loan Tape - Settled'!$E$4:$E$55,0),MATCH("Security",'Loan Tape - Settled'!$B$4:$AM$4,0))</f>
        <v/>
      </c>
      <c r="D10" s="438">
        <f>INDEX('Loan Tape - Settled'!$B$4:$AP$55,MATCH($A10,'Loan Tape - Settled'!$E$4:$E$55,0),MATCH("Loan Type",'Loan Tape - Settled'!$B$4:$AM$4,0))</f>
        <v/>
      </c>
      <c r="E10" s="439">
        <f>IF(ISERROR(MATCH(D10,AGENT!$A$4:$A$10,0))=FALSE, TRUE)</f>
        <v/>
      </c>
      <c r="F10" s="439">
        <f>IF(AND(BZ10="no",CA10="no"),TRUE)</f>
        <v/>
      </c>
      <c r="G10" s="439">
        <f>IF(D10&lt;&gt;"Second Lien",TRUE, IF(CY10&gt;=AGENT!$B$4,TRUE))</f>
        <v/>
      </c>
      <c r="H10" s="439">
        <f>IF(DE10&lt;=AGENT!$D$4,TRUE)</f>
        <v/>
      </c>
      <c r="I10" s="439">
        <f>IF(VLOOKUP(CONCATENATE($A$5,A10),'Loan Tape - Settled'!$A$5:$Q$55,17,FALSE)&gt;=AGENT!$E$4,TRUE)</f>
        <v/>
      </c>
      <c r="J10" s="439">
        <f>IF(INDEX('Loan Tape - Settled'!$B$4:$AP$55,MATCH($A10,'Loan Tape - Settled'!$E$4:$E$55,0),MATCH("Loan Denomination",'Loan Tape - Settled'!$B$4:$AP$4,0))="USD", TRUE)</f>
        <v/>
      </c>
      <c r="K10" s="439">
        <f>IF(INDEX('Loan Tape - Settled'!$B$4:$AP$55,MATCH($A10,'Loan Tape - Settled'!$E$4:$E$55,0),MATCH("Exposure Country",'Loan Tape - Settled'!$B$4:$AP$4,0))="United States", TRUE)</f>
        <v/>
      </c>
      <c r="L10" s="439">
        <f>IF(BS10="NO",TRUE)</f>
        <v/>
      </c>
      <c r="M10" s="439">
        <f>IF(((BM10-BL10)/365)&lt;=AGENT!$F$4,TRUE)</f>
        <v/>
      </c>
      <c r="N10" s="439">
        <f>IF(DX10="Yes",FALSE,TRUE)</f>
        <v/>
      </c>
      <c r="O10" s="493" t="n"/>
      <c r="P10" s="764">
        <f>IF($B10="","",IF(OR(O10=TRUE,COUNTIFS($E10:$N10,TRUE)=10),"Yes","No"))</f>
        <v/>
      </c>
      <c r="Q10" s="730" t="inlineStr">
        <is>
          <t>Yes</t>
        </is>
      </c>
      <c r="R10" s="440">
        <f>IF(P10="Yes",B10,"N/A")</f>
        <v/>
      </c>
      <c r="S10" s="440" t="n"/>
      <c r="T10" s="441">
        <f t="array" ref="T10">_xlfn.IFS(D10="Second Lien",D10,D10="First Lien",CONCATENATE(D10," ",EI10),D10="FILO",CONCATENATE(D10," ",EJ10))</f>
        <v/>
      </c>
      <c r="U10" s="442">
        <f>VLOOKUP(T10,'Concentration Limits'!D:G,4,FALSE)</f>
        <v/>
      </c>
      <c r="V10" s="1020">
        <f>AQ10+AW10+BI10</f>
        <v/>
      </c>
      <c r="W10" s="1021">
        <f>(SUMIFS('Loan Tape - Settled'!$AR$4:$AR$55,'Loan Tape - Settled'!$E$4:$E$55,$A10,'Loan Tape - Settled'!$C$4:$C$55,$A$5))</f>
        <v/>
      </c>
      <c r="X10" s="1022" t="n">
        <v>1</v>
      </c>
      <c r="Y10" s="1023">
        <f>W10*X10</f>
        <v/>
      </c>
      <c r="Z10" s="1022">
        <f>(SUMIFS('Loan Tape - Settled'!$AQ$4:$AQ$55,'Loan Tape - Settled'!$E$4:$E$55,$A10,'Loan Tape - Settled'!$C$4:$C$55,$A$5))</f>
        <v/>
      </c>
      <c r="AA10" s="1023">
        <f>Z10*X10</f>
        <v/>
      </c>
      <c r="AB10" s="1023">
        <f>AA10-Y10</f>
        <v/>
      </c>
      <c r="AC10" s="490">
        <f>VLOOKUP(CONCATENATE($A$5,A10),'Loan Tape - Settled'!$A$5:$Q$55,17,FALSE)</f>
        <v/>
      </c>
      <c r="AD10" s="445" t="n"/>
      <c r="AE10" s="446">
        <f>INDEX('Loan Tape - Settled'!$B$4:$AP$55,MATCH($A10,'Loan Tape - Settled'!$E$4:$E$55,0),MATCH("FMV",'Loan Tape - Settled'!$B$4:$AM$4,0))</f>
        <v/>
      </c>
      <c r="AF10" s="446">
        <f t="array" ref="AF10">_xlfn.IFS(D10="First Lien",
_xlfn.IFS(AND(DL10&gt;0,DL10&lt;Tier_1_1L),Tier_1_ApplicableValue,
AND(DL10&gt;=Tier_1_1L,DL10&lt;Tier_2_1L),((Tier_1_1L/DL10)*Tier_1_ApplicableValue)+((DL10-Tier_1_1L)/DL10*Tier_2_ApplicableValue),
AND(DL10&gt;=Tier_2_1L, DL10&lt;Tier_3_1L),((Tier_1_1L/DL10)*Tier_1_ApplicableValue+(Tier_2_1L-Tier_1_1L)/DL10*Tier_2_ApplicableValue+(DL10-Tier_2_1L)/DL10*Tier_3_ApplicableValue),
AND(DL10&gt;=Tier_3_1L, DL10&lt;=Tier_totalzerovalue),((Tier_1_1L/DL10)*Tier_1_ApplicableValue+(Tier_2_1L-Tier_1_1L)/DL10*Tier_2_ApplicableValue+(Tier_3_1L-Tier_2_1L)/DL10*Tier_3_ApplicableValue+(DL10-Tier_partialzerovalue)/DL10*0%),
DL10&gt;Tier_totalzerovalue,0%),
OR(D10="Second Lien", D10="FILO"),
_xlfn.IFS(AND(DM10&gt;0,DM10&lt;Tier_1_2L),Tier_1_ApplicableValue,
AND(DM10&gt;=Tier_1_2L,DM10&lt;Tier_2_2L),((Tier_1_2L/DM10)*Tier_1_ApplicableValue)+((DM10-Tier_1_2L)/DM10*Tier_2_ApplicableValue),
AND(DM10&gt;=Tier_2_2L, DM10&lt;Tier_3_2L),((Tier_1_2L/DM10)*Tier_1_ApplicableValue+(Tier_2_2L-Tier_1_2L)/DM10*Tier_2_ApplicableValue+(DM10-Tier_2_2L)/DM10*Tier_3_ApplicableValue),
AND(DM10&gt;=Tier_3_2L, DM10&lt;=Tier_totalzerovalue),((Tier_1_2L/DM10)*Tier_1_ApplicableValue+(Tier_2_2L-Tier_1_2L)/DM10*Tier_2_ApplicableValue+(Tier_3_2L-Tier_2_2L)/DM10*Tier_3_ApplicableValue+(DM10-Tier_partialzerovalue)/DM10*0%),
DM10&gt;Tier_totalzerovalue,0%))</f>
        <v/>
      </c>
      <c r="AG10" s="447">
        <f>IF(COUNTIFS(VAE!$C$5:$C$96,B10,VAE!$G$5:$G$96,"&lt;="&amp;Availability!$F$8)&gt;=1,"Yes","-")</f>
        <v/>
      </c>
      <c r="AH10" s="447">
        <f t="array" ref="AH10">IFERROR(IF(AG10="Yes",INDEX(VAE!$D$5:$D$96,MATCH(B10&amp;AJ10,VAE!$C$5:$C$96&amp;VAE!$G$5:$G$96,0)),"-"),0)</f>
        <v/>
      </c>
      <c r="AI10" s="447">
        <f t="array" ref="AI10">IFERROR(IF(AG10="Yes",INDEX(VAE!$F$5:$F$96,MATCH(B10&amp;AJ10,VAE!$C$5:$C$96&amp;VAE!$G$5:$G$96,0)),"-"),0)</f>
        <v/>
      </c>
      <c r="AJ10" s="448">
        <f>IF(AG10="-","-",_xlfn.MAXIFS(VAE!$G$5:$G$96,VAE!$C$5:$C$96,$B10))</f>
        <v/>
      </c>
      <c r="AK10" s="449">
        <f t="array" ref="AK10">IFERROR(IF(AG10="Yes",INDEX(VAE!$P$5:$P$96,MATCH(B10&amp;AJ10,VAE!$C$5:$C$96&amp;VAE!$G$5:$G$96,0)),"-"),0)</f>
        <v/>
      </c>
      <c r="AL10" s="446">
        <f>IF($A10="","",IF(P10="No",0,(IF(AG10="Yes",MIN(AE10,AK10,AF10),MIN(AE10,AF10)))))</f>
        <v/>
      </c>
      <c r="AM10" s="1020" t="n"/>
      <c r="AN10" s="1020" t="n"/>
      <c r="AO10" s="1020">
        <f>IF(AND(D10="First Lien",P10="No"),0,IF(D10&lt;&gt;"First Lien",0,Y10))</f>
        <v/>
      </c>
      <c r="AP10" s="1020">
        <f>IF(AND(D10="First Lien",P10="No"),W10,0)</f>
        <v/>
      </c>
      <c r="AQ10" s="1020">
        <f>AL10*AO10</f>
        <v/>
      </c>
      <c r="AR10" s="1020" t="n"/>
      <c r="AS10" s="1020" t="n"/>
      <c r="AT10" s="1020" t="n"/>
      <c r="AU10" s="1020">
        <f>IF(AND(D10="FILO",P10="No"),0,IF(D10&lt;&gt;"FILO",0,Y10))</f>
        <v/>
      </c>
      <c r="AV10" s="1020">
        <f>IF(AND(D10="FILO",P10="No"),W10,0)</f>
        <v/>
      </c>
      <c r="AW10" s="1020">
        <f>AU10*AL10</f>
        <v/>
      </c>
      <c r="AX10" s="1020" t="n"/>
      <c r="AY10" s="1020" t="n"/>
      <c r="AZ10" s="1020" t="n"/>
      <c r="BA10" s="1020">
        <f>IF(AND(OR(D10="First Lien",D10="FILO"),P10="No"),0,IF(OR(D10="First Lien",D10="FILO"),0,(Y10)))</f>
        <v/>
      </c>
      <c r="BB10" s="1020" t="n"/>
      <c r="BC10" s="1020" t="n"/>
      <c r="BD10" s="1020">
        <f>IF(AND(D10="Second Lien",P10="No"),W10,0)</f>
        <v/>
      </c>
      <c r="BE10" s="1020" t="n"/>
      <c r="BF10" s="1020" t="n"/>
      <c r="BG10" s="1020" t="n"/>
      <c r="BH10" s="1020" t="n"/>
      <c r="BI10" s="1020">
        <f>IF(D10="Second Lien",BA10*AL10,0)</f>
        <v/>
      </c>
      <c r="BJ10" s="1020">
        <f>SUM(AM10:AP10)+SUM(AZ10:BD10)+SUM(AS10:AV10)=Y10</f>
        <v/>
      </c>
      <c r="BK10" s="1026">
        <f>INDEX('Loan Tape - Settled'!$B$4:$AP$55,MATCH($A10,'Loan Tape - Settled'!$E$4:$E$55,0),MATCH("Inception Date",'Loan Tape - Settled'!$B$4:$AP$4,0))</f>
        <v/>
      </c>
      <c r="BL10" s="1026">
        <f>INDEX('Loan Tape - Settled'!$B$4:$AP$55,MATCH($A10,'Loan Tape - Settled'!$E$4:$E$55,0),MATCH("Inclusion Date",'Loan Tape - Settled'!$B$4:$AP$4,0))</f>
        <v/>
      </c>
      <c r="BM10" s="1026">
        <f>INDEX('Loan Tape - Settled'!$B$4:$AP$55,MATCH($A10,'Loan Tape - Settled'!$E$4:$E$55,0),MATCH("Maturity Date",'Loan Tape - Settled'!$B$4:$AP$4,0))</f>
        <v/>
      </c>
      <c r="BN10" s="556" t="n"/>
      <c r="BO10" s="556" t="n"/>
      <c r="BP10" s="1055" t="n"/>
      <c r="BQ10" s="556" t="n"/>
      <c r="BR10" s="554">
        <f>INDEX('Loan Tape - Settled'!$B$4:$AP$55,MATCH($A10,'Loan Tape - Settled'!$E$4:$E$55,0),MATCH("Industry Classification",'Loan Tape - Settled'!$B$4:$AP$4,0))</f>
        <v/>
      </c>
      <c r="BS10" s="556">
        <f>IF(INDEX('Loan Tape - Settled'!$B$4:$AP$55,MATCH($A10,'Loan Tape - Settled'!$E$4:$E$55,0),MATCH("Covenant Lite",'Loan Tape - Settled'!$B$4:$AP$4,0))=-1, "Yes", "No")</f>
        <v/>
      </c>
      <c r="BT10" s="1056">
        <f>INDEX('Loan Tape - Settled'!$B$4:$AP$55,MATCH($A10,'Loan Tape - Settled'!$E$4:$E$55,0),MATCH("Spread / Coupon (%)",'Loan Tape - Settled'!$B$4:$AP$4,0))</f>
        <v/>
      </c>
      <c r="BU10" s="556">
        <f>IF(INDEX('Loan Tape - Settled'!$B$4:$AP$55,MATCH($A10,'Loan Tape - Settled'!$E$4:$E$55,0),MATCH("Security Type",'Loan Tape - Settled'!$B$4:$AP$4,0))="Delayed Draw Term Loan", "Yes", "No")</f>
        <v/>
      </c>
      <c r="BV10" s="557" t="inlineStr">
        <is>
          <t>No</t>
        </is>
      </c>
      <c r="BW10" s="557" t="inlineStr">
        <is>
          <t>Yes</t>
        </is>
      </c>
      <c r="BX10" s="548" t="inlineStr">
        <is>
          <t>No</t>
        </is>
      </c>
      <c r="BY10" s="556">
        <f>IF(INDEX('Loan Tape - Settled'!$B$4:$AP$55,MATCH($A10,'Loan Tape - Settled'!$E$4:$E$55,0),MATCH("Fixed/Floating",'Loan Tape - Settled'!$B$4:$AP$4,0))="Fixed", "Yes", "No")</f>
        <v/>
      </c>
      <c r="BZ10" s="557" t="inlineStr">
        <is>
          <t>No</t>
        </is>
      </c>
      <c r="CA10" s="557" t="inlineStr">
        <is>
          <t>No</t>
        </is>
      </c>
      <c r="CB10" s="556">
        <f>IF(INDEX('Loan Tape - Settled'!$B$4:$AP$55,MATCH($A10,'Loan Tape - Settled'!$E$4:$E$55,0),MATCH("Loan Denomination",'Loan Tape - Settled'!$B$4:$AP$4,0))="CAD", "Yes", "No")</f>
        <v/>
      </c>
      <c r="CC10" s="556">
        <f>INDEX('Loan Tape - Settled'!$B$4:$AP$55,MATCH($A10,'Loan Tape - Settled'!$E$4:$E$55,0),MATCH("Payment Frequency",'Loan Tape - Settled'!$B$4:$AP$4,0))</f>
        <v/>
      </c>
      <c r="CD10" s="557" t="inlineStr">
        <is>
          <t>No</t>
        </is>
      </c>
      <c r="CE10" s="556">
        <f>INDEX('Loan Tape - Settled'!$B$4:$AP$55,MATCH($A10,'Loan Tape - Settled'!$E$4:$E$55,0),MATCH("S&amp;P Loan Rating (if applicable)",'Loan Tape - Settled'!$B$4:$AP$4,0))</f>
        <v/>
      </c>
      <c r="CF10" s="556">
        <f>INDEX('Loan Tape - Settled'!$B$4:$AP$55,MATCH($A10,'Loan Tape - Settled'!$E$4:$E$55,0),MATCH("Moody's Loan Rating (if applicable)",'Loan Tape - Settled'!$B$4:$AP$4,0))</f>
        <v/>
      </c>
      <c r="CG10" s="556" t="n"/>
      <c r="CH10" s="556" t="n"/>
      <c r="CI10" s="1057" t="n"/>
      <c r="CJ10" s="1030">
        <f>INDEX('Loan Tape - Settled'!$B$4:$BF$55,MATCH($A10,'Loan Tape - Settled'!$E$4:$E$55,0),MATCH("Last Financial Received",'Loan Tape - Settled'!$B$4:$BF$4,0))</f>
        <v/>
      </c>
      <c r="CK10" s="559">
        <f>INDEX('Loan Tape - Settled'!$B$4:$BJ$55,MATCH($A10,'Loan Tape - Settled'!$E$4:$E$55,0),MATCH("Initial Adjusted TTM EBITDA",'Loan Tape - Settled'!$B$4:$BJ$4,0))</f>
        <v/>
      </c>
      <c r="CL10" s="559">
        <f>INDEX('Loan Tape - Settled'!$B$4:$BJ$55,MATCH($A10,'Loan Tape - Settled'!$E$4:$E$55,0),MATCH("Initial TTM Non-adjusted EBITDA",'Loan Tape - Settled'!$B$4:$BJ$4,0))</f>
        <v/>
      </c>
      <c r="CM10" s="1031" t="n"/>
      <c r="CN10" s="451" t="n"/>
      <c r="CO10" s="451" t="n"/>
      <c r="CP10" s="1032" t="n"/>
      <c r="CQ10" s="1033" t="inlineStr">
        <is>
          <t>N</t>
        </is>
      </c>
      <c r="CR10" s="1032" t="n"/>
      <c r="CS10" s="454">
        <f>CK10-CP10+CR10</f>
        <v/>
      </c>
      <c r="CT10" s="455">
        <f>1-CS10/CK10</f>
        <v/>
      </c>
      <c r="CU10" s="559">
        <f>INDEX('Loan Tape - Settled'!$B$4:$BJ$55,MATCH($A10,'Loan Tape - Settled'!$E$4:$E$55,0),MATCH("Current TTM Non-adjusted EBITDA",'Loan Tape - Settled'!$B$4:$BJ$4,0))</f>
        <v/>
      </c>
      <c r="CV10" s="456">
        <f>CT10</f>
        <v/>
      </c>
      <c r="CW10" s="1034" t="inlineStr">
        <is>
          <t>N</t>
        </is>
      </c>
      <c r="CX10" s="1035" t="n"/>
      <c r="CY10" s="1036">
        <f>IF(CW10="N",(1-CV10)*CU10,(1-CX10)*CU10)</f>
        <v/>
      </c>
      <c r="CZ10" s="1037" t="n"/>
      <c r="DA10" s="1038" t="n"/>
      <c r="DB10" s="1039" t="n"/>
      <c r="DC10" s="1040" t="n"/>
      <c r="DD10" s="1040">
        <f>INDEX('Loan Tape - Settled'!$B$4:$BJ$55,MATCH($A10,'Loan Tape - Settled'!$E$4:$E$55,0),MATCH("Initial Senior Net Leverage Senior",'Loan Tape - Settled'!$B$4:$BJ$4,0))</f>
        <v/>
      </c>
      <c r="DE10" s="1041">
        <f>INDEX('Loan Tape - Settled'!$B$4:$BJ$55,MATCH($A10,'Loan Tape - Settled'!$E$4:$E$55,0),MATCH("Initial Total Net Leverage",'Loan Tape - Settled'!$B$4:$BJ$4,0))</f>
        <v/>
      </c>
      <c r="DF10" s="1037" t="n"/>
      <c r="DG10" s="1038" t="n"/>
      <c r="DH10" s="1039" t="n"/>
      <c r="DI10" s="1042">
        <f>INDEX('Loan Tape - Settled'!$B$4:$BJ$55,MATCH($A10,'Loan Tape - Settled'!$E$4:$E$55,0),MATCH("Net Attachment",'Loan Tape - Settled'!$B$4:$BJ$4,0))</f>
        <v/>
      </c>
      <c r="DJ10" s="566">
        <f t="array" ref="DJ10">IF(AG10="Yes",INDEX(VAE!$M$5:$M$53,MATCH($B10&amp;$AJ10,VAE!$C$5:$C$53&amp;VAE!$G$5:$G$53,0)),DD10)</f>
        <v/>
      </c>
      <c r="DK10" s="697">
        <f t="array" ref="DK10">IF(AG10="Yes",INDEX(VAE!$N$5:$N$53,MATCH($B10&amp;$AJ10,VAE!$C$5:$C$53&amp;VAE!$G$5:$G$53,0)),DE10)</f>
        <v/>
      </c>
      <c r="DL10" s="1058">
        <f>INDEX('Loan Tape - Settled'!$B$4:$BJ$55,MATCH($A10,'Loan Tape - Settled'!$E$4:$E$55,0),MATCH("Current Senior Net Leverage Senior",'Loan Tape - Settled'!$B$4:$BJ$4,0))</f>
        <v/>
      </c>
      <c r="DM10" s="1059">
        <f>INDEX('Loan Tape - Settled'!$B$4:$BJ$55,MATCH($A10,'Loan Tape - Settled'!$E$4:$E$55,0),MATCH("Current Total Net Leverage",'Loan Tape - Settled'!$B$4:$BJ$4,0))</f>
        <v/>
      </c>
      <c r="DN10" s="1044" t="n"/>
      <c r="DO10" s="1045">
        <f>INDEX('Loan Tape - Settled'!$B$4:$BJ$55,MATCH($A10,'Loan Tape - Settled'!$E$4:$E$55,0),MATCH("Initial Interest Coverage",'Loan Tape - Settled'!$B$4:$BJ$4,0))</f>
        <v/>
      </c>
      <c r="DP10" s="565">
        <f t="array" ref="DP10">IF(AG10="Yes",INDEX(VAE!$O$5:$O$53,MATCH($B10&amp;$AJ10,VAE!$C$5:$C$53&amp;VAE!$G$5:$G$53,0)),DO10)</f>
        <v/>
      </c>
      <c r="DQ10" s="1046">
        <f>INDEX('Loan Tape - Settled'!$B$4:$BJ$55,MATCH($A10,'Loan Tape - Settled'!$E$4:$E$55,0),MATCH("Current Interest Coverage",'Loan Tape - Settled'!$B$4:$BJ$4,0))</f>
        <v/>
      </c>
      <c r="DR10" s="462">
        <f>IF(OR(DU10="Yes",DU10="N/A",DV10="Yes",DV10="N/A",DW10="Yes",DX10="Yes",DY10="Yes",EF10="Yes",EG10="Yes",EH10="Yes"),"Yes","No")</f>
        <v/>
      </c>
      <c r="DS10" s="1047">
        <f>IF(AG10="Yes",DATEDIF(AJ10,Availability!$F$8,"m"),"")</f>
        <v/>
      </c>
      <c r="DT10" s="1047">
        <f>IF(DS10="","No",IF(DS10&gt;12,"Yes","No"))</f>
        <v/>
      </c>
      <c r="DU10" s="695">
        <f>IFERROR(IF(AND(DQ10/DP10&lt;0.75,DQ10&lt;1.5),"Yes","No"),"N/A")</f>
        <v/>
      </c>
      <c r="DV10" s="696">
        <f>IFERROR(IF(OR(D10="First Lien",D10="FILO"),IF(AND((DL10-DJ10)&gt;0.75,DL10&gt;4),"Yes","No"),"No"),"N/A")</f>
        <v/>
      </c>
      <c r="DW10" s="696">
        <f t="array" ref="DW10">_xlfn.IFS(D10&lt;&gt;"Second Lien","No",D10="Second Lien",IF(AND((DM10-DK10)&gt;0.5,DM10&gt;4.5),"Yes","No"))</f>
        <v/>
      </c>
      <c r="DX10" s="735" t="inlineStr">
        <is>
          <t>Yes</t>
        </is>
      </c>
      <c r="DY10" s="735" t="inlineStr">
        <is>
          <t>No</t>
        </is>
      </c>
      <c r="DZ10" s="1048" t="inlineStr">
        <is>
          <t>Yes</t>
        </is>
      </c>
      <c r="EA10" s="1048" t="inlineStr">
        <is>
          <t>Yes</t>
        </is>
      </c>
      <c r="EB10" s="1048" t="inlineStr">
        <is>
          <t>Yes</t>
        </is>
      </c>
      <c r="EC10" s="1048" t="inlineStr">
        <is>
          <t>No</t>
        </is>
      </c>
      <c r="ED10" s="1048" t="inlineStr">
        <is>
          <t>No</t>
        </is>
      </c>
      <c r="EE10" s="1048" t="inlineStr">
        <is>
          <t>No</t>
        </is>
      </c>
      <c r="EF10" s="442">
        <f>IF(OR(DZ10="Yes",EA10="Yes",EB10="Yes",EC10="Yes",ED10="Yes",EE10="Yes"),"Yes","No")</f>
        <v/>
      </c>
      <c r="EG10" s="1048" t="inlineStr">
        <is>
          <t>No</t>
        </is>
      </c>
      <c r="EH10" s="1049" t="inlineStr">
        <is>
          <t>No</t>
        </is>
      </c>
      <c r="EI10" s="1050">
        <f t="array" ref="EI10">IF(D10="First Lien",_xlfn.IFS(CY10&gt;AGENT!$B$23, "&gt; $20MM",CY10&lt;=AGENT!$C$25, "&lt;= $10MM",AND(CY10&lt;=AGENT!$C$24,CY10&gt;AGENT!$B$24),"&lt;= $20MM"), "N/A")</f>
        <v/>
      </c>
      <c r="EJ10" s="1050">
        <f t="array" ref="EJ10">IF(D10="FILO",_xlfn.IFS(DI10&gt;AGENT!$B$29, "&gt; 1.25x",DI10&lt;AGENT!$C$27, "&lt; 0.75x",AND(DI10&lt;=AGENT!$C$28,DI10&gt;=AGENT!$B$28),"&lt;= 1.25x"), "N/A")</f>
        <v/>
      </c>
      <c r="EK10" s="1051">
        <f>V10</f>
        <v/>
      </c>
      <c r="EL10" s="1051">
        <f>'Concentration Limits'!$J$49</f>
        <v/>
      </c>
      <c r="EM10" s="1051">
        <f>IF(OR(D10="Second Lien",AND(D10="FILO",DI10&gt;AGENT!$C$57)), "Yes", "No")</f>
        <v/>
      </c>
      <c r="EN10" s="1051">
        <f>IF(EM10="Yes",SUMIF(EM:EM,"Yes",EK:EK),0)</f>
        <v/>
      </c>
      <c r="EO10" s="1051">
        <f>IF(EN10&gt;EL10,(EN10-EL10)*(EK10/SUMIF(EM:EM,"Yes",EK:EK)),0)</f>
        <v/>
      </c>
      <c r="EP10" s="1051">
        <f>MAX(0,EK10-EO10)</f>
        <v/>
      </c>
      <c r="EQ10" s="1051">
        <f>'Concentration Limits'!$J$50</f>
        <v/>
      </c>
      <c r="ER10" s="1051">
        <f>IF(D10="Second Lien",SUMIF(D:D,D10,EP:EP),0)</f>
        <v/>
      </c>
      <c r="ES10" s="1051">
        <f>MAX(0,(ER10-EQ10)*IFERROR((EP10/SUMIF($D:$D,D10,EP:EP )),0) )</f>
        <v/>
      </c>
      <c r="ET10" s="1051">
        <f>MAX(0,EP10-ES10)</f>
        <v/>
      </c>
      <c r="EU10" s="1051">
        <f>'Concentration Limits'!$J$51</f>
        <v/>
      </c>
      <c r="EV10" s="1051">
        <f>IF(OR(D10="Second Lien", AND(D10="FILO",DI10&gt;AGENT!$C$59)), "Yes", "No")</f>
        <v/>
      </c>
      <c r="EW10" s="1051">
        <f>IF(EV10="Yes",SUMIF(EV:EV,"Yes",ET:ET),0)</f>
        <v/>
      </c>
      <c r="EX10" s="1051">
        <f>IF(EW10&gt;EU10,(EW10-EU10)*(ET10/SUMIF(EV:EV,"Yes",ET:ET)),0)</f>
        <v/>
      </c>
      <c r="EY10" s="1051">
        <f>MAX(0,ET10-EX10)</f>
        <v/>
      </c>
      <c r="EZ10" s="1051">
        <f>'Concentration Limits'!$J$52</f>
        <v/>
      </c>
      <c r="FA10" s="1051">
        <f>IF(CY10&gt;'Concentration Limits'!$E$52, "No", "Yes")</f>
        <v/>
      </c>
      <c r="FB10" s="1051">
        <f>IF(FA10="Yes",SUMIF(FA:FA,"Yes",EY:EY),0)</f>
        <v/>
      </c>
      <c r="FC10" s="1051">
        <f>IF(FB10&gt;EZ10,(FB10-EZ10)*(EY10/SUMIF(FA:FA,"Yes",EY:EY)),0)</f>
        <v/>
      </c>
      <c r="FD10" s="1051">
        <f>MAX(0,EY10-FC10)</f>
        <v/>
      </c>
      <c r="FE10" s="1052">
        <f>'Concentration Limits'!$J$54</f>
        <v/>
      </c>
      <c r="FF10" s="1052">
        <f>'Concentration Limits'!$J$55</f>
        <v/>
      </c>
      <c r="FG10" s="1052">
        <f>'Concentration Limits'!$J$56</f>
        <v/>
      </c>
      <c r="FH10" s="1053">
        <f>'Concentration Limits'!$J$57</f>
        <v/>
      </c>
      <c r="FI10" s="1053">
        <f>SUMIF($B:$B,$B10,$FD:$FD)</f>
        <v/>
      </c>
      <c r="FJ10" s="1053">
        <f>IF(MATCH($B10,$B:$B,0)=ROW(),$FI10,0)</f>
        <v/>
      </c>
      <c r="FK10" s="1053">
        <f>INDEX(FL$8:FL$60,MATCH(B10,B$8:B$60,0))</f>
        <v/>
      </c>
      <c r="FL10" s="1053">
        <f>IF(FJ10&gt;0,RANK(FJ10,$FJ$9:$FJ$60)+COUNTIF($FJ$9:FJ10,FJ10)-1,0)</f>
        <v/>
      </c>
      <c r="FM10" s="1052">
        <f>IF(FK10=1,IF(FI10&gt;FE10,(FI10-FE10)*(V10/SUMIF($B:$B,B10,$FD:$FD)),0),0)</f>
        <v/>
      </c>
      <c r="FN10" s="1052">
        <f>IF(FK10=2,IF(FI10&gt;FF10,(FI10-FF10)*(V10/SUMIF($B:$B,B10,$FD:$FD)),0),0)</f>
        <v/>
      </c>
      <c r="FO10" s="1052">
        <f>IF(FK10=3,IF(FI10&gt;FG10,(FI10-FG10)*(V10/SUMIF($B:$B,B10,$FD:$FD)),0),0)</f>
        <v/>
      </c>
      <c r="FP10" s="1053">
        <f>IF(FK10&gt;0,IF(FI10&gt;FH10,(FI10-FH10)*(FD10/(SUMIF($B:$B,$B10,$FD:$FD))),0),0)</f>
        <v/>
      </c>
      <c r="FQ10" s="1053">
        <f>MAX(0,FD10-FM10-FN10-FO10-FP10)</f>
        <v/>
      </c>
      <c r="FR10" s="1053">
        <f>'Concentration Limits'!$J$58</f>
        <v/>
      </c>
      <c r="FS10" s="1053">
        <f>SUMIF($BR:$BR,$BR10,FQ:FQ)</f>
        <v/>
      </c>
      <c r="FT10" s="1053">
        <f>VLOOKUP(BR10,'Concentration Limits'!$E$81:$H$153,4,FALSE)</f>
        <v/>
      </c>
      <c r="FU10" s="1053">
        <f>IF(FT10=1,MAX(0,(FS10-FR10)*(FQ10/SUMIF($BR:$BR,BR10,FQ:FQ))),0)</f>
        <v/>
      </c>
      <c r="FV10" s="1053">
        <f>MAX(0,FQ10-FU10)</f>
        <v/>
      </c>
      <c r="FW10" s="1053">
        <f>'Concentration Limits'!$J$59</f>
        <v/>
      </c>
      <c r="FX10" s="1053">
        <f>SUMIF($BR:$BR,$BR10,FV:FV)</f>
        <v/>
      </c>
      <c r="FY10" s="1053">
        <f>VLOOKUP(BR10,'Concentration Limits'!$E$81:$H$153,4,FALSE)</f>
        <v/>
      </c>
      <c r="FZ10" s="1053">
        <f>MAX(0,IF(FY10=2,(FX10-FW10)*(FV10/SUMIF($BR:$BR,BR10,FV:FV)),0))</f>
        <v/>
      </c>
      <c r="GA10" s="1053">
        <f>MAX(0,FV10-FZ10)</f>
        <v/>
      </c>
      <c r="GB10" s="1053">
        <f>'Concentration Limits'!$J$61</f>
        <v/>
      </c>
      <c r="GC10" s="1053">
        <f>SUMIF($BR:$BR,$BR10,GA:GA)</f>
        <v/>
      </c>
      <c r="GD10" s="1051">
        <f>VLOOKUP(BR10,'Concentration Limits'!$E$81:$H$153,4,FALSE)</f>
        <v/>
      </c>
      <c r="GE10" s="1053">
        <f>IF(GA10=0,0,MAX(0,IF(GD10&lt;3,0,(GC10-GB10)*($GA10/SUMIF($BR:$BR,BR10,GA:GA)))))</f>
        <v/>
      </c>
      <c r="GF10" s="1053">
        <f>MAX(0,GA10-GE10)</f>
        <v/>
      </c>
      <c r="GG10" s="1053">
        <f>'Concentration Limits'!$J$64</f>
        <v/>
      </c>
      <c r="GH10" s="1053">
        <f>IF(BY10="Yes",SUMIF(BY:BY,BY10,GF:GF),0)</f>
        <v/>
      </c>
      <c r="GI10" s="1053">
        <f>IFERROR(MAX(0,(GH10-GG10)*(GF10/SUMIF($T:$T,T10,GF:GF ))),0)</f>
        <v/>
      </c>
      <c r="GJ10" s="1053">
        <f>MAX(0,GF10-GI10)</f>
        <v/>
      </c>
      <c r="GK10" s="1053">
        <f>'Concentration Limits'!$J$67</f>
        <v/>
      </c>
      <c r="GL10" s="1051">
        <f>IF(OR(BV10="Yes",OR(ISNUMBER(SEARCH("Travel",BR10)),ISNUMBER(SEARCH("Energy",BR10)),ISNUMBER(SEARCH("Leisure",BR10)),ISNUMBER(SEARCH("hotel",BR10)))),"Yes","No")</f>
        <v/>
      </c>
      <c r="GM10" s="1053">
        <f>IF(GL10="Yes",SUMIF(GL:GL,"Yes",GJ:GJ),0)</f>
        <v/>
      </c>
      <c r="GN10" s="1053">
        <f>IF(GM10&gt;GK10,(GM10-GK10)*(GJ10/SUMIF(GL:GL,"Yes",GJ:GJ)),0)</f>
        <v/>
      </c>
      <c r="GO10" s="1053">
        <f>MAX(0,GJ10-GN10)</f>
        <v/>
      </c>
      <c r="GP10" s="1053">
        <f>'Concentration Limits'!$J$68</f>
        <v/>
      </c>
      <c r="GQ10" s="1051">
        <f>IF(BU10="Yes","Yes", "No")</f>
        <v/>
      </c>
      <c r="GR10" s="1053">
        <f>IF(GQ10="Yes",SUMIF(GQ:GQ,"Yes",GO:GO),0)</f>
        <v/>
      </c>
      <c r="GS10" s="1053">
        <f>IF(GR10&gt;GP10,(GR10-GP10)*(GO10/SUMIF(GQ:GQ,"Yes",GO:GO)),0)</f>
        <v/>
      </c>
      <c r="GT10" s="1053">
        <f>MAX(0,GO10-GS10)</f>
        <v/>
      </c>
      <c r="GU10" s="1051">
        <f>'Concentration Limits'!$J$69</f>
        <v/>
      </c>
      <c r="GV10" s="1051">
        <f>IF(BW10="Yes", "Yes", "No")</f>
        <v/>
      </c>
      <c r="GW10" s="1051">
        <f>IF(GV10="Yes",SUMIF(GV:GV,"Yes",GT:GT),0)</f>
        <v/>
      </c>
      <c r="GX10" s="1051">
        <f>IF(GW10&gt;GU10,(GW10-GU10)*(GT10/SUMIF(GV:GV,"Yes",GT:GT)),0)</f>
        <v/>
      </c>
      <c r="GY10" s="1051">
        <f>MAX(0,GT10-GX10)</f>
        <v/>
      </c>
      <c r="GZ10" s="1051">
        <f>'Concentration Limits'!$J$70</f>
        <v/>
      </c>
      <c r="HA10" s="1051">
        <f>IF(BX10="Yes", "Yes", "No")</f>
        <v/>
      </c>
      <c r="HB10" s="1051">
        <f>IF(HA10="Yes",SUMIF(HA:HA,"Yes",GY:GY),0)</f>
        <v/>
      </c>
      <c r="HC10" s="1051">
        <f>IF(HB10&gt;GZ10,(HB10-GZ10)*(GY10/SUMIF(HA:HA,"Yes",GY:GY)),0)</f>
        <v/>
      </c>
      <c r="HD10" s="1051">
        <f>MAX(0,GY10-HC10)</f>
        <v/>
      </c>
      <c r="HE10" s="1053">
        <f>IF(AQ10=0,0,HD10*AQ10/(AQ10+AR10))</f>
        <v/>
      </c>
      <c r="HF10" s="1053">
        <f>IF(AR10=0,0,HD10*AR10/(AQ10+AR10))</f>
        <v/>
      </c>
      <c r="HG10" s="1053">
        <f>IF(AW10=0,0,HD10*AW10/(AW10+AX10))</f>
        <v/>
      </c>
      <c r="HH10" s="1053">
        <f>IF(AX10=0,0,HD10*AX10/(AX10+AW10))</f>
        <v/>
      </c>
      <c r="HI10" s="1053">
        <f>IF(BE10=0,0,#REF!*BE10/(BE10+BG10))</f>
        <v/>
      </c>
      <c r="HJ10" s="1053">
        <f>IF(BG10=0,0,#REF!*BG10/(BG10+BE10))</f>
        <v/>
      </c>
      <c r="HK10" s="1054">
        <f>IF(BF10=0,0,#REF!*BF10/(BF10+BH10))</f>
        <v/>
      </c>
      <c r="HL10" s="1053">
        <f>IF(BH10=0,0,#REF!*BH10/(BH10+BF10))</f>
        <v/>
      </c>
      <c r="HM10" s="1053">
        <f>IF(D10="Second Lien",HD10,0)</f>
        <v/>
      </c>
      <c r="HN10" s="1053">
        <f>SUM(HE10:HM10)=HD10</f>
        <v/>
      </c>
    </row>
    <row r="11" ht="12.75" customFormat="1" customHeight="1" s="469">
      <c r="A11" s="55">
        <f>A10+1</f>
        <v/>
      </c>
      <c r="B11" s="437">
        <f>INDEX('Loan Tape - Settled'!$B$4:$AP$55,MATCH($A11,'Loan Tape - Settled'!$E$4:$E$55,0),MATCH("Obligor Name",'Loan Tape - Settled'!$B$4:$AM$4,0))</f>
        <v/>
      </c>
      <c r="C11" s="437">
        <f>INDEX('Loan Tape - Settled'!$B$4:$AP$55,MATCH($A11,'Loan Tape - Settled'!$E$4:$E$55,0),MATCH("Security",'Loan Tape - Settled'!$B$4:$AM$4,0))</f>
        <v/>
      </c>
      <c r="D11" s="438">
        <f>INDEX('Loan Tape - Settled'!$B$4:$AP$55,MATCH($A11,'Loan Tape - Settled'!$E$4:$E$55,0),MATCH("Loan Type",'Loan Tape - Settled'!$B$4:$AM$4,0))</f>
        <v/>
      </c>
      <c r="E11" s="439">
        <f>IF(ISERROR(MATCH(D11,AGENT!$A$4:$A$10,0))=FALSE, TRUE)</f>
        <v/>
      </c>
      <c r="F11" s="439">
        <f>IF(AND(BZ11="no",CA11="no"),TRUE)</f>
        <v/>
      </c>
      <c r="G11" s="439">
        <f>IF(D11&lt;&gt;"Second Lien",TRUE, IF(CY11&gt;=AGENT!$B$4,TRUE))</f>
        <v/>
      </c>
      <c r="H11" s="439">
        <f>IF(DE11&lt;=AGENT!$D$4,TRUE)</f>
        <v/>
      </c>
      <c r="I11" s="439">
        <f>IF(VLOOKUP(CONCATENATE($A$5,A11),'Loan Tape - Settled'!$A$5:$Q$55,17,FALSE)&gt;=AGENT!$E$4,TRUE)</f>
        <v/>
      </c>
      <c r="J11" s="439">
        <f>IF(INDEX('Loan Tape - Settled'!$B$4:$AP$55,MATCH($A11,'Loan Tape - Settled'!$E$4:$E$55,0),MATCH("Loan Denomination",'Loan Tape - Settled'!$B$4:$AP$4,0))="USD", TRUE)</f>
        <v/>
      </c>
      <c r="K11" s="439">
        <f>IF(INDEX('Loan Tape - Settled'!$B$4:$AP$55,MATCH($A11,'Loan Tape - Settled'!$E$4:$E$55,0),MATCH("Exposure Country",'Loan Tape - Settled'!$B$4:$AP$4,0))="United States", TRUE)</f>
        <v/>
      </c>
      <c r="L11" s="439">
        <f>IF(BS11="NO",TRUE)</f>
        <v/>
      </c>
      <c r="M11" s="439">
        <f>IF(((BM11-BL11)/365)&lt;=AGENT!$F$4,TRUE)</f>
        <v/>
      </c>
      <c r="N11" s="439">
        <f>IF(DX11="Yes",FALSE,TRUE)</f>
        <v/>
      </c>
      <c r="O11" s="493" t="n"/>
      <c r="P11" s="764">
        <f>IF($B11="","",IF(OR(O11=TRUE,COUNTIFS($E11:$N11,TRUE)=10),"Yes","No"))</f>
        <v/>
      </c>
      <c r="Q11" s="730" t="inlineStr">
        <is>
          <t>Yes</t>
        </is>
      </c>
      <c r="R11" s="440">
        <f>IF(P11="Yes",B11,"N/A")</f>
        <v/>
      </c>
      <c r="S11" s="440" t="n"/>
      <c r="T11" s="441">
        <f t="array" ref="T11">_xlfn.IFS(D11="Second Lien",D11,D11="First Lien",CONCATENATE(D11," ",EI11),D11="FILO",CONCATENATE(D11," ",EJ11))</f>
        <v/>
      </c>
      <c r="U11" s="442">
        <f>VLOOKUP(T11,'Concentration Limits'!D:G,4,FALSE)</f>
        <v/>
      </c>
      <c r="V11" s="1020">
        <f>AQ11+AW11+BI11</f>
        <v/>
      </c>
      <c r="W11" s="1021">
        <f>(SUMIFS('Loan Tape - Settled'!$AR$4:$AR$55,'Loan Tape - Settled'!$E$4:$E$55,$A11,'Loan Tape - Settled'!$C$4:$C$55,$A$5))</f>
        <v/>
      </c>
      <c r="X11" s="1022" t="n">
        <v>1</v>
      </c>
      <c r="Y11" s="1023">
        <f>W11*X11</f>
        <v/>
      </c>
      <c r="Z11" s="1022">
        <f>(SUMIFS('Loan Tape - Settled'!$AQ$4:$AQ$55,'Loan Tape - Settled'!$E$4:$E$55,$A11,'Loan Tape - Settled'!$C$4:$C$55,$A$5))</f>
        <v/>
      </c>
      <c r="AA11" s="1023">
        <f>Z11*X11</f>
        <v/>
      </c>
      <c r="AB11" s="1023">
        <f>AA11-Y11</f>
        <v/>
      </c>
      <c r="AC11" s="490">
        <f>VLOOKUP(CONCATENATE($A$5,A11),'Loan Tape - Settled'!$A$5:$Q$55,17,FALSE)</f>
        <v/>
      </c>
      <c r="AD11" s="445" t="n"/>
      <c r="AE11" s="446">
        <f>INDEX('Loan Tape - Settled'!$B$4:$AP$55,MATCH($A11,'Loan Tape - Settled'!$E$4:$E$55,0),MATCH("FMV",'Loan Tape - Settled'!$B$4:$AM$4,0))</f>
        <v/>
      </c>
      <c r="AF11" s="446">
        <f t="array" ref="AF11">_xlfn.IFS(D11="First Lien",
_xlfn.IFS(AND(DL11&gt;0,DL11&lt;Tier_1_1L),Tier_1_ApplicableValue,
AND(DL11&gt;=Tier_1_1L,DL11&lt;Tier_2_1L),((Tier_1_1L/DL11)*Tier_1_ApplicableValue)+((DL11-Tier_1_1L)/DL11*Tier_2_ApplicableValue),
AND(DL11&gt;=Tier_2_1L, DL11&lt;Tier_3_1L),((Tier_1_1L/DL11)*Tier_1_ApplicableValue+(Tier_2_1L-Tier_1_1L)/DL11*Tier_2_ApplicableValue+(DL11-Tier_2_1L)/DL11*Tier_3_ApplicableValue),
AND(DL11&gt;=Tier_3_1L, DL11&lt;=Tier_totalzerovalue),((Tier_1_1L/DL11)*Tier_1_ApplicableValue+(Tier_2_1L-Tier_1_1L)/DL11*Tier_2_ApplicableValue+(Tier_3_1L-Tier_2_1L)/DL11*Tier_3_ApplicableValue+(DL11-Tier_partialzerovalue)/DL11*0%),
DL11&gt;Tier_totalzerovalue,0%),
OR(D11="Second Lien", D11="FILO"),
_xlfn.IFS(AND(DM11&gt;0,DM11&lt;Tier_1_2L),Tier_1_ApplicableValue,
AND(DM11&gt;=Tier_1_2L,DM11&lt;Tier_2_2L),((Tier_1_2L/DM11)*Tier_1_ApplicableValue)+((DM11-Tier_1_2L)/DM11*Tier_2_ApplicableValue),
AND(DM11&gt;=Tier_2_2L, DM11&lt;Tier_3_2L),((Tier_1_2L/DM11)*Tier_1_ApplicableValue+(Tier_2_2L-Tier_1_2L)/DM11*Tier_2_ApplicableValue+(DM11-Tier_2_2L)/DM11*Tier_3_ApplicableValue),
AND(DM11&gt;=Tier_3_2L, DM11&lt;=Tier_totalzerovalue),((Tier_1_2L/DM11)*Tier_1_ApplicableValue+(Tier_2_2L-Tier_1_2L)/DM11*Tier_2_ApplicableValue+(Tier_3_2L-Tier_2_2L)/DM11*Tier_3_ApplicableValue+(DM11-Tier_partialzerovalue)/DM11*0%),
DM11&gt;Tier_totalzerovalue,0%))</f>
        <v/>
      </c>
      <c r="AG11" s="447">
        <f>IF(COUNTIFS(VAE!$C$5:$C$96,B11,VAE!$G$5:$G$96,"&lt;="&amp;Availability!$F$8)&gt;=1,"Yes","-")</f>
        <v/>
      </c>
      <c r="AH11" s="447">
        <f t="array" ref="AH11">IFERROR(IF(AG11="Yes",INDEX(VAE!$D$5:$D$96,MATCH(B11&amp;AJ11,VAE!$C$5:$C$96&amp;VAE!$G$5:$G$96,0)),"-"),0)</f>
        <v/>
      </c>
      <c r="AI11" s="447">
        <f t="array" ref="AI11">IFERROR(IF(AG11="Yes",INDEX(VAE!$F$5:$F$96,MATCH(B11&amp;AJ11,VAE!$C$5:$C$96&amp;VAE!$G$5:$G$96,0)),"-"),0)</f>
        <v/>
      </c>
      <c r="AJ11" s="448">
        <f>IF(AG11="-","-",_xlfn.MAXIFS(VAE!$G$5:$G$96,VAE!$C$5:$C$96,$B11))</f>
        <v/>
      </c>
      <c r="AK11" s="449">
        <f t="array" ref="AK11">IFERROR(IF(AG11="Yes",INDEX(VAE!$P$5:$P$96,MATCH(B11&amp;AJ11,VAE!$C$5:$C$96&amp;VAE!$G$5:$G$96,0)),"-"),0)</f>
        <v/>
      </c>
      <c r="AL11" s="446">
        <f>IF($A11="","",IF(P11="No",0,(IF(AG11="Yes",MIN(AE11,AK11,AF11),MIN(AE11,AF11)))))</f>
        <v/>
      </c>
      <c r="AM11" s="1020" t="n"/>
      <c r="AN11" s="1020" t="n"/>
      <c r="AO11" s="1020">
        <f>IF(AND(D11="First Lien",P11="No"),0,IF(D11&lt;&gt;"First Lien",0,Y11))</f>
        <v/>
      </c>
      <c r="AP11" s="1020">
        <f>IF(AND(D11="First Lien",P11="No"),W11,0)</f>
        <v/>
      </c>
      <c r="AQ11" s="1020">
        <f>AL11*AO11</f>
        <v/>
      </c>
      <c r="AR11" s="1020" t="n"/>
      <c r="AS11" s="1020" t="n"/>
      <c r="AT11" s="1020" t="n"/>
      <c r="AU11" s="1020">
        <f>IF(AND(D11="FILO",P11="No"),0,IF(D11&lt;&gt;"FILO",0,Y11))</f>
        <v/>
      </c>
      <c r="AV11" s="1020">
        <f>IF(AND(D11="FILO",P11="No"),W11,0)</f>
        <v/>
      </c>
      <c r="AW11" s="1020">
        <f>AU11*AL11</f>
        <v/>
      </c>
      <c r="AX11" s="1020" t="n"/>
      <c r="AY11" s="1020" t="n"/>
      <c r="AZ11" s="1020" t="n"/>
      <c r="BA11" s="1020">
        <f>IF(AND(OR(D11="First Lien",D11="FILO"),P11="No"),0,IF(OR(D11="First Lien",D11="FILO"),0,(Y11)))</f>
        <v/>
      </c>
      <c r="BB11" s="1020" t="n"/>
      <c r="BC11" s="1020" t="n"/>
      <c r="BD11" s="1020">
        <f>IF(AND(D11="Second Lien",P11="No"),W11,0)</f>
        <v/>
      </c>
      <c r="BE11" s="1020" t="n"/>
      <c r="BF11" s="1020" t="n"/>
      <c r="BG11" s="1020" t="n"/>
      <c r="BH11" s="1020" t="n"/>
      <c r="BI11" s="1020">
        <f>IF(D11="Second Lien",BA11*AL11,0)</f>
        <v/>
      </c>
      <c r="BJ11" s="1020">
        <f>SUM(AM11:AP11)+SUM(AZ11:BD11)+SUM(AS11:AV11)=Y11</f>
        <v/>
      </c>
      <c r="BK11" s="1026">
        <f>INDEX('Loan Tape - Settled'!$B$4:$AP$55,MATCH($A11,'Loan Tape - Settled'!$E$4:$E$55,0),MATCH("Inception Date",'Loan Tape - Settled'!$B$4:$AP$4,0))</f>
        <v/>
      </c>
      <c r="BL11" s="1026">
        <f>INDEX('Loan Tape - Settled'!$B$4:$AP$55,MATCH($A11,'Loan Tape - Settled'!$E$4:$E$55,0),MATCH("Inclusion Date",'Loan Tape - Settled'!$B$4:$AP$4,0))</f>
        <v/>
      </c>
      <c r="BM11" s="1026">
        <f>INDEX('Loan Tape - Settled'!$B$4:$AP$55,MATCH($A11,'Loan Tape - Settled'!$E$4:$E$55,0),MATCH("Maturity Date",'Loan Tape - Settled'!$B$4:$AP$4,0))</f>
        <v/>
      </c>
      <c r="BN11" s="556" t="n"/>
      <c r="BO11" s="556" t="n"/>
      <c r="BP11" s="1055" t="n"/>
      <c r="BQ11" s="556" t="n"/>
      <c r="BR11" s="554">
        <f>INDEX('Loan Tape - Settled'!$B$4:$AP$55,MATCH($A11,'Loan Tape - Settled'!$E$4:$E$55,0),MATCH("Industry Classification",'Loan Tape - Settled'!$B$4:$AP$4,0))</f>
        <v/>
      </c>
      <c r="BS11" s="556">
        <f>IF(INDEX('Loan Tape - Settled'!$B$4:$AP$55,MATCH($A11,'Loan Tape - Settled'!$E$4:$E$55,0),MATCH("Covenant Lite",'Loan Tape - Settled'!$B$4:$AP$4,0))=-1, "Yes", "No")</f>
        <v/>
      </c>
      <c r="BT11" s="1056">
        <f>INDEX('Loan Tape - Settled'!$B$4:$AP$55,MATCH($A11,'Loan Tape - Settled'!$E$4:$E$55,0),MATCH("Spread / Coupon (%)",'Loan Tape - Settled'!$B$4:$AP$4,0))</f>
        <v/>
      </c>
      <c r="BU11" s="556">
        <f>IF(INDEX('Loan Tape - Settled'!$B$4:$AP$55,MATCH($A11,'Loan Tape - Settled'!$E$4:$E$55,0),MATCH("Security Type",'Loan Tape - Settled'!$B$4:$AP$4,0))="Delayed Draw Term Loan", "Yes", "No")</f>
        <v/>
      </c>
      <c r="BV11" s="557" t="inlineStr">
        <is>
          <t>No</t>
        </is>
      </c>
      <c r="BW11" s="557" t="inlineStr">
        <is>
          <t>No</t>
        </is>
      </c>
      <c r="BX11" s="548" t="inlineStr">
        <is>
          <t>No</t>
        </is>
      </c>
      <c r="BY11" s="556">
        <f>IF(INDEX('Loan Tape - Settled'!$B$4:$AP$55,MATCH($A11,'Loan Tape - Settled'!$E$4:$E$55,0),MATCH("Fixed/Floating",'Loan Tape - Settled'!$B$4:$AP$4,0))="Fixed", "Yes", "No")</f>
        <v/>
      </c>
      <c r="BZ11" s="557" t="inlineStr">
        <is>
          <t>No</t>
        </is>
      </c>
      <c r="CA11" s="557" t="inlineStr">
        <is>
          <t>No</t>
        </is>
      </c>
      <c r="CB11" s="556">
        <f>IF(INDEX('Loan Tape - Settled'!$B$4:$AP$55,MATCH($A11,'Loan Tape - Settled'!$E$4:$E$55,0),MATCH("Loan Denomination",'Loan Tape - Settled'!$B$4:$AP$4,0))="CAD", "Yes", "No")</f>
        <v/>
      </c>
      <c r="CC11" s="556">
        <f>INDEX('Loan Tape - Settled'!$B$4:$AP$55,MATCH($A11,'Loan Tape - Settled'!$E$4:$E$55,0),MATCH("Payment Frequency",'Loan Tape - Settled'!$B$4:$AP$4,0))</f>
        <v/>
      </c>
      <c r="CD11" s="557" t="inlineStr">
        <is>
          <t>No</t>
        </is>
      </c>
      <c r="CE11" s="556">
        <f>INDEX('Loan Tape - Settled'!$B$4:$AP$55,MATCH($A11,'Loan Tape - Settled'!$E$4:$E$55,0),MATCH("S&amp;P Loan Rating (if applicable)",'Loan Tape - Settled'!$B$4:$AP$4,0))</f>
        <v/>
      </c>
      <c r="CF11" s="556">
        <f>INDEX('Loan Tape - Settled'!$B$4:$AP$55,MATCH($A11,'Loan Tape - Settled'!$E$4:$E$55,0),MATCH("Moody's Loan Rating (if applicable)",'Loan Tape - Settled'!$B$4:$AP$4,0))</f>
        <v/>
      </c>
      <c r="CG11" s="556" t="n"/>
      <c r="CH11" s="556" t="n"/>
      <c r="CI11" s="1057" t="n"/>
      <c r="CJ11" s="1030">
        <f>INDEX('Loan Tape - Settled'!$B$4:$BF$55,MATCH($A11,'Loan Tape - Settled'!$E$4:$E$55,0),MATCH("Last Financial Received",'Loan Tape - Settled'!$B$4:$BF$4,0))</f>
        <v/>
      </c>
      <c r="CK11" s="559">
        <f>INDEX('Loan Tape - Settled'!$B$4:$BJ$55,MATCH($A11,'Loan Tape - Settled'!$E$4:$E$55,0),MATCH("Initial Adjusted TTM EBITDA",'Loan Tape - Settled'!$B$4:$BJ$4,0))</f>
        <v/>
      </c>
      <c r="CL11" s="559">
        <f>INDEX('Loan Tape - Settled'!$B$4:$BJ$55,MATCH($A11,'Loan Tape - Settled'!$E$4:$E$55,0),MATCH("Initial TTM Non-adjusted EBITDA",'Loan Tape - Settled'!$B$4:$BJ$4,0))</f>
        <v/>
      </c>
      <c r="CM11" s="1031" t="n"/>
      <c r="CN11" s="451" t="n"/>
      <c r="CO11" s="451" t="n"/>
      <c r="CP11" s="1032" t="n"/>
      <c r="CQ11" s="1033" t="inlineStr">
        <is>
          <t>N</t>
        </is>
      </c>
      <c r="CR11" s="1032" t="n"/>
      <c r="CS11" s="454">
        <f>CK11-CP11+CR11</f>
        <v/>
      </c>
      <c r="CT11" s="455">
        <f>1-CS11/CK11</f>
        <v/>
      </c>
      <c r="CU11" s="559">
        <f>INDEX('Loan Tape - Settled'!$B$4:$BJ$55,MATCH($A11,'Loan Tape - Settled'!$E$4:$E$55,0),MATCH("Current TTM Non-adjusted EBITDA",'Loan Tape - Settled'!$B$4:$BJ$4,0))</f>
        <v/>
      </c>
      <c r="CV11" s="456">
        <f>CT11</f>
        <v/>
      </c>
      <c r="CW11" s="1034" t="inlineStr">
        <is>
          <t>N</t>
        </is>
      </c>
      <c r="CX11" s="1035" t="n"/>
      <c r="CY11" s="1036">
        <f>IF(CW11="N",(1-CV11)*CU11,(1-CX11)*CU11)</f>
        <v/>
      </c>
      <c r="CZ11" s="1037" t="n"/>
      <c r="DA11" s="1038" t="n"/>
      <c r="DB11" s="1039" t="n"/>
      <c r="DC11" s="1040" t="n"/>
      <c r="DD11" s="1040">
        <f>INDEX('Loan Tape - Settled'!$B$4:$BJ$55,MATCH($A11,'Loan Tape - Settled'!$E$4:$E$55,0),MATCH("Initial Senior Net Leverage Senior",'Loan Tape - Settled'!$B$4:$BJ$4,0))</f>
        <v/>
      </c>
      <c r="DE11" s="1041">
        <f>INDEX('Loan Tape - Settled'!$B$4:$BJ$55,MATCH($A11,'Loan Tape - Settled'!$E$4:$E$55,0),MATCH("Initial Total Net Leverage",'Loan Tape - Settled'!$B$4:$BJ$4,0))</f>
        <v/>
      </c>
      <c r="DF11" s="1037" t="n"/>
      <c r="DG11" s="1038" t="n"/>
      <c r="DH11" s="1039" t="n"/>
      <c r="DI11" s="1042">
        <f>INDEX('Loan Tape - Settled'!$B$4:$BJ$55,MATCH($A11,'Loan Tape - Settled'!$E$4:$E$55,0),MATCH("Net Attachment",'Loan Tape - Settled'!$B$4:$BJ$4,0))</f>
        <v/>
      </c>
      <c r="DJ11" s="566">
        <f t="array" ref="DJ11">IF(AG11="Yes",INDEX(VAE!$M$5:$M$53,MATCH($B11&amp;$AJ11,VAE!$C$5:$C$53&amp;VAE!$G$5:$G$53,0)),DD11)</f>
        <v/>
      </c>
      <c r="DK11" s="697">
        <f t="array" ref="DK11">IF(AG11="Yes",INDEX(VAE!$N$5:$N$53,MATCH($B11&amp;$AJ11,VAE!$C$5:$C$53&amp;VAE!$G$5:$G$53,0)),DE11)</f>
        <v/>
      </c>
      <c r="DL11" s="1058">
        <f>INDEX('Loan Tape - Settled'!$B$4:$BJ$55,MATCH($A11,'Loan Tape - Settled'!$E$4:$E$55,0),MATCH("Current Senior Net Leverage Senior",'Loan Tape - Settled'!$B$4:$BJ$4,0))</f>
        <v/>
      </c>
      <c r="DM11" s="1059">
        <f>INDEX('Loan Tape - Settled'!$B$4:$BJ$55,MATCH($A11,'Loan Tape - Settled'!$E$4:$E$55,0),MATCH("Current Total Net Leverage",'Loan Tape - Settled'!$B$4:$BJ$4,0))</f>
        <v/>
      </c>
      <c r="DN11" s="1044" t="n"/>
      <c r="DO11" s="1045">
        <f>INDEX('Loan Tape - Settled'!$B$4:$BJ$55,MATCH($A11,'Loan Tape - Settled'!$E$4:$E$55,0),MATCH("Initial Interest Coverage",'Loan Tape - Settled'!$B$4:$BJ$4,0))</f>
        <v/>
      </c>
      <c r="DP11" s="565">
        <f t="array" ref="DP11">IF(AG11="Yes",INDEX(VAE!$O$5:$O$53,MATCH($B11&amp;$AJ11,VAE!$C$5:$C$53&amp;VAE!$G$5:$G$53,0)),DO11)</f>
        <v/>
      </c>
      <c r="DQ11" s="1046">
        <f>INDEX('Loan Tape - Settled'!$B$4:$BJ$55,MATCH($A11,'Loan Tape - Settled'!$E$4:$E$55,0),MATCH("Current Interest Coverage",'Loan Tape - Settled'!$B$4:$BJ$4,0))</f>
        <v/>
      </c>
      <c r="DR11" s="462">
        <f>IF(OR(DU11="Yes",DU11="N/A",DV11="Yes",DV11="N/A",DW11="Yes",DX11="Yes",DY11="Yes",EF11="Yes",EG11="Yes",EH11="Yes"),"Yes","No")</f>
        <v/>
      </c>
      <c r="DS11" s="1047">
        <f>IF(AG11="Yes",DATEDIF(AJ11,Availability!$F$8,"m"),"")</f>
        <v/>
      </c>
      <c r="DT11" s="1047">
        <f>IF(DS11="","No",IF(DS11&gt;12,"Yes","No"))</f>
        <v/>
      </c>
      <c r="DU11" s="695">
        <f>IFERROR(IF(AND(DQ11/DP11&lt;0.75,DQ11&lt;1.5),"Yes","No"),"N/A")</f>
        <v/>
      </c>
      <c r="DV11" s="696">
        <f>IFERROR(IF(OR(D11="First Lien",D11="FILO"),IF(AND((DL11-DJ11)&gt;0.75,DL11&gt;4),"Yes","No"),"No"),"N/A")</f>
        <v/>
      </c>
      <c r="DW11" s="696">
        <f t="array" ref="DW11">_xlfn.IFS(D11&lt;&gt;"Second Lien","No",D11="Second Lien",IF(AND((DM11-DK11)&gt;0.5,DM11&gt;4.5),"Yes","No"))</f>
        <v/>
      </c>
      <c r="DX11" s="765" t="inlineStr">
        <is>
          <t>Yes</t>
        </is>
      </c>
      <c r="DY11" s="735" t="inlineStr">
        <is>
          <t>No</t>
        </is>
      </c>
      <c r="DZ11" s="1048" t="inlineStr">
        <is>
          <t>No</t>
        </is>
      </c>
      <c r="EA11" s="1048" t="inlineStr">
        <is>
          <t>No</t>
        </is>
      </c>
      <c r="EB11" s="1048" t="inlineStr">
        <is>
          <t>Yes</t>
        </is>
      </c>
      <c r="EC11" s="1048" t="inlineStr">
        <is>
          <t>No</t>
        </is>
      </c>
      <c r="ED11" s="1048" t="inlineStr">
        <is>
          <t>No</t>
        </is>
      </c>
      <c r="EE11" s="1048" t="inlineStr">
        <is>
          <t>No</t>
        </is>
      </c>
      <c r="EF11" s="442">
        <f>IF(OR(DZ11="Yes",EA11="Yes",EB11="Yes",EC11="Yes",ED11="Yes",EE11="Yes"),"Yes","No")</f>
        <v/>
      </c>
      <c r="EG11" s="1048" t="inlineStr">
        <is>
          <t>No</t>
        </is>
      </c>
      <c r="EH11" s="1049" t="inlineStr">
        <is>
          <t>No</t>
        </is>
      </c>
      <c r="EI11" s="1050">
        <f t="array" ref="EI11">IF(D11="First Lien",_xlfn.IFS(CY11&gt;AGENT!$B$23, "&gt; $20MM",CY11&lt;=AGENT!$C$25, "&lt;= $10MM",AND(CY11&lt;=AGENT!$C$24,CY11&gt;AGENT!$B$24),"&lt;= $20MM"), "N/A")</f>
        <v/>
      </c>
      <c r="EJ11" s="1050">
        <f t="array" ref="EJ11">IF(D11="FILO",_xlfn.IFS(DI11&gt;AGENT!$B$29, "&gt; 1.25x",DI11&lt;AGENT!$C$27, "&lt; 0.75x",AND(DI11&lt;=AGENT!$C$28,DI11&gt;=AGENT!$B$28),"&lt;= 1.25x"), "N/A")</f>
        <v/>
      </c>
      <c r="EK11" s="1051">
        <f>V11</f>
        <v/>
      </c>
      <c r="EL11" s="1051">
        <f>'Concentration Limits'!$J$49</f>
        <v/>
      </c>
      <c r="EM11" s="1051">
        <f>IF(OR(D11="Second Lien",AND(D11="FILO",DI11&gt;AGENT!$C$57)), "Yes", "No")</f>
        <v/>
      </c>
      <c r="EN11" s="1051">
        <f>IF(EM11="Yes",SUMIF(EM:EM,"Yes",EK:EK),0)</f>
        <v/>
      </c>
      <c r="EO11" s="1051">
        <f>IF(EN11&gt;EL11,(EN11-EL11)*(EK11/SUMIF(EM:EM,"Yes",EK:EK)),0)</f>
        <v/>
      </c>
      <c r="EP11" s="1051">
        <f>MAX(0,EK11-EO11)</f>
        <v/>
      </c>
      <c r="EQ11" s="1051">
        <f>'Concentration Limits'!$J$50</f>
        <v/>
      </c>
      <c r="ER11" s="1051">
        <f>IF(D11="Second Lien",SUMIF(D:D,D11,EP:EP),0)</f>
        <v/>
      </c>
      <c r="ES11" s="1051">
        <f>MAX(0,(ER11-EQ11)*IFERROR((EP11/SUMIF($D:$D,D11,EP:EP )),0) )</f>
        <v/>
      </c>
      <c r="ET11" s="1051">
        <f>MAX(0,EP11-ES11)</f>
        <v/>
      </c>
      <c r="EU11" s="1051">
        <f>'Concentration Limits'!$J$51</f>
        <v/>
      </c>
      <c r="EV11" s="1051">
        <f>IF(OR(D11="Second Lien", AND(D11="FILO",DI11&gt;AGENT!$C$59)), "Yes", "No")</f>
        <v/>
      </c>
      <c r="EW11" s="1051">
        <f>IF(EV11="Yes",SUMIF(EV:EV,"Yes",ET:ET),0)</f>
        <v/>
      </c>
      <c r="EX11" s="1051">
        <f>IF(EW11&gt;EU11,(EW11-EU11)*(ET11/SUMIF(EV:EV,"Yes",ET:ET)),0)</f>
        <v/>
      </c>
      <c r="EY11" s="1051">
        <f>MAX(0,ET11-EX11)</f>
        <v/>
      </c>
      <c r="EZ11" s="1051">
        <f>'Concentration Limits'!$J$52</f>
        <v/>
      </c>
      <c r="FA11" s="1051">
        <f>IF(CY11&gt;'Concentration Limits'!$E$52, "No", "Yes")</f>
        <v/>
      </c>
      <c r="FB11" s="1051">
        <f>IF(FA11="Yes",SUMIF(FA:FA,"Yes",EY:EY),0)</f>
        <v/>
      </c>
      <c r="FC11" s="1051">
        <f>IF(FB11&gt;EZ11,(FB11-EZ11)*(EY11/SUMIF(FA:FA,"Yes",EY:EY)),0)</f>
        <v/>
      </c>
      <c r="FD11" s="1051">
        <f>MAX(0,EY11-FC11)</f>
        <v/>
      </c>
      <c r="FE11" s="1052">
        <f>'Concentration Limits'!$J$54</f>
        <v/>
      </c>
      <c r="FF11" s="1052">
        <f>'Concentration Limits'!$J$55</f>
        <v/>
      </c>
      <c r="FG11" s="1052">
        <f>'Concentration Limits'!$J$56</f>
        <v/>
      </c>
      <c r="FH11" s="1053">
        <f>'Concentration Limits'!$J$57</f>
        <v/>
      </c>
      <c r="FI11" s="1053">
        <f>SUMIF($B:$B,$B11,$FD:$FD)</f>
        <v/>
      </c>
      <c r="FJ11" s="1053">
        <f>IF(MATCH($B11,$B:$B,0)=ROW(),$FI11,0)</f>
        <v/>
      </c>
      <c r="FK11" s="1053">
        <f>INDEX(FL$8:FL$60,MATCH(B11,B$8:B$60,0))</f>
        <v/>
      </c>
      <c r="FL11" s="1053">
        <f>IF(FJ11&gt;0,RANK(FJ11,$FJ$9:$FJ$60)+COUNTIF($FJ$9:FJ11,FJ11)-1,0)</f>
        <v/>
      </c>
      <c r="FM11" s="1052">
        <f>IF(FK11=1,IF(FI11&gt;FE11,(FI11-FE11)*(V11/SUMIF($B:$B,B11,$FD:$FD)),0),0)</f>
        <v/>
      </c>
      <c r="FN11" s="1052">
        <f>IF(FK11=2,IF(FI11&gt;FF11,(FI11-FF11)*(V11/SUMIF($B:$B,B11,$FD:$FD)),0),0)</f>
        <v/>
      </c>
      <c r="FO11" s="1052">
        <f>IF(FK11=3,IF(FI11&gt;FG11,(FI11-FG11)*(V11/SUMIF($B:$B,B11,$FD:$FD)),0),0)</f>
        <v/>
      </c>
      <c r="FP11" s="1053">
        <f>IF(FK11&gt;0,IF(FI11&gt;FH11,(FI11-FH11)*(FD11/(SUMIF($B:$B,$B11,$FD:$FD))),0),0)</f>
        <v/>
      </c>
      <c r="FQ11" s="1053">
        <f>MAX(0,FD11-FM11-FN11-FO11-FP11)</f>
        <v/>
      </c>
      <c r="FR11" s="1053">
        <f>'Concentration Limits'!$J$58</f>
        <v/>
      </c>
      <c r="FS11" s="1053">
        <f>SUMIF($BR:$BR,$BR11,FQ:FQ)</f>
        <v/>
      </c>
      <c r="FT11" s="1053">
        <f>VLOOKUP(BR11,'Concentration Limits'!$E$81:$H$153,4,FALSE)</f>
        <v/>
      </c>
      <c r="FU11" s="1053">
        <f>IF(FT11=1,MAX(0,(FS11-FR11)*(FQ11/SUMIF($BR:$BR,BR11,FQ:FQ))),0)</f>
        <v/>
      </c>
      <c r="FV11" s="1053">
        <f>MAX(0,FQ11-FU11)</f>
        <v/>
      </c>
      <c r="FW11" s="1053">
        <f>'Concentration Limits'!$J$59</f>
        <v/>
      </c>
      <c r="FX11" s="1053">
        <f>SUMIF($BR:$BR,$BR11,FV:FV)</f>
        <v/>
      </c>
      <c r="FY11" s="1053">
        <f>VLOOKUP(BR11,'Concentration Limits'!$E$81:$H$153,4,FALSE)</f>
        <v/>
      </c>
      <c r="FZ11" s="1053">
        <f>MAX(0,IF(FY11=2,(FX11-FW11)*(FV11/SUMIF($BR:$BR,BR11,FV:FV)),0))</f>
        <v/>
      </c>
      <c r="GA11" s="1053">
        <f>MAX(0,FV11-FZ11)</f>
        <v/>
      </c>
      <c r="GB11" s="1053">
        <f>'Concentration Limits'!$J$61</f>
        <v/>
      </c>
      <c r="GC11" s="1053">
        <f>SUMIF($BR:$BR,$BR11,GA:GA)</f>
        <v/>
      </c>
      <c r="GD11" s="1051">
        <f>VLOOKUP(BR11,'Concentration Limits'!$E$81:$H$153,4,FALSE)</f>
        <v/>
      </c>
      <c r="GE11" s="1053">
        <f>IF(GA11=0,0,MAX(0,IF(GD11&lt;3,0,(GC11-GB11)*($GA11/SUMIF($BR:$BR,BR11,GA:GA)))))</f>
        <v/>
      </c>
      <c r="GF11" s="1053">
        <f>MAX(0,GA11-GE11)</f>
        <v/>
      </c>
      <c r="GG11" s="1053">
        <f>'Concentration Limits'!$J$64</f>
        <v/>
      </c>
      <c r="GH11" s="1053">
        <f>IF(BY11="Yes",SUMIF(BY:BY,BY11,GF:GF),0)</f>
        <v/>
      </c>
      <c r="GI11" s="1053">
        <f>IFERROR(MAX(0,(GH11-GG11)*(GF11/SUMIF($T:$T,T11,GF:GF ))),0)</f>
        <v/>
      </c>
      <c r="GJ11" s="1053">
        <f>MAX(0,GF11-GI11)</f>
        <v/>
      </c>
      <c r="GK11" s="1053">
        <f>'Concentration Limits'!$J$67</f>
        <v/>
      </c>
      <c r="GL11" s="1051">
        <f>IF(OR(BV11="Yes",OR(ISNUMBER(SEARCH("Travel",BR11)),ISNUMBER(SEARCH("Energy",BR11)),ISNUMBER(SEARCH("Leisure",BR11)),ISNUMBER(SEARCH("hotel",BR11)))),"Yes","No")</f>
        <v/>
      </c>
      <c r="GM11" s="1053">
        <f>IF(GL11="Yes",SUMIF(GL:GL,"Yes",GJ:GJ),0)</f>
        <v/>
      </c>
      <c r="GN11" s="1053">
        <f>IF(GM11&gt;GK11,(GM11-GK11)*(GJ11/SUMIF(GL:GL,"Yes",GJ:GJ)),0)</f>
        <v/>
      </c>
      <c r="GO11" s="1053">
        <f>MAX(0,GJ11-GN11)</f>
        <v/>
      </c>
      <c r="GP11" s="1053">
        <f>'Concentration Limits'!$J$68</f>
        <v/>
      </c>
      <c r="GQ11" s="1051">
        <f>IF(BU11="Yes","Yes", "No")</f>
        <v/>
      </c>
      <c r="GR11" s="1053">
        <f>IF(GQ11="Yes",SUMIF(GQ:GQ,"Yes",GO:GO),0)</f>
        <v/>
      </c>
      <c r="GS11" s="1053">
        <f>IF(GR11&gt;GP11,(GR11-GP11)*(GO11/SUMIF(GQ:GQ,"Yes",GO:GO)),0)</f>
        <v/>
      </c>
      <c r="GT11" s="1053">
        <f>MAX(0,GO11-GS11)</f>
        <v/>
      </c>
      <c r="GU11" s="1051">
        <f>'Concentration Limits'!$J$69</f>
        <v/>
      </c>
      <c r="GV11" s="1051">
        <f>IF(BW11="Yes", "Yes", "No")</f>
        <v/>
      </c>
      <c r="GW11" s="1051">
        <f>IF(GV11="Yes",SUMIF(GV:GV,"Yes",GT:GT),0)</f>
        <v/>
      </c>
      <c r="GX11" s="1051">
        <f>IF(GW11&gt;GU11,(GW11-GU11)*(GT11/SUMIF(GV:GV,"Yes",GT:GT)),0)</f>
        <v/>
      </c>
      <c r="GY11" s="1051">
        <f>MAX(0,GT11-GX11)</f>
        <v/>
      </c>
      <c r="GZ11" s="1051">
        <f>'Concentration Limits'!$J$70</f>
        <v/>
      </c>
      <c r="HA11" s="1051">
        <f>IF(BX11="Yes", "Yes", "No")</f>
        <v/>
      </c>
      <c r="HB11" s="1051">
        <f>IF(HA11="Yes",SUMIF(HA:HA,"Yes",GY:GY),0)</f>
        <v/>
      </c>
      <c r="HC11" s="1051">
        <f>IF(HB11&gt;GZ11,(HB11-GZ11)*(GY11/SUMIF(HA:HA,"Yes",GY:GY)),0)</f>
        <v/>
      </c>
      <c r="HD11" s="1051">
        <f>MAX(0,GY11-HC11)</f>
        <v/>
      </c>
      <c r="HE11" s="1053">
        <f>IF(AQ11=0,0,HD11*AQ11/(AQ11+AR11))</f>
        <v/>
      </c>
      <c r="HF11" s="1053">
        <f>IF(AR11=0,0,HD11*AR11/(AQ11+AR11))</f>
        <v/>
      </c>
      <c r="HG11" s="1053">
        <f>IF(AW11=0,0,HD11*AW11/(AW11+AX11))</f>
        <v/>
      </c>
      <c r="HH11" s="1053">
        <f>IF(AX11=0,0,HD11*AX11/(AX11+AW11))</f>
        <v/>
      </c>
      <c r="HI11" s="1053">
        <f>IF(BE11=0,0,#REF!*BE11/(BE11+BG11))</f>
        <v/>
      </c>
      <c r="HJ11" s="1053">
        <f>IF(BG11=0,0,#REF!*BG11/(BG11+BE11))</f>
        <v/>
      </c>
      <c r="HK11" s="1054">
        <f>IF(BF11=0,0,#REF!*BF11/(BF11+BH11))</f>
        <v/>
      </c>
      <c r="HL11" s="1053">
        <f>IF(BH11=0,0,#REF!*BH11/(BH11+BF11))</f>
        <v/>
      </c>
      <c r="HM11" s="1053">
        <f>IF(D11="Second Lien",HD11,0)</f>
        <v/>
      </c>
      <c r="HN11" s="1053">
        <f>SUM(HE11:HM11)=HD11</f>
        <v/>
      </c>
    </row>
    <row r="12" ht="12.75" customFormat="1" customHeight="1" s="469">
      <c r="A12" s="55">
        <f>A11+1</f>
        <v/>
      </c>
      <c r="B12" s="437">
        <f>INDEX('Loan Tape - Settled'!$B$4:$AP$55,MATCH($A12,'Loan Tape - Settled'!$E$4:$E$55,0),MATCH("Obligor Name",'Loan Tape - Settled'!$B$4:$AM$4,0))</f>
        <v/>
      </c>
      <c r="C12" s="437">
        <f>INDEX('Loan Tape - Settled'!$B$4:$AP$55,MATCH($A12,'Loan Tape - Settled'!$E$4:$E$55,0),MATCH("Security",'Loan Tape - Settled'!$B$4:$AM$4,0))</f>
        <v/>
      </c>
      <c r="D12" s="438">
        <f>INDEX('Loan Tape - Settled'!$B$4:$AP$55,MATCH($A12,'Loan Tape - Settled'!$E$4:$E$55,0),MATCH("Loan Type",'Loan Tape - Settled'!$B$4:$AM$4,0))</f>
        <v/>
      </c>
      <c r="E12" s="439">
        <f>IF(ISERROR(MATCH(D12,AGENT!$A$4:$A$10,0))=FALSE, TRUE)</f>
        <v/>
      </c>
      <c r="F12" s="439">
        <f>IF(AND(BZ12="no",CA12="no"),TRUE)</f>
        <v/>
      </c>
      <c r="G12" s="439">
        <f>IF(D12&lt;&gt;"Second Lien",TRUE, IF(CY12&gt;=AGENT!$B$4,TRUE))</f>
        <v/>
      </c>
      <c r="H12" s="439">
        <f>IF(DE12&lt;=AGENT!$D$4,TRUE)</f>
        <v/>
      </c>
      <c r="I12" s="439">
        <f>IF(VLOOKUP(CONCATENATE($A$5,A12),'Loan Tape - Settled'!$A$5:$Q$55,17,FALSE)&gt;=AGENT!$E$4,TRUE)</f>
        <v/>
      </c>
      <c r="J12" s="439">
        <f>IF(INDEX('Loan Tape - Settled'!$B$4:$AP$55,MATCH($A12,'Loan Tape - Settled'!$E$4:$E$55,0),MATCH("Loan Denomination",'Loan Tape - Settled'!$B$4:$AP$4,0))="USD", TRUE)</f>
        <v/>
      </c>
      <c r="K12" s="439">
        <f>IF(INDEX('Loan Tape - Settled'!$B$4:$AP$55,MATCH($A12,'Loan Tape - Settled'!$E$4:$E$55,0),MATCH("Exposure Country",'Loan Tape - Settled'!$B$4:$AP$4,0))="United States", TRUE)</f>
        <v/>
      </c>
      <c r="L12" s="439">
        <f>IF(BS12="NO",TRUE)</f>
        <v/>
      </c>
      <c r="M12" s="439">
        <f>IF(((BM12-BL12)/365)&lt;=AGENT!$F$4,TRUE)</f>
        <v/>
      </c>
      <c r="N12" s="439">
        <f>IF(DX12="Yes",FALSE,TRUE)</f>
        <v/>
      </c>
      <c r="O12" s="493" t="n"/>
      <c r="P12" s="764">
        <f>IF($B12="","",IF(OR(O12=TRUE,COUNTIFS($E12:$N12,TRUE)=10),"Yes","No"))</f>
        <v/>
      </c>
      <c r="Q12" s="730" t="inlineStr">
        <is>
          <t>Yes</t>
        </is>
      </c>
      <c r="R12" s="440">
        <f>IF(P12="Yes",B12,"N/A")</f>
        <v/>
      </c>
      <c r="S12" s="440" t="n"/>
      <c r="T12" s="441">
        <f t="array" ref="T12">_xlfn.IFS(D12="Second Lien",D12,D12="First Lien",CONCATENATE(D12," ",EI12),D12="FILO",CONCATENATE(D12," ",EJ12))</f>
        <v/>
      </c>
      <c r="U12" s="442">
        <f>VLOOKUP(T12,'Concentration Limits'!D:G,4,FALSE)</f>
        <v/>
      </c>
      <c r="V12" s="1020">
        <f>AQ12+AW12+BI12</f>
        <v/>
      </c>
      <c r="W12" s="1021">
        <f>(SUMIFS('Loan Tape - Settled'!$AR$4:$AR$55,'Loan Tape - Settled'!$E$4:$E$55,$A12,'Loan Tape - Settled'!$C$4:$C$55,$A$5))</f>
        <v/>
      </c>
      <c r="X12" s="1022" t="n">
        <v>1</v>
      </c>
      <c r="Y12" s="1023">
        <f>W12*X12</f>
        <v/>
      </c>
      <c r="Z12" s="1022">
        <f>(SUMIFS('Loan Tape - Settled'!$AQ$4:$AQ$55,'Loan Tape - Settled'!$E$4:$E$55,$A12,'Loan Tape - Settled'!$C$4:$C$55,$A$5))</f>
        <v/>
      </c>
      <c r="AA12" s="1023">
        <f>Z12*X12</f>
        <v/>
      </c>
      <c r="AB12" s="1023">
        <f>AA12-Y12</f>
        <v/>
      </c>
      <c r="AC12" s="490">
        <f>VLOOKUP(CONCATENATE($A$5,A12),'Loan Tape - Settled'!$A$5:$Q$55,17,FALSE)</f>
        <v/>
      </c>
      <c r="AD12" s="445" t="n"/>
      <c r="AE12" s="446">
        <f>INDEX('Loan Tape - Settled'!$B$4:$AP$55,MATCH($A12,'Loan Tape - Settled'!$E$4:$E$55,0),MATCH("FMV",'Loan Tape - Settled'!$B$4:$AM$4,0))</f>
        <v/>
      </c>
      <c r="AF12" s="446">
        <f t="array" ref="AF12">_xlfn.IFS(D12="First Lien",
_xlfn.IFS(AND(DL12&gt;0,DL12&lt;Tier_1_1L),Tier_1_ApplicableValue,
AND(DL12&gt;=Tier_1_1L,DL12&lt;Tier_2_1L),((Tier_1_1L/DL12)*Tier_1_ApplicableValue)+((DL12-Tier_1_1L)/DL12*Tier_2_ApplicableValue),
AND(DL12&gt;=Tier_2_1L, DL12&lt;Tier_3_1L),((Tier_1_1L/DL12)*Tier_1_ApplicableValue+(Tier_2_1L-Tier_1_1L)/DL12*Tier_2_ApplicableValue+(DL12-Tier_2_1L)/DL12*Tier_3_ApplicableValue),
AND(DL12&gt;=Tier_3_1L, DL12&lt;=Tier_totalzerovalue),((Tier_1_1L/DL12)*Tier_1_ApplicableValue+(Tier_2_1L-Tier_1_1L)/DL12*Tier_2_ApplicableValue+(Tier_3_1L-Tier_2_1L)/DL12*Tier_3_ApplicableValue+(DL12-Tier_partialzerovalue)/DL12*0%),
DL12&gt;Tier_totalzerovalue,0%),
OR(D12="Second Lien", D12="FILO"),
_xlfn.IFS(AND(DM12&gt;0,DM12&lt;Tier_1_2L),Tier_1_ApplicableValue,
AND(DM12&gt;=Tier_1_2L,DM12&lt;Tier_2_2L),((Tier_1_2L/DM12)*Tier_1_ApplicableValue)+((DM12-Tier_1_2L)/DM12*Tier_2_ApplicableValue),
AND(DM12&gt;=Tier_2_2L, DM12&lt;Tier_3_2L),((Tier_1_2L/DM12)*Tier_1_ApplicableValue+(Tier_2_2L-Tier_1_2L)/DM12*Tier_2_ApplicableValue+(DM12-Tier_2_2L)/DM12*Tier_3_ApplicableValue),
AND(DM12&gt;=Tier_3_2L, DM12&lt;=Tier_totalzerovalue),((Tier_1_2L/DM12)*Tier_1_ApplicableValue+(Tier_2_2L-Tier_1_2L)/DM12*Tier_2_ApplicableValue+(Tier_3_2L-Tier_2_2L)/DM12*Tier_3_ApplicableValue+(DM12-Tier_partialzerovalue)/DM12*0%),
DM12&gt;Tier_totalzerovalue,0%))</f>
        <v/>
      </c>
      <c r="AG12" s="447">
        <f>IF(COUNTIFS(VAE!$C$5:$C$96,B12,VAE!$G$5:$G$96,"&lt;="&amp;Availability!$F$8)&gt;=1,"Yes","-")</f>
        <v/>
      </c>
      <c r="AH12" s="447">
        <f t="array" ref="AH12">IFERROR(IF(AG12="Yes",INDEX(VAE!$D$5:$D$96,MATCH(B12&amp;AJ12,VAE!$C$5:$C$96&amp;VAE!$G$5:$G$96,0)),"-"),0)</f>
        <v/>
      </c>
      <c r="AI12" s="447">
        <f t="array" ref="AI12">IFERROR(IF(AG12="Yes",INDEX(VAE!$F$5:$F$96,MATCH(B12&amp;AJ12,VAE!$C$5:$C$96&amp;VAE!$G$5:$G$96,0)),"-"),0)</f>
        <v/>
      </c>
      <c r="AJ12" s="448">
        <f>IF(AG12="-","-",_xlfn.MAXIFS(VAE!$G$5:$G$96,VAE!$C$5:$C$96,$B12))</f>
        <v/>
      </c>
      <c r="AK12" s="449">
        <f t="array" ref="AK12">IFERROR(IF(AG12="Yes",INDEX(VAE!$P$5:$P$96,MATCH(B12&amp;AJ12,VAE!$C$5:$C$96&amp;VAE!$G$5:$G$96,0)),"-"),0)</f>
        <v/>
      </c>
      <c r="AL12" s="446">
        <f>IF($A12="","",IF(P12="No",0,(IF(AG12="Yes",MIN(AE12,AK12,AF12),MIN(AE12,AF12)))))</f>
        <v/>
      </c>
      <c r="AM12" s="1020" t="n"/>
      <c r="AN12" s="1020" t="n"/>
      <c r="AO12" s="1020">
        <f>IF(AND(D12="First Lien",P12="No"),0,IF(D12&lt;&gt;"First Lien",0,Y12))</f>
        <v/>
      </c>
      <c r="AP12" s="1020">
        <f>IF(AND(D12="First Lien",P12="No"),W12,0)</f>
        <v/>
      </c>
      <c r="AQ12" s="1020">
        <f>AL12*AO12</f>
        <v/>
      </c>
      <c r="AR12" s="1020" t="n"/>
      <c r="AS12" s="1020" t="n"/>
      <c r="AT12" s="1020" t="n"/>
      <c r="AU12" s="1020">
        <f>IF(AND(D12="FILO",P12="No"),0,IF(D12&lt;&gt;"FILO",0,Y12))</f>
        <v/>
      </c>
      <c r="AV12" s="1020">
        <f>IF(AND(D12="FILO",P12="No"),W12,0)</f>
        <v/>
      </c>
      <c r="AW12" s="1020">
        <f>AU12*AL12</f>
        <v/>
      </c>
      <c r="AX12" s="1020" t="n"/>
      <c r="AY12" s="1020" t="n"/>
      <c r="AZ12" s="1020" t="n"/>
      <c r="BA12" s="1020">
        <f>IF(AND(OR(D12="First Lien",D12="FILO"),P12="No"),0,IF(OR(D12="First Lien",D12="FILO"),0,(Y12)))</f>
        <v/>
      </c>
      <c r="BB12" s="1020" t="n"/>
      <c r="BC12" s="1020" t="n"/>
      <c r="BD12" s="1020">
        <f>IF(AND(D12="Second Lien",P12="No"),W12,0)</f>
        <v/>
      </c>
      <c r="BE12" s="1020" t="n"/>
      <c r="BF12" s="1020" t="n"/>
      <c r="BG12" s="1020" t="n"/>
      <c r="BH12" s="1020" t="n"/>
      <c r="BI12" s="1020">
        <f>IF(D12="Second Lien",BA12*AL12,0)</f>
        <v/>
      </c>
      <c r="BJ12" s="1020">
        <f>SUM(AM12:AP12)+SUM(AZ12:BD12)+SUM(AS12:AV12)=Y12</f>
        <v/>
      </c>
      <c r="BK12" s="1026">
        <f>INDEX('Loan Tape - Settled'!$B$4:$AP$55,MATCH($A12,'Loan Tape - Settled'!$E$4:$E$55,0),MATCH("Inception Date",'Loan Tape - Settled'!$B$4:$AP$4,0))</f>
        <v/>
      </c>
      <c r="BL12" s="1026">
        <f>INDEX('Loan Tape - Settled'!$B$4:$AP$55,MATCH($A12,'Loan Tape - Settled'!$E$4:$E$55,0),MATCH("Inclusion Date",'Loan Tape - Settled'!$B$4:$AP$4,0))</f>
        <v/>
      </c>
      <c r="BM12" s="1026">
        <f>INDEX('Loan Tape - Settled'!$B$4:$AP$55,MATCH($A12,'Loan Tape - Settled'!$E$4:$E$55,0),MATCH("Maturity Date",'Loan Tape - Settled'!$B$4:$AP$4,0))</f>
        <v/>
      </c>
      <c r="BN12" s="556" t="n"/>
      <c r="BO12" s="556" t="n"/>
      <c r="BP12" s="1055" t="n"/>
      <c r="BQ12" s="556" t="n"/>
      <c r="BR12" s="554">
        <f>INDEX('Loan Tape - Settled'!$B$4:$AP$55,MATCH($A12,'Loan Tape - Settled'!$E$4:$E$55,0),MATCH("Industry Classification",'Loan Tape - Settled'!$B$4:$AP$4,0))</f>
        <v/>
      </c>
      <c r="BS12" s="556">
        <f>IF(INDEX('Loan Tape - Settled'!$B$4:$AP$55,MATCH($A12,'Loan Tape - Settled'!$E$4:$E$55,0),MATCH("Covenant Lite",'Loan Tape - Settled'!$B$4:$AP$4,0))=-1, "Yes", "No")</f>
        <v/>
      </c>
      <c r="BT12" s="1056">
        <f>INDEX('Loan Tape - Settled'!$B$4:$AP$55,MATCH($A12,'Loan Tape - Settled'!$E$4:$E$55,0),MATCH("Spread / Coupon (%)",'Loan Tape - Settled'!$B$4:$AP$4,0))</f>
        <v/>
      </c>
      <c r="BU12" s="556">
        <f>IF(INDEX('Loan Tape - Settled'!$B$4:$AP$55,MATCH($A12,'Loan Tape - Settled'!$E$4:$E$55,0),MATCH("Security Type",'Loan Tape - Settled'!$B$4:$AP$4,0))="Delayed Draw Term Loan", "Yes", "No")</f>
        <v/>
      </c>
      <c r="BV12" s="557" t="inlineStr">
        <is>
          <t>No</t>
        </is>
      </c>
      <c r="BW12" s="557" t="inlineStr">
        <is>
          <t>No</t>
        </is>
      </c>
      <c r="BX12" s="548" t="inlineStr">
        <is>
          <t>No</t>
        </is>
      </c>
      <c r="BY12" s="556">
        <f>IF(INDEX('Loan Tape - Settled'!$B$4:$AP$55,MATCH($A12,'Loan Tape - Settled'!$E$4:$E$55,0),MATCH("Fixed/Floating",'Loan Tape - Settled'!$B$4:$AP$4,0))="Fixed", "Yes", "No")</f>
        <v/>
      </c>
      <c r="BZ12" s="557" t="inlineStr">
        <is>
          <t>No</t>
        </is>
      </c>
      <c r="CA12" s="557" t="inlineStr">
        <is>
          <t>No</t>
        </is>
      </c>
      <c r="CB12" s="556">
        <f>IF(INDEX('Loan Tape - Settled'!$B$4:$AP$55,MATCH($A12,'Loan Tape - Settled'!$E$4:$E$55,0),MATCH("Loan Denomination",'Loan Tape - Settled'!$B$4:$AP$4,0))="CAD", "Yes", "No")</f>
        <v/>
      </c>
      <c r="CC12" s="556">
        <f>INDEX('Loan Tape - Settled'!$B$4:$AP$55,MATCH($A12,'Loan Tape - Settled'!$E$4:$E$55,0),MATCH("Payment Frequency",'Loan Tape - Settled'!$B$4:$AP$4,0))</f>
        <v/>
      </c>
      <c r="CD12" s="557" t="inlineStr">
        <is>
          <t>No</t>
        </is>
      </c>
      <c r="CE12" s="556">
        <f>INDEX('Loan Tape - Settled'!$B$4:$AP$55,MATCH($A12,'Loan Tape - Settled'!$E$4:$E$55,0),MATCH("S&amp;P Loan Rating (if applicable)",'Loan Tape - Settled'!$B$4:$AP$4,0))</f>
        <v/>
      </c>
      <c r="CF12" s="556">
        <f>INDEX('Loan Tape - Settled'!$B$4:$AP$55,MATCH($A12,'Loan Tape - Settled'!$E$4:$E$55,0),MATCH("Moody's Loan Rating (if applicable)",'Loan Tape - Settled'!$B$4:$AP$4,0))</f>
        <v/>
      </c>
      <c r="CG12" s="556" t="n"/>
      <c r="CH12" s="556" t="n"/>
      <c r="CI12" s="1057" t="n"/>
      <c r="CJ12" s="1030">
        <f>INDEX('Loan Tape - Settled'!$B$4:$BF$55,MATCH($A12,'Loan Tape - Settled'!$E$4:$E$55,0),MATCH("Last Financial Received",'Loan Tape - Settled'!$B$4:$BF$4,0))</f>
        <v/>
      </c>
      <c r="CK12" s="559">
        <f>INDEX('Loan Tape - Settled'!$B$4:$BJ$55,MATCH($A12,'Loan Tape - Settled'!$E$4:$E$55,0),MATCH("Initial Adjusted TTM EBITDA",'Loan Tape - Settled'!$B$4:$BJ$4,0))</f>
        <v/>
      </c>
      <c r="CL12" s="559">
        <f>INDEX('Loan Tape - Settled'!$B$4:$BJ$55,MATCH($A12,'Loan Tape - Settled'!$E$4:$E$55,0),MATCH("Initial TTM Non-adjusted EBITDA",'Loan Tape - Settled'!$B$4:$BJ$4,0))</f>
        <v/>
      </c>
      <c r="CM12" s="1031" t="n"/>
      <c r="CN12" s="451" t="n"/>
      <c r="CO12" s="451" t="n"/>
      <c r="CP12" s="1032" t="n"/>
      <c r="CQ12" s="1033" t="inlineStr">
        <is>
          <t>N</t>
        </is>
      </c>
      <c r="CR12" s="1032" t="n"/>
      <c r="CS12" s="454">
        <f>CK12-CP12+CR12</f>
        <v/>
      </c>
      <c r="CT12" s="455">
        <f>1-CS12/CK12</f>
        <v/>
      </c>
      <c r="CU12" s="559">
        <f>INDEX('Loan Tape - Settled'!$B$4:$BJ$55,MATCH($A12,'Loan Tape - Settled'!$E$4:$E$55,0),MATCH("Current TTM Non-adjusted EBITDA",'Loan Tape - Settled'!$B$4:$BJ$4,0))</f>
        <v/>
      </c>
      <c r="CV12" s="456">
        <f>CT12</f>
        <v/>
      </c>
      <c r="CW12" s="1034" t="inlineStr">
        <is>
          <t>N</t>
        </is>
      </c>
      <c r="CX12" s="1035" t="n"/>
      <c r="CY12" s="1036">
        <f>IF(CW12="N",(1-CV12)*CU12,(1-CX12)*CU12)</f>
        <v/>
      </c>
      <c r="CZ12" s="1037" t="n"/>
      <c r="DA12" s="1038" t="n"/>
      <c r="DB12" s="1039" t="n"/>
      <c r="DC12" s="1040" t="n"/>
      <c r="DD12" s="1040">
        <f>INDEX('Loan Tape - Settled'!$B$4:$BJ$55,MATCH($A12,'Loan Tape - Settled'!$E$4:$E$55,0),MATCH("Initial Senior Net Leverage Senior",'Loan Tape - Settled'!$B$4:$BJ$4,0))</f>
        <v/>
      </c>
      <c r="DE12" s="1041">
        <f>INDEX('Loan Tape - Settled'!$B$4:$BJ$55,MATCH($A12,'Loan Tape - Settled'!$E$4:$E$55,0),MATCH("Initial Total Net Leverage",'Loan Tape - Settled'!$B$4:$BJ$4,0))</f>
        <v/>
      </c>
      <c r="DF12" s="1037" t="n"/>
      <c r="DG12" s="1038" t="n"/>
      <c r="DH12" s="1039" t="n"/>
      <c r="DI12" s="1042">
        <f>INDEX('Loan Tape - Settled'!$B$4:$BJ$55,MATCH($A12,'Loan Tape - Settled'!$E$4:$E$55,0),MATCH("Net Attachment",'Loan Tape - Settled'!$B$4:$BJ$4,0))</f>
        <v/>
      </c>
      <c r="DJ12" s="566">
        <f t="array" ref="DJ12">IF(AG12="Yes",INDEX(VAE!$M$5:$M$53,MATCH($B12&amp;$AJ12,VAE!$C$5:$C$53&amp;VAE!$G$5:$G$53,0)),DD12)</f>
        <v/>
      </c>
      <c r="DK12" s="697">
        <f t="array" ref="DK12">IF(AG12="Yes",INDEX(VAE!$N$5:$N$53,MATCH($B12&amp;$AJ12,VAE!$C$5:$C$53&amp;VAE!$G$5:$G$53,0)),DE12)</f>
        <v/>
      </c>
      <c r="DL12" s="1058">
        <f>INDEX('Loan Tape - Settled'!$B$4:$BJ$55,MATCH($A12,'Loan Tape - Settled'!$E$4:$E$55,0),MATCH("Current Senior Net Leverage Senior",'Loan Tape - Settled'!$B$4:$BJ$4,0))</f>
        <v/>
      </c>
      <c r="DM12" s="1059">
        <f>INDEX('Loan Tape - Settled'!$B$4:$BJ$55,MATCH($A12,'Loan Tape - Settled'!$E$4:$E$55,0),MATCH("Current Total Net Leverage",'Loan Tape - Settled'!$B$4:$BJ$4,0))</f>
        <v/>
      </c>
      <c r="DN12" s="1044" t="n"/>
      <c r="DO12" s="1045">
        <f>INDEX('Loan Tape - Settled'!$B$4:$BJ$55,MATCH($A12,'Loan Tape - Settled'!$E$4:$E$55,0),MATCH("Initial Interest Coverage",'Loan Tape - Settled'!$B$4:$BJ$4,0))</f>
        <v/>
      </c>
      <c r="DP12" s="565">
        <f t="array" ref="DP12">IF(AG12="Yes",INDEX(VAE!$O$5:$O$53,MATCH($B12&amp;$AJ12,VAE!$C$5:$C$53&amp;VAE!$G$5:$G$53,0)),DO12)</f>
        <v/>
      </c>
      <c r="DQ12" s="1046">
        <f>INDEX('Loan Tape - Settled'!$B$4:$BJ$55,MATCH($A12,'Loan Tape - Settled'!$E$4:$E$55,0),MATCH("Current Interest Coverage",'Loan Tape - Settled'!$B$4:$BJ$4,0))</f>
        <v/>
      </c>
      <c r="DR12" s="462">
        <f>IF(OR(DU12="Yes",DU12="N/A",DV12="Yes",DV12="N/A",DW12="Yes",DX12="Yes",DY12="Yes",EF12="Yes",EG12="Yes",EH12="Yes"),"Yes","No")</f>
        <v/>
      </c>
      <c r="DS12" s="1047">
        <f>IF(AG12="Yes",DATEDIF(AJ12,Availability!$F$8,"m"),"")</f>
        <v/>
      </c>
      <c r="DT12" s="1047">
        <f>IF(DS12="","No",IF(DS12&gt;12,"Yes","No"))</f>
        <v/>
      </c>
      <c r="DU12" s="695">
        <f>IFERROR(IF(AND(DQ12/DP12&lt;0.75,DQ12&lt;1.5),"Yes","No"),"N/A")</f>
        <v/>
      </c>
      <c r="DV12" s="696">
        <f>IFERROR(IF(OR(D12="First Lien",D12="FILO"),IF(AND((DL12-DJ12)&gt;0.75,DL12&gt;4),"Yes","No"),"No"),"N/A")</f>
        <v/>
      </c>
      <c r="DW12" s="696">
        <f t="array" ref="DW12">_xlfn.IFS(D12&lt;&gt;"Second Lien","No",D12="Second Lien",IF(AND((DM12-DK12)&gt;0.5,DM12&gt;4.5),"Yes","No"))</f>
        <v/>
      </c>
      <c r="DX12" s="735" t="inlineStr">
        <is>
          <t>No</t>
        </is>
      </c>
      <c r="DY12" s="735" t="inlineStr">
        <is>
          <t>No</t>
        </is>
      </c>
      <c r="DZ12" s="1048" t="inlineStr">
        <is>
          <t>No</t>
        </is>
      </c>
      <c r="EA12" s="1048" t="inlineStr">
        <is>
          <t>No</t>
        </is>
      </c>
      <c r="EB12" s="1048" t="inlineStr">
        <is>
          <t>No</t>
        </is>
      </c>
      <c r="EC12" s="1048" t="inlineStr">
        <is>
          <t>No</t>
        </is>
      </c>
      <c r="ED12" s="1048" t="inlineStr">
        <is>
          <t>No</t>
        </is>
      </c>
      <c r="EE12" s="1048" t="inlineStr">
        <is>
          <t>No</t>
        </is>
      </c>
      <c r="EF12" s="442">
        <f>IF(OR(DZ12="Yes",EA12="Yes",EB12="Yes",EC12="Yes",ED12="Yes",EE12="Yes"),"Yes","No")</f>
        <v/>
      </c>
      <c r="EG12" s="1048" t="inlineStr">
        <is>
          <t>No</t>
        </is>
      </c>
      <c r="EH12" s="1049" t="inlineStr">
        <is>
          <t>No</t>
        </is>
      </c>
      <c r="EI12" s="1050">
        <f t="array" ref="EI12">IF(D12="First Lien",_xlfn.IFS(CY12&gt;AGENT!$B$23, "&gt; $20MM",CY12&lt;=AGENT!$C$25, "&lt;= $10MM",AND(CY12&lt;=AGENT!$C$24,CY12&gt;AGENT!$B$24),"&lt;= $20MM"), "N/A")</f>
        <v/>
      </c>
      <c r="EJ12" s="1050">
        <f t="array" ref="EJ12">IF(D12="FILO",_xlfn.IFS(DI12&gt;AGENT!$B$29, "&gt; 1.25x",DI12&lt;AGENT!$C$27, "&lt; 0.75x",AND(DI12&lt;=AGENT!$C$28,DI12&gt;=AGENT!$B$28),"&lt;= 1.25x"), "N/A")</f>
        <v/>
      </c>
      <c r="EK12" s="1051">
        <f>V12</f>
        <v/>
      </c>
      <c r="EL12" s="1051">
        <f>'Concentration Limits'!$J$49</f>
        <v/>
      </c>
      <c r="EM12" s="1051">
        <f>IF(OR(D12="Second Lien",AND(D12="FILO",DI12&gt;AGENT!$C$57)), "Yes", "No")</f>
        <v/>
      </c>
      <c r="EN12" s="1051">
        <f>IF(EM12="Yes",SUMIF(EM:EM,"Yes",EK:EK),0)</f>
        <v/>
      </c>
      <c r="EO12" s="1051">
        <f>IF(EN12&gt;EL12,(EN12-EL12)*(EK12/SUMIF(EM:EM,"Yes",EK:EK)),0)</f>
        <v/>
      </c>
      <c r="EP12" s="1051">
        <f>MAX(0,EK12-EO12)</f>
        <v/>
      </c>
      <c r="EQ12" s="1051">
        <f>'Concentration Limits'!$J$50</f>
        <v/>
      </c>
      <c r="ER12" s="1051">
        <f>IF(D12="Second Lien",SUMIF(D:D,D12,EP:EP),0)</f>
        <v/>
      </c>
      <c r="ES12" s="1051">
        <f>MAX(0,(ER12-EQ12)*IFERROR((EP12/SUMIF($D:$D,D12,EP:EP )),0) )</f>
        <v/>
      </c>
      <c r="ET12" s="1051">
        <f>MAX(0,EP12-ES12)</f>
        <v/>
      </c>
      <c r="EU12" s="1051">
        <f>'Concentration Limits'!$J$51</f>
        <v/>
      </c>
      <c r="EV12" s="1051">
        <f>IF(OR(D12="Second Lien", AND(D12="FILO",DI12&gt;AGENT!$C$59)), "Yes", "No")</f>
        <v/>
      </c>
      <c r="EW12" s="1051">
        <f>IF(EV12="Yes",SUMIF(EV:EV,"Yes",ET:ET),0)</f>
        <v/>
      </c>
      <c r="EX12" s="1051">
        <f>IF(EW12&gt;EU12,(EW12-EU12)*(ET12/SUMIF(EV:EV,"Yes",ET:ET)),0)</f>
        <v/>
      </c>
      <c r="EY12" s="1051">
        <f>MAX(0,ET12-EX12)</f>
        <v/>
      </c>
      <c r="EZ12" s="1051">
        <f>'Concentration Limits'!$J$52</f>
        <v/>
      </c>
      <c r="FA12" s="1051">
        <f>IF(CY12&gt;'Concentration Limits'!$E$52, "No", "Yes")</f>
        <v/>
      </c>
      <c r="FB12" s="1051">
        <f>IF(FA12="Yes",SUMIF(FA:FA,"Yes",EY:EY),0)</f>
        <v/>
      </c>
      <c r="FC12" s="1051">
        <f>IF(FB12&gt;EZ12,(FB12-EZ12)*(EY12/SUMIF(FA:FA,"Yes",EY:EY)),0)</f>
        <v/>
      </c>
      <c r="FD12" s="1051">
        <f>MAX(0,EY12-FC12)</f>
        <v/>
      </c>
      <c r="FE12" s="1052">
        <f>'Concentration Limits'!$J$54</f>
        <v/>
      </c>
      <c r="FF12" s="1052">
        <f>'Concentration Limits'!$J$55</f>
        <v/>
      </c>
      <c r="FG12" s="1052">
        <f>'Concentration Limits'!$J$56</f>
        <v/>
      </c>
      <c r="FH12" s="1053">
        <f>'Concentration Limits'!$J$57</f>
        <v/>
      </c>
      <c r="FI12" s="1053">
        <f>SUMIF($B:$B,$B12,$FD:$FD)</f>
        <v/>
      </c>
      <c r="FJ12" s="1053">
        <f>IF(MATCH($B12,$B:$B,0)=ROW(),$FI12,0)</f>
        <v/>
      </c>
      <c r="FK12" s="1053">
        <f>INDEX(FL$8:FL$60,MATCH(B12,B$8:B$60,0))</f>
        <v/>
      </c>
      <c r="FL12" s="1053">
        <f>IF(FJ12&gt;0,RANK(FJ12,$FJ$9:$FJ$60)+COUNTIF($FJ$9:FJ12,FJ12)-1,0)</f>
        <v/>
      </c>
      <c r="FM12" s="1052">
        <f>IF(FK12=1,IF(FI12&gt;FE12,(FI12-FE12)*(V12/SUMIF($B:$B,B12,$FD:$FD)),0),0)</f>
        <v/>
      </c>
      <c r="FN12" s="1052">
        <f>IF(FK12=2,IF(FI12&gt;FF12,(FI12-FF12)*(V12/SUMIF($B:$B,B12,$FD:$FD)),0),0)</f>
        <v/>
      </c>
      <c r="FO12" s="1052">
        <f>IF(FK12=3,IF(FI12&gt;FG12,(FI12-FG12)*(V12/SUMIF($B:$B,B12,$FD:$FD)),0),0)</f>
        <v/>
      </c>
      <c r="FP12" s="1053">
        <f>IF(FK12&gt;0,IF(FI12&gt;FH12,(FI12-FH12)*(FD12/(SUMIF($B:$B,$B12,$FD:$FD))),0),0)</f>
        <v/>
      </c>
      <c r="FQ12" s="1053">
        <f>MAX(0,FD12-FM12-FN12-FO12-FP12)</f>
        <v/>
      </c>
      <c r="FR12" s="1053">
        <f>'Concentration Limits'!$J$58</f>
        <v/>
      </c>
      <c r="FS12" s="1053">
        <f>SUMIF($BR:$BR,$BR12,FQ:FQ)</f>
        <v/>
      </c>
      <c r="FT12" s="1053">
        <f>VLOOKUP(BR12,'Concentration Limits'!$E$81:$H$153,4,FALSE)</f>
        <v/>
      </c>
      <c r="FU12" s="1053">
        <f>IF(FT12=1,MAX(0,(FS12-FR12)*(FQ12/SUMIF($BR:$BR,BR12,FQ:FQ))),0)</f>
        <v/>
      </c>
      <c r="FV12" s="1053">
        <f>MAX(0,FQ12-FU12)</f>
        <v/>
      </c>
      <c r="FW12" s="1053">
        <f>'Concentration Limits'!$J$59</f>
        <v/>
      </c>
      <c r="FX12" s="1053">
        <f>SUMIF($BR:$BR,$BR12,FV:FV)</f>
        <v/>
      </c>
      <c r="FY12" s="1053">
        <f>VLOOKUP(BR12,'Concentration Limits'!$E$81:$H$153,4,FALSE)</f>
        <v/>
      </c>
      <c r="FZ12" s="1053">
        <f>MAX(0,IF(FY12=2,(FX12-FW12)*(FV12/SUMIF($BR:$BR,BR12,FV:FV)),0))</f>
        <v/>
      </c>
      <c r="GA12" s="1053">
        <f>MAX(0,FV12-FZ12)</f>
        <v/>
      </c>
      <c r="GB12" s="1053">
        <f>'Concentration Limits'!$J$61</f>
        <v/>
      </c>
      <c r="GC12" s="1053">
        <f>SUMIF($BR:$BR,$BR12,GA:GA)</f>
        <v/>
      </c>
      <c r="GD12" s="1051">
        <f>VLOOKUP(BR12,'Concentration Limits'!$E$81:$H$153,4,FALSE)</f>
        <v/>
      </c>
      <c r="GE12" s="1053">
        <f>IF(GA12=0,0,MAX(0,IF(GD12&lt;3,0,(GC12-GB12)*($GA12/SUMIF($BR:$BR,BR12,GA:GA)))))</f>
        <v/>
      </c>
      <c r="GF12" s="1053">
        <f>MAX(0,GA12-GE12)</f>
        <v/>
      </c>
      <c r="GG12" s="1053">
        <f>'Concentration Limits'!$J$64</f>
        <v/>
      </c>
      <c r="GH12" s="1053">
        <f>IF(BY12="Yes",SUMIF(BY:BY,BY12,GF:GF),0)</f>
        <v/>
      </c>
      <c r="GI12" s="1053">
        <f>IFERROR(MAX(0,(GH12-GG12)*(GF12/SUMIF($T:$T,T12,GF:GF ))),0)</f>
        <v/>
      </c>
      <c r="GJ12" s="1053">
        <f>MAX(0,GF12-GI12)</f>
        <v/>
      </c>
      <c r="GK12" s="1053">
        <f>'Concentration Limits'!$J$67</f>
        <v/>
      </c>
      <c r="GL12" s="1051">
        <f>IF(OR(BV12="Yes",OR(ISNUMBER(SEARCH("Travel",BR12)),ISNUMBER(SEARCH("Energy",BR12)),ISNUMBER(SEARCH("Leisure",BR12)),ISNUMBER(SEARCH("hotel",BR12)))),"Yes","No")</f>
        <v/>
      </c>
      <c r="GM12" s="1053">
        <f>IF(GL12="Yes",SUMIF(GL:GL,"Yes",GJ:GJ),0)</f>
        <v/>
      </c>
      <c r="GN12" s="1053">
        <f>IF(GM12&gt;GK12,(GM12-GK12)*(GJ12/SUMIF(GL:GL,"Yes",GJ:GJ)),0)</f>
        <v/>
      </c>
      <c r="GO12" s="1053">
        <f>MAX(0,GJ12-GN12)</f>
        <v/>
      </c>
      <c r="GP12" s="1053">
        <f>'Concentration Limits'!$J$68</f>
        <v/>
      </c>
      <c r="GQ12" s="1051">
        <f>IF(BU12="Yes","Yes", "No")</f>
        <v/>
      </c>
      <c r="GR12" s="1053">
        <f>IF(GQ12="Yes",SUMIF(GQ:GQ,"Yes",GO:GO),0)</f>
        <v/>
      </c>
      <c r="GS12" s="1053">
        <f>IF(GR12&gt;GP12,(GR12-GP12)*(GO12/SUMIF(GQ:GQ,"Yes",GO:GO)),0)</f>
        <v/>
      </c>
      <c r="GT12" s="1053">
        <f>MAX(0,GO12-GS12)</f>
        <v/>
      </c>
      <c r="GU12" s="1051">
        <f>'Concentration Limits'!$J$69</f>
        <v/>
      </c>
      <c r="GV12" s="1051">
        <f>IF(BW12="Yes", "Yes", "No")</f>
        <v/>
      </c>
      <c r="GW12" s="1051">
        <f>IF(GV12="Yes",SUMIF(GV:GV,"Yes",GT:GT),0)</f>
        <v/>
      </c>
      <c r="GX12" s="1051">
        <f>IF(GW12&gt;GU12,(GW12-GU12)*(GT12/SUMIF(GV:GV,"Yes",GT:GT)),0)</f>
        <v/>
      </c>
      <c r="GY12" s="1051">
        <f>MAX(0,GT12-GX12)</f>
        <v/>
      </c>
      <c r="GZ12" s="1051">
        <f>'Concentration Limits'!$J$70</f>
        <v/>
      </c>
      <c r="HA12" s="1051">
        <f>IF(BX12="Yes", "Yes", "No")</f>
        <v/>
      </c>
      <c r="HB12" s="1051">
        <f>IF(HA12="Yes",SUMIF(HA:HA,"Yes",GY:GY),0)</f>
        <v/>
      </c>
      <c r="HC12" s="1051">
        <f>IF(HB12&gt;GZ12,(HB12-GZ12)*(GY12/SUMIF(HA:HA,"Yes",GY:GY)),0)</f>
        <v/>
      </c>
      <c r="HD12" s="1051">
        <f>MAX(0,GY12-HC12)</f>
        <v/>
      </c>
      <c r="HE12" s="1053">
        <f>IF(AQ12=0,0,HD12*AQ12/(AQ12+AR12))</f>
        <v/>
      </c>
      <c r="HF12" s="1053">
        <f>IF(AR12=0,0,HD12*AR12/(AQ12+AR12))</f>
        <v/>
      </c>
      <c r="HG12" s="1053">
        <f>IF(AW12=0,0,HD12*AW12/(AW12+AX12))</f>
        <v/>
      </c>
      <c r="HH12" s="1053">
        <f>IF(AX12=0,0,HD12*AX12/(AX12+AW12))</f>
        <v/>
      </c>
      <c r="HI12" s="1053">
        <f>IF(BE12=0,0,#REF!*BE12/(BE12+BG12))</f>
        <v/>
      </c>
      <c r="HJ12" s="1053">
        <f>IF(BG12=0,0,#REF!*BG12/(BG12+BE12))</f>
        <v/>
      </c>
      <c r="HK12" s="1054">
        <f>IF(BF12=0,0,#REF!*BF12/(BF12+BH12))</f>
        <v/>
      </c>
      <c r="HL12" s="1053">
        <f>IF(BH12=0,0,#REF!*BH12/(BH12+BF12))</f>
        <v/>
      </c>
      <c r="HM12" s="1053">
        <f>IF(D12="Second Lien",HD12,0)</f>
        <v/>
      </c>
      <c r="HN12" s="1053">
        <f>SUM(HE12:HM12)=HD12</f>
        <v/>
      </c>
    </row>
    <row r="13" ht="12.75" customFormat="1" customHeight="1" s="469">
      <c r="A13" s="55">
        <f>A12+1</f>
        <v/>
      </c>
      <c r="B13" s="437">
        <f>INDEX('Loan Tape - Settled'!$B$4:$AP$55,MATCH($A13,'Loan Tape - Settled'!$E$4:$E$55,0),MATCH("Obligor Name",'Loan Tape - Settled'!$B$4:$AM$4,0))</f>
        <v/>
      </c>
      <c r="C13" s="437">
        <f>INDEX('Loan Tape - Settled'!$B$4:$AP$55,MATCH($A13,'Loan Tape - Settled'!$E$4:$E$55,0),MATCH("Security",'Loan Tape - Settled'!$B$4:$AM$4,0))</f>
        <v/>
      </c>
      <c r="D13" s="438">
        <f>INDEX('Loan Tape - Settled'!$B$4:$AP$55,MATCH($A13,'Loan Tape - Settled'!$E$4:$E$55,0),MATCH("Loan Type",'Loan Tape - Settled'!$B$4:$AM$4,0))</f>
        <v/>
      </c>
      <c r="E13" s="439">
        <f>IF(ISERROR(MATCH(D13,AGENT!$A$4:$A$10,0))=FALSE, TRUE)</f>
        <v/>
      </c>
      <c r="F13" s="439">
        <f>IF(AND(BZ13="no",CA13="no"),TRUE)</f>
        <v/>
      </c>
      <c r="G13" s="439">
        <f>IF(D13&lt;&gt;"Second Lien",TRUE, IF(CY13&gt;=AGENT!$B$4,TRUE))</f>
        <v/>
      </c>
      <c r="H13" s="439">
        <f>IF(DE13&lt;=AGENT!$D$4,TRUE)</f>
        <v/>
      </c>
      <c r="I13" s="439">
        <f>IF(VLOOKUP(CONCATENATE($A$5,A13),'Loan Tape - Settled'!$A$5:$Q$55,17,FALSE)&gt;=AGENT!$E$4,TRUE)</f>
        <v/>
      </c>
      <c r="J13" s="439">
        <f>IF(INDEX('Loan Tape - Settled'!$B$4:$AP$55,MATCH($A13,'Loan Tape - Settled'!$E$4:$E$55,0),MATCH("Loan Denomination",'Loan Tape - Settled'!$B$4:$AP$4,0))="USD", TRUE)</f>
        <v/>
      </c>
      <c r="K13" s="439">
        <f>IF(INDEX('Loan Tape - Settled'!$B$4:$AP$55,MATCH($A13,'Loan Tape - Settled'!$E$4:$E$55,0),MATCH("Exposure Country",'Loan Tape - Settled'!$B$4:$AP$4,0))="United States", TRUE)</f>
        <v/>
      </c>
      <c r="L13" s="439">
        <f>IF(BS13="NO",TRUE)</f>
        <v/>
      </c>
      <c r="M13" s="439">
        <f>IF(((BM13-BL13)/365)&lt;=AGENT!$F$4,TRUE)</f>
        <v/>
      </c>
      <c r="N13" s="439">
        <f>IF(DX13="Yes",FALSE,TRUE)</f>
        <v/>
      </c>
      <c r="O13" s="493" t="n"/>
      <c r="P13" s="764">
        <f>IF($B13="","",IF(OR(O13=TRUE,COUNTIFS($E13:$N13,TRUE)=10),"Yes","No"))</f>
        <v/>
      </c>
      <c r="Q13" s="730" t="inlineStr">
        <is>
          <t>Yes</t>
        </is>
      </c>
      <c r="R13" s="440">
        <f>IF(P13="Yes",B13,"N/A")</f>
        <v/>
      </c>
      <c r="S13" s="440" t="n"/>
      <c r="T13" s="441">
        <f t="array" ref="T13">_xlfn.IFS(D13="Second Lien",D13,D13="First Lien",CONCATENATE(D13," ",EI13),D13="FILO",CONCATENATE(D13," ",EJ13))</f>
        <v/>
      </c>
      <c r="U13" s="442">
        <f>VLOOKUP(T13,'Concentration Limits'!D:G,4,FALSE)</f>
        <v/>
      </c>
      <c r="V13" s="1020">
        <f>AQ13+AW13+BI13</f>
        <v/>
      </c>
      <c r="W13" s="1021">
        <f>(SUMIFS('Loan Tape - Settled'!$AR$4:$AR$55,'Loan Tape - Settled'!$E$4:$E$55,$A13,'Loan Tape - Settled'!$C$4:$C$55,$A$5))</f>
        <v/>
      </c>
      <c r="X13" s="1022" t="n">
        <v>1</v>
      </c>
      <c r="Y13" s="1023">
        <f>W13*X13</f>
        <v/>
      </c>
      <c r="Z13" s="1022">
        <f>(SUMIFS('Loan Tape - Settled'!$AQ$4:$AQ$55,'Loan Tape - Settled'!$E$4:$E$55,$A13,'Loan Tape - Settled'!$C$4:$C$55,$A$5))</f>
        <v/>
      </c>
      <c r="AA13" s="1023">
        <f>Z13*X13</f>
        <v/>
      </c>
      <c r="AB13" s="1023">
        <f>AA13-Y13</f>
        <v/>
      </c>
      <c r="AC13" s="490">
        <f>VLOOKUP(CONCATENATE($A$5,A13),'Loan Tape - Settled'!$A$5:$Q$55,17,FALSE)</f>
        <v/>
      </c>
      <c r="AD13" s="445" t="n"/>
      <c r="AE13" s="446">
        <f>INDEX('Loan Tape - Settled'!$B$4:$AP$55,MATCH($A13,'Loan Tape - Settled'!$E$4:$E$55,0),MATCH("FMV",'Loan Tape - Settled'!$B$4:$AM$4,0))</f>
        <v/>
      </c>
      <c r="AF13" s="446">
        <f t="array" ref="AF13">_xlfn.IFS(D13="First Lien",
_xlfn.IFS(AND(DL13&gt;0,DL13&lt;Tier_1_1L),Tier_1_ApplicableValue,
AND(DL13&gt;=Tier_1_1L,DL13&lt;Tier_2_1L),((Tier_1_1L/DL13)*Tier_1_ApplicableValue)+((DL13-Tier_1_1L)/DL13*Tier_2_ApplicableValue),
AND(DL13&gt;=Tier_2_1L, DL13&lt;Tier_3_1L),((Tier_1_1L/DL13)*Tier_1_ApplicableValue+(Tier_2_1L-Tier_1_1L)/DL13*Tier_2_ApplicableValue+(DL13-Tier_2_1L)/DL13*Tier_3_ApplicableValue),
AND(DL13&gt;=Tier_3_1L, DL13&lt;=Tier_totalzerovalue),((Tier_1_1L/DL13)*Tier_1_ApplicableValue+(Tier_2_1L-Tier_1_1L)/DL13*Tier_2_ApplicableValue+(Tier_3_1L-Tier_2_1L)/DL13*Tier_3_ApplicableValue+(DL13-Tier_partialzerovalue)/DL13*0%),
DL13&gt;Tier_totalzerovalue,0%),
OR(D13="Second Lien", D13="FILO"),
_xlfn.IFS(AND(DM13&gt;0,DM13&lt;Tier_1_2L),Tier_1_ApplicableValue,
AND(DM13&gt;=Tier_1_2L,DM13&lt;Tier_2_2L),((Tier_1_2L/DM13)*Tier_1_ApplicableValue)+((DM13-Tier_1_2L)/DM13*Tier_2_ApplicableValue),
AND(DM13&gt;=Tier_2_2L, DM13&lt;Tier_3_2L),((Tier_1_2L/DM13)*Tier_1_ApplicableValue+(Tier_2_2L-Tier_1_2L)/DM13*Tier_2_ApplicableValue+(DM13-Tier_2_2L)/DM13*Tier_3_ApplicableValue),
AND(DM13&gt;=Tier_3_2L, DM13&lt;=Tier_totalzerovalue),((Tier_1_2L/DM13)*Tier_1_ApplicableValue+(Tier_2_2L-Tier_1_2L)/DM13*Tier_2_ApplicableValue+(Tier_3_2L-Tier_2_2L)/DM13*Tier_3_ApplicableValue+(DM13-Tier_partialzerovalue)/DM13*0%),
DM13&gt;Tier_totalzerovalue,0%))</f>
        <v/>
      </c>
      <c r="AG13" s="447">
        <f>IF(COUNTIFS(VAE!$C$5:$C$96,B13,VAE!$G$5:$G$96,"&lt;="&amp;Availability!$F$8)&gt;=1,"Yes","-")</f>
        <v/>
      </c>
      <c r="AH13" s="447">
        <f t="array" ref="AH13">IFERROR(IF(AG13="Yes",INDEX(VAE!$D$5:$D$96,MATCH(B13&amp;AJ13,VAE!$C$5:$C$96&amp;VAE!$G$5:$G$96,0)),"-"),0)</f>
        <v/>
      </c>
      <c r="AI13" s="447">
        <f t="array" ref="AI13">IFERROR(IF(AG13="Yes",INDEX(VAE!$F$5:$F$96,MATCH(B13&amp;AJ13,VAE!$C$5:$C$96&amp;VAE!$G$5:$G$96,0)),"-"),0)</f>
        <v/>
      </c>
      <c r="AJ13" s="448">
        <f>IF(AG13="-","-",_xlfn.MAXIFS(VAE!$G$5:$G$96,VAE!$C$5:$C$96,$B13))</f>
        <v/>
      </c>
      <c r="AK13" s="449">
        <f t="array" ref="AK13">IFERROR(IF(AG13="Yes",INDEX(VAE!$P$5:$P$96,MATCH(B13&amp;AJ13,VAE!$C$5:$C$96&amp;VAE!$G$5:$G$96,0)),"-"),0)</f>
        <v/>
      </c>
      <c r="AL13" s="446">
        <f>IF($A13="","",IF(P13="No",0,(IF(AG13="Yes",MIN(AE13,AK13,AF13),MIN(AE13,AF13)))))</f>
        <v/>
      </c>
      <c r="AM13" s="1020" t="n"/>
      <c r="AN13" s="1020" t="n"/>
      <c r="AO13" s="1020">
        <f>IF(AND(D13="First Lien",P13="No"),0,IF(D13&lt;&gt;"First Lien",0,Y13))</f>
        <v/>
      </c>
      <c r="AP13" s="1020">
        <f>IF(AND(D13="First Lien",P13="No"),W13,0)</f>
        <v/>
      </c>
      <c r="AQ13" s="1020">
        <f>AL13*AO13</f>
        <v/>
      </c>
      <c r="AR13" s="1020" t="n"/>
      <c r="AS13" s="1020" t="n"/>
      <c r="AT13" s="1020" t="n"/>
      <c r="AU13" s="1020">
        <f>IF(AND(D13="FILO",P13="No"),0,IF(D13&lt;&gt;"FILO",0,Y13))</f>
        <v/>
      </c>
      <c r="AV13" s="1020">
        <f>IF(AND(D13="FILO",P13="No"),W13,0)</f>
        <v/>
      </c>
      <c r="AW13" s="1020">
        <f>AU13*AL13</f>
        <v/>
      </c>
      <c r="AX13" s="1020" t="n"/>
      <c r="AY13" s="1020" t="n"/>
      <c r="AZ13" s="1020" t="n"/>
      <c r="BA13" s="1020">
        <f>IF(AND(OR(D13="First Lien",D13="FILO"),P13="No"),0,IF(OR(D13="First Lien",D13="FILO"),0,(Y13)))</f>
        <v/>
      </c>
      <c r="BB13" s="1020" t="n"/>
      <c r="BC13" s="1020" t="n"/>
      <c r="BD13" s="1020">
        <f>IF(AND(D13="Second Lien",P13="No"),W13,0)</f>
        <v/>
      </c>
      <c r="BE13" s="1020" t="n"/>
      <c r="BF13" s="1020" t="n"/>
      <c r="BG13" s="1020" t="n"/>
      <c r="BH13" s="1020" t="n"/>
      <c r="BI13" s="1020">
        <f>IF(D13="Second Lien",BA13*AL13,0)</f>
        <v/>
      </c>
      <c r="BJ13" s="1020">
        <f>SUM(AM13:AP13)+SUM(AZ13:BD13)+SUM(AS13:AV13)=Y13</f>
        <v/>
      </c>
      <c r="BK13" s="1026">
        <f>INDEX('Loan Tape - Settled'!$B$4:$AP$55,MATCH($A13,'Loan Tape - Settled'!$E$4:$E$55,0),MATCH("Inception Date",'Loan Tape - Settled'!$B$4:$AP$4,0))</f>
        <v/>
      </c>
      <c r="BL13" s="1026">
        <f>INDEX('Loan Tape - Settled'!$B$4:$AP$55,MATCH($A13,'Loan Tape - Settled'!$E$4:$E$55,0),MATCH("Inclusion Date",'Loan Tape - Settled'!$B$4:$AP$4,0))</f>
        <v/>
      </c>
      <c r="BM13" s="1026">
        <f>INDEX('Loan Tape - Settled'!$B$4:$AP$55,MATCH($A13,'Loan Tape - Settled'!$E$4:$E$55,0),MATCH("Maturity Date",'Loan Tape - Settled'!$B$4:$AP$4,0))</f>
        <v/>
      </c>
      <c r="BN13" s="556" t="n"/>
      <c r="BO13" s="556" t="n"/>
      <c r="BP13" s="1055" t="n"/>
      <c r="BQ13" s="556" t="n"/>
      <c r="BR13" s="554">
        <f>INDEX('Loan Tape - Settled'!$B$4:$AP$55,MATCH($A13,'Loan Tape - Settled'!$E$4:$E$55,0),MATCH("Industry Classification",'Loan Tape - Settled'!$B$4:$AP$4,0))</f>
        <v/>
      </c>
      <c r="BS13" s="556">
        <f>IF(INDEX('Loan Tape - Settled'!$B$4:$AP$55,MATCH($A13,'Loan Tape - Settled'!$E$4:$E$55,0),MATCH("Covenant Lite",'Loan Tape - Settled'!$B$4:$AP$4,0))=-1, "Yes", "No")</f>
        <v/>
      </c>
      <c r="BT13" s="1056">
        <f>INDEX('Loan Tape - Settled'!$B$4:$AP$55,MATCH($A13,'Loan Tape - Settled'!$E$4:$E$55,0),MATCH("Spread / Coupon (%)",'Loan Tape - Settled'!$B$4:$AP$4,0))</f>
        <v/>
      </c>
      <c r="BU13" s="556">
        <f>IF(INDEX('Loan Tape - Settled'!$B$4:$AP$55,MATCH($A13,'Loan Tape - Settled'!$E$4:$E$55,0),MATCH("Security Type",'Loan Tape - Settled'!$B$4:$AP$4,0))="Delayed Draw Term Loan", "Yes", "No")</f>
        <v/>
      </c>
      <c r="BV13" s="557" t="inlineStr">
        <is>
          <t>No</t>
        </is>
      </c>
      <c r="BW13" s="557" t="inlineStr">
        <is>
          <t>No</t>
        </is>
      </c>
      <c r="BX13" s="548" t="inlineStr">
        <is>
          <t>No</t>
        </is>
      </c>
      <c r="BY13" s="556">
        <f>IF(INDEX('Loan Tape - Settled'!$B$4:$AP$55,MATCH($A13,'Loan Tape - Settled'!$E$4:$E$55,0),MATCH("Fixed/Floating",'Loan Tape - Settled'!$B$4:$AP$4,0))="Fixed", "Yes", "No")</f>
        <v/>
      </c>
      <c r="BZ13" s="557" t="inlineStr">
        <is>
          <t>No</t>
        </is>
      </c>
      <c r="CA13" s="557" t="inlineStr">
        <is>
          <t>No</t>
        </is>
      </c>
      <c r="CB13" s="556">
        <f>IF(INDEX('Loan Tape - Settled'!$B$4:$AP$55,MATCH($A13,'Loan Tape - Settled'!$E$4:$E$55,0),MATCH("Loan Denomination",'Loan Tape - Settled'!$B$4:$AP$4,0))="CAD", "Yes", "No")</f>
        <v/>
      </c>
      <c r="CC13" s="556">
        <f>INDEX('Loan Tape - Settled'!$B$4:$AP$55,MATCH($A13,'Loan Tape - Settled'!$E$4:$E$55,0),MATCH("Payment Frequency",'Loan Tape - Settled'!$B$4:$AP$4,0))</f>
        <v/>
      </c>
      <c r="CD13" s="557" t="inlineStr">
        <is>
          <t>No</t>
        </is>
      </c>
      <c r="CE13" s="556">
        <f>INDEX('Loan Tape - Settled'!$B$4:$AP$55,MATCH($A13,'Loan Tape - Settled'!$E$4:$E$55,0),MATCH("S&amp;P Loan Rating (if applicable)",'Loan Tape - Settled'!$B$4:$AP$4,0))</f>
        <v/>
      </c>
      <c r="CF13" s="556">
        <f>INDEX('Loan Tape - Settled'!$B$4:$AP$55,MATCH($A13,'Loan Tape - Settled'!$E$4:$E$55,0),MATCH("Moody's Loan Rating (if applicable)",'Loan Tape - Settled'!$B$4:$AP$4,0))</f>
        <v/>
      </c>
      <c r="CG13" s="556" t="n"/>
      <c r="CH13" s="556" t="n"/>
      <c r="CI13" s="1057" t="n"/>
      <c r="CJ13" s="1030">
        <f>INDEX('Loan Tape - Settled'!$B$4:$BF$55,MATCH($A13,'Loan Tape - Settled'!$E$4:$E$55,0),MATCH("Last Financial Received",'Loan Tape - Settled'!$B$4:$BF$4,0))</f>
        <v/>
      </c>
      <c r="CK13" s="559">
        <f>INDEX('Loan Tape - Settled'!$B$4:$BJ$55,MATCH($A13,'Loan Tape - Settled'!$E$4:$E$55,0),MATCH("Initial Adjusted TTM EBITDA",'Loan Tape - Settled'!$B$4:$BJ$4,0))</f>
        <v/>
      </c>
      <c r="CL13" s="559">
        <f>INDEX('Loan Tape - Settled'!$B$4:$BJ$55,MATCH($A13,'Loan Tape - Settled'!$E$4:$E$55,0),MATCH("Initial TTM Non-adjusted EBITDA",'Loan Tape - Settled'!$B$4:$BJ$4,0))</f>
        <v/>
      </c>
      <c r="CM13" s="1031" t="n"/>
      <c r="CN13" s="451" t="n"/>
      <c r="CO13" s="451" t="n"/>
      <c r="CP13" s="1032" t="n"/>
      <c r="CQ13" s="1033" t="inlineStr">
        <is>
          <t>N</t>
        </is>
      </c>
      <c r="CR13" s="1032" t="n"/>
      <c r="CS13" s="454">
        <f>CK13-CP13+CR13</f>
        <v/>
      </c>
      <c r="CT13" s="455">
        <f>1-CS13/CK13</f>
        <v/>
      </c>
      <c r="CU13" s="559">
        <f>INDEX('Loan Tape - Settled'!$B$4:$BJ$55,MATCH($A13,'Loan Tape - Settled'!$E$4:$E$55,0),MATCH("Current TTM Non-adjusted EBITDA",'Loan Tape - Settled'!$B$4:$BJ$4,0))</f>
        <v/>
      </c>
      <c r="CV13" s="456">
        <f>CT13</f>
        <v/>
      </c>
      <c r="CW13" s="1034" t="inlineStr">
        <is>
          <t>N</t>
        </is>
      </c>
      <c r="CX13" s="1035" t="n"/>
      <c r="CY13" s="1036">
        <f>IF(CW13="N",(1-CV13)*CU13,(1-CX13)*CU13)</f>
        <v/>
      </c>
      <c r="CZ13" s="1037" t="n"/>
      <c r="DA13" s="1038" t="n"/>
      <c r="DB13" s="1039" t="n"/>
      <c r="DC13" s="1040" t="n"/>
      <c r="DD13" s="1040">
        <f>INDEX('Loan Tape - Settled'!$B$4:$BJ$55,MATCH($A13,'Loan Tape - Settled'!$E$4:$E$55,0),MATCH("Initial Senior Net Leverage Senior",'Loan Tape - Settled'!$B$4:$BJ$4,0))</f>
        <v/>
      </c>
      <c r="DE13" s="1041">
        <f>INDEX('Loan Tape - Settled'!$B$4:$BJ$55,MATCH($A13,'Loan Tape - Settled'!$E$4:$E$55,0),MATCH("Initial Total Net Leverage",'Loan Tape - Settled'!$B$4:$BJ$4,0))</f>
        <v/>
      </c>
      <c r="DF13" s="1037" t="n"/>
      <c r="DG13" s="1038" t="n"/>
      <c r="DH13" s="1039" t="n"/>
      <c r="DI13" s="1042">
        <f>INDEX('Loan Tape - Settled'!$B$4:$BJ$55,MATCH($A13,'Loan Tape - Settled'!$E$4:$E$55,0),MATCH("Net Attachment",'Loan Tape - Settled'!$B$4:$BJ$4,0))</f>
        <v/>
      </c>
      <c r="DJ13" s="566">
        <f t="array" ref="DJ13">IF(AG13="Yes",INDEX(VAE!$M$5:$M$53,MATCH($B13&amp;$AJ13,VAE!$C$5:$C$53&amp;VAE!$G$5:$G$53,0)),DD13)</f>
        <v/>
      </c>
      <c r="DK13" s="697">
        <f t="array" ref="DK13">IF(AG13="Yes",INDEX(VAE!$N$5:$N$53,MATCH($B13&amp;$AJ13,VAE!$C$5:$C$53&amp;VAE!$G$5:$G$53,0)),DE13)</f>
        <v/>
      </c>
      <c r="DL13" s="1058">
        <f>INDEX('Loan Tape - Settled'!$B$4:$BJ$55,MATCH($A13,'Loan Tape - Settled'!$E$4:$E$55,0),MATCH("Current Senior Net Leverage Senior",'Loan Tape - Settled'!$B$4:$BJ$4,0))</f>
        <v/>
      </c>
      <c r="DM13" s="1059">
        <f>INDEX('Loan Tape - Settled'!$B$4:$BJ$55,MATCH($A13,'Loan Tape - Settled'!$E$4:$E$55,0),MATCH("Current Total Net Leverage",'Loan Tape - Settled'!$B$4:$BJ$4,0))</f>
        <v/>
      </c>
      <c r="DN13" s="1044" t="n"/>
      <c r="DO13" s="1045">
        <f>INDEX('Loan Tape - Settled'!$B$4:$BJ$55,MATCH($A13,'Loan Tape - Settled'!$E$4:$E$55,0),MATCH("Initial Interest Coverage",'Loan Tape - Settled'!$B$4:$BJ$4,0))</f>
        <v/>
      </c>
      <c r="DP13" s="565">
        <f t="array" ref="DP13">IF(AG13="Yes",INDEX(VAE!$O$5:$O$53,MATCH($B13&amp;$AJ13,VAE!$C$5:$C$53&amp;VAE!$G$5:$G$53,0)),DO13)</f>
        <v/>
      </c>
      <c r="DQ13" s="1046">
        <f>INDEX('Loan Tape - Settled'!$B$4:$BJ$55,MATCH($A13,'Loan Tape - Settled'!$E$4:$E$55,0),MATCH("Current Interest Coverage",'Loan Tape - Settled'!$B$4:$BJ$4,0))</f>
        <v/>
      </c>
      <c r="DR13" s="462">
        <f>IF(OR(DU13="Yes",DU13="N/A",DV13="Yes",DV13="N/A",DW13="Yes",DX13="Yes",DY13="Yes",EF13="Yes",EG13="Yes",EH13="Yes"),"Yes","No")</f>
        <v/>
      </c>
      <c r="DS13" s="1047">
        <f>IF(AG13="Yes",DATEDIF(AJ13,Availability!$F$8,"m"),"")</f>
        <v/>
      </c>
      <c r="DT13" s="1047">
        <f>IF(DS13="","No",IF(DS13&gt;12,"Yes","No"))</f>
        <v/>
      </c>
      <c r="DU13" s="695">
        <f>IFERROR(IF(AND(DQ13/DP13&lt;0.75,DQ13&lt;1.5),"Yes","No"),"N/A")</f>
        <v/>
      </c>
      <c r="DV13" s="696">
        <f>IFERROR(IF(OR(D13="First Lien",D13="FILO"),IF(AND((DL13-DJ13)&gt;0.75,DL13&gt;4),"Yes","No"),"No"),"N/A")</f>
        <v/>
      </c>
      <c r="DW13" s="696">
        <f t="array" ref="DW13">_xlfn.IFS(D13&lt;&gt;"Second Lien","No",D13="Second Lien",IF(AND((DM13-DK13)&gt;0.5,DM13&gt;4.5),"Yes","No"))</f>
        <v/>
      </c>
      <c r="DX13" s="735" t="inlineStr">
        <is>
          <t>No</t>
        </is>
      </c>
      <c r="DY13" s="735" t="inlineStr">
        <is>
          <t>No</t>
        </is>
      </c>
      <c r="DZ13" s="1048" t="inlineStr">
        <is>
          <t>No</t>
        </is>
      </c>
      <c r="EA13" s="1048" t="inlineStr">
        <is>
          <t>No</t>
        </is>
      </c>
      <c r="EB13" s="1048" t="inlineStr">
        <is>
          <t>No</t>
        </is>
      </c>
      <c r="EC13" s="1048" t="inlineStr">
        <is>
          <t>No</t>
        </is>
      </c>
      <c r="ED13" s="1048" t="inlineStr">
        <is>
          <t>No</t>
        </is>
      </c>
      <c r="EE13" s="1048" t="inlineStr">
        <is>
          <t>No</t>
        </is>
      </c>
      <c r="EF13" s="442">
        <f>IF(OR(DZ13="Yes",EA13="Yes",EB13="Yes",EC13="Yes",ED13="Yes",EE13="Yes"),"Yes","No")</f>
        <v/>
      </c>
      <c r="EG13" s="1048" t="inlineStr">
        <is>
          <t>No</t>
        </is>
      </c>
      <c r="EH13" s="1049" t="inlineStr">
        <is>
          <t>No</t>
        </is>
      </c>
      <c r="EI13" s="1050">
        <f t="array" ref="EI13">IF(D13="First Lien",_xlfn.IFS(CY13&gt;AGENT!$B$23, "&gt; $20MM",CY13&lt;=AGENT!$C$25, "&lt;= $10MM",AND(CY13&lt;=AGENT!$C$24,CY13&gt;AGENT!$B$24),"&lt;= $20MM"), "N/A")</f>
        <v/>
      </c>
      <c r="EJ13" s="1050">
        <f t="array" ref="EJ13">IF(D13="FILO",_xlfn.IFS(DI13&gt;AGENT!$B$29, "&gt; 1.25x",DI13&lt;AGENT!$C$27, "&lt; 0.75x",AND(DI13&lt;=AGENT!$C$28,DI13&gt;=AGENT!$B$28),"&lt;= 1.25x"), "N/A")</f>
        <v/>
      </c>
      <c r="EK13" s="1051">
        <f>V13</f>
        <v/>
      </c>
      <c r="EL13" s="1051">
        <f>'Concentration Limits'!$J$49</f>
        <v/>
      </c>
      <c r="EM13" s="1051">
        <f>IF(OR(D13="Second Lien",AND(D13="FILO",DI13&gt;AGENT!$C$57)), "Yes", "No")</f>
        <v/>
      </c>
      <c r="EN13" s="1051">
        <f>IF(EM13="Yes",SUMIF(EM:EM,"Yes",EK:EK),0)</f>
        <v/>
      </c>
      <c r="EO13" s="1051">
        <f>IF(EN13&gt;EL13,(EN13-EL13)*(EK13/SUMIF(EM:EM,"Yes",EK:EK)),0)</f>
        <v/>
      </c>
      <c r="EP13" s="1051">
        <f>MAX(0,EK13-EO13)</f>
        <v/>
      </c>
      <c r="EQ13" s="1051">
        <f>'Concentration Limits'!$J$50</f>
        <v/>
      </c>
      <c r="ER13" s="1051">
        <f>IF(D13="Second Lien",SUMIF(D:D,D13,EP:EP),0)</f>
        <v/>
      </c>
      <c r="ES13" s="1051">
        <f>MAX(0,(ER13-EQ13)*IFERROR((EP13/SUMIF($D:$D,D13,EP:EP )),0) )</f>
        <v/>
      </c>
      <c r="ET13" s="1051">
        <f>MAX(0,EP13-ES13)</f>
        <v/>
      </c>
      <c r="EU13" s="1051">
        <f>'Concentration Limits'!$J$51</f>
        <v/>
      </c>
      <c r="EV13" s="1051">
        <f>IF(OR(D13="Second Lien", AND(D13="FILO",DI13&gt;AGENT!$C$59)), "Yes", "No")</f>
        <v/>
      </c>
      <c r="EW13" s="1051">
        <f>IF(EV13="Yes",SUMIF(EV:EV,"Yes",ET:ET),0)</f>
        <v/>
      </c>
      <c r="EX13" s="1051">
        <f>IF(EW13&gt;EU13,(EW13-EU13)*(ET13/SUMIF(EV:EV,"Yes",ET:ET)),0)</f>
        <v/>
      </c>
      <c r="EY13" s="1051">
        <f>MAX(0,ET13-EX13)</f>
        <v/>
      </c>
      <c r="EZ13" s="1051">
        <f>'Concentration Limits'!$J$52</f>
        <v/>
      </c>
      <c r="FA13" s="1051">
        <f>IF(CY13&gt;'Concentration Limits'!$E$52, "No", "Yes")</f>
        <v/>
      </c>
      <c r="FB13" s="1051">
        <f>IF(FA13="Yes",SUMIF(FA:FA,"Yes",EY:EY),0)</f>
        <v/>
      </c>
      <c r="FC13" s="1051">
        <f>IF(FB13&gt;EZ13,(FB13-EZ13)*(EY13/SUMIF(FA:FA,"Yes",EY:EY)),0)</f>
        <v/>
      </c>
      <c r="FD13" s="1051">
        <f>MAX(0,EY13-FC13)</f>
        <v/>
      </c>
      <c r="FE13" s="1052">
        <f>'Concentration Limits'!$J$54</f>
        <v/>
      </c>
      <c r="FF13" s="1052">
        <f>'Concentration Limits'!$J$55</f>
        <v/>
      </c>
      <c r="FG13" s="1052">
        <f>'Concentration Limits'!$J$56</f>
        <v/>
      </c>
      <c r="FH13" s="1053">
        <f>'Concentration Limits'!$J$57</f>
        <v/>
      </c>
      <c r="FI13" s="1053">
        <f>SUMIF($B:$B,$B13,$FD:$FD)</f>
        <v/>
      </c>
      <c r="FJ13" s="1053">
        <f>IF(MATCH($B13,$B:$B,0)=ROW(),$FI13,0)</f>
        <v/>
      </c>
      <c r="FK13" s="1053">
        <f>INDEX(FL$8:FL$60,MATCH(B13,B$8:B$60,0))</f>
        <v/>
      </c>
      <c r="FL13" s="1053">
        <f>IF(FJ13&gt;0,RANK(FJ13,$FJ$9:$FJ$60)+COUNTIF($FJ$9:FJ13,FJ13)-1,0)</f>
        <v/>
      </c>
      <c r="FM13" s="1052">
        <f>IF(FK13=1,IF(FI13&gt;FE13,(FI13-FE13)*(V13/SUMIF($B:$B,B13,$FD:$FD)),0),0)</f>
        <v/>
      </c>
      <c r="FN13" s="1052">
        <f>IF(FK13=2,IF(FI13&gt;FF13,(FI13-FF13)*(V13/SUMIF($B:$B,B13,$FD:$FD)),0),0)</f>
        <v/>
      </c>
      <c r="FO13" s="1052">
        <f>IF(FK13=3,IF(FI13&gt;FG13,(FI13-FG13)*(V13/SUMIF($B:$B,B13,$FD:$FD)),0),0)</f>
        <v/>
      </c>
      <c r="FP13" s="1053">
        <f>IF(FK13&gt;0,IF(FI13&gt;FH13,(FI13-FH13)*(FD13/(SUMIF($B:$B,$B13,$FD:$FD))),0),0)</f>
        <v/>
      </c>
      <c r="FQ13" s="1053">
        <f>MAX(0,FD13-FM13-FN13-FO13-FP13)</f>
        <v/>
      </c>
      <c r="FR13" s="1053">
        <f>'Concentration Limits'!$J$58</f>
        <v/>
      </c>
      <c r="FS13" s="1053">
        <f>SUMIF($BR:$BR,$BR13,FQ:FQ)</f>
        <v/>
      </c>
      <c r="FT13" s="1053">
        <f>VLOOKUP(BR13,'Concentration Limits'!$E$81:$H$153,4,FALSE)</f>
        <v/>
      </c>
      <c r="FU13" s="1053">
        <f>IF(FT13=1,MAX(0,(FS13-FR13)*(FQ13/SUMIF($BR:$BR,BR13,FQ:FQ))),0)</f>
        <v/>
      </c>
      <c r="FV13" s="1053">
        <f>MAX(0,FQ13-FU13)</f>
        <v/>
      </c>
      <c r="FW13" s="1053">
        <f>'Concentration Limits'!$J$59</f>
        <v/>
      </c>
      <c r="FX13" s="1053">
        <f>SUMIF($BR:$BR,$BR13,FV:FV)</f>
        <v/>
      </c>
      <c r="FY13" s="1053">
        <f>VLOOKUP(BR13,'Concentration Limits'!$E$81:$H$153,4,FALSE)</f>
        <v/>
      </c>
      <c r="FZ13" s="1053">
        <f>MAX(0,IF(FY13=2,(FX13-FW13)*(FV13/SUMIF($BR:$BR,BR13,FV:FV)),0))</f>
        <v/>
      </c>
      <c r="GA13" s="1053">
        <f>MAX(0,FV13-FZ13)</f>
        <v/>
      </c>
      <c r="GB13" s="1053">
        <f>'Concentration Limits'!$J$61</f>
        <v/>
      </c>
      <c r="GC13" s="1053">
        <f>SUMIF($BR:$BR,$BR13,GA:GA)</f>
        <v/>
      </c>
      <c r="GD13" s="1051">
        <f>VLOOKUP(BR13,'Concentration Limits'!$E$81:$H$153,4,FALSE)</f>
        <v/>
      </c>
      <c r="GE13" s="1053">
        <f>IF(GA13=0,0,MAX(0,IF(GD13&lt;3,0,(GC13-GB13)*($GA13/SUMIF($BR:$BR,BR13,GA:GA)))))</f>
        <v/>
      </c>
      <c r="GF13" s="1053">
        <f>MAX(0,GA13-GE13)</f>
        <v/>
      </c>
      <c r="GG13" s="1053">
        <f>'Concentration Limits'!$J$64</f>
        <v/>
      </c>
      <c r="GH13" s="1053">
        <f>IF(BY13="Yes",SUMIF(BY:BY,BY13,GF:GF),0)</f>
        <v/>
      </c>
      <c r="GI13" s="1053">
        <f>IFERROR(MAX(0,(GH13-GG13)*(GF13/SUMIF($T:$T,T13,GF:GF ))),0)</f>
        <v/>
      </c>
      <c r="GJ13" s="1053">
        <f>MAX(0,GF13-GI13)</f>
        <v/>
      </c>
      <c r="GK13" s="1053">
        <f>'Concentration Limits'!$J$67</f>
        <v/>
      </c>
      <c r="GL13" s="1051">
        <f>IF(OR(BV13="Yes",OR(ISNUMBER(SEARCH("Travel",BR13)),ISNUMBER(SEARCH("Energy",BR13)),ISNUMBER(SEARCH("Leisure",BR13)),ISNUMBER(SEARCH("hotel",BR13)))),"Yes","No")</f>
        <v/>
      </c>
      <c r="GM13" s="1053">
        <f>IF(GL13="Yes",SUMIF(GL:GL,"Yes",GJ:GJ),0)</f>
        <v/>
      </c>
      <c r="GN13" s="1053">
        <f>IF(GM13&gt;GK13,(GM13-GK13)*(GJ13/SUMIF(GL:GL,"Yes",GJ:GJ)),0)</f>
        <v/>
      </c>
      <c r="GO13" s="1053">
        <f>MAX(0,GJ13-GN13)</f>
        <v/>
      </c>
      <c r="GP13" s="1053">
        <f>'Concentration Limits'!$J$68</f>
        <v/>
      </c>
      <c r="GQ13" s="1051">
        <f>IF(BU13="Yes","Yes", "No")</f>
        <v/>
      </c>
      <c r="GR13" s="1053">
        <f>IF(GQ13="Yes",SUMIF(GQ:GQ,"Yes",GO:GO),0)</f>
        <v/>
      </c>
      <c r="GS13" s="1053">
        <f>IF(GR13&gt;GP13,(GR13-GP13)*(GO13/SUMIF(GQ:GQ,"Yes",GO:GO)),0)</f>
        <v/>
      </c>
      <c r="GT13" s="1053">
        <f>MAX(0,GO13-GS13)</f>
        <v/>
      </c>
      <c r="GU13" s="1051">
        <f>'Concentration Limits'!$J$69</f>
        <v/>
      </c>
      <c r="GV13" s="1051">
        <f>IF(BW13="Yes", "Yes", "No")</f>
        <v/>
      </c>
      <c r="GW13" s="1051">
        <f>IF(GV13="Yes",SUMIF(GV:GV,"Yes",GT:GT),0)</f>
        <v/>
      </c>
      <c r="GX13" s="1051">
        <f>IF(GW13&gt;GU13,(GW13-GU13)*(GT13/SUMIF(GV:GV,"Yes",GT:GT)),0)</f>
        <v/>
      </c>
      <c r="GY13" s="1051">
        <f>MAX(0,GT13-GX13)</f>
        <v/>
      </c>
      <c r="GZ13" s="1051">
        <f>'Concentration Limits'!$J$70</f>
        <v/>
      </c>
      <c r="HA13" s="1051">
        <f>IF(BX13="Yes", "Yes", "No")</f>
        <v/>
      </c>
      <c r="HB13" s="1051">
        <f>IF(HA13="Yes",SUMIF(HA:HA,"Yes",GY:GY),0)</f>
        <v/>
      </c>
      <c r="HC13" s="1051">
        <f>IF(HB13&gt;GZ13,(HB13-GZ13)*(GY13/SUMIF(HA:HA,"Yes",GY:GY)),0)</f>
        <v/>
      </c>
      <c r="HD13" s="1051">
        <f>MAX(0,GY13-HC13)</f>
        <v/>
      </c>
      <c r="HE13" s="1053">
        <f>IF(AQ13=0,0,HD13*AQ13/(AQ13+AR13))</f>
        <v/>
      </c>
      <c r="HF13" s="1053">
        <f>IF(AR13=0,0,HD13*AR13/(AQ13+AR13))</f>
        <v/>
      </c>
      <c r="HG13" s="1053">
        <f>IF(AW13=0,0,HD13*AW13/(AW13+AX13))</f>
        <v/>
      </c>
      <c r="HH13" s="1053">
        <f>IF(AX13=0,0,HD13*AX13/(AX13+AW13))</f>
        <v/>
      </c>
      <c r="HI13" s="1053">
        <f>IF(BE13=0,0,#REF!*BE13/(BE13+BG13))</f>
        <v/>
      </c>
      <c r="HJ13" s="1053">
        <f>IF(BG13=0,0,#REF!*BG13/(BG13+BE13))</f>
        <v/>
      </c>
      <c r="HK13" s="1054">
        <f>IF(BF13=0,0,#REF!*BF13/(BF13+BH13))</f>
        <v/>
      </c>
      <c r="HL13" s="1053">
        <f>IF(BH13=0,0,#REF!*BH13/(BH13+BF13))</f>
        <v/>
      </c>
      <c r="HM13" s="1053">
        <f>IF(D13="Second Lien",HD13,0)</f>
        <v/>
      </c>
      <c r="HN13" s="1053">
        <f>SUM(HE13:HM13)=HD13</f>
        <v/>
      </c>
    </row>
    <row r="14" ht="12.75" customFormat="1" customHeight="1" s="469">
      <c r="A14" s="55">
        <f>A13+1</f>
        <v/>
      </c>
      <c r="B14" s="437">
        <f>INDEX('Loan Tape - Settled'!$B$4:$AP$55,MATCH($A14,'Loan Tape - Settled'!$E$4:$E$55,0),MATCH("Obligor Name",'Loan Tape - Settled'!$B$4:$AM$4,0))</f>
        <v/>
      </c>
      <c r="C14" s="437">
        <f>INDEX('Loan Tape - Settled'!$B$4:$AP$55,MATCH($A14,'Loan Tape - Settled'!$E$4:$E$55,0),MATCH("Security",'Loan Tape - Settled'!$B$4:$AM$4,0))</f>
        <v/>
      </c>
      <c r="D14" s="438">
        <f>INDEX('Loan Tape - Settled'!$B$4:$AP$55,MATCH($A14,'Loan Tape - Settled'!$E$4:$E$55,0),MATCH("Loan Type",'Loan Tape - Settled'!$B$4:$AM$4,0))</f>
        <v/>
      </c>
      <c r="E14" s="439">
        <f>IF(ISERROR(MATCH(D14,AGENT!$A$4:$A$10,0))=FALSE, TRUE)</f>
        <v/>
      </c>
      <c r="F14" s="439">
        <f>IF(AND(BZ14="no",CA14="no"),TRUE)</f>
        <v/>
      </c>
      <c r="G14" s="439">
        <f>IF(D14&lt;&gt;"Second Lien",TRUE, IF(CY14&gt;=AGENT!$B$4,TRUE))</f>
        <v/>
      </c>
      <c r="H14" s="439">
        <f>IF(DE14&lt;=AGENT!$D$4,TRUE)</f>
        <v/>
      </c>
      <c r="I14" s="439">
        <f>IF(VLOOKUP(CONCATENATE($A$5,A14),'Loan Tape - Settled'!$A$5:$Q$55,17,FALSE)&gt;=AGENT!$E$4,TRUE)</f>
        <v/>
      </c>
      <c r="J14" s="439">
        <f>IF(INDEX('Loan Tape - Settled'!$B$4:$AP$55,MATCH($A14,'Loan Tape - Settled'!$E$4:$E$55,0),MATCH("Loan Denomination",'Loan Tape - Settled'!$B$4:$AP$4,0))="USD", TRUE)</f>
        <v/>
      </c>
      <c r="K14" s="439">
        <f>IF(INDEX('Loan Tape - Settled'!$B$4:$AP$55,MATCH($A14,'Loan Tape - Settled'!$E$4:$E$55,0),MATCH("Exposure Country",'Loan Tape - Settled'!$B$4:$AP$4,0))="United States", TRUE)</f>
        <v/>
      </c>
      <c r="L14" s="439">
        <f>IF(BS14="NO",TRUE)</f>
        <v/>
      </c>
      <c r="M14" s="439">
        <f>IF(((BM14-BL14)/365)&lt;=AGENT!$F$4,TRUE)</f>
        <v/>
      </c>
      <c r="N14" s="439">
        <f>IF(DX14="Yes",FALSE,TRUE)</f>
        <v/>
      </c>
      <c r="O14" s="493" t="n"/>
      <c r="P14" s="764">
        <f>IF($B14="","",IF(OR(O14=TRUE,COUNTIFS($E14:$N14,TRUE)=10),"Yes","No"))</f>
        <v/>
      </c>
      <c r="Q14" s="730" t="inlineStr">
        <is>
          <t>Yes</t>
        </is>
      </c>
      <c r="R14" s="440">
        <f>IF(P14="Yes",B14,"N/A")</f>
        <v/>
      </c>
      <c r="S14" s="440" t="n"/>
      <c r="T14" s="441">
        <f t="array" ref="T14">_xlfn.IFS(D14="Second Lien",D14,D14="First Lien",CONCATENATE(D14," ",EI14),D14="FILO",CONCATENATE(D14," ",EJ14))</f>
        <v/>
      </c>
      <c r="U14" s="442">
        <f>VLOOKUP(T14,'Concentration Limits'!D:G,4,FALSE)</f>
        <v/>
      </c>
      <c r="V14" s="1020">
        <f>AQ14+AW14+BI14</f>
        <v/>
      </c>
      <c r="W14" s="1021">
        <f>(SUMIFS('Loan Tape - Settled'!$AR$4:$AR$55,'Loan Tape - Settled'!$E$4:$E$55,$A14,'Loan Tape - Settled'!$C$4:$C$55,$A$5))</f>
        <v/>
      </c>
      <c r="X14" s="1022" t="n">
        <v>1</v>
      </c>
      <c r="Y14" s="1023">
        <f>W14*X14</f>
        <v/>
      </c>
      <c r="Z14" s="1022">
        <f>(SUMIFS('Loan Tape - Settled'!$AQ$4:$AQ$55,'Loan Tape - Settled'!$E$4:$E$55,$A14,'Loan Tape - Settled'!$C$4:$C$55,$A$5))</f>
        <v/>
      </c>
      <c r="AA14" s="1023">
        <f>Z14*X14</f>
        <v/>
      </c>
      <c r="AB14" s="1023">
        <f>AA14-Y14</f>
        <v/>
      </c>
      <c r="AC14" s="490">
        <f>VLOOKUP(CONCATENATE($A$5,A14),'Loan Tape - Settled'!$A$5:$Q$55,17,FALSE)</f>
        <v/>
      </c>
      <c r="AD14" s="445" t="n"/>
      <c r="AE14" s="446">
        <f>INDEX('Loan Tape - Settled'!$B$4:$AP$55,MATCH($A14,'Loan Tape - Settled'!$E$4:$E$55,0),MATCH("FMV",'Loan Tape - Settled'!$B$4:$AM$4,0))</f>
        <v/>
      </c>
      <c r="AF14" s="446">
        <f t="array" ref="AF14">_xlfn.IFS(D14="First Lien",
_xlfn.IFS(AND(DL14&gt;0,DL14&lt;Tier_1_1L),Tier_1_ApplicableValue,
AND(DL14&gt;=Tier_1_1L,DL14&lt;Tier_2_1L),((Tier_1_1L/DL14)*Tier_1_ApplicableValue)+((DL14-Tier_1_1L)/DL14*Tier_2_ApplicableValue),
AND(DL14&gt;=Tier_2_1L, DL14&lt;Tier_3_1L),((Tier_1_1L/DL14)*Tier_1_ApplicableValue+(Tier_2_1L-Tier_1_1L)/DL14*Tier_2_ApplicableValue+(DL14-Tier_2_1L)/DL14*Tier_3_ApplicableValue),
AND(DL14&gt;=Tier_3_1L, DL14&lt;=Tier_totalzerovalue),((Tier_1_1L/DL14)*Tier_1_ApplicableValue+(Tier_2_1L-Tier_1_1L)/DL14*Tier_2_ApplicableValue+(Tier_3_1L-Tier_2_1L)/DL14*Tier_3_ApplicableValue+(DL14-Tier_partialzerovalue)/DL14*0%),
DL14&gt;Tier_totalzerovalue,0%),
OR(D14="Second Lien", D14="FILO"),
_xlfn.IFS(AND(DM14&gt;0,DM14&lt;Tier_1_2L),Tier_1_ApplicableValue,
AND(DM14&gt;=Tier_1_2L,DM14&lt;Tier_2_2L),((Tier_1_2L/DM14)*Tier_1_ApplicableValue)+((DM14-Tier_1_2L)/DM14*Tier_2_ApplicableValue),
AND(DM14&gt;=Tier_2_2L, DM14&lt;Tier_3_2L),((Tier_1_2L/DM14)*Tier_1_ApplicableValue+(Tier_2_2L-Tier_1_2L)/DM14*Tier_2_ApplicableValue+(DM14-Tier_2_2L)/DM14*Tier_3_ApplicableValue),
AND(DM14&gt;=Tier_3_2L, DM14&lt;=Tier_totalzerovalue),((Tier_1_2L/DM14)*Tier_1_ApplicableValue+(Tier_2_2L-Tier_1_2L)/DM14*Tier_2_ApplicableValue+(Tier_3_2L-Tier_2_2L)/DM14*Tier_3_ApplicableValue+(DM14-Tier_partialzerovalue)/DM14*0%),
DM14&gt;Tier_totalzerovalue,0%))</f>
        <v/>
      </c>
      <c r="AG14" s="447">
        <f>IF(COUNTIFS(VAE!$C$5:$C$96,B14,VAE!$G$5:$G$96,"&lt;="&amp;Availability!$F$8)&gt;=1,"Yes","-")</f>
        <v/>
      </c>
      <c r="AH14" s="447">
        <f t="array" ref="AH14">IFERROR(IF(AG14="Yes",INDEX(VAE!$D$5:$D$96,MATCH(B14&amp;AJ14,VAE!$C$5:$C$96&amp;VAE!$G$5:$G$96,0)),"-"),0)</f>
        <v/>
      </c>
      <c r="AI14" s="447">
        <f t="array" ref="AI14">IFERROR(IF(AG14="Yes",INDEX(VAE!$F$5:$F$96,MATCH(B14&amp;AJ14,VAE!$C$5:$C$96&amp;VAE!$G$5:$G$96,0)),"-"),0)</f>
        <v/>
      </c>
      <c r="AJ14" s="448">
        <f>IF(AG14="-","-",_xlfn.MAXIFS(VAE!$G$5:$G$96,VAE!$C$5:$C$96,$B14))</f>
        <v/>
      </c>
      <c r="AK14" s="449">
        <f t="array" ref="AK14">IFERROR(IF(AG14="Yes",INDEX(VAE!$P$5:$P$96,MATCH(B14&amp;AJ14,VAE!$C$5:$C$96&amp;VAE!$G$5:$G$96,0)),"-"),0)</f>
        <v/>
      </c>
      <c r="AL14" s="446">
        <f>IF($A14="","",IF(P14="No",0,(IF(AG14="Yes",MIN(AE14,AK14,AF14),MIN(AE14,AF14)))))</f>
        <v/>
      </c>
      <c r="AM14" s="1020" t="n"/>
      <c r="AN14" s="1020" t="n"/>
      <c r="AO14" s="1020">
        <f>IF(AND(D14="First Lien",P14="No"),0,IF(D14&lt;&gt;"First Lien",0,Y14))</f>
        <v/>
      </c>
      <c r="AP14" s="1020">
        <f>IF(AND(D14="First Lien",P14="No"),W14,0)</f>
        <v/>
      </c>
      <c r="AQ14" s="1020">
        <f>AL14*AO14</f>
        <v/>
      </c>
      <c r="AR14" s="1020" t="n"/>
      <c r="AS14" s="1020" t="n"/>
      <c r="AT14" s="1020" t="n"/>
      <c r="AU14" s="1020">
        <f>IF(AND(D14="FILO",P14="No"),0,IF(D14&lt;&gt;"FILO",0,Y14))</f>
        <v/>
      </c>
      <c r="AV14" s="1020">
        <f>IF(AND(D14="FILO",P14="No"),W14,0)</f>
        <v/>
      </c>
      <c r="AW14" s="1020">
        <f>AU14*AL14</f>
        <v/>
      </c>
      <c r="AX14" s="1020" t="n"/>
      <c r="AY14" s="1020" t="n"/>
      <c r="AZ14" s="1020" t="n"/>
      <c r="BA14" s="1020">
        <f>IF(AND(OR(D14="First Lien",D14="FILO"),P14="No"),0,IF(OR(D14="First Lien",D14="FILO"),0,(Y14)))</f>
        <v/>
      </c>
      <c r="BB14" s="1020" t="n"/>
      <c r="BC14" s="1020" t="n"/>
      <c r="BD14" s="1020">
        <f>IF(AND(D14="Second Lien",P14="No"),W14,0)</f>
        <v/>
      </c>
      <c r="BE14" s="1020" t="n"/>
      <c r="BF14" s="1020" t="n"/>
      <c r="BG14" s="1020" t="n"/>
      <c r="BH14" s="1020" t="n"/>
      <c r="BI14" s="1020">
        <f>IF(D14="Second Lien",BA14*AL14,0)</f>
        <v/>
      </c>
      <c r="BJ14" s="1020">
        <f>SUM(AM14:AP14)+SUM(AZ14:BD14)+SUM(AS14:AV14)=Y14</f>
        <v/>
      </c>
      <c r="BK14" s="1026">
        <f>INDEX('Loan Tape - Settled'!$B$4:$AP$55,MATCH($A14,'Loan Tape - Settled'!$E$4:$E$55,0),MATCH("Inception Date",'Loan Tape - Settled'!$B$4:$AP$4,0))</f>
        <v/>
      </c>
      <c r="BL14" s="1026">
        <f>INDEX('Loan Tape - Settled'!$B$4:$AP$55,MATCH($A14,'Loan Tape - Settled'!$E$4:$E$55,0),MATCH("Inclusion Date",'Loan Tape - Settled'!$B$4:$AP$4,0))</f>
        <v/>
      </c>
      <c r="BM14" s="1026">
        <f>INDEX('Loan Tape - Settled'!$B$4:$AP$55,MATCH($A14,'Loan Tape - Settled'!$E$4:$E$55,0),MATCH("Maturity Date",'Loan Tape - Settled'!$B$4:$AP$4,0))</f>
        <v/>
      </c>
      <c r="BN14" s="556" t="n"/>
      <c r="BO14" s="556" t="n"/>
      <c r="BP14" s="1055" t="n"/>
      <c r="BQ14" s="556" t="n"/>
      <c r="BR14" s="554">
        <f>INDEX('Loan Tape - Settled'!$B$4:$AP$55,MATCH($A14,'Loan Tape - Settled'!$E$4:$E$55,0),MATCH("Industry Classification",'Loan Tape - Settled'!$B$4:$AP$4,0))</f>
        <v/>
      </c>
      <c r="BS14" s="556">
        <f>IF(INDEX('Loan Tape - Settled'!$B$4:$AP$55,MATCH($A14,'Loan Tape - Settled'!$E$4:$E$55,0),MATCH("Covenant Lite",'Loan Tape - Settled'!$B$4:$AP$4,0))=-1, "Yes", "No")</f>
        <v/>
      </c>
      <c r="BT14" s="1056">
        <f>INDEX('Loan Tape - Settled'!$B$4:$AP$55,MATCH($A14,'Loan Tape - Settled'!$E$4:$E$55,0),MATCH("Spread / Coupon (%)",'Loan Tape - Settled'!$B$4:$AP$4,0))</f>
        <v/>
      </c>
      <c r="BU14" s="556">
        <f>IF(INDEX('Loan Tape - Settled'!$B$4:$AP$55,MATCH($A14,'Loan Tape - Settled'!$E$4:$E$55,0),MATCH("Security Type",'Loan Tape - Settled'!$B$4:$AP$4,0))="Delayed Draw Term Loan", "Yes", "No")</f>
        <v/>
      </c>
      <c r="BV14" s="557" t="inlineStr">
        <is>
          <t>No</t>
        </is>
      </c>
      <c r="BW14" s="557" t="inlineStr">
        <is>
          <t>No</t>
        </is>
      </c>
      <c r="BX14" s="548" t="inlineStr">
        <is>
          <t>No</t>
        </is>
      </c>
      <c r="BY14" s="556">
        <f>IF(INDEX('Loan Tape - Settled'!$B$4:$AP$55,MATCH($A14,'Loan Tape - Settled'!$E$4:$E$55,0),MATCH("Fixed/Floating",'Loan Tape - Settled'!$B$4:$AP$4,0))="Fixed", "Yes", "No")</f>
        <v/>
      </c>
      <c r="BZ14" s="557" t="inlineStr">
        <is>
          <t>No</t>
        </is>
      </c>
      <c r="CA14" s="557" t="inlineStr">
        <is>
          <t>No</t>
        </is>
      </c>
      <c r="CB14" s="556">
        <f>IF(INDEX('Loan Tape - Settled'!$B$4:$AP$55,MATCH($A14,'Loan Tape - Settled'!$E$4:$E$55,0),MATCH("Loan Denomination",'Loan Tape - Settled'!$B$4:$AP$4,0))="CAD", "Yes", "No")</f>
        <v/>
      </c>
      <c r="CC14" s="556">
        <f>INDEX('Loan Tape - Settled'!$B$4:$AP$55,MATCH($A14,'Loan Tape - Settled'!$E$4:$E$55,0),MATCH("Payment Frequency",'Loan Tape - Settled'!$B$4:$AP$4,0))</f>
        <v/>
      </c>
      <c r="CD14" s="557" t="inlineStr">
        <is>
          <t>No</t>
        </is>
      </c>
      <c r="CE14" s="556">
        <f>INDEX('Loan Tape - Settled'!$B$4:$AP$55,MATCH($A14,'Loan Tape - Settled'!$E$4:$E$55,0),MATCH("S&amp;P Loan Rating (if applicable)",'Loan Tape - Settled'!$B$4:$AP$4,0))</f>
        <v/>
      </c>
      <c r="CF14" s="556">
        <f>INDEX('Loan Tape - Settled'!$B$4:$AP$55,MATCH($A14,'Loan Tape - Settled'!$E$4:$E$55,0),MATCH("Moody's Loan Rating (if applicable)",'Loan Tape - Settled'!$B$4:$AP$4,0))</f>
        <v/>
      </c>
      <c r="CG14" s="556" t="n"/>
      <c r="CH14" s="556" t="n"/>
      <c r="CI14" s="1057" t="n"/>
      <c r="CJ14" s="1030">
        <f>INDEX('Loan Tape - Settled'!$B$4:$BF$55,MATCH($A14,'Loan Tape - Settled'!$E$4:$E$55,0),MATCH("Last Financial Received",'Loan Tape - Settled'!$B$4:$BF$4,0))</f>
        <v/>
      </c>
      <c r="CK14" s="559">
        <f>INDEX('Loan Tape - Settled'!$B$4:$BJ$55,MATCH($A14,'Loan Tape - Settled'!$E$4:$E$55,0),MATCH("Initial Adjusted TTM EBITDA",'Loan Tape - Settled'!$B$4:$BJ$4,0))</f>
        <v/>
      </c>
      <c r="CL14" s="559">
        <f>INDEX('Loan Tape - Settled'!$B$4:$BJ$55,MATCH($A14,'Loan Tape - Settled'!$E$4:$E$55,0),MATCH("Initial TTM Non-adjusted EBITDA",'Loan Tape - Settled'!$B$4:$BJ$4,0))</f>
        <v/>
      </c>
      <c r="CM14" s="1031" t="n"/>
      <c r="CN14" s="451" t="n"/>
      <c r="CO14" s="451" t="n"/>
      <c r="CP14" s="1032" t="n"/>
      <c r="CQ14" s="1033" t="inlineStr">
        <is>
          <t>N</t>
        </is>
      </c>
      <c r="CR14" s="1032" t="n"/>
      <c r="CS14" s="454">
        <f>CK14-CP14+CR14</f>
        <v/>
      </c>
      <c r="CT14" s="455">
        <f>1-CS14/CK14</f>
        <v/>
      </c>
      <c r="CU14" s="559">
        <f>INDEX('Loan Tape - Settled'!$B$4:$BJ$55,MATCH($A14,'Loan Tape - Settled'!$E$4:$E$55,0),MATCH("Current TTM Non-adjusted EBITDA",'Loan Tape - Settled'!$B$4:$BJ$4,0))</f>
        <v/>
      </c>
      <c r="CV14" s="456">
        <f>CT14</f>
        <v/>
      </c>
      <c r="CW14" s="1034" t="inlineStr">
        <is>
          <t>N</t>
        </is>
      </c>
      <c r="CX14" s="1035" t="n"/>
      <c r="CY14" s="1036">
        <f>IF(CW14="N",(1-CV14)*CU14,(1-CX14)*CU14)</f>
        <v/>
      </c>
      <c r="CZ14" s="1037" t="n"/>
      <c r="DA14" s="1038" t="n"/>
      <c r="DB14" s="1039" t="n"/>
      <c r="DC14" s="1040" t="n"/>
      <c r="DD14" s="1040">
        <f>INDEX('Loan Tape - Settled'!$B$4:$BJ$55,MATCH($A14,'Loan Tape - Settled'!$E$4:$E$55,0),MATCH("Initial Senior Net Leverage Senior",'Loan Tape - Settled'!$B$4:$BJ$4,0))</f>
        <v/>
      </c>
      <c r="DE14" s="1041">
        <f>INDEX('Loan Tape - Settled'!$B$4:$BJ$55,MATCH($A14,'Loan Tape - Settled'!$E$4:$E$55,0),MATCH("Initial Total Net Leverage",'Loan Tape - Settled'!$B$4:$BJ$4,0))</f>
        <v/>
      </c>
      <c r="DF14" s="1037" t="n"/>
      <c r="DG14" s="1038" t="n"/>
      <c r="DH14" s="1039" t="n"/>
      <c r="DI14" s="1042">
        <f>INDEX('Loan Tape - Settled'!$B$4:$BJ$55,MATCH($A14,'Loan Tape - Settled'!$E$4:$E$55,0),MATCH("Net Attachment",'Loan Tape - Settled'!$B$4:$BJ$4,0))</f>
        <v/>
      </c>
      <c r="DJ14" s="566">
        <f t="array" ref="DJ14">IF(AG14="Yes",INDEX(VAE!$M$5:$M$53,MATCH($B14&amp;$AJ14,VAE!$C$5:$C$53&amp;VAE!$G$5:$G$53,0)),DD14)</f>
        <v/>
      </c>
      <c r="DK14" s="697">
        <f t="array" ref="DK14">IF(AG14="Yes",INDEX(VAE!$N$5:$N$53,MATCH($B14&amp;$AJ14,VAE!$C$5:$C$53&amp;VAE!$G$5:$G$53,0)),DE14)</f>
        <v/>
      </c>
      <c r="DL14" s="1058">
        <f>INDEX('Loan Tape - Settled'!$B$4:$BJ$55,MATCH($A14,'Loan Tape - Settled'!$E$4:$E$55,0),MATCH("Current Senior Net Leverage Senior",'Loan Tape - Settled'!$B$4:$BJ$4,0))</f>
        <v/>
      </c>
      <c r="DM14" s="1059">
        <f>INDEX('Loan Tape - Settled'!$B$4:$BJ$55,MATCH($A14,'Loan Tape - Settled'!$E$4:$E$55,0),MATCH("Current Total Net Leverage",'Loan Tape - Settled'!$B$4:$BJ$4,0))</f>
        <v/>
      </c>
      <c r="DN14" s="1044" t="n"/>
      <c r="DO14" s="1045">
        <f>INDEX('Loan Tape - Settled'!$B$4:$BJ$55,MATCH($A14,'Loan Tape - Settled'!$E$4:$E$55,0),MATCH("Initial Interest Coverage",'Loan Tape - Settled'!$B$4:$BJ$4,0))</f>
        <v/>
      </c>
      <c r="DP14" s="565">
        <f t="array" ref="DP14">IF(AG14="Yes",INDEX(VAE!$O$5:$O$53,MATCH($B14&amp;$AJ14,VAE!$C$5:$C$53&amp;VAE!$G$5:$G$53,0)),DO14)</f>
        <v/>
      </c>
      <c r="DQ14" s="1046">
        <f>INDEX('Loan Tape - Settled'!$B$4:$BJ$55,MATCH($A14,'Loan Tape - Settled'!$E$4:$E$55,0),MATCH("Current Interest Coverage",'Loan Tape - Settled'!$B$4:$BJ$4,0))</f>
        <v/>
      </c>
      <c r="DR14" s="462">
        <f>IF(OR(DU14="Yes",DU14="N/A",DV14="Yes",DV14="N/A",DW14="Yes",DX14="Yes",DY14="Yes",EF14="Yes",EG14="Yes",EH14="Yes"),"Yes","No")</f>
        <v/>
      </c>
      <c r="DS14" s="1047">
        <f>IF(AG14="Yes",DATEDIF(AJ14,Availability!$F$8,"m"),"")</f>
        <v/>
      </c>
      <c r="DT14" s="1047">
        <f>IF(DS14="","No",IF(DS14&gt;12,"Yes","No"))</f>
        <v/>
      </c>
      <c r="DU14" s="695">
        <f>IFERROR(IF(AND(DQ14/DP14&lt;0.75,DQ14&lt;1.5),"Yes","No"),"N/A")</f>
        <v/>
      </c>
      <c r="DV14" s="696">
        <f>IFERROR(IF(OR(D14="First Lien",D14="FILO"),IF(AND((DL14-DJ14)&gt;0.75,DL14&gt;4),"Yes","No"),"No"),"N/A")</f>
        <v/>
      </c>
      <c r="DW14" s="696">
        <f t="array" ref="DW14">_xlfn.IFS(D14&lt;&gt;"Second Lien","No",D14="Second Lien",IF(AND((DM14-DK14)&gt;0.5,DM14&gt;4.5),"Yes","No"))</f>
        <v/>
      </c>
      <c r="DX14" s="735" t="inlineStr">
        <is>
          <t>Yes</t>
        </is>
      </c>
      <c r="DY14" s="735" t="inlineStr">
        <is>
          <t>No</t>
        </is>
      </c>
      <c r="DZ14" s="1048" t="inlineStr">
        <is>
          <t>Yes</t>
        </is>
      </c>
      <c r="EA14" s="1048" t="inlineStr">
        <is>
          <t>Yes</t>
        </is>
      </c>
      <c r="EB14" s="1048" t="inlineStr">
        <is>
          <t>Yes</t>
        </is>
      </c>
      <c r="EC14" s="1048" t="inlineStr">
        <is>
          <t>No</t>
        </is>
      </c>
      <c r="ED14" s="1048" t="inlineStr">
        <is>
          <t>No</t>
        </is>
      </c>
      <c r="EE14" s="1048" t="inlineStr">
        <is>
          <t>No</t>
        </is>
      </c>
      <c r="EF14" s="442">
        <f>IF(OR(DZ14="Yes",EA14="Yes",EB14="Yes",EC14="Yes",ED14="Yes",EE14="Yes"),"Yes","No")</f>
        <v/>
      </c>
      <c r="EG14" s="1048" t="inlineStr">
        <is>
          <t>No</t>
        </is>
      </c>
      <c r="EH14" s="1049" t="inlineStr">
        <is>
          <t>No</t>
        </is>
      </c>
      <c r="EI14" s="1050">
        <f t="array" ref="EI14">IF(D14="First Lien",_xlfn.IFS(CY14&gt;AGENT!$B$23, "&gt; $20MM",CY14&lt;=AGENT!$C$25, "&lt;= $10MM",AND(CY14&lt;=AGENT!$C$24,CY14&gt;AGENT!$B$24),"&lt;= $20MM"), "N/A")</f>
        <v/>
      </c>
      <c r="EJ14" s="1050">
        <f t="array" ref="EJ14">IF(D14="FILO",_xlfn.IFS(DI14&gt;AGENT!$B$29, "&gt; 1.25x",DI14&lt;AGENT!$C$27, "&lt; 0.75x",AND(DI14&lt;=AGENT!$C$28,DI14&gt;=AGENT!$B$28),"&lt;= 1.25x"), "N/A")</f>
        <v/>
      </c>
      <c r="EK14" s="1051">
        <f>V14</f>
        <v/>
      </c>
      <c r="EL14" s="1051">
        <f>'Concentration Limits'!$J$49</f>
        <v/>
      </c>
      <c r="EM14" s="1051">
        <f>IF(OR(D14="Second Lien",AND(D14="FILO",DI14&gt;AGENT!$C$57)), "Yes", "No")</f>
        <v/>
      </c>
      <c r="EN14" s="1051">
        <f>IF(EM14="Yes",SUMIF(EM:EM,"Yes",EK:EK),0)</f>
        <v/>
      </c>
      <c r="EO14" s="1051">
        <f>IF(EN14&gt;EL14,(EN14-EL14)*(EK14/SUMIF(EM:EM,"Yes",EK:EK)),0)</f>
        <v/>
      </c>
      <c r="EP14" s="1051">
        <f>MAX(0,EK14-EO14)</f>
        <v/>
      </c>
      <c r="EQ14" s="1051">
        <f>'Concentration Limits'!$J$50</f>
        <v/>
      </c>
      <c r="ER14" s="1051">
        <f>IF(D14="Second Lien",SUMIF(D:D,D14,EP:EP),0)</f>
        <v/>
      </c>
      <c r="ES14" s="1051">
        <f>MAX(0,(ER14-EQ14)*IFERROR((EP14/SUMIF($D:$D,D14,EP:EP )),0) )</f>
        <v/>
      </c>
      <c r="ET14" s="1051">
        <f>MAX(0,EP14-ES14)</f>
        <v/>
      </c>
      <c r="EU14" s="1051">
        <f>'Concentration Limits'!$J$51</f>
        <v/>
      </c>
      <c r="EV14" s="1051">
        <f>IF(OR(D14="Second Lien", AND(D14="FILO",DI14&gt;AGENT!$C$59)), "Yes", "No")</f>
        <v/>
      </c>
      <c r="EW14" s="1051">
        <f>IF(EV14="Yes",SUMIF(EV:EV,"Yes",ET:ET),0)</f>
        <v/>
      </c>
      <c r="EX14" s="1051">
        <f>IF(EW14&gt;EU14,(EW14-EU14)*(ET14/SUMIF(EV:EV,"Yes",ET:ET)),0)</f>
        <v/>
      </c>
      <c r="EY14" s="1051">
        <f>MAX(0,ET14-EX14)</f>
        <v/>
      </c>
      <c r="EZ14" s="1051">
        <f>'Concentration Limits'!$J$52</f>
        <v/>
      </c>
      <c r="FA14" s="1051">
        <f>IF(CY14&gt;'Concentration Limits'!$E$52, "No", "Yes")</f>
        <v/>
      </c>
      <c r="FB14" s="1051">
        <f>IF(FA14="Yes",SUMIF(FA:FA,"Yes",EY:EY),0)</f>
        <v/>
      </c>
      <c r="FC14" s="1051">
        <f>IF(FB14&gt;EZ14,(FB14-EZ14)*(EY14/SUMIF(FA:FA,"Yes",EY:EY)),0)</f>
        <v/>
      </c>
      <c r="FD14" s="1051">
        <f>MAX(0,EY14-FC14)</f>
        <v/>
      </c>
      <c r="FE14" s="1052">
        <f>'Concentration Limits'!$J$54</f>
        <v/>
      </c>
      <c r="FF14" s="1052">
        <f>'Concentration Limits'!$J$55</f>
        <v/>
      </c>
      <c r="FG14" s="1052">
        <f>'Concentration Limits'!$J$56</f>
        <v/>
      </c>
      <c r="FH14" s="1053">
        <f>'Concentration Limits'!$J$57</f>
        <v/>
      </c>
      <c r="FI14" s="1053">
        <f>SUMIF($B:$B,$B14,$FD:$FD)</f>
        <v/>
      </c>
      <c r="FJ14" s="1053">
        <f>IF(MATCH($B14,$B:$B,0)=ROW(),$FI14,0)</f>
        <v/>
      </c>
      <c r="FK14" s="1053">
        <f>INDEX(FL$8:FL$60,MATCH(B14,B$8:B$60,0))</f>
        <v/>
      </c>
      <c r="FL14" s="1053">
        <f>IF(FJ14&gt;0,RANK(FJ14,$FJ$9:$FJ$60)+COUNTIF($FJ$9:FJ14,FJ14)-1,0)</f>
        <v/>
      </c>
      <c r="FM14" s="1052">
        <f>IF(FK14=1,IF(FI14&gt;FE14,(FI14-FE14)*(V14/SUMIF($B:$B,B14,$FD:$FD)),0),0)</f>
        <v/>
      </c>
      <c r="FN14" s="1052">
        <f>IF(FK14=2,IF(FI14&gt;FF14,(FI14-FF14)*(V14/SUMIF($B:$B,B14,$FD:$FD)),0),0)</f>
        <v/>
      </c>
      <c r="FO14" s="1052">
        <f>IF(FK14=3,IF(FI14&gt;FG14,(FI14-FG14)*(V14/SUMIF($B:$B,B14,$FD:$FD)),0),0)</f>
        <v/>
      </c>
      <c r="FP14" s="1053">
        <f>IF(FK14&gt;0,IF(FI14&gt;FH14,(FI14-FH14)*(FD14/(SUMIF($B:$B,$B14,$FD:$FD))),0),0)</f>
        <v/>
      </c>
      <c r="FQ14" s="1053">
        <f>MAX(0,FD14-FM14-FN14-FO14-FP14)</f>
        <v/>
      </c>
      <c r="FR14" s="1053">
        <f>'Concentration Limits'!$J$58</f>
        <v/>
      </c>
      <c r="FS14" s="1053">
        <f>SUMIF($BR:$BR,$BR14,FQ:FQ)</f>
        <v/>
      </c>
      <c r="FT14" s="1053">
        <f>VLOOKUP(BR14,'Concentration Limits'!$E$81:$H$153,4,FALSE)</f>
        <v/>
      </c>
      <c r="FU14" s="1053">
        <f>IF(FT14=1,MAX(0,(FS14-FR14)*(FQ14/SUMIF($BR:$BR,BR14,FQ:FQ))),0)</f>
        <v/>
      </c>
      <c r="FV14" s="1053">
        <f>MAX(0,FQ14-FU14)</f>
        <v/>
      </c>
      <c r="FW14" s="1053">
        <f>'Concentration Limits'!$J$59</f>
        <v/>
      </c>
      <c r="FX14" s="1053">
        <f>SUMIF($BR:$BR,$BR14,FV:FV)</f>
        <v/>
      </c>
      <c r="FY14" s="1053">
        <f>VLOOKUP(BR14,'Concentration Limits'!$E$81:$H$153,4,FALSE)</f>
        <v/>
      </c>
      <c r="FZ14" s="1053">
        <f>MAX(0,IF(FY14=2,(FX14-FW14)*(FV14/SUMIF($BR:$BR,BR14,FV:FV)),0))</f>
        <v/>
      </c>
      <c r="GA14" s="1053">
        <f>MAX(0,FV14-FZ14)</f>
        <v/>
      </c>
      <c r="GB14" s="1053">
        <f>'Concentration Limits'!$J$61</f>
        <v/>
      </c>
      <c r="GC14" s="1053">
        <f>SUMIF($BR:$BR,$BR14,GA:GA)</f>
        <v/>
      </c>
      <c r="GD14" s="1051">
        <f>VLOOKUP(BR14,'Concentration Limits'!$E$81:$H$153,4,FALSE)</f>
        <v/>
      </c>
      <c r="GE14" s="1053">
        <f>IF(GA14=0,0,MAX(0,IF(GD14&lt;3,0,(GC14-GB14)*($GA14/SUMIF($BR:$BR,BR14,GA:GA)))))</f>
        <v/>
      </c>
      <c r="GF14" s="1053">
        <f>MAX(0,GA14-GE14)</f>
        <v/>
      </c>
      <c r="GG14" s="1053">
        <f>'Concentration Limits'!$J$64</f>
        <v/>
      </c>
      <c r="GH14" s="1053">
        <f>IF(BY14="Yes",SUMIF(BY:BY,BY14,GF:GF),0)</f>
        <v/>
      </c>
      <c r="GI14" s="1053">
        <f>IFERROR(MAX(0,(GH14-GG14)*(GF14/SUMIF($T:$T,T14,GF:GF ))),0)</f>
        <v/>
      </c>
      <c r="GJ14" s="1053">
        <f>MAX(0,GF14-GI14)</f>
        <v/>
      </c>
      <c r="GK14" s="1053">
        <f>'Concentration Limits'!$J$67</f>
        <v/>
      </c>
      <c r="GL14" s="1051">
        <f>IF(OR(BV14="Yes",OR(ISNUMBER(SEARCH("Travel",BR14)),ISNUMBER(SEARCH("Energy",BR14)),ISNUMBER(SEARCH("Leisure",BR14)),ISNUMBER(SEARCH("hotel",BR14)))),"Yes","No")</f>
        <v/>
      </c>
      <c r="GM14" s="1053">
        <f>IF(GL14="Yes",SUMIF(GL:GL,"Yes",GJ:GJ),0)</f>
        <v/>
      </c>
      <c r="GN14" s="1053">
        <f>IF(GM14&gt;GK14,(GM14-GK14)*(GJ14/SUMIF(GL:GL,"Yes",GJ:GJ)),0)</f>
        <v/>
      </c>
      <c r="GO14" s="1053">
        <f>MAX(0,GJ14-GN14)</f>
        <v/>
      </c>
      <c r="GP14" s="1053">
        <f>'Concentration Limits'!$J$68</f>
        <v/>
      </c>
      <c r="GQ14" s="1051">
        <f>IF(BU14="Yes","Yes", "No")</f>
        <v/>
      </c>
      <c r="GR14" s="1053">
        <f>IF(GQ14="Yes",SUMIF(GQ:GQ,"Yes",GO:GO),0)</f>
        <v/>
      </c>
      <c r="GS14" s="1053">
        <f>IF(GR14&gt;GP14,(GR14-GP14)*(GO14/SUMIF(GQ:GQ,"Yes",GO:GO)),0)</f>
        <v/>
      </c>
      <c r="GT14" s="1053">
        <f>MAX(0,GO14-GS14)</f>
        <v/>
      </c>
      <c r="GU14" s="1051">
        <f>'Concentration Limits'!$J$69</f>
        <v/>
      </c>
      <c r="GV14" s="1051">
        <f>IF(BW14="Yes", "Yes", "No")</f>
        <v/>
      </c>
      <c r="GW14" s="1051">
        <f>IF(GV14="Yes",SUMIF(GV:GV,"Yes",GT:GT),0)</f>
        <v/>
      </c>
      <c r="GX14" s="1051">
        <f>IF(GW14&gt;GU14,(GW14-GU14)*(GT14/SUMIF(GV:GV,"Yes",GT:GT)),0)</f>
        <v/>
      </c>
      <c r="GY14" s="1051">
        <f>MAX(0,GT14-GX14)</f>
        <v/>
      </c>
      <c r="GZ14" s="1051">
        <f>'Concentration Limits'!$J$70</f>
        <v/>
      </c>
      <c r="HA14" s="1051">
        <f>IF(BX14="Yes", "Yes", "No")</f>
        <v/>
      </c>
      <c r="HB14" s="1051">
        <f>IF(HA14="Yes",SUMIF(HA:HA,"Yes",GY:GY),0)</f>
        <v/>
      </c>
      <c r="HC14" s="1051">
        <f>IF(HB14&gt;GZ14,(HB14-GZ14)*(GY14/SUMIF(HA:HA,"Yes",GY:GY)),0)</f>
        <v/>
      </c>
      <c r="HD14" s="1051">
        <f>MAX(0,GY14-HC14)</f>
        <v/>
      </c>
      <c r="HE14" s="1053">
        <f>IF(AQ14=0,0,HD14*AQ14/(AQ14+AR14))</f>
        <v/>
      </c>
      <c r="HF14" s="1053">
        <f>IF(AR14=0,0,HD14*AR14/(AQ14+AR14))</f>
        <v/>
      </c>
      <c r="HG14" s="1053">
        <f>IF(AW14=0,0,HD14*AW14/(AW14+AX14))</f>
        <v/>
      </c>
      <c r="HH14" s="1053">
        <f>IF(AX14=0,0,HD14*AX14/(AX14+AW14))</f>
        <v/>
      </c>
      <c r="HI14" s="1053">
        <f>IF(BE14=0,0,#REF!*BE14/(BE14+BG14))</f>
        <v/>
      </c>
      <c r="HJ14" s="1053">
        <f>IF(BG14=0,0,#REF!*BG14/(BG14+BE14))</f>
        <v/>
      </c>
      <c r="HK14" s="1054">
        <f>IF(BF14=0,0,#REF!*BF14/(BF14+BH14))</f>
        <v/>
      </c>
      <c r="HL14" s="1053">
        <f>IF(BH14=0,0,#REF!*BH14/(BH14+BF14))</f>
        <v/>
      </c>
      <c r="HM14" s="1053">
        <f>IF(D14="Second Lien",HD14,0)</f>
        <v/>
      </c>
      <c r="HN14" s="1053">
        <f>SUM(HE14:HM14)=HD14</f>
        <v/>
      </c>
    </row>
    <row r="15" ht="12.75" customFormat="1" customHeight="1" s="469">
      <c r="A15" s="55">
        <f>A14+1</f>
        <v/>
      </c>
      <c r="B15" s="437">
        <f>INDEX('Loan Tape - Settled'!$B$4:$AP$55,MATCH($A15,'Loan Tape - Settled'!$E$4:$E$55,0),MATCH("Obligor Name",'Loan Tape - Settled'!$B$4:$AM$4,0))</f>
        <v/>
      </c>
      <c r="C15" s="437">
        <f>INDEX('Loan Tape - Settled'!$B$4:$AP$55,MATCH($A15,'Loan Tape - Settled'!$E$4:$E$55,0),MATCH("Security",'Loan Tape - Settled'!$B$4:$AM$4,0))</f>
        <v/>
      </c>
      <c r="D15" s="438">
        <f>INDEX('Loan Tape - Settled'!$B$4:$AP$55,MATCH($A15,'Loan Tape - Settled'!$E$4:$E$55,0),MATCH("Loan Type",'Loan Tape - Settled'!$B$4:$AM$4,0))</f>
        <v/>
      </c>
      <c r="E15" s="439">
        <f>IF(ISERROR(MATCH(D15,AGENT!$A$4:$A$10,0))=FALSE, TRUE)</f>
        <v/>
      </c>
      <c r="F15" s="439">
        <f>IF(AND(BZ15="no",CA15="no"),TRUE)</f>
        <v/>
      </c>
      <c r="G15" s="439">
        <f>IF(D15&lt;&gt;"Second Lien",TRUE, IF(CY15&gt;=AGENT!$B$4,TRUE))</f>
        <v/>
      </c>
      <c r="H15" s="439">
        <f>IF(DE15&lt;=AGENT!$D$4,TRUE)</f>
        <v/>
      </c>
      <c r="I15" s="439">
        <f>IF(VLOOKUP(CONCATENATE($A$5,A15),'Loan Tape - Settled'!$A$5:$Q$55,17,FALSE)&gt;=AGENT!$E$4,TRUE)</f>
        <v/>
      </c>
      <c r="J15" s="439">
        <f>IF(INDEX('Loan Tape - Settled'!$B$4:$AP$55,MATCH($A15,'Loan Tape - Settled'!$E$4:$E$55,0),MATCH("Loan Denomination",'Loan Tape - Settled'!$B$4:$AP$4,0))="USD", TRUE)</f>
        <v/>
      </c>
      <c r="K15" s="439">
        <f>IF(INDEX('Loan Tape - Settled'!$B$4:$AP$55,MATCH($A15,'Loan Tape - Settled'!$E$4:$E$55,0),MATCH("Exposure Country",'Loan Tape - Settled'!$B$4:$AP$4,0))="United States", TRUE)</f>
        <v/>
      </c>
      <c r="L15" s="439">
        <f>IF(BS15="NO",TRUE)</f>
        <v/>
      </c>
      <c r="M15" s="439">
        <f>IF(((BM15-BL15)/365)&lt;=AGENT!$F$4,TRUE)</f>
        <v/>
      </c>
      <c r="N15" s="439">
        <f>IF(DX15="Yes",FALSE,TRUE)</f>
        <v/>
      </c>
      <c r="O15" s="493" t="n"/>
      <c r="P15" s="764">
        <f>IF($B15="","",IF(OR(O15=TRUE,COUNTIFS($E15:$N15,TRUE)=10),"Yes","No"))</f>
        <v/>
      </c>
      <c r="Q15" s="730" t="inlineStr">
        <is>
          <t>Yes</t>
        </is>
      </c>
      <c r="R15" s="440">
        <f>IF(P15="Yes",B15,"N/A")</f>
        <v/>
      </c>
      <c r="S15" s="440" t="n"/>
      <c r="T15" s="441">
        <f t="array" ref="T15">_xlfn.IFS(D15="Second Lien",D15,D15="First Lien",CONCATENATE(D15," ",EI15),D15="FILO",CONCATENATE(D15," ",EJ15))</f>
        <v/>
      </c>
      <c r="U15" s="442">
        <f>VLOOKUP(T15,'Concentration Limits'!D:G,4,FALSE)</f>
        <v/>
      </c>
      <c r="V15" s="1020">
        <f>AQ15+AW15+BI15</f>
        <v/>
      </c>
      <c r="W15" s="1021">
        <f>(SUMIFS('Loan Tape - Settled'!$AR$4:$AR$55,'Loan Tape - Settled'!$E$4:$E$55,$A15,'Loan Tape - Settled'!$C$4:$C$55,$A$5))</f>
        <v/>
      </c>
      <c r="X15" s="1022" t="n">
        <v>1</v>
      </c>
      <c r="Y15" s="1023">
        <f>W15*X15</f>
        <v/>
      </c>
      <c r="Z15" s="1022">
        <f>(SUMIFS('Loan Tape - Settled'!$AQ$4:$AQ$55,'Loan Tape - Settled'!$E$4:$E$55,$A15,'Loan Tape - Settled'!$C$4:$C$55,$A$5))</f>
        <v/>
      </c>
      <c r="AA15" s="1023">
        <f>Z15*X15</f>
        <v/>
      </c>
      <c r="AB15" s="1023">
        <f>AA15-Y15</f>
        <v/>
      </c>
      <c r="AC15" s="490">
        <f>VLOOKUP(CONCATENATE($A$5,A15),'Loan Tape - Settled'!$A$5:$Q$55,17,FALSE)</f>
        <v/>
      </c>
      <c r="AD15" s="445" t="n"/>
      <c r="AE15" s="446">
        <f>INDEX('Loan Tape - Settled'!$B$4:$AP$55,MATCH($A15,'Loan Tape - Settled'!$E$4:$E$55,0),MATCH("FMV",'Loan Tape - Settled'!$B$4:$AM$4,0))</f>
        <v/>
      </c>
      <c r="AF15" s="446">
        <f t="array" ref="AF15">_xlfn.IFS(D15="First Lien",
_xlfn.IFS(AND(DL15&gt;0,DL15&lt;Tier_1_1L),Tier_1_ApplicableValue,
AND(DL15&gt;=Tier_1_1L,DL15&lt;Tier_2_1L),((Tier_1_1L/DL15)*Tier_1_ApplicableValue)+((DL15-Tier_1_1L)/DL15*Tier_2_ApplicableValue),
AND(DL15&gt;=Tier_2_1L, DL15&lt;Tier_3_1L),((Tier_1_1L/DL15)*Tier_1_ApplicableValue+(Tier_2_1L-Tier_1_1L)/DL15*Tier_2_ApplicableValue+(DL15-Tier_2_1L)/DL15*Tier_3_ApplicableValue),
AND(DL15&gt;=Tier_3_1L, DL15&lt;=Tier_totalzerovalue),((Tier_1_1L/DL15)*Tier_1_ApplicableValue+(Tier_2_1L-Tier_1_1L)/DL15*Tier_2_ApplicableValue+(Tier_3_1L-Tier_2_1L)/DL15*Tier_3_ApplicableValue+(DL15-Tier_partialzerovalue)/DL15*0%),
DL15&gt;Tier_totalzerovalue,0%),
OR(D15="Second Lien", D15="FILO"),
_xlfn.IFS(AND(DM15&gt;0,DM15&lt;Tier_1_2L),Tier_1_ApplicableValue,
AND(DM15&gt;=Tier_1_2L,DM15&lt;Tier_2_2L),((Tier_1_2L/DM15)*Tier_1_ApplicableValue)+((DM15-Tier_1_2L)/DM15*Tier_2_ApplicableValue),
AND(DM15&gt;=Tier_2_2L, DM15&lt;Tier_3_2L),((Tier_1_2L/DM15)*Tier_1_ApplicableValue+(Tier_2_2L-Tier_1_2L)/DM15*Tier_2_ApplicableValue+(DM15-Tier_2_2L)/DM15*Tier_3_ApplicableValue),
AND(DM15&gt;=Tier_3_2L, DM15&lt;=Tier_totalzerovalue),((Tier_1_2L/DM15)*Tier_1_ApplicableValue+(Tier_2_2L-Tier_1_2L)/DM15*Tier_2_ApplicableValue+(Tier_3_2L-Tier_2_2L)/DM15*Tier_3_ApplicableValue+(DM15-Tier_partialzerovalue)/DM15*0%),
DM15&gt;Tier_totalzerovalue,0%))</f>
        <v/>
      </c>
      <c r="AG15" s="447">
        <f>IF(COUNTIFS(VAE!$C$5:$C$96,B15,VAE!$G$5:$G$96,"&lt;="&amp;Availability!$F$8)&gt;=1,"Yes","-")</f>
        <v/>
      </c>
      <c r="AH15" s="447">
        <f t="array" ref="AH15">IFERROR(IF(AG15="Yes",INDEX(VAE!$D$5:$D$96,MATCH(B15&amp;AJ15,VAE!$C$5:$C$96&amp;VAE!$G$5:$G$96,0)),"-"),0)</f>
        <v/>
      </c>
      <c r="AI15" s="447">
        <f t="array" ref="AI15">IFERROR(IF(AG15="Yes",INDEX(VAE!$F$5:$F$96,MATCH(B15&amp;AJ15,VAE!$C$5:$C$96&amp;VAE!$G$5:$G$96,0)),"-"),0)</f>
        <v/>
      </c>
      <c r="AJ15" s="448">
        <f>IF(AG15="-","-",_xlfn.MAXIFS(VAE!$G$5:$G$96,VAE!$C$5:$C$96,$B15))</f>
        <v/>
      </c>
      <c r="AK15" s="449">
        <f t="array" ref="AK15">IFERROR(IF(AG15="Yes",INDEX(VAE!$P$5:$P$96,MATCH(B15&amp;AJ15,VAE!$C$5:$C$96&amp;VAE!$G$5:$G$96,0)),"-"),0)</f>
        <v/>
      </c>
      <c r="AL15" s="446">
        <f>IF($A15="","",IF(P15="No",0,(IF(AG15="Yes",MIN(AE15,AK15,AF15),MIN(AE15,AF15)))))</f>
        <v/>
      </c>
      <c r="AM15" s="1020" t="n"/>
      <c r="AN15" s="1020" t="n"/>
      <c r="AO15" s="1020">
        <f>IF(AND(D15="First Lien",P15="No"),0,IF(D15&lt;&gt;"First Lien",0,Y15))</f>
        <v/>
      </c>
      <c r="AP15" s="1020">
        <f>IF(AND(D15="First Lien",P15="No"),W15,0)</f>
        <v/>
      </c>
      <c r="AQ15" s="1020">
        <f>AL15*AO15</f>
        <v/>
      </c>
      <c r="AR15" s="1020" t="n"/>
      <c r="AS15" s="1020" t="n"/>
      <c r="AT15" s="1020" t="n"/>
      <c r="AU15" s="1020">
        <f>IF(AND(D15="FILO",P15="No"),0,IF(D15&lt;&gt;"FILO",0,Y15))</f>
        <v/>
      </c>
      <c r="AV15" s="1020">
        <f>IF(AND(D15="FILO",P15="No"),W15,0)</f>
        <v/>
      </c>
      <c r="AW15" s="1020">
        <f>AU15*AL15</f>
        <v/>
      </c>
      <c r="AX15" s="1020" t="n"/>
      <c r="AY15" s="1020" t="n"/>
      <c r="AZ15" s="1020" t="n"/>
      <c r="BA15" s="1020">
        <f>IF(AND(OR(D15="First Lien",D15="FILO"),P15="No"),0,IF(OR(D15="First Lien",D15="FILO"),0,(Y15)))</f>
        <v/>
      </c>
      <c r="BB15" s="1020" t="n"/>
      <c r="BC15" s="1020" t="n"/>
      <c r="BD15" s="1020">
        <f>IF(AND(D15="Second Lien",P15="No"),W15,0)</f>
        <v/>
      </c>
      <c r="BE15" s="1020" t="n"/>
      <c r="BF15" s="1020" t="n"/>
      <c r="BG15" s="1020" t="n"/>
      <c r="BH15" s="1020" t="n"/>
      <c r="BI15" s="1020">
        <f>IF(D15="Second Lien",BA15*AL15,0)</f>
        <v/>
      </c>
      <c r="BJ15" s="1020">
        <f>SUM(AM15:AP15)+SUM(AZ15:BD15)+SUM(AS15:AV15)=Y15</f>
        <v/>
      </c>
      <c r="BK15" s="1026">
        <f>INDEX('Loan Tape - Settled'!$B$4:$AP$55,MATCH($A15,'Loan Tape - Settled'!$E$4:$E$55,0),MATCH("Inception Date",'Loan Tape - Settled'!$B$4:$AP$4,0))</f>
        <v/>
      </c>
      <c r="BL15" s="1026">
        <f>INDEX('Loan Tape - Settled'!$B$4:$AP$55,MATCH($A15,'Loan Tape - Settled'!$E$4:$E$55,0),MATCH("Inclusion Date",'Loan Tape - Settled'!$B$4:$AP$4,0))</f>
        <v/>
      </c>
      <c r="BM15" s="1026">
        <f>INDEX('Loan Tape - Settled'!$B$4:$AP$55,MATCH($A15,'Loan Tape - Settled'!$E$4:$E$55,0),MATCH("Maturity Date",'Loan Tape - Settled'!$B$4:$AP$4,0))</f>
        <v/>
      </c>
      <c r="BN15" s="556" t="n"/>
      <c r="BO15" s="556" t="n"/>
      <c r="BP15" s="1055" t="n"/>
      <c r="BQ15" s="556" t="n"/>
      <c r="BR15" s="554">
        <f>INDEX('Loan Tape - Settled'!$B$4:$AP$55,MATCH($A15,'Loan Tape - Settled'!$E$4:$E$55,0),MATCH("Industry Classification",'Loan Tape - Settled'!$B$4:$AP$4,0))</f>
        <v/>
      </c>
      <c r="BS15" s="556">
        <f>IF(INDEX('Loan Tape - Settled'!$B$4:$AP$55,MATCH($A15,'Loan Tape - Settled'!$E$4:$E$55,0),MATCH("Covenant Lite",'Loan Tape - Settled'!$B$4:$AP$4,0))=-1, "Yes", "No")</f>
        <v/>
      </c>
      <c r="BT15" s="1056">
        <f>INDEX('Loan Tape - Settled'!$B$4:$AP$55,MATCH($A15,'Loan Tape - Settled'!$E$4:$E$55,0),MATCH("Spread / Coupon (%)",'Loan Tape - Settled'!$B$4:$AP$4,0))</f>
        <v/>
      </c>
      <c r="BU15" s="556">
        <f>IF(INDEX('Loan Tape - Settled'!$B$4:$AP$55,MATCH($A15,'Loan Tape - Settled'!$E$4:$E$55,0),MATCH("Security Type",'Loan Tape - Settled'!$B$4:$AP$4,0))="Delayed Draw Term Loan", "Yes", "No")</f>
        <v/>
      </c>
      <c r="BV15" s="557" t="inlineStr">
        <is>
          <t>No</t>
        </is>
      </c>
      <c r="BW15" s="557" t="inlineStr">
        <is>
          <t>No</t>
        </is>
      </c>
      <c r="BX15" s="548" t="inlineStr">
        <is>
          <t>No</t>
        </is>
      </c>
      <c r="BY15" s="556">
        <f>IF(INDEX('Loan Tape - Settled'!$B$4:$AP$55,MATCH($A15,'Loan Tape - Settled'!$E$4:$E$55,0),MATCH("Fixed/Floating",'Loan Tape - Settled'!$B$4:$AP$4,0))="Fixed", "Yes", "No")</f>
        <v/>
      </c>
      <c r="BZ15" s="557" t="inlineStr">
        <is>
          <t>No</t>
        </is>
      </c>
      <c r="CA15" s="557" t="inlineStr">
        <is>
          <t>No</t>
        </is>
      </c>
      <c r="CB15" s="556">
        <f>IF(INDEX('Loan Tape - Settled'!$B$4:$AP$55,MATCH($A15,'Loan Tape - Settled'!$E$4:$E$55,0),MATCH("Loan Denomination",'Loan Tape - Settled'!$B$4:$AP$4,0))="CAD", "Yes", "No")</f>
        <v/>
      </c>
      <c r="CC15" s="556">
        <f>INDEX('Loan Tape - Settled'!$B$4:$AP$55,MATCH($A15,'Loan Tape - Settled'!$E$4:$E$55,0),MATCH("Payment Frequency",'Loan Tape - Settled'!$B$4:$AP$4,0))</f>
        <v/>
      </c>
      <c r="CD15" s="557" t="inlineStr">
        <is>
          <t>No</t>
        </is>
      </c>
      <c r="CE15" s="556">
        <f>INDEX('Loan Tape - Settled'!$B$4:$AP$55,MATCH($A15,'Loan Tape - Settled'!$E$4:$E$55,0),MATCH("S&amp;P Loan Rating (if applicable)",'Loan Tape - Settled'!$B$4:$AP$4,0))</f>
        <v/>
      </c>
      <c r="CF15" s="556">
        <f>INDEX('Loan Tape - Settled'!$B$4:$AP$55,MATCH($A15,'Loan Tape - Settled'!$E$4:$E$55,0),MATCH("Moody's Loan Rating (if applicable)",'Loan Tape - Settled'!$B$4:$AP$4,0))</f>
        <v/>
      </c>
      <c r="CG15" s="556" t="n"/>
      <c r="CH15" s="556" t="n"/>
      <c r="CI15" s="1057" t="n"/>
      <c r="CJ15" s="1030">
        <f>INDEX('Loan Tape - Settled'!$B$4:$BF$55,MATCH($A15,'Loan Tape - Settled'!$E$4:$E$55,0),MATCH("Last Financial Received",'Loan Tape - Settled'!$B$4:$BF$4,0))</f>
        <v/>
      </c>
      <c r="CK15" s="559">
        <f>INDEX('Loan Tape - Settled'!$B$4:$BJ$55,MATCH($A15,'Loan Tape - Settled'!$E$4:$E$55,0),MATCH("Initial Adjusted TTM EBITDA",'Loan Tape - Settled'!$B$4:$BJ$4,0))</f>
        <v/>
      </c>
      <c r="CL15" s="559">
        <f>INDEX('Loan Tape - Settled'!$B$4:$BJ$55,MATCH($A15,'Loan Tape - Settled'!$E$4:$E$55,0),MATCH("Initial TTM Non-adjusted EBITDA",'Loan Tape - Settled'!$B$4:$BJ$4,0))</f>
        <v/>
      </c>
      <c r="CM15" s="1031" t="n"/>
      <c r="CN15" s="451" t="n"/>
      <c r="CO15" s="451" t="n"/>
      <c r="CP15" s="1032" t="n"/>
      <c r="CQ15" s="1033" t="inlineStr">
        <is>
          <t>N</t>
        </is>
      </c>
      <c r="CR15" s="1032" t="n"/>
      <c r="CS15" s="454">
        <f>CK15-CP15+CR15</f>
        <v/>
      </c>
      <c r="CT15" s="455">
        <f>1-CS15/CK15</f>
        <v/>
      </c>
      <c r="CU15" s="559">
        <f>INDEX('Loan Tape - Settled'!$B$4:$BJ$55,MATCH($A15,'Loan Tape - Settled'!$E$4:$E$55,0),MATCH("Current TTM Non-adjusted EBITDA",'Loan Tape - Settled'!$B$4:$BJ$4,0))</f>
        <v/>
      </c>
      <c r="CV15" s="456">
        <f>CT15</f>
        <v/>
      </c>
      <c r="CW15" s="1034" t="inlineStr">
        <is>
          <t>N</t>
        </is>
      </c>
      <c r="CX15" s="1035" t="n"/>
      <c r="CY15" s="1036">
        <f>IF(CW15="N",(1-CV15)*CU15,(1-CX15)*CU15)</f>
        <v/>
      </c>
      <c r="CZ15" s="1037" t="n"/>
      <c r="DA15" s="1038" t="n"/>
      <c r="DB15" s="1039" t="n"/>
      <c r="DC15" s="1040" t="n"/>
      <c r="DD15" s="1040">
        <f>INDEX('Loan Tape - Settled'!$B$4:$BJ$55,MATCH($A15,'Loan Tape - Settled'!$E$4:$E$55,0),MATCH("Initial Senior Net Leverage Senior",'Loan Tape - Settled'!$B$4:$BJ$4,0))</f>
        <v/>
      </c>
      <c r="DE15" s="1041">
        <f>INDEX('Loan Tape - Settled'!$B$4:$BJ$55,MATCH($A15,'Loan Tape - Settled'!$E$4:$E$55,0),MATCH("Initial Total Net Leverage",'Loan Tape - Settled'!$B$4:$BJ$4,0))</f>
        <v/>
      </c>
      <c r="DF15" s="1037" t="n"/>
      <c r="DG15" s="1038" t="n"/>
      <c r="DH15" s="1039" t="n"/>
      <c r="DI15" s="1042">
        <f>INDEX('Loan Tape - Settled'!$B$4:$BJ$55,MATCH($A15,'Loan Tape - Settled'!$E$4:$E$55,0),MATCH("Net Attachment",'Loan Tape - Settled'!$B$4:$BJ$4,0))</f>
        <v/>
      </c>
      <c r="DJ15" s="566">
        <f t="array" ref="DJ15">IF(AG15="Yes",INDEX(VAE!$M$5:$M$53,MATCH($B15&amp;$AJ15,VAE!$C$5:$C$53&amp;VAE!$G$5:$G$53,0)),DD15)</f>
        <v/>
      </c>
      <c r="DK15" s="697">
        <f t="array" ref="DK15">IF(AG15="Yes",INDEX(VAE!$N$5:$N$53,MATCH($B15&amp;$AJ15,VAE!$C$5:$C$53&amp;VAE!$G$5:$G$53,0)),DE15)</f>
        <v/>
      </c>
      <c r="DL15" s="1058">
        <f>INDEX('Loan Tape - Settled'!$B$4:$BJ$55,MATCH($A15,'Loan Tape - Settled'!$E$4:$E$55,0),MATCH("Current Senior Net Leverage Senior",'Loan Tape - Settled'!$B$4:$BJ$4,0))</f>
        <v/>
      </c>
      <c r="DM15" s="1059">
        <f>INDEX('Loan Tape - Settled'!$B$4:$BJ$55,MATCH($A15,'Loan Tape - Settled'!$E$4:$E$55,0),MATCH("Current Total Net Leverage",'Loan Tape - Settled'!$B$4:$BJ$4,0))</f>
        <v/>
      </c>
      <c r="DN15" s="1044" t="n"/>
      <c r="DO15" s="1045">
        <f>INDEX('Loan Tape - Settled'!$B$4:$BJ$55,MATCH($A15,'Loan Tape - Settled'!$E$4:$E$55,0),MATCH("Initial Interest Coverage",'Loan Tape - Settled'!$B$4:$BJ$4,0))</f>
        <v/>
      </c>
      <c r="DP15" s="565">
        <f t="array" ref="DP15">IF(AG15="Yes",INDEX(VAE!$O$5:$O$53,MATCH($B15&amp;$AJ15,VAE!$C$5:$C$53&amp;VAE!$G$5:$G$53,0)),DO15)</f>
        <v/>
      </c>
      <c r="DQ15" s="1046">
        <f>INDEX('Loan Tape - Settled'!$B$4:$BJ$55,MATCH($A15,'Loan Tape - Settled'!$E$4:$E$55,0),MATCH("Current Interest Coverage",'Loan Tape - Settled'!$B$4:$BJ$4,0))</f>
        <v/>
      </c>
      <c r="DR15" s="462">
        <f>IF(OR(DU15="Yes",DU15="N/A",DV15="Yes",DV15="N/A",DW15="Yes",DX15="Yes",DY15="Yes",EF15="Yes",EG15="Yes",EH15="Yes"),"Yes","No")</f>
        <v/>
      </c>
      <c r="DS15" s="1047">
        <f>IF(AG15="Yes",DATEDIF(AJ15,Availability!$F$8,"m"),"")</f>
        <v/>
      </c>
      <c r="DT15" s="1047">
        <f>IF(DS15="","No",IF(DS15&gt;12,"Yes","No"))</f>
        <v/>
      </c>
      <c r="DU15" s="695">
        <f>IFERROR(IF(AND(DQ15/DP15&lt;0.75,DQ15&lt;1.5),"Yes","No"),"N/A")</f>
        <v/>
      </c>
      <c r="DV15" s="696">
        <f>IFERROR(IF(OR(D15="First Lien",D15="FILO"),IF(AND((DL15-DJ15)&gt;0.75,DL15&gt;4),"Yes","No"),"No"),"N/A")</f>
        <v/>
      </c>
      <c r="DW15" s="696">
        <f t="array" ref="DW15">_xlfn.IFS(D15&lt;&gt;"Second Lien","No",D15="Second Lien",IF(AND((DM15-DK15)&gt;0.5,DM15&gt;4.5),"Yes","No"))</f>
        <v/>
      </c>
      <c r="DX15" s="735" t="inlineStr">
        <is>
          <t>No</t>
        </is>
      </c>
      <c r="DY15" s="735" t="inlineStr">
        <is>
          <t>No</t>
        </is>
      </c>
      <c r="DZ15" s="1048" t="inlineStr">
        <is>
          <t>No</t>
        </is>
      </c>
      <c r="EA15" s="1048" t="inlineStr">
        <is>
          <t>No</t>
        </is>
      </c>
      <c r="EB15" s="1048" t="inlineStr">
        <is>
          <t>No</t>
        </is>
      </c>
      <c r="EC15" s="1048" t="inlineStr">
        <is>
          <t>No</t>
        </is>
      </c>
      <c r="ED15" s="1048" t="inlineStr">
        <is>
          <t>No</t>
        </is>
      </c>
      <c r="EE15" s="1048" t="inlineStr">
        <is>
          <t>No</t>
        </is>
      </c>
      <c r="EF15" s="442">
        <f>IF(OR(DZ15="Yes",EA15="Yes",EB15="Yes",EC15="Yes",ED15="Yes",EE15="Yes"),"Yes","No")</f>
        <v/>
      </c>
      <c r="EG15" s="1048" t="inlineStr">
        <is>
          <t>No</t>
        </is>
      </c>
      <c r="EH15" s="1049" t="inlineStr">
        <is>
          <t>No</t>
        </is>
      </c>
      <c r="EI15" s="1050">
        <f t="array" ref="EI15">IF(D15="First Lien",_xlfn.IFS(CY15&gt;AGENT!$B$23, "&gt; $20MM",CY15&lt;=AGENT!$C$25, "&lt;= $10MM",AND(CY15&lt;=AGENT!$C$24,CY15&gt;AGENT!$B$24),"&lt;= $20MM"), "N/A")</f>
        <v/>
      </c>
      <c r="EJ15" s="1050">
        <f t="array" ref="EJ15">IF(D15="FILO",_xlfn.IFS(DI15&gt;AGENT!$B$29, "&gt; 1.25x",DI15&lt;AGENT!$C$27, "&lt; 0.75x",AND(DI15&lt;=AGENT!$C$28,DI15&gt;=AGENT!$B$28),"&lt;= 1.25x"), "N/A")</f>
        <v/>
      </c>
      <c r="EK15" s="1051">
        <f>V15</f>
        <v/>
      </c>
      <c r="EL15" s="1051">
        <f>'Concentration Limits'!$J$49</f>
        <v/>
      </c>
      <c r="EM15" s="1051">
        <f>IF(OR(D15="Second Lien",AND(D15="FILO",DI15&gt;AGENT!$C$57)), "Yes", "No")</f>
        <v/>
      </c>
      <c r="EN15" s="1051">
        <f>IF(EM15="Yes",SUMIF(EM:EM,"Yes",EK:EK),0)</f>
        <v/>
      </c>
      <c r="EO15" s="1051">
        <f>IF(EN15&gt;EL15,(EN15-EL15)*(EK15/SUMIF(EM:EM,"Yes",EK:EK)),0)</f>
        <v/>
      </c>
      <c r="EP15" s="1051">
        <f>MAX(0,EK15-EO15)</f>
        <v/>
      </c>
      <c r="EQ15" s="1051">
        <f>'Concentration Limits'!$J$50</f>
        <v/>
      </c>
      <c r="ER15" s="1051">
        <f>IF(D15="Second Lien",SUMIF(D:D,D15,EP:EP),0)</f>
        <v/>
      </c>
      <c r="ES15" s="1051">
        <f>MAX(0,(ER15-EQ15)*IFERROR((EP15/SUMIF($D:$D,D15,EP:EP )),0) )</f>
        <v/>
      </c>
      <c r="ET15" s="1051">
        <f>MAX(0,EP15-ES15)</f>
        <v/>
      </c>
      <c r="EU15" s="1051">
        <f>'Concentration Limits'!$J$51</f>
        <v/>
      </c>
      <c r="EV15" s="1051">
        <f>IF(OR(D15="Second Lien", AND(D15="FILO",DI15&gt;AGENT!$C$59)), "Yes", "No")</f>
        <v/>
      </c>
      <c r="EW15" s="1051">
        <f>IF(EV15="Yes",SUMIF(EV:EV,"Yes",ET:ET),0)</f>
        <v/>
      </c>
      <c r="EX15" s="1051">
        <f>IF(EW15&gt;EU15,(EW15-EU15)*(ET15/SUMIF(EV:EV,"Yes",ET:ET)),0)</f>
        <v/>
      </c>
      <c r="EY15" s="1051">
        <f>MAX(0,ET15-EX15)</f>
        <v/>
      </c>
      <c r="EZ15" s="1051">
        <f>'Concentration Limits'!$J$52</f>
        <v/>
      </c>
      <c r="FA15" s="1051">
        <f>IF(CY15&gt;'Concentration Limits'!$E$52, "No", "Yes")</f>
        <v/>
      </c>
      <c r="FB15" s="1051">
        <f>IF(FA15="Yes",SUMIF(FA:FA,"Yes",EY:EY),0)</f>
        <v/>
      </c>
      <c r="FC15" s="1051">
        <f>IF(FB15&gt;EZ15,(FB15-EZ15)*(EY15/SUMIF(FA:FA,"Yes",EY:EY)),0)</f>
        <v/>
      </c>
      <c r="FD15" s="1051">
        <f>MAX(0,EY15-FC15)</f>
        <v/>
      </c>
      <c r="FE15" s="1052">
        <f>'Concentration Limits'!$J$54</f>
        <v/>
      </c>
      <c r="FF15" s="1052">
        <f>'Concentration Limits'!$J$55</f>
        <v/>
      </c>
      <c r="FG15" s="1052">
        <f>'Concentration Limits'!$J$56</f>
        <v/>
      </c>
      <c r="FH15" s="1053">
        <f>'Concentration Limits'!$J$57</f>
        <v/>
      </c>
      <c r="FI15" s="1053">
        <f>SUMIF($B:$B,$B15,$FD:$FD)</f>
        <v/>
      </c>
      <c r="FJ15" s="1053">
        <f>IF(MATCH($B15,$B:$B,0)=ROW(),$FI15,0)</f>
        <v/>
      </c>
      <c r="FK15" s="1053">
        <f>INDEX(FL$8:FL$60,MATCH(B15,B$8:B$60,0))</f>
        <v/>
      </c>
      <c r="FL15" s="1053">
        <f>IF(FJ15&gt;0,RANK(FJ15,$FJ$9:$FJ$60)+COUNTIF($FJ$9:FJ15,FJ15)-1,0)</f>
        <v/>
      </c>
      <c r="FM15" s="1052">
        <f>IF(FK15=1,IF(FI15&gt;FE15,(FI15-FE15)*(V15/SUMIF($B:$B,B15,$FD:$FD)),0),0)</f>
        <v/>
      </c>
      <c r="FN15" s="1052">
        <f>IF(FK15=2,IF(FI15&gt;FF15,(FI15-FF15)*(V15/SUMIF($B:$B,B15,$FD:$FD)),0),0)</f>
        <v/>
      </c>
      <c r="FO15" s="1052">
        <f>IF(FK15=3,IF(FI15&gt;FG15,(FI15-FG15)*(V15/SUMIF($B:$B,B15,$FD:$FD)),0),0)</f>
        <v/>
      </c>
      <c r="FP15" s="1053">
        <f>IF(FK15&gt;0,IF(FI15&gt;FH15,(FI15-FH15)*(FD15/(SUMIF($B:$B,$B15,$FD:$FD))),0),0)</f>
        <v/>
      </c>
      <c r="FQ15" s="1053">
        <f>MAX(0,FD15-FM15-FN15-FO15-FP15)</f>
        <v/>
      </c>
      <c r="FR15" s="1053">
        <f>'Concentration Limits'!$J$58</f>
        <v/>
      </c>
      <c r="FS15" s="1053">
        <f>SUMIF($BR:$BR,$BR15,FQ:FQ)</f>
        <v/>
      </c>
      <c r="FT15" s="1053">
        <f>VLOOKUP(BR15,'Concentration Limits'!$E$81:$H$153,4,FALSE)</f>
        <v/>
      </c>
      <c r="FU15" s="1053">
        <f>IF(FT15=1,MAX(0,(FS15-FR15)*(FQ15/SUMIF($BR:$BR,BR15,FQ:FQ))),0)</f>
        <v/>
      </c>
      <c r="FV15" s="1053">
        <f>MAX(0,FQ15-FU15)</f>
        <v/>
      </c>
      <c r="FW15" s="1053">
        <f>'Concentration Limits'!$J$59</f>
        <v/>
      </c>
      <c r="FX15" s="1053">
        <f>SUMIF($BR:$BR,$BR15,FV:FV)</f>
        <v/>
      </c>
      <c r="FY15" s="1053">
        <f>VLOOKUP(BR15,'Concentration Limits'!$E$81:$H$153,4,FALSE)</f>
        <v/>
      </c>
      <c r="FZ15" s="1053">
        <f>MAX(0,IF(FY15=2,(FX15-FW15)*(FV15/SUMIF($BR:$BR,BR15,FV:FV)),0))</f>
        <v/>
      </c>
      <c r="GA15" s="1053">
        <f>MAX(0,FV15-FZ15)</f>
        <v/>
      </c>
      <c r="GB15" s="1053">
        <f>'Concentration Limits'!$J$61</f>
        <v/>
      </c>
      <c r="GC15" s="1053">
        <f>SUMIF($BR:$BR,$BR15,GA:GA)</f>
        <v/>
      </c>
      <c r="GD15" s="1051">
        <f>VLOOKUP(BR15,'Concentration Limits'!$E$81:$H$153,4,FALSE)</f>
        <v/>
      </c>
      <c r="GE15" s="1053">
        <f>IF(GA15=0,0,MAX(0,IF(GD15&lt;3,0,(GC15-GB15)*($GA15/SUMIF($BR:$BR,BR15,GA:GA)))))</f>
        <v/>
      </c>
      <c r="GF15" s="1053">
        <f>MAX(0,GA15-GE15)</f>
        <v/>
      </c>
      <c r="GG15" s="1053">
        <f>'Concentration Limits'!$J$64</f>
        <v/>
      </c>
      <c r="GH15" s="1053">
        <f>IF(BY15="Yes",SUMIF(BY:BY,BY15,GF:GF),0)</f>
        <v/>
      </c>
      <c r="GI15" s="1053">
        <f>IFERROR(MAX(0,(GH15-GG15)*(GF15/SUMIF($T:$T,T15,GF:GF ))),0)</f>
        <v/>
      </c>
      <c r="GJ15" s="1053">
        <f>MAX(0,GF15-GI15)</f>
        <v/>
      </c>
      <c r="GK15" s="1053">
        <f>'Concentration Limits'!$J$67</f>
        <v/>
      </c>
      <c r="GL15" s="1051">
        <f>IF(OR(BV15="Yes",OR(ISNUMBER(SEARCH("Travel",BR15)),ISNUMBER(SEARCH("Energy",BR15)),ISNUMBER(SEARCH("Leisure",BR15)),ISNUMBER(SEARCH("hotel",BR15)))),"Yes","No")</f>
        <v/>
      </c>
      <c r="GM15" s="1053">
        <f>IF(GL15="Yes",SUMIF(GL:GL,"Yes",GJ:GJ),0)</f>
        <v/>
      </c>
      <c r="GN15" s="1053">
        <f>IF(GM15&gt;GK15,(GM15-GK15)*(GJ15/SUMIF(GL:GL,"Yes",GJ:GJ)),0)</f>
        <v/>
      </c>
      <c r="GO15" s="1053">
        <f>MAX(0,GJ15-GN15)</f>
        <v/>
      </c>
      <c r="GP15" s="1053">
        <f>'Concentration Limits'!$J$68</f>
        <v/>
      </c>
      <c r="GQ15" s="1051">
        <f>IF(BU15="Yes","Yes", "No")</f>
        <v/>
      </c>
      <c r="GR15" s="1053">
        <f>IF(GQ15="Yes",SUMIF(GQ:GQ,"Yes",GO:GO),0)</f>
        <v/>
      </c>
      <c r="GS15" s="1053">
        <f>IF(GR15&gt;GP15,(GR15-GP15)*(GO15/SUMIF(GQ:GQ,"Yes",GO:GO)),0)</f>
        <v/>
      </c>
      <c r="GT15" s="1053">
        <f>MAX(0,GO15-GS15)</f>
        <v/>
      </c>
      <c r="GU15" s="1051">
        <f>'Concentration Limits'!$J$69</f>
        <v/>
      </c>
      <c r="GV15" s="1051">
        <f>IF(BW15="Yes", "Yes", "No")</f>
        <v/>
      </c>
      <c r="GW15" s="1051">
        <f>IF(GV15="Yes",SUMIF(GV:GV,"Yes",GT:GT),0)</f>
        <v/>
      </c>
      <c r="GX15" s="1051">
        <f>IF(GW15&gt;GU15,(GW15-GU15)*(GT15/SUMIF(GV:GV,"Yes",GT:GT)),0)</f>
        <v/>
      </c>
      <c r="GY15" s="1051">
        <f>MAX(0,GT15-GX15)</f>
        <v/>
      </c>
      <c r="GZ15" s="1051">
        <f>'Concentration Limits'!$J$70</f>
        <v/>
      </c>
      <c r="HA15" s="1051">
        <f>IF(BX15="Yes", "Yes", "No")</f>
        <v/>
      </c>
      <c r="HB15" s="1051">
        <f>IF(HA15="Yes",SUMIF(HA:HA,"Yes",GY:GY),0)</f>
        <v/>
      </c>
      <c r="HC15" s="1051">
        <f>IF(HB15&gt;GZ15,(HB15-GZ15)*(GY15/SUMIF(HA:HA,"Yes",GY:GY)),0)</f>
        <v/>
      </c>
      <c r="HD15" s="1051">
        <f>MAX(0,GY15-HC15)</f>
        <v/>
      </c>
      <c r="HE15" s="1053">
        <f>IF(AQ15=0,0,HD15*AQ15/(AQ15+AR15))</f>
        <v/>
      </c>
      <c r="HF15" s="1053">
        <f>IF(AR15=0,0,HD15*AR15/(AQ15+AR15))</f>
        <v/>
      </c>
      <c r="HG15" s="1053">
        <f>IF(AW15=0,0,HD15*AW15/(AW15+AX15))</f>
        <v/>
      </c>
      <c r="HH15" s="1053">
        <f>IF(AX15=0,0,HD15*AX15/(AX15+AW15))</f>
        <v/>
      </c>
      <c r="HI15" s="1053">
        <f>IF(BE15=0,0,#REF!*BE15/(BE15+BG15))</f>
        <v/>
      </c>
      <c r="HJ15" s="1053">
        <f>IF(BG15=0,0,#REF!*BG15/(BG15+BE15))</f>
        <v/>
      </c>
      <c r="HK15" s="1054">
        <f>IF(BF15=0,0,#REF!*BF15/(BF15+BH15))</f>
        <v/>
      </c>
      <c r="HL15" s="1053">
        <f>IF(BH15=0,0,#REF!*BH15/(BH15+BF15))</f>
        <v/>
      </c>
      <c r="HM15" s="1053">
        <f>IF(D15="Second Lien",HD15,0)</f>
        <v/>
      </c>
      <c r="HN15" s="1053">
        <f>SUM(HE15:HM15)=HD15</f>
        <v/>
      </c>
    </row>
    <row r="16" ht="12.75" customFormat="1" customHeight="1" s="469">
      <c r="A16" s="55">
        <f>A15+1</f>
        <v/>
      </c>
      <c r="B16" s="437">
        <f>INDEX('Loan Tape - Settled'!$B$4:$AP$55,MATCH($A16,'Loan Tape - Settled'!$E$4:$E$55,0),MATCH("Obligor Name",'Loan Tape - Settled'!$B$4:$AM$4,0))</f>
        <v/>
      </c>
      <c r="C16" s="437">
        <f>INDEX('Loan Tape - Settled'!$B$4:$AP$55,MATCH($A16,'Loan Tape - Settled'!$E$4:$E$55,0),MATCH("Security",'Loan Tape - Settled'!$B$4:$AM$4,0))</f>
        <v/>
      </c>
      <c r="D16" s="438">
        <f>INDEX('Loan Tape - Settled'!$B$4:$AP$55,MATCH($A16,'Loan Tape - Settled'!$E$4:$E$55,0),MATCH("Loan Type",'Loan Tape - Settled'!$B$4:$AM$4,0))</f>
        <v/>
      </c>
      <c r="E16" s="439">
        <f>IF(ISERROR(MATCH(D16,AGENT!$A$4:$A$10,0))=FALSE, TRUE)</f>
        <v/>
      </c>
      <c r="F16" s="439">
        <f>IF(AND(BZ16="no",CA16="no"),TRUE)</f>
        <v/>
      </c>
      <c r="G16" s="439">
        <f>IF(D16&lt;&gt;"Second Lien",TRUE, IF(CY16&gt;=AGENT!$B$4,TRUE))</f>
        <v/>
      </c>
      <c r="H16" s="439">
        <f>IF(DE16&lt;=AGENT!$D$4,TRUE)</f>
        <v/>
      </c>
      <c r="I16" s="439">
        <f>IF(VLOOKUP(CONCATENATE($A$5,A16),'Loan Tape - Settled'!$A$5:$Q$55,17,FALSE)&gt;=AGENT!$E$4,TRUE)</f>
        <v/>
      </c>
      <c r="J16" s="439">
        <f>IF(INDEX('Loan Tape - Settled'!$B$4:$AP$55,MATCH($A16,'Loan Tape - Settled'!$E$4:$E$55,0),MATCH("Loan Denomination",'Loan Tape - Settled'!$B$4:$AP$4,0))="USD", TRUE)</f>
        <v/>
      </c>
      <c r="K16" s="439">
        <f>IF(INDEX('Loan Tape - Settled'!$B$4:$AP$55,MATCH($A16,'Loan Tape - Settled'!$E$4:$E$55,0),MATCH("Exposure Country",'Loan Tape - Settled'!$B$4:$AP$4,0))="United States", TRUE)</f>
        <v/>
      </c>
      <c r="L16" s="439">
        <f>IF(BS16="NO",TRUE)</f>
        <v/>
      </c>
      <c r="M16" s="439">
        <f>IF(((BM16-BL16)/365)&lt;=AGENT!$F$4,TRUE)</f>
        <v/>
      </c>
      <c r="N16" s="439">
        <f>IF(DX16="Yes",FALSE,TRUE)</f>
        <v/>
      </c>
      <c r="O16" s="493" t="n"/>
      <c r="P16" s="764">
        <f>IF($B16="","",IF(OR(O16=TRUE,COUNTIFS($E16:$N16,TRUE)=10),"Yes","No"))</f>
        <v/>
      </c>
      <c r="Q16" s="730" t="inlineStr">
        <is>
          <t>Yes</t>
        </is>
      </c>
      <c r="R16" s="440">
        <f>IF(P16="Yes",B16,"N/A")</f>
        <v/>
      </c>
      <c r="S16" s="440" t="n"/>
      <c r="T16" s="441">
        <f t="array" ref="T16">_xlfn.IFS(D16="Second Lien",D16,D16="First Lien",CONCATENATE(D16," ",EI16),D16="FILO",CONCATENATE(D16," ",EJ16))</f>
        <v/>
      </c>
      <c r="U16" s="442">
        <f>VLOOKUP(T16,'Concentration Limits'!D:G,4,FALSE)</f>
        <v/>
      </c>
      <c r="V16" s="1020">
        <f>AQ16+AW16+BI16</f>
        <v/>
      </c>
      <c r="W16" s="1021">
        <f>(SUMIFS('Loan Tape - Settled'!$AR$4:$AR$55,'Loan Tape - Settled'!$E$4:$E$55,$A16,'Loan Tape - Settled'!$C$4:$C$55,$A$5))</f>
        <v/>
      </c>
      <c r="X16" s="1022" t="n">
        <v>1</v>
      </c>
      <c r="Y16" s="1023">
        <f>W16*X16</f>
        <v/>
      </c>
      <c r="Z16" s="1022">
        <f>(SUMIFS('Loan Tape - Settled'!$AQ$4:$AQ$55,'Loan Tape - Settled'!$E$4:$E$55,$A16,'Loan Tape - Settled'!$C$4:$C$55,$A$5))</f>
        <v/>
      </c>
      <c r="AA16" s="1023">
        <f>Z16*X16</f>
        <v/>
      </c>
      <c r="AB16" s="1023">
        <f>AA16-Y16</f>
        <v/>
      </c>
      <c r="AC16" s="490">
        <f>VLOOKUP(CONCATENATE($A$5,A16),'Loan Tape - Settled'!$A$5:$Q$55,17,FALSE)</f>
        <v/>
      </c>
      <c r="AD16" s="445" t="n"/>
      <c r="AE16" s="446">
        <f>INDEX('Loan Tape - Settled'!$B$4:$AP$55,MATCH($A16,'Loan Tape - Settled'!$E$4:$E$55,0),MATCH("FMV",'Loan Tape - Settled'!$B$4:$AM$4,0))</f>
        <v/>
      </c>
      <c r="AF16" s="446">
        <f t="array" ref="AF16">_xlfn.IFS(D16="First Lien",
_xlfn.IFS(AND(DL16&gt;0,DL16&lt;Tier_1_1L),Tier_1_ApplicableValue,
AND(DL16&gt;=Tier_1_1L,DL16&lt;Tier_2_1L),((Tier_1_1L/DL16)*Tier_1_ApplicableValue)+((DL16-Tier_1_1L)/DL16*Tier_2_ApplicableValue),
AND(DL16&gt;=Tier_2_1L, DL16&lt;Tier_3_1L),((Tier_1_1L/DL16)*Tier_1_ApplicableValue+(Tier_2_1L-Tier_1_1L)/DL16*Tier_2_ApplicableValue+(DL16-Tier_2_1L)/DL16*Tier_3_ApplicableValue),
AND(DL16&gt;=Tier_3_1L, DL16&lt;=Tier_totalzerovalue),((Tier_1_1L/DL16)*Tier_1_ApplicableValue+(Tier_2_1L-Tier_1_1L)/DL16*Tier_2_ApplicableValue+(Tier_3_1L-Tier_2_1L)/DL16*Tier_3_ApplicableValue+(DL16-Tier_partialzerovalue)/DL16*0%),
DL16&gt;Tier_totalzerovalue,0%),
OR(D16="Second Lien", D16="FILO"),
_xlfn.IFS(AND(DM16&gt;0,DM16&lt;Tier_1_2L),Tier_1_ApplicableValue,
AND(DM16&gt;=Tier_1_2L,DM16&lt;Tier_2_2L),((Tier_1_2L/DM16)*Tier_1_ApplicableValue)+((DM16-Tier_1_2L)/DM16*Tier_2_ApplicableValue),
AND(DM16&gt;=Tier_2_2L, DM16&lt;Tier_3_2L),((Tier_1_2L/DM16)*Tier_1_ApplicableValue+(Tier_2_2L-Tier_1_2L)/DM16*Tier_2_ApplicableValue+(DM16-Tier_2_2L)/DM16*Tier_3_ApplicableValue),
AND(DM16&gt;=Tier_3_2L, DM16&lt;=Tier_totalzerovalue),((Tier_1_2L/DM16)*Tier_1_ApplicableValue+(Tier_2_2L-Tier_1_2L)/DM16*Tier_2_ApplicableValue+(Tier_3_2L-Tier_2_2L)/DM16*Tier_3_ApplicableValue+(DM16-Tier_partialzerovalue)/DM16*0%),
DM16&gt;Tier_totalzerovalue,0%))</f>
        <v/>
      </c>
      <c r="AG16" s="447">
        <f>IF(COUNTIFS(VAE!$C$5:$C$96,B16,VAE!$G$5:$G$96,"&lt;="&amp;Availability!$F$8)&gt;=1,"Yes","-")</f>
        <v/>
      </c>
      <c r="AH16" s="447">
        <f t="array" ref="AH16">IFERROR(IF(AG16="Yes",INDEX(VAE!$D$5:$D$96,MATCH(B16&amp;AJ16,VAE!$C$5:$C$96&amp;VAE!$G$5:$G$96,0)),"-"),0)</f>
        <v/>
      </c>
      <c r="AI16" s="447">
        <f t="array" ref="AI16">IFERROR(IF(AG16="Yes",INDEX(VAE!$F$5:$F$96,MATCH(B16&amp;AJ16,VAE!$C$5:$C$96&amp;VAE!$G$5:$G$96,0)),"-"),0)</f>
        <v/>
      </c>
      <c r="AJ16" s="448">
        <f>IF(AG16="-","-",_xlfn.MAXIFS(VAE!$G$5:$G$96,VAE!$C$5:$C$96,$B16))</f>
        <v/>
      </c>
      <c r="AK16" s="449">
        <f t="array" ref="AK16">IFERROR(IF(AG16="Yes",INDEX(VAE!$P$5:$P$96,MATCH(B16&amp;AJ16,VAE!$C$5:$C$96&amp;VAE!$G$5:$G$96,0)),"-"),0)</f>
        <v/>
      </c>
      <c r="AL16" s="446">
        <f>IF($A16="","",IF(P16="No",0,(IF(AG16="Yes",MIN(AE16,AK16,AF16),MIN(AE16,AF16)))))</f>
        <v/>
      </c>
      <c r="AM16" s="1020" t="n"/>
      <c r="AN16" s="1020" t="n"/>
      <c r="AO16" s="1020">
        <f>IF(AND(D16="First Lien",P16="No"),0,IF(D16&lt;&gt;"First Lien",0,Y16))</f>
        <v/>
      </c>
      <c r="AP16" s="1020">
        <f>IF(AND(D16="First Lien",P16="No"),W16,0)</f>
        <v/>
      </c>
      <c r="AQ16" s="1020">
        <f>AL16*AO16</f>
        <v/>
      </c>
      <c r="AR16" s="1020" t="n"/>
      <c r="AS16" s="1020" t="n"/>
      <c r="AT16" s="1020" t="n"/>
      <c r="AU16" s="1020">
        <f>IF(AND(D16="FILO",P16="No"),0,IF(D16&lt;&gt;"FILO",0,Y16))</f>
        <v/>
      </c>
      <c r="AV16" s="1020">
        <f>IF(AND(D16="FILO",P16="No"),W16,0)</f>
        <v/>
      </c>
      <c r="AW16" s="1020">
        <f>AU16*AL16</f>
        <v/>
      </c>
      <c r="AX16" s="1020" t="n"/>
      <c r="AY16" s="1020" t="n"/>
      <c r="AZ16" s="1020" t="n"/>
      <c r="BA16" s="1020">
        <f>IF(AND(OR(D16="First Lien",D16="FILO"),P16="No"),0,IF(OR(D16="First Lien",D16="FILO"),0,(Y16)))</f>
        <v/>
      </c>
      <c r="BB16" s="1020" t="n"/>
      <c r="BC16" s="1020" t="n"/>
      <c r="BD16" s="1020">
        <f>IF(AND(D16="Second Lien",P16="No"),W16,0)</f>
        <v/>
      </c>
      <c r="BE16" s="1020" t="n"/>
      <c r="BF16" s="1020" t="n"/>
      <c r="BG16" s="1020" t="n"/>
      <c r="BH16" s="1020" t="n"/>
      <c r="BI16" s="1020">
        <f>IF(D16="Second Lien",BA16*AL16,0)</f>
        <v/>
      </c>
      <c r="BJ16" s="1020">
        <f>SUM(AM16:AP16)+SUM(AZ16:BD16)+SUM(AS16:AV16)=Y16</f>
        <v/>
      </c>
      <c r="BK16" s="1026">
        <f>INDEX('Loan Tape - Settled'!$B$4:$AP$55,MATCH($A16,'Loan Tape - Settled'!$E$4:$E$55,0),MATCH("Inception Date",'Loan Tape - Settled'!$B$4:$AP$4,0))</f>
        <v/>
      </c>
      <c r="BL16" s="1026">
        <f>INDEX('Loan Tape - Settled'!$B$4:$AP$55,MATCH($A16,'Loan Tape - Settled'!$E$4:$E$55,0),MATCH("Inclusion Date",'Loan Tape - Settled'!$B$4:$AP$4,0))</f>
        <v/>
      </c>
      <c r="BM16" s="1026">
        <f>INDEX('Loan Tape - Settled'!$B$4:$AP$55,MATCH($A16,'Loan Tape - Settled'!$E$4:$E$55,0),MATCH("Maturity Date",'Loan Tape - Settled'!$B$4:$AP$4,0))</f>
        <v/>
      </c>
      <c r="BN16" s="556" t="n"/>
      <c r="BO16" s="556" t="n"/>
      <c r="BP16" s="1055" t="n"/>
      <c r="BQ16" s="556" t="n"/>
      <c r="BR16" s="554">
        <f>INDEX('Loan Tape - Settled'!$B$4:$AP$55,MATCH($A16,'Loan Tape - Settled'!$E$4:$E$55,0),MATCH("Industry Classification",'Loan Tape - Settled'!$B$4:$AP$4,0))</f>
        <v/>
      </c>
      <c r="BS16" s="556">
        <f>IF(INDEX('Loan Tape - Settled'!$B$4:$AP$55,MATCH($A16,'Loan Tape - Settled'!$E$4:$E$55,0),MATCH("Covenant Lite",'Loan Tape - Settled'!$B$4:$AP$4,0))=-1, "Yes", "No")</f>
        <v/>
      </c>
      <c r="BT16" s="1056">
        <f>INDEX('Loan Tape - Settled'!$B$4:$AP$55,MATCH($A16,'Loan Tape - Settled'!$E$4:$E$55,0),MATCH("Spread / Coupon (%)",'Loan Tape - Settled'!$B$4:$AP$4,0))</f>
        <v/>
      </c>
      <c r="BU16" s="556">
        <f>IF(INDEX('Loan Tape - Settled'!$B$4:$AP$55,MATCH($A16,'Loan Tape - Settled'!$E$4:$E$55,0),MATCH("Security Type",'Loan Tape - Settled'!$B$4:$AP$4,0))="Delayed Draw Term Loan", "Yes", "No")</f>
        <v/>
      </c>
      <c r="BV16" s="557" t="inlineStr">
        <is>
          <t>No</t>
        </is>
      </c>
      <c r="BW16" s="557" t="inlineStr">
        <is>
          <t>Yes</t>
        </is>
      </c>
      <c r="BX16" s="548" t="inlineStr">
        <is>
          <t>No</t>
        </is>
      </c>
      <c r="BY16" s="556">
        <f>IF(INDEX('Loan Tape - Settled'!$B$4:$AP$55,MATCH($A16,'Loan Tape - Settled'!$E$4:$E$55,0),MATCH("Fixed/Floating",'Loan Tape - Settled'!$B$4:$AP$4,0))="Fixed", "Yes", "No")</f>
        <v/>
      </c>
      <c r="BZ16" s="557" t="inlineStr">
        <is>
          <t>No</t>
        </is>
      </c>
      <c r="CA16" s="557" t="inlineStr">
        <is>
          <t>No</t>
        </is>
      </c>
      <c r="CB16" s="556">
        <f>IF(INDEX('Loan Tape - Settled'!$B$4:$AP$55,MATCH($A16,'Loan Tape - Settled'!$E$4:$E$55,0),MATCH("Loan Denomination",'Loan Tape - Settled'!$B$4:$AP$4,0))="CAD", "Yes", "No")</f>
        <v/>
      </c>
      <c r="CC16" s="556">
        <f>INDEX('Loan Tape - Settled'!$B$4:$AP$55,MATCH($A16,'Loan Tape - Settled'!$E$4:$E$55,0),MATCH("Payment Frequency",'Loan Tape - Settled'!$B$4:$AP$4,0))</f>
        <v/>
      </c>
      <c r="CD16" s="557" t="inlineStr">
        <is>
          <t>No</t>
        </is>
      </c>
      <c r="CE16" s="556">
        <f>INDEX('Loan Tape - Settled'!$B$4:$AP$55,MATCH($A16,'Loan Tape - Settled'!$E$4:$E$55,0),MATCH("S&amp;P Loan Rating (if applicable)",'Loan Tape - Settled'!$B$4:$AP$4,0))</f>
        <v/>
      </c>
      <c r="CF16" s="556">
        <f>INDEX('Loan Tape - Settled'!$B$4:$AP$55,MATCH($A16,'Loan Tape - Settled'!$E$4:$E$55,0),MATCH("Moody's Loan Rating (if applicable)",'Loan Tape - Settled'!$B$4:$AP$4,0))</f>
        <v/>
      </c>
      <c r="CG16" s="556" t="n"/>
      <c r="CH16" s="556" t="n"/>
      <c r="CI16" s="1057" t="n"/>
      <c r="CJ16" s="1030">
        <f>INDEX('Loan Tape - Settled'!$B$4:$BF$55,MATCH($A16,'Loan Tape - Settled'!$E$4:$E$55,0),MATCH("Last Financial Received",'Loan Tape - Settled'!$B$4:$BF$4,0))</f>
        <v/>
      </c>
      <c r="CK16" s="559">
        <f>INDEX('Loan Tape - Settled'!$B$4:$BJ$55,MATCH($A16,'Loan Tape - Settled'!$E$4:$E$55,0),MATCH("Initial Adjusted TTM EBITDA",'Loan Tape - Settled'!$B$4:$BJ$4,0))</f>
        <v/>
      </c>
      <c r="CL16" s="559">
        <f>INDEX('Loan Tape - Settled'!$B$4:$BJ$55,MATCH($A16,'Loan Tape - Settled'!$E$4:$E$55,0),MATCH("Initial TTM Non-adjusted EBITDA",'Loan Tape - Settled'!$B$4:$BJ$4,0))</f>
        <v/>
      </c>
      <c r="CM16" s="1031" t="n"/>
      <c r="CN16" s="451" t="n"/>
      <c r="CO16" s="451" t="n"/>
      <c r="CP16" s="1032" t="n"/>
      <c r="CQ16" s="1033" t="inlineStr">
        <is>
          <t>N</t>
        </is>
      </c>
      <c r="CR16" s="1032" t="n"/>
      <c r="CS16" s="454">
        <f>CK16-CP16+CR16</f>
        <v/>
      </c>
      <c r="CT16" s="455">
        <f>1-CS16/CK16</f>
        <v/>
      </c>
      <c r="CU16" s="559">
        <f>INDEX('Loan Tape - Settled'!$B$4:$BJ$55,MATCH($A16,'Loan Tape - Settled'!$E$4:$E$55,0),MATCH("Current TTM Non-adjusted EBITDA",'Loan Tape - Settled'!$B$4:$BJ$4,0))</f>
        <v/>
      </c>
      <c r="CV16" s="456">
        <f>CT16</f>
        <v/>
      </c>
      <c r="CW16" s="1034" t="inlineStr">
        <is>
          <t>N</t>
        </is>
      </c>
      <c r="CX16" s="1035" t="n"/>
      <c r="CY16" s="1036">
        <f>IF(CW16="N",(1-CV16)*CU16,(1-CX16)*CU16)</f>
        <v/>
      </c>
      <c r="CZ16" s="1037" t="n"/>
      <c r="DA16" s="1038" t="n"/>
      <c r="DB16" s="1039" t="n"/>
      <c r="DC16" s="1040" t="n"/>
      <c r="DD16" s="1040">
        <f>INDEX('Loan Tape - Settled'!$B$4:$BJ$55,MATCH($A16,'Loan Tape - Settled'!$E$4:$E$55,0),MATCH("Initial Senior Net Leverage Senior",'Loan Tape - Settled'!$B$4:$BJ$4,0))</f>
        <v/>
      </c>
      <c r="DE16" s="1041">
        <f>INDEX('Loan Tape - Settled'!$B$4:$BJ$55,MATCH($A16,'Loan Tape - Settled'!$E$4:$E$55,0),MATCH("Initial Total Net Leverage",'Loan Tape - Settled'!$B$4:$BJ$4,0))</f>
        <v/>
      </c>
      <c r="DF16" s="1037" t="n"/>
      <c r="DG16" s="1038" t="n"/>
      <c r="DH16" s="1039" t="n"/>
      <c r="DI16" s="1042">
        <f>INDEX('Loan Tape - Settled'!$B$4:$BJ$55,MATCH($A16,'Loan Tape - Settled'!$E$4:$E$55,0),MATCH("Net Attachment",'Loan Tape - Settled'!$B$4:$BJ$4,0))</f>
        <v/>
      </c>
      <c r="DJ16" s="566">
        <f t="array" ref="DJ16">IF(AG16="Yes",INDEX(VAE!$M$5:$M$53,MATCH($B16&amp;$AJ16,VAE!$C$5:$C$53&amp;VAE!$G$5:$G$53,0)),DD16)</f>
        <v/>
      </c>
      <c r="DK16" s="697">
        <f t="array" ref="DK16">IF(AG16="Yes",INDEX(VAE!$N$5:$N$53,MATCH($B16&amp;$AJ16,VAE!$C$5:$C$53&amp;VAE!$G$5:$G$53,0)),DE16)</f>
        <v/>
      </c>
      <c r="DL16" s="1058">
        <f>INDEX('Loan Tape - Settled'!$B$4:$BJ$55,MATCH($A16,'Loan Tape - Settled'!$E$4:$E$55,0),MATCH("Current Senior Net Leverage Senior",'Loan Tape - Settled'!$B$4:$BJ$4,0))</f>
        <v/>
      </c>
      <c r="DM16" s="1059">
        <f>INDEX('Loan Tape - Settled'!$B$4:$BJ$55,MATCH($A16,'Loan Tape - Settled'!$E$4:$E$55,0),MATCH("Current Total Net Leverage",'Loan Tape - Settled'!$B$4:$BJ$4,0))</f>
        <v/>
      </c>
      <c r="DN16" s="1044" t="n"/>
      <c r="DO16" s="1045">
        <f>INDEX('Loan Tape - Settled'!$B$4:$BJ$55,MATCH($A16,'Loan Tape - Settled'!$E$4:$E$55,0),MATCH("Initial Interest Coverage",'Loan Tape - Settled'!$B$4:$BJ$4,0))</f>
        <v/>
      </c>
      <c r="DP16" s="565">
        <f t="array" ref="DP16">IF(AG16="Yes",INDEX(VAE!$O$5:$O$53,MATCH($B16&amp;$AJ16,VAE!$C$5:$C$53&amp;VAE!$G$5:$G$53,0)),DO16)</f>
        <v/>
      </c>
      <c r="DQ16" s="1046">
        <f>INDEX('Loan Tape - Settled'!$B$4:$BJ$55,MATCH($A16,'Loan Tape - Settled'!$E$4:$E$55,0),MATCH("Current Interest Coverage",'Loan Tape - Settled'!$B$4:$BJ$4,0))</f>
        <v/>
      </c>
      <c r="DR16" s="462">
        <f>IF(OR(DU16="Yes",DU16="N/A",DV16="Yes",DV16="N/A",DW16="Yes",DX16="Yes",DY16="Yes",EF16="Yes",EG16="Yes",EH16="Yes"),"Yes","No")</f>
        <v/>
      </c>
      <c r="DS16" s="1047">
        <f>IF(AG16="Yes",DATEDIF(AJ16,Availability!$F$8,"m"),"")</f>
        <v/>
      </c>
      <c r="DT16" s="1047">
        <f>IF(DS16="","No",IF(DS16&gt;12,"Yes","No"))</f>
        <v/>
      </c>
      <c r="DU16" s="695">
        <f>IFERROR(IF(AND(DQ16/DP16&lt;0.75,DQ16&lt;1.5),"Yes","No"),"N/A")</f>
        <v/>
      </c>
      <c r="DV16" s="696">
        <f>IFERROR(IF(OR(D16="First Lien",D16="FILO"),IF(AND((DL16-DJ16)&gt;0.75,DL16&gt;4),"Yes","No"),"No"),"N/A")</f>
        <v/>
      </c>
      <c r="DW16" s="696">
        <f t="array" ref="DW16">_xlfn.IFS(D16&lt;&gt;"Second Lien","No",D16="Second Lien",IF(AND((DM16-DK16)&gt;0.5,DM16&gt;4.5),"Yes","No"))</f>
        <v/>
      </c>
      <c r="DX16" s="735" t="inlineStr">
        <is>
          <t>No</t>
        </is>
      </c>
      <c r="DY16" s="735" t="inlineStr">
        <is>
          <t>No</t>
        </is>
      </c>
      <c r="DZ16" s="1048" t="inlineStr">
        <is>
          <t>No</t>
        </is>
      </c>
      <c r="EA16" s="1048" t="inlineStr">
        <is>
          <t>No</t>
        </is>
      </c>
      <c r="EB16" s="1048" t="inlineStr">
        <is>
          <t>No</t>
        </is>
      </c>
      <c r="EC16" s="1048" t="inlineStr">
        <is>
          <t>No</t>
        </is>
      </c>
      <c r="ED16" s="1048" t="inlineStr">
        <is>
          <t>No</t>
        </is>
      </c>
      <c r="EE16" s="1048" t="inlineStr">
        <is>
          <t>No</t>
        </is>
      </c>
      <c r="EF16" s="442">
        <f>IF(OR(DZ16="Yes",EA16="Yes",EB16="Yes",EC16="Yes",ED16="Yes",EE16="Yes"),"Yes","No")</f>
        <v/>
      </c>
      <c r="EG16" s="1048" t="inlineStr">
        <is>
          <t>No</t>
        </is>
      </c>
      <c r="EH16" s="1049" t="inlineStr">
        <is>
          <t>No</t>
        </is>
      </c>
      <c r="EI16" s="1050">
        <f t="array" ref="EI16">IF(D16="First Lien",_xlfn.IFS(CY16&gt;AGENT!$B$23, "&gt; $20MM",CY16&lt;=AGENT!$C$25, "&lt;= $10MM",AND(CY16&lt;=AGENT!$C$24,CY16&gt;AGENT!$B$24),"&lt;= $20MM"), "N/A")</f>
        <v/>
      </c>
      <c r="EJ16" s="1050">
        <f t="array" ref="EJ16">IF(D16="FILO",_xlfn.IFS(DI16&gt;AGENT!$B$29, "&gt; 1.25x",DI16&lt;AGENT!$C$27, "&lt; 0.75x",AND(DI16&lt;=AGENT!$C$28,DI16&gt;=AGENT!$B$28),"&lt;= 1.25x"), "N/A")</f>
        <v/>
      </c>
      <c r="EK16" s="1051">
        <f>V16</f>
        <v/>
      </c>
      <c r="EL16" s="1051">
        <f>'Concentration Limits'!$J$49</f>
        <v/>
      </c>
      <c r="EM16" s="1051">
        <f>IF(OR(D16="Second Lien",AND(D16="FILO",DI16&gt;AGENT!$C$57)), "Yes", "No")</f>
        <v/>
      </c>
      <c r="EN16" s="1051">
        <f>IF(EM16="Yes",SUMIF(EM:EM,"Yes",EK:EK),0)</f>
        <v/>
      </c>
      <c r="EO16" s="1051">
        <f>IF(EN16&gt;EL16,(EN16-EL16)*(EK16/SUMIF(EM:EM,"Yes",EK:EK)),0)</f>
        <v/>
      </c>
      <c r="EP16" s="1051">
        <f>MAX(0,EK16-EO16)</f>
        <v/>
      </c>
      <c r="EQ16" s="1051">
        <f>'Concentration Limits'!$J$50</f>
        <v/>
      </c>
      <c r="ER16" s="1051">
        <f>IF(D16="Second Lien",SUMIF(D:D,D16,EP:EP),0)</f>
        <v/>
      </c>
      <c r="ES16" s="1051">
        <f>MAX(0,(ER16-EQ16)*IFERROR((EP16/SUMIF($D:$D,D16,EP:EP )),0) )</f>
        <v/>
      </c>
      <c r="ET16" s="1051">
        <f>MAX(0,EP16-ES16)</f>
        <v/>
      </c>
      <c r="EU16" s="1051">
        <f>'Concentration Limits'!$J$51</f>
        <v/>
      </c>
      <c r="EV16" s="1051">
        <f>IF(OR(D16="Second Lien", AND(D16="FILO",DI16&gt;AGENT!$C$59)), "Yes", "No")</f>
        <v/>
      </c>
      <c r="EW16" s="1051">
        <f>IF(EV16="Yes",SUMIF(EV:EV,"Yes",ET:ET),0)</f>
        <v/>
      </c>
      <c r="EX16" s="1051">
        <f>IF(EW16&gt;EU16,(EW16-EU16)*(ET16/SUMIF(EV:EV,"Yes",ET:ET)),0)</f>
        <v/>
      </c>
      <c r="EY16" s="1051">
        <f>MAX(0,ET16-EX16)</f>
        <v/>
      </c>
      <c r="EZ16" s="1051">
        <f>'Concentration Limits'!$J$52</f>
        <v/>
      </c>
      <c r="FA16" s="1051">
        <f>IF(CY16&gt;'Concentration Limits'!$E$52, "No", "Yes")</f>
        <v/>
      </c>
      <c r="FB16" s="1051">
        <f>IF(FA16="Yes",SUMIF(FA:FA,"Yes",EY:EY),0)</f>
        <v/>
      </c>
      <c r="FC16" s="1051">
        <f>IF(FB16&gt;EZ16,(FB16-EZ16)*(EY16/SUMIF(FA:FA,"Yes",EY:EY)),0)</f>
        <v/>
      </c>
      <c r="FD16" s="1051">
        <f>MAX(0,EY16-FC16)</f>
        <v/>
      </c>
      <c r="FE16" s="1052">
        <f>'Concentration Limits'!$J$54</f>
        <v/>
      </c>
      <c r="FF16" s="1052">
        <f>'Concentration Limits'!$J$55</f>
        <v/>
      </c>
      <c r="FG16" s="1052">
        <f>'Concentration Limits'!$J$56</f>
        <v/>
      </c>
      <c r="FH16" s="1053">
        <f>'Concentration Limits'!$J$57</f>
        <v/>
      </c>
      <c r="FI16" s="1053">
        <f>SUMIF($B:$B,$B16,$FD:$FD)</f>
        <v/>
      </c>
      <c r="FJ16" s="1053">
        <f>IF(MATCH($B16,$B:$B,0)=ROW(),$FI16,0)</f>
        <v/>
      </c>
      <c r="FK16" s="1053">
        <f>INDEX(FL$8:FL$60,MATCH(B16,B$8:B$60,0))</f>
        <v/>
      </c>
      <c r="FL16" s="1053">
        <f>IF(FJ16&gt;0,RANK(FJ16,$FJ$9:$FJ$60)+COUNTIF($FJ$9:FJ16,FJ16)-1,0)</f>
        <v/>
      </c>
      <c r="FM16" s="1052">
        <f>IF(FK16=1,IF(FI16&gt;FE16,(FI16-FE16)*(V16/SUMIF($B:$B,B16,$FD:$FD)),0),0)</f>
        <v/>
      </c>
      <c r="FN16" s="1052">
        <f>IF(FK16=2,IF(FI16&gt;FF16,(FI16-FF16)*(V16/SUMIF($B:$B,B16,$FD:$FD)),0),0)</f>
        <v/>
      </c>
      <c r="FO16" s="1052">
        <f>IF(FK16=3,IF(FI16&gt;FG16,(FI16-FG16)*(V16/SUMIF($B:$B,B16,$FD:$FD)),0),0)</f>
        <v/>
      </c>
      <c r="FP16" s="1053">
        <f>IF(FK16&gt;0,IF(FI16&gt;FH16,(FI16-FH16)*(FD16/(SUMIF($B:$B,$B16,$FD:$FD))),0),0)</f>
        <v/>
      </c>
      <c r="FQ16" s="1053">
        <f>MAX(0,FD16-FM16-FN16-FO16-FP16)</f>
        <v/>
      </c>
      <c r="FR16" s="1053">
        <f>'Concentration Limits'!$J$58</f>
        <v/>
      </c>
      <c r="FS16" s="1053">
        <f>SUMIF($BR:$BR,$BR16,FQ:FQ)</f>
        <v/>
      </c>
      <c r="FT16" s="1053">
        <f>VLOOKUP(BR16,'Concentration Limits'!$E$81:$H$153,4,FALSE)</f>
        <v/>
      </c>
      <c r="FU16" s="1053">
        <f>IF(FT16=1,MAX(0,(FS16-FR16)*(FQ16/SUMIF($BR:$BR,BR16,FQ:FQ))),0)</f>
        <v/>
      </c>
      <c r="FV16" s="1053">
        <f>MAX(0,FQ16-FU16)</f>
        <v/>
      </c>
      <c r="FW16" s="1053">
        <f>'Concentration Limits'!$J$59</f>
        <v/>
      </c>
      <c r="FX16" s="1053">
        <f>SUMIF($BR:$BR,$BR16,FV:FV)</f>
        <v/>
      </c>
      <c r="FY16" s="1053">
        <f>VLOOKUP(BR16,'Concentration Limits'!$E$81:$H$153,4,FALSE)</f>
        <v/>
      </c>
      <c r="FZ16" s="1053">
        <f>MAX(0,IF(FY16=2,(FX16-FW16)*(FV16/SUMIF($BR:$BR,BR16,FV:FV)),0))</f>
        <v/>
      </c>
      <c r="GA16" s="1053">
        <f>MAX(0,FV16-FZ16)</f>
        <v/>
      </c>
      <c r="GB16" s="1053">
        <f>'Concentration Limits'!$J$61</f>
        <v/>
      </c>
      <c r="GC16" s="1053">
        <f>SUMIF($BR:$BR,$BR16,GA:GA)</f>
        <v/>
      </c>
      <c r="GD16" s="1051">
        <f>VLOOKUP(BR16,'Concentration Limits'!$E$81:$H$153,4,FALSE)</f>
        <v/>
      </c>
      <c r="GE16" s="1053">
        <f>IF(GA16=0,0,MAX(0,IF(GD16&lt;3,0,(GC16-GB16)*($GA16/SUMIF($BR:$BR,BR16,GA:GA)))))</f>
        <v/>
      </c>
      <c r="GF16" s="1053">
        <f>MAX(0,GA16-GE16)</f>
        <v/>
      </c>
      <c r="GG16" s="1053">
        <f>'Concentration Limits'!$J$64</f>
        <v/>
      </c>
      <c r="GH16" s="1053">
        <f>IF(BY16="Yes",SUMIF(BY:BY,BY16,GF:GF),0)</f>
        <v/>
      </c>
      <c r="GI16" s="1053">
        <f>IFERROR(MAX(0,(GH16-GG16)*(GF16/SUMIF($T:$T,T16,GF:GF ))),0)</f>
        <v/>
      </c>
      <c r="GJ16" s="1053">
        <f>MAX(0,GF16-GI16)</f>
        <v/>
      </c>
      <c r="GK16" s="1053">
        <f>'Concentration Limits'!$J$67</f>
        <v/>
      </c>
      <c r="GL16" s="1051">
        <f>IF(OR(BV16="Yes",OR(ISNUMBER(SEARCH("Travel",BR16)),ISNUMBER(SEARCH("Energy",BR16)),ISNUMBER(SEARCH("Leisure",BR16)),ISNUMBER(SEARCH("hotel",BR16)))),"Yes","No")</f>
        <v/>
      </c>
      <c r="GM16" s="1053">
        <f>IF(GL16="Yes",SUMIF(GL:GL,"Yes",GJ:GJ),0)</f>
        <v/>
      </c>
      <c r="GN16" s="1053">
        <f>IF(GM16&gt;GK16,(GM16-GK16)*(GJ16/SUMIF(GL:GL,"Yes",GJ:GJ)),0)</f>
        <v/>
      </c>
      <c r="GO16" s="1053">
        <f>MAX(0,GJ16-GN16)</f>
        <v/>
      </c>
      <c r="GP16" s="1053">
        <f>'Concentration Limits'!$J$68</f>
        <v/>
      </c>
      <c r="GQ16" s="1051">
        <f>IF(BU16="Yes","Yes", "No")</f>
        <v/>
      </c>
      <c r="GR16" s="1053">
        <f>IF(GQ16="Yes",SUMIF(GQ:GQ,"Yes",GO:GO),0)</f>
        <v/>
      </c>
      <c r="GS16" s="1053">
        <f>IF(GR16&gt;GP16,(GR16-GP16)*(GO16/SUMIF(GQ:GQ,"Yes",GO:GO)),0)</f>
        <v/>
      </c>
      <c r="GT16" s="1053">
        <f>MAX(0,GO16-GS16)</f>
        <v/>
      </c>
      <c r="GU16" s="1051">
        <f>'Concentration Limits'!$J$69</f>
        <v/>
      </c>
      <c r="GV16" s="1051">
        <f>IF(BW16="Yes", "Yes", "No")</f>
        <v/>
      </c>
      <c r="GW16" s="1051">
        <f>IF(GV16="Yes",SUMIF(GV:GV,"Yes",GT:GT),0)</f>
        <v/>
      </c>
      <c r="GX16" s="1051">
        <f>IF(GW16&gt;GU16,(GW16-GU16)*(GT16/SUMIF(GV:GV,"Yes",GT:GT)),0)</f>
        <v/>
      </c>
      <c r="GY16" s="1051">
        <f>MAX(0,GT16-GX16)</f>
        <v/>
      </c>
      <c r="GZ16" s="1051">
        <f>'Concentration Limits'!$J$70</f>
        <v/>
      </c>
      <c r="HA16" s="1051">
        <f>IF(BX16="Yes", "Yes", "No")</f>
        <v/>
      </c>
      <c r="HB16" s="1051">
        <f>IF(HA16="Yes",SUMIF(HA:HA,"Yes",GY:GY),0)</f>
        <v/>
      </c>
      <c r="HC16" s="1051">
        <f>IF(HB16&gt;GZ16,(HB16-GZ16)*(GY16/SUMIF(HA:HA,"Yes",GY:GY)),0)</f>
        <v/>
      </c>
      <c r="HD16" s="1051">
        <f>MAX(0,GY16-HC16)</f>
        <v/>
      </c>
      <c r="HE16" s="1053">
        <f>IF(AQ16=0,0,HD16*AQ16/(AQ16+AR16))</f>
        <v/>
      </c>
      <c r="HF16" s="1053">
        <f>IF(AR16=0,0,HD16*AR16/(AQ16+AR16))</f>
        <v/>
      </c>
      <c r="HG16" s="1053">
        <f>IF(AW16=0,0,HD16*AW16/(AW16+AX16))</f>
        <v/>
      </c>
      <c r="HH16" s="1053">
        <f>IF(AX16=0,0,HD16*AX16/(AX16+AW16))</f>
        <v/>
      </c>
      <c r="HI16" s="1053">
        <f>IF(BE16=0,0,#REF!*BE16/(BE16+BG16))</f>
        <v/>
      </c>
      <c r="HJ16" s="1053">
        <f>IF(BG16=0,0,#REF!*BG16/(BG16+BE16))</f>
        <v/>
      </c>
      <c r="HK16" s="1054">
        <f>IF(BF16=0,0,#REF!*BF16/(BF16+BH16))</f>
        <v/>
      </c>
      <c r="HL16" s="1053">
        <f>IF(BH16=0,0,#REF!*BH16/(BH16+BF16))</f>
        <v/>
      </c>
      <c r="HM16" s="1053">
        <f>IF(D16="Second Lien",HD16,0)</f>
        <v/>
      </c>
      <c r="HN16" s="1053">
        <f>SUM(HE16:HM16)=HD16</f>
        <v/>
      </c>
    </row>
    <row r="17" ht="13.5" customFormat="1" customHeight="1" s="469">
      <c r="A17" s="55">
        <f>A16+1</f>
        <v/>
      </c>
      <c r="B17" s="437">
        <f>INDEX('Loan Tape - Settled'!$B$4:$AP$55,MATCH($A17,'Loan Tape - Settled'!$E$4:$E$55,0),MATCH("Obligor Name",'Loan Tape - Settled'!$B$4:$AM$4,0))</f>
        <v/>
      </c>
      <c r="C17" s="437">
        <f>INDEX('Loan Tape - Settled'!$B$4:$AP$55,MATCH($A17,'Loan Tape - Settled'!$E$4:$E$55,0),MATCH("Security",'Loan Tape - Settled'!$B$4:$AM$4,0))</f>
        <v/>
      </c>
      <c r="D17" s="438">
        <f>INDEX('Loan Tape - Settled'!$B$4:$AP$55,MATCH($A17,'Loan Tape - Settled'!$E$4:$E$55,0),MATCH("Loan Type",'Loan Tape - Settled'!$B$4:$AM$4,0))</f>
        <v/>
      </c>
      <c r="E17" s="439">
        <f>IF(ISERROR(MATCH(D17,AGENT!$A$4:$A$10,0))=FALSE, TRUE)</f>
        <v/>
      </c>
      <c r="F17" s="439">
        <f>IF(AND(BZ17="no",CA17="no"),TRUE)</f>
        <v/>
      </c>
      <c r="G17" s="439">
        <f>IF(D17&lt;&gt;"Second Lien",TRUE, IF(CY17&gt;=AGENT!$B$4,TRUE))</f>
        <v/>
      </c>
      <c r="H17" s="439">
        <f>IF(DE17&lt;=AGENT!$D$4,TRUE)</f>
        <v/>
      </c>
      <c r="I17" s="439">
        <f>IF(VLOOKUP(CONCATENATE($A$5,A17),'Loan Tape - Settled'!$A$5:$Q$55,17,FALSE)&gt;=AGENT!$E$4,TRUE)</f>
        <v/>
      </c>
      <c r="J17" s="439">
        <f>IF(INDEX('Loan Tape - Settled'!$B$4:$AP$55,MATCH($A17,'Loan Tape - Settled'!$E$4:$E$55,0),MATCH("Loan Denomination",'Loan Tape - Settled'!$B$4:$AP$4,0))="USD", TRUE)</f>
        <v/>
      </c>
      <c r="K17" s="439">
        <f>IF(INDEX('Loan Tape - Settled'!$B$4:$AP$55,MATCH($A17,'Loan Tape - Settled'!$E$4:$E$55,0),MATCH("Exposure Country",'Loan Tape - Settled'!$B$4:$AP$4,0))="United States", TRUE)</f>
        <v/>
      </c>
      <c r="L17" s="439">
        <f>IF(BS17="NO",TRUE)</f>
        <v/>
      </c>
      <c r="M17" s="439">
        <f>IF(((BM17-BL17)/365)&lt;=AGENT!$F$4,TRUE)</f>
        <v/>
      </c>
      <c r="N17" s="439">
        <f>IF(DX17="Yes",FALSE,TRUE)</f>
        <v/>
      </c>
      <c r="O17" s="493" t="n"/>
      <c r="P17" s="764">
        <f>IF($B17="","",IF(OR(O17=TRUE,COUNTIFS($E17:$N17,TRUE)=10),"Yes","No"))</f>
        <v/>
      </c>
      <c r="Q17" s="730" t="inlineStr">
        <is>
          <t>Yes</t>
        </is>
      </c>
      <c r="R17" s="440">
        <f>IF(P17="Yes",B17,"N/A")</f>
        <v/>
      </c>
      <c r="S17" s="440" t="n"/>
      <c r="T17" s="441">
        <f t="array" ref="T17">_xlfn.IFS(D17="Second Lien",D17,D17="First Lien",CONCATENATE(D17," ",EI17),D17="FILO",CONCATENATE(D17," ",EJ17))</f>
        <v/>
      </c>
      <c r="U17" s="442">
        <f>VLOOKUP(T17,'Concentration Limits'!D:G,4,FALSE)</f>
        <v/>
      </c>
      <c r="V17" s="1020">
        <f>AQ17+AW17+BI17</f>
        <v/>
      </c>
      <c r="W17" s="1021">
        <f>(SUMIFS('Loan Tape - Settled'!$AR$4:$AR$55,'Loan Tape - Settled'!$E$4:$E$55,$A17,'Loan Tape - Settled'!$C$4:$C$55,$A$5))</f>
        <v/>
      </c>
      <c r="X17" s="1022" t="n">
        <v>1</v>
      </c>
      <c r="Y17" s="1023">
        <f>W17*X17</f>
        <v/>
      </c>
      <c r="Z17" s="1022">
        <f>(SUMIFS('Loan Tape - Settled'!$AQ$4:$AQ$55,'Loan Tape - Settled'!$E$4:$E$55,$A17,'Loan Tape - Settled'!$C$4:$C$55,$A$5))</f>
        <v/>
      </c>
      <c r="AA17" s="1023">
        <f>Z17*X17</f>
        <v/>
      </c>
      <c r="AB17" s="1023">
        <f>AA17-Y17</f>
        <v/>
      </c>
      <c r="AC17" s="490">
        <f>VLOOKUP(CONCATENATE($A$5,A17),'Loan Tape - Settled'!$A$5:$Q$55,17,FALSE)</f>
        <v/>
      </c>
      <c r="AD17" s="445" t="n"/>
      <c r="AE17" s="446">
        <f>INDEX('Loan Tape - Settled'!$B$4:$AP$55,MATCH($A17,'Loan Tape - Settled'!$E$4:$E$55,0),MATCH("FMV",'Loan Tape - Settled'!$B$4:$AM$4,0))</f>
        <v/>
      </c>
      <c r="AF17" s="446">
        <f t="array" ref="AF17">_xlfn.IFS(D17="First Lien",
_xlfn.IFS(AND(DL17&gt;0,DL17&lt;Tier_1_1L),Tier_1_ApplicableValue,
AND(DL17&gt;=Tier_1_1L,DL17&lt;Tier_2_1L),((Tier_1_1L/DL17)*Tier_1_ApplicableValue)+((DL17-Tier_1_1L)/DL17*Tier_2_ApplicableValue),
AND(DL17&gt;=Tier_2_1L, DL17&lt;Tier_3_1L),((Tier_1_1L/DL17)*Tier_1_ApplicableValue+(Tier_2_1L-Tier_1_1L)/DL17*Tier_2_ApplicableValue+(DL17-Tier_2_1L)/DL17*Tier_3_ApplicableValue),
AND(DL17&gt;=Tier_3_1L, DL17&lt;=Tier_totalzerovalue),((Tier_1_1L/DL17)*Tier_1_ApplicableValue+(Tier_2_1L-Tier_1_1L)/DL17*Tier_2_ApplicableValue+(Tier_3_1L-Tier_2_1L)/DL17*Tier_3_ApplicableValue+(DL17-Tier_partialzerovalue)/DL17*0%),
DL17&gt;Tier_totalzerovalue,0%),
OR(D17="Second Lien", D17="FILO"),
_xlfn.IFS(AND(DM17&gt;0,DM17&lt;Tier_1_2L),Tier_1_ApplicableValue,
AND(DM17&gt;=Tier_1_2L,DM17&lt;Tier_2_2L),((Tier_1_2L/DM17)*Tier_1_ApplicableValue)+((DM17-Tier_1_2L)/DM17*Tier_2_ApplicableValue),
AND(DM17&gt;=Tier_2_2L, DM17&lt;Tier_3_2L),((Tier_1_2L/DM17)*Tier_1_ApplicableValue+(Tier_2_2L-Tier_1_2L)/DM17*Tier_2_ApplicableValue+(DM17-Tier_2_2L)/DM17*Tier_3_ApplicableValue),
AND(DM17&gt;=Tier_3_2L, DM17&lt;=Tier_totalzerovalue),((Tier_1_2L/DM17)*Tier_1_ApplicableValue+(Tier_2_2L-Tier_1_2L)/DM17*Tier_2_ApplicableValue+(Tier_3_2L-Tier_2_2L)/DM17*Tier_3_ApplicableValue+(DM17-Tier_partialzerovalue)/DM17*0%),
DM17&gt;Tier_totalzerovalue,0%))</f>
        <v/>
      </c>
      <c r="AG17" s="447">
        <f>IF(COUNTIFS(VAE!$C$5:$C$96,B17,VAE!$G$5:$G$96,"&lt;="&amp;Availability!$F$8)&gt;=1,"Yes","-")</f>
        <v/>
      </c>
      <c r="AH17" s="447">
        <f t="array" ref="AH17">IFERROR(IF(AG17="Yes",INDEX(VAE!$D$5:$D$96,MATCH(B17&amp;AJ17,VAE!$C$5:$C$96&amp;VAE!$G$5:$G$96,0)),"-"),0)</f>
        <v/>
      </c>
      <c r="AI17" s="447">
        <f t="array" ref="AI17">IFERROR(IF(AG17="Yes",INDEX(VAE!$F$5:$F$96,MATCH(B17&amp;AJ17,VAE!$C$5:$C$96&amp;VAE!$G$5:$G$96,0)),"-"),0)</f>
        <v/>
      </c>
      <c r="AJ17" s="448">
        <f>IF(AG17="-","-",_xlfn.MAXIFS(VAE!$G$5:$G$96,VAE!$C$5:$C$96,$B17))</f>
        <v/>
      </c>
      <c r="AK17" s="449">
        <f t="array" ref="AK17">IFERROR(IF(AG17="Yes",INDEX(VAE!$P$5:$P$96,MATCH(B17&amp;AJ17,VAE!$C$5:$C$96&amp;VAE!$G$5:$G$96,0)),"-"),0)</f>
        <v/>
      </c>
      <c r="AL17" s="446">
        <f>IF($A17="","",IF(P17="No",0,(IF(AG17="Yes",MIN(AE17,AK17,AF17),MIN(AE17,AF17)))))</f>
        <v/>
      </c>
      <c r="AM17" s="1020" t="n"/>
      <c r="AN17" s="1020" t="n"/>
      <c r="AO17" s="1020">
        <f>IF(AND(D17="First Lien",P17="No"),0,IF(D17&lt;&gt;"First Lien",0,Y17))</f>
        <v/>
      </c>
      <c r="AP17" s="1020">
        <f>IF(AND(D17="First Lien",P17="No"),W17,0)</f>
        <v/>
      </c>
      <c r="AQ17" s="1020">
        <f>AL17*AO17</f>
        <v/>
      </c>
      <c r="AR17" s="1020" t="n"/>
      <c r="AS17" s="1020" t="n"/>
      <c r="AT17" s="1020" t="n"/>
      <c r="AU17" s="1020">
        <f>IF(AND(D17="FILO",P17="No"),0,IF(D17&lt;&gt;"FILO",0,Y17))</f>
        <v/>
      </c>
      <c r="AV17" s="1020">
        <f>IF(AND(D17="FILO",P17="No"),W17,0)</f>
        <v/>
      </c>
      <c r="AW17" s="1020">
        <f>AU17*AL17</f>
        <v/>
      </c>
      <c r="AX17" s="1020" t="n"/>
      <c r="AY17" s="1020" t="n"/>
      <c r="AZ17" s="1020" t="n"/>
      <c r="BA17" s="1020">
        <f>IF(AND(OR(D17="First Lien",D17="FILO"),P17="No"),0,IF(OR(D17="First Lien",D17="FILO"),0,(Y17)))</f>
        <v/>
      </c>
      <c r="BB17" s="1020" t="n"/>
      <c r="BC17" s="1020" t="n"/>
      <c r="BD17" s="1020">
        <f>IF(AND(D17="Second Lien",P17="No"),W17,0)</f>
        <v/>
      </c>
      <c r="BE17" s="1020" t="n"/>
      <c r="BF17" s="1020" t="n"/>
      <c r="BG17" s="1020" t="n"/>
      <c r="BH17" s="1020" t="n"/>
      <c r="BI17" s="1020">
        <f>IF(D17="Second Lien",BA17*AL17,0)</f>
        <v/>
      </c>
      <c r="BJ17" s="1020">
        <f>SUM(AM17:AP17)+SUM(AZ17:BD17)+SUM(AS17:AV17)=Y17</f>
        <v/>
      </c>
      <c r="BK17" s="1026">
        <f>INDEX('Loan Tape - Settled'!$B$4:$AP$55,MATCH($A17,'Loan Tape - Settled'!$E$4:$E$55,0),MATCH("Inception Date",'Loan Tape - Settled'!$B$4:$AP$4,0))</f>
        <v/>
      </c>
      <c r="BL17" s="1026">
        <f>INDEX('Loan Tape - Settled'!$B$4:$AP$55,MATCH($A17,'Loan Tape - Settled'!$E$4:$E$55,0),MATCH("Inclusion Date",'Loan Tape - Settled'!$B$4:$AP$4,0))</f>
        <v/>
      </c>
      <c r="BM17" s="1026">
        <f>INDEX('Loan Tape - Settled'!$B$4:$AP$55,MATCH($A17,'Loan Tape - Settled'!$E$4:$E$55,0),MATCH("Maturity Date",'Loan Tape - Settled'!$B$4:$AP$4,0))</f>
        <v/>
      </c>
      <c r="BN17" s="556" t="n"/>
      <c r="BO17" s="556" t="n"/>
      <c r="BP17" s="1055" t="n"/>
      <c r="BQ17" s="556" t="n"/>
      <c r="BR17" s="554">
        <f>INDEX('Loan Tape - Settled'!$B$4:$AP$55,MATCH($A17,'Loan Tape - Settled'!$E$4:$E$55,0),MATCH("Industry Classification",'Loan Tape - Settled'!$B$4:$AP$4,0))</f>
        <v/>
      </c>
      <c r="BS17" s="556">
        <f>IF(INDEX('Loan Tape - Settled'!$B$4:$AP$55,MATCH($A17,'Loan Tape - Settled'!$E$4:$E$55,0),MATCH("Covenant Lite",'Loan Tape - Settled'!$B$4:$AP$4,0))=-1, "Yes", "No")</f>
        <v/>
      </c>
      <c r="BT17" s="1056">
        <f>INDEX('Loan Tape - Settled'!$B$4:$AP$55,MATCH($A17,'Loan Tape - Settled'!$E$4:$E$55,0),MATCH("Spread / Coupon (%)",'Loan Tape - Settled'!$B$4:$AP$4,0))</f>
        <v/>
      </c>
      <c r="BU17" s="556">
        <f>IF(INDEX('Loan Tape - Settled'!$B$4:$AP$55,MATCH($A17,'Loan Tape - Settled'!$E$4:$E$55,0),MATCH("Security Type",'Loan Tape - Settled'!$B$4:$AP$4,0))="Delayed Draw Term Loan", "Yes", "No")</f>
        <v/>
      </c>
      <c r="BV17" s="557" t="inlineStr">
        <is>
          <t>No</t>
        </is>
      </c>
      <c r="BW17" s="557" t="inlineStr">
        <is>
          <t>No</t>
        </is>
      </c>
      <c r="BX17" s="548" t="inlineStr">
        <is>
          <t>No</t>
        </is>
      </c>
      <c r="BY17" s="556">
        <f>IF(INDEX('Loan Tape - Settled'!$B$4:$AP$55,MATCH($A17,'Loan Tape - Settled'!$E$4:$E$55,0),MATCH("Fixed/Floating",'Loan Tape - Settled'!$B$4:$AP$4,0))="Fixed", "Yes", "No")</f>
        <v/>
      </c>
      <c r="BZ17" s="557" t="inlineStr">
        <is>
          <t>No</t>
        </is>
      </c>
      <c r="CA17" s="557" t="inlineStr">
        <is>
          <t>No</t>
        </is>
      </c>
      <c r="CB17" s="556">
        <f>IF(INDEX('Loan Tape - Settled'!$B$4:$AP$55,MATCH($A17,'Loan Tape - Settled'!$E$4:$E$55,0),MATCH("Loan Denomination",'Loan Tape - Settled'!$B$4:$AP$4,0))="CAD", "Yes", "No")</f>
        <v/>
      </c>
      <c r="CC17" s="556">
        <f>INDEX('Loan Tape - Settled'!$B$4:$AP$55,MATCH($A17,'Loan Tape - Settled'!$E$4:$E$55,0),MATCH("Payment Frequency",'Loan Tape - Settled'!$B$4:$AP$4,0))</f>
        <v/>
      </c>
      <c r="CD17" s="557" t="inlineStr">
        <is>
          <t>No</t>
        </is>
      </c>
      <c r="CE17" s="556">
        <f>INDEX('Loan Tape - Settled'!$B$4:$AP$55,MATCH($A17,'Loan Tape - Settled'!$E$4:$E$55,0),MATCH("S&amp;P Loan Rating (if applicable)",'Loan Tape - Settled'!$B$4:$AP$4,0))</f>
        <v/>
      </c>
      <c r="CF17" s="556">
        <f>INDEX('Loan Tape - Settled'!$B$4:$AP$55,MATCH($A17,'Loan Tape - Settled'!$E$4:$E$55,0),MATCH("Moody's Loan Rating (if applicable)",'Loan Tape - Settled'!$B$4:$AP$4,0))</f>
        <v/>
      </c>
      <c r="CG17" s="556" t="n"/>
      <c r="CH17" s="556" t="n"/>
      <c r="CI17" s="1057" t="n"/>
      <c r="CJ17" s="1030">
        <f>INDEX('Loan Tape - Settled'!$B$4:$BF$55,MATCH($A17,'Loan Tape - Settled'!$E$4:$E$55,0),MATCH("Last Financial Received",'Loan Tape - Settled'!$B$4:$BF$4,0))</f>
        <v/>
      </c>
      <c r="CK17" s="559">
        <f>INDEX('Loan Tape - Settled'!$B$4:$BJ$55,MATCH($A17,'Loan Tape - Settled'!$E$4:$E$55,0),MATCH("Initial Adjusted TTM EBITDA",'Loan Tape - Settled'!$B$4:$BJ$4,0))</f>
        <v/>
      </c>
      <c r="CL17" s="559">
        <f>INDEX('Loan Tape - Settled'!$B$4:$BJ$55,MATCH($A17,'Loan Tape - Settled'!$E$4:$E$55,0),MATCH("Initial TTM Non-adjusted EBITDA",'Loan Tape - Settled'!$B$4:$BJ$4,0))</f>
        <v/>
      </c>
      <c r="CM17" s="1031" t="n"/>
      <c r="CN17" s="451" t="n"/>
      <c r="CO17" s="451" t="n"/>
      <c r="CP17" s="1032" t="n"/>
      <c r="CQ17" s="1033" t="inlineStr">
        <is>
          <t>N</t>
        </is>
      </c>
      <c r="CR17" s="1032" t="n"/>
      <c r="CS17" s="454">
        <f>CK17-CP17+CR17</f>
        <v/>
      </c>
      <c r="CT17" s="455">
        <f>1-CS17/CK17</f>
        <v/>
      </c>
      <c r="CU17" s="559">
        <f>INDEX('Loan Tape - Settled'!$B$4:$BJ$55,MATCH($A17,'Loan Tape - Settled'!$E$4:$E$55,0),MATCH("Current TTM Non-adjusted EBITDA",'Loan Tape - Settled'!$B$4:$BJ$4,0))</f>
        <v/>
      </c>
      <c r="CV17" s="456">
        <f>CT17</f>
        <v/>
      </c>
      <c r="CW17" s="1034" t="inlineStr">
        <is>
          <t>N</t>
        </is>
      </c>
      <c r="CX17" s="1035" t="n"/>
      <c r="CY17" s="1036">
        <f>IF(CW17="N",(1-CV17)*CU17,(1-CX17)*CU17)</f>
        <v/>
      </c>
      <c r="CZ17" s="1037" t="n"/>
      <c r="DA17" s="1038" t="n"/>
      <c r="DB17" s="1039" t="n"/>
      <c r="DC17" s="1040" t="n"/>
      <c r="DD17" s="1040">
        <f>INDEX('Loan Tape - Settled'!$B$4:$BJ$55,MATCH($A17,'Loan Tape - Settled'!$E$4:$E$55,0),MATCH("Initial Senior Net Leverage Senior",'Loan Tape - Settled'!$B$4:$BJ$4,0))</f>
        <v/>
      </c>
      <c r="DE17" s="1041">
        <f>INDEX('Loan Tape - Settled'!$B$4:$BJ$55,MATCH($A17,'Loan Tape - Settled'!$E$4:$E$55,0),MATCH("Initial Total Net Leverage",'Loan Tape - Settled'!$B$4:$BJ$4,0))</f>
        <v/>
      </c>
      <c r="DF17" s="1037" t="n"/>
      <c r="DG17" s="1038" t="n"/>
      <c r="DH17" s="1039" t="n"/>
      <c r="DI17" s="1042">
        <f>INDEX('Loan Tape - Settled'!$B$4:$BJ$55,MATCH($A17,'Loan Tape - Settled'!$E$4:$E$55,0),MATCH("Net Attachment",'Loan Tape - Settled'!$B$4:$BJ$4,0))</f>
        <v/>
      </c>
      <c r="DJ17" s="566">
        <f t="array" ref="DJ17">IF(AG17="Yes",INDEX(VAE!$M$5:$M$53,MATCH($B17&amp;$AJ17,VAE!$C$5:$C$53&amp;VAE!$G$5:$G$53,0)),DD17)</f>
        <v/>
      </c>
      <c r="DK17" s="697">
        <f t="array" ref="DK17">IF(AG17="Yes",INDEX(VAE!$N$5:$N$53,MATCH($B17&amp;$AJ17,VAE!$C$5:$C$53&amp;VAE!$G$5:$G$53,0)),DE17)</f>
        <v/>
      </c>
      <c r="DL17" s="1058">
        <f>INDEX('Loan Tape - Settled'!$B$4:$BJ$55,MATCH($A17,'Loan Tape - Settled'!$E$4:$E$55,0),MATCH("Current Senior Net Leverage Senior",'Loan Tape - Settled'!$B$4:$BJ$4,0))</f>
        <v/>
      </c>
      <c r="DM17" s="1059">
        <f>INDEX('Loan Tape - Settled'!$B$4:$BJ$55,MATCH($A17,'Loan Tape - Settled'!$E$4:$E$55,0),MATCH("Current Total Net Leverage",'Loan Tape - Settled'!$B$4:$BJ$4,0))</f>
        <v/>
      </c>
      <c r="DN17" s="1044" t="n"/>
      <c r="DO17" s="1045">
        <f>INDEX('Loan Tape - Settled'!$B$4:$BJ$55,MATCH($A17,'Loan Tape - Settled'!$E$4:$E$55,0),MATCH("Initial Interest Coverage",'Loan Tape - Settled'!$B$4:$BJ$4,0))</f>
        <v/>
      </c>
      <c r="DP17" s="565">
        <f t="array" ref="DP17">IF(AG17="Yes",INDEX(VAE!$O$5:$O$53,MATCH($B17&amp;$AJ17,VAE!$C$5:$C$53&amp;VAE!$G$5:$G$53,0)),DO17)</f>
        <v/>
      </c>
      <c r="DQ17" s="1046">
        <f>INDEX('Loan Tape - Settled'!$B$4:$BJ$55,MATCH($A17,'Loan Tape - Settled'!$E$4:$E$55,0),MATCH("Current Interest Coverage",'Loan Tape - Settled'!$B$4:$BJ$4,0))</f>
        <v/>
      </c>
      <c r="DR17" s="462">
        <f>IF(OR(DU17="Yes",DU17="N/A",DV17="Yes",DV17="N/A",DW17="Yes",DX17="Yes",DY17="Yes",EF17="Yes",EG17="Yes",EH17="Yes"),"Yes","No")</f>
        <v/>
      </c>
      <c r="DS17" s="1047">
        <f>IF(AG17="Yes",DATEDIF(AJ17,Availability!$F$8,"m"),"")</f>
        <v/>
      </c>
      <c r="DT17" s="1047">
        <f>IF(DS17="","No",IF(DS17&gt;12,"Yes","No"))</f>
        <v/>
      </c>
      <c r="DU17" s="695">
        <f>IFERROR(IF(AND(DQ17/DP17&lt;0.75,DQ17&lt;1.5),"Yes","No"),"N/A")</f>
        <v/>
      </c>
      <c r="DV17" s="696">
        <f>IFERROR(IF(OR(D17="First Lien",D17="FILO"),IF(AND((DL17-DJ17)&gt;0.75,DL17&gt;4),"Yes","No"),"No"),"N/A")</f>
        <v/>
      </c>
      <c r="DW17" s="696">
        <f t="array" ref="DW17">_xlfn.IFS(D17&lt;&gt;"Second Lien","No",D17="Second Lien",IF(AND((DM17-DK17)&gt;0.5,DM17&gt;4.5),"Yes","No"))</f>
        <v/>
      </c>
      <c r="DX17" s="735" t="inlineStr">
        <is>
          <t>No</t>
        </is>
      </c>
      <c r="DY17" s="735" t="inlineStr">
        <is>
          <t>No</t>
        </is>
      </c>
      <c r="DZ17" s="1048" t="inlineStr">
        <is>
          <t>No</t>
        </is>
      </c>
      <c r="EA17" s="1048" t="inlineStr">
        <is>
          <t>No</t>
        </is>
      </c>
      <c r="EB17" s="1048" t="inlineStr">
        <is>
          <t>No</t>
        </is>
      </c>
      <c r="EC17" s="1048" t="inlineStr">
        <is>
          <t>No</t>
        </is>
      </c>
      <c r="ED17" s="1048" t="inlineStr">
        <is>
          <t>No</t>
        </is>
      </c>
      <c r="EE17" s="1048" t="inlineStr">
        <is>
          <t>No</t>
        </is>
      </c>
      <c r="EF17" s="442">
        <f>IF(OR(DZ17="Yes",EA17="Yes",EB17="Yes",EC17="Yes",ED17="Yes",EE17="Yes"),"Yes","No")</f>
        <v/>
      </c>
      <c r="EG17" s="1048" t="inlineStr">
        <is>
          <t>No</t>
        </is>
      </c>
      <c r="EH17" s="1049" t="inlineStr">
        <is>
          <t>No</t>
        </is>
      </c>
      <c r="EI17" s="1050">
        <f t="array" ref="EI17">IF(D17="First Lien",_xlfn.IFS(CY17&gt;AGENT!$B$23, "&gt; $20MM",CY17&lt;=AGENT!$C$25, "&lt;= $10MM",AND(CY17&lt;=AGENT!$C$24,CY17&gt;AGENT!$B$24),"&lt;= $20MM"), "N/A")</f>
        <v/>
      </c>
      <c r="EJ17" s="1050">
        <f t="array" ref="EJ17">IF(D17="FILO",_xlfn.IFS(DI17&gt;AGENT!$B$29, "&gt; 1.25x",DI17&lt;AGENT!$C$27, "&lt; 0.75x",AND(DI17&lt;=AGENT!$C$28,DI17&gt;=AGENT!$B$28),"&lt;= 1.25x"), "N/A")</f>
        <v/>
      </c>
      <c r="EK17" s="1051">
        <f>V17</f>
        <v/>
      </c>
      <c r="EL17" s="1051">
        <f>'Concentration Limits'!$J$49</f>
        <v/>
      </c>
      <c r="EM17" s="1051">
        <f>IF(OR(D17="Second Lien",AND(D17="FILO",DI17&gt;AGENT!$C$57)), "Yes", "No")</f>
        <v/>
      </c>
      <c r="EN17" s="1051">
        <f>IF(EM17="Yes",SUMIF(EM:EM,"Yes",EK:EK),0)</f>
        <v/>
      </c>
      <c r="EO17" s="1051">
        <f>IF(EN17&gt;EL17,(EN17-EL17)*(EK17/SUMIF(EM:EM,"Yes",EK:EK)),0)</f>
        <v/>
      </c>
      <c r="EP17" s="1051">
        <f>MAX(0,EK17-EO17)</f>
        <v/>
      </c>
      <c r="EQ17" s="1051">
        <f>'Concentration Limits'!$J$50</f>
        <v/>
      </c>
      <c r="ER17" s="1051">
        <f>IF(D17="Second Lien",SUMIF(D:D,D17,EP:EP),0)</f>
        <v/>
      </c>
      <c r="ES17" s="1051">
        <f>MAX(0,(ER17-EQ17)*IFERROR((EP17/SUMIF($D:$D,D17,EP:EP )),0) )</f>
        <v/>
      </c>
      <c r="ET17" s="1051">
        <f>MAX(0,EP17-ES17)</f>
        <v/>
      </c>
      <c r="EU17" s="1051">
        <f>'Concentration Limits'!$J$51</f>
        <v/>
      </c>
      <c r="EV17" s="1051">
        <f>IF(OR(D17="Second Lien", AND(D17="FILO",DI17&gt;AGENT!$C$59)), "Yes", "No")</f>
        <v/>
      </c>
      <c r="EW17" s="1051">
        <f>IF(EV17="Yes",SUMIF(EV:EV,"Yes",ET:ET),0)</f>
        <v/>
      </c>
      <c r="EX17" s="1051">
        <f>IF(EW17&gt;EU17,(EW17-EU17)*(ET17/SUMIF(EV:EV,"Yes",ET:ET)),0)</f>
        <v/>
      </c>
      <c r="EY17" s="1051">
        <f>MAX(0,ET17-EX17)</f>
        <v/>
      </c>
      <c r="EZ17" s="1051">
        <f>'Concentration Limits'!$J$52</f>
        <v/>
      </c>
      <c r="FA17" s="1051">
        <f>IF(CY17&gt;'Concentration Limits'!$E$52, "No", "Yes")</f>
        <v/>
      </c>
      <c r="FB17" s="1051">
        <f>IF(FA17="Yes",SUMIF(FA:FA,"Yes",EY:EY),0)</f>
        <v/>
      </c>
      <c r="FC17" s="1051">
        <f>IF(FB17&gt;EZ17,(FB17-EZ17)*(EY17/SUMIF(FA:FA,"Yes",EY:EY)),0)</f>
        <v/>
      </c>
      <c r="FD17" s="1051">
        <f>MAX(0,EY17-FC17)</f>
        <v/>
      </c>
      <c r="FE17" s="1052">
        <f>'Concentration Limits'!$J$54</f>
        <v/>
      </c>
      <c r="FF17" s="1052">
        <f>'Concentration Limits'!$J$55</f>
        <v/>
      </c>
      <c r="FG17" s="1052">
        <f>'Concentration Limits'!$J$56</f>
        <v/>
      </c>
      <c r="FH17" s="1053">
        <f>'Concentration Limits'!$J$57</f>
        <v/>
      </c>
      <c r="FI17" s="1053">
        <f>SUMIF($B:$B,$B17,$FD:$FD)</f>
        <v/>
      </c>
      <c r="FJ17" s="1053">
        <f>IF(MATCH($B17,$B:$B,0)=ROW(),$FI17,0)</f>
        <v/>
      </c>
      <c r="FK17" s="1053">
        <f>INDEX(FL$8:FL$60,MATCH(B17,B$8:B$60,0))</f>
        <v/>
      </c>
      <c r="FL17" s="1053">
        <f>IF(FJ17&gt;0,RANK(FJ17,$FJ$9:$FJ$60)+COUNTIF($FJ$9:FJ17,FJ17)-1,0)</f>
        <v/>
      </c>
      <c r="FM17" s="1052">
        <f>IF(FK17=1,IF(FI17&gt;FE17,(FI17-FE17)*(V17/SUMIF($B:$B,B17,$FD:$FD)),0),0)</f>
        <v/>
      </c>
      <c r="FN17" s="1052">
        <f>IF(FK17=2,IF(FI17&gt;FF17,(FI17-FF17)*(V17/SUMIF($B:$B,B17,$FD:$FD)),0),0)</f>
        <v/>
      </c>
      <c r="FO17" s="1052">
        <f>IF(FK17=3,IF(FI17&gt;FG17,(FI17-FG17)*(V17/SUMIF($B:$B,B17,$FD:$FD)),0),0)</f>
        <v/>
      </c>
      <c r="FP17" s="1053">
        <f>IF(FK17&gt;0,IF(FI17&gt;FH17,(FI17-FH17)*(FD17/(SUMIF($B:$B,$B17,$FD:$FD))),0),0)</f>
        <v/>
      </c>
      <c r="FQ17" s="1053">
        <f>MAX(0,FD17-FM17-FN17-FO17-FP17)</f>
        <v/>
      </c>
      <c r="FR17" s="1053">
        <f>'Concentration Limits'!$J$58</f>
        <v/>
      </c>
      <c r="FS17" s="1053">
        <f>SUMIF($BR:$BR,$BR17,FQ:FQ)</f>
        <v/>
      </c>
      <c r="FT17" s="1053">
        <f>VLOOKUP(BR17,'Concentration Limits'!$E$81:$H$153,4,FALSE)</f>
        <v/>
      </c>
      <c r="FU17" s="1053">
        <f>IF(FT17=1,MAX(0,(FS17-FR17)*(FQ17/SUMIF($BR:$BR,BR17,FQ:FQ))),0)</f>
        <v/>
      </c>
      <c r="FV17" s="1053">
        <f>MAX(0,FQ17-FU17)</f>
        <v/>
      </c>
      <c r="FW17" s="1053">
        <f>'Concentration Limits'!$J$59</f>
        <v/>
      </c>
      <c r="FX17" s="1053">
        <f>SUMIF($BR:$BR,$BR17,FV:FV)</f>
        <v/>
      </c>
      <c r="FY17" s="1053">
        <f>VLOOKUP(BR17,'Concentration Limits'!$E$81:$H$153,4,FALSE)</f>
        <v/>
      </c>
      <c r="FZ17" s="1053">
        <f>MAX(0,IF(FY17=2,(FX17-FW17)*(FV17/SUMIF($BR:$BR,BR17,FV:FV)),0))</f>
        <v/>
      </c>
      <c r="GA17" s="1053">
        <f>MAX(0,FV17-FZ17)</f>
        <v/>
      </c>
      <c r="GB17" s="1053">
        <f>'Concentration Limits'!$J$61</f>
        <v/>
      </c>
      <c r="GC17" s="1053">
        <f>SUMIF($BR:$BR,$BR17,GA:GA)</f>
        <v/>
      </c>
      <c r="GD17" s="1051">
        <f>VLOOKUP(BR17,'Concentration Limits'!$E$81:$H$153,4,FALSE)</f>
        <v/>
      </c>
      <c r="GE17" s="1053">
        <f>IF(GA17=0,0,MAX(0,IF(GD17&lt;3,0,(GC17-GB17)*($GA17/SUMIF($BR:$BR,BR17,GA:GA)))))</f>
        <v/>
      </c>
      <c r="GF17" s="1053">
        <f>MAX(0,GA17-GE17)</f>
        <v/>
      </c>
      <c r="GG17" s="1053">
        <f>'Concentration Limits'!$J$64</f>
        <v/>
      </c>
      <c r="GH17" s="1053">
        <f>IF(BY17="Yes",SUMIF(BY:BY,BY17,GF:GF),0)</f>
        <v/>
      </c>
      <c r="GI17" s="1053">
        <f>IFERROR(MAX(0,(GH17-GG17)*(GF17/SUMIF($T:$T,T17,GF:GF ))),0)</f>
        <v/>
      </c>
      <c r="GJ17" s="1053">
        <f>MAX(0,GF17-GI17)</f>
        <v/>
      </c>
      <c r="GK17" s="1053">
        <f>'Concentration Limits'!$J$67</f>
        <v/>
      </c>
      <c r="GL17" s="1051">
        <f>IF(OR(BV17="Yes",OR(ISNUMBER(SEARCH("Travel",BR17)),ISNUMBER(SEARCH("Energy",BR17)),ISNUMBER(SEARCH("Leisure",BR17)),ISNUMBER(SEARCH("hotel",BR17)))),"Yes","No")</f>
        <v/>
      </c>
      <c r="GM17" s="1053">
        <f>IF(GL17="Yes",SUMIF(GL:GL,"Yes",GJ:GJ),0)</f>
        <v/>
      </c>
      <c r="GN17" s="1053">
        <f>IF(GM17&gt;GK17,(GM17-GK17)*(GJ17/SUMIF(GL:GL,"Yes",GJ:GJ)),0)</f>
        <v/>
      </c>
      <c r="GO17" s="1053">
        <f>MAX(0,GJ17-GN17)</f>
        <v/>
      </c>
      <c r="GP17" s="1053">
        <f>'Concentration Limits'!$J$68</f>
        <v/>
      </c>
      <c r="GQ17" s="1051">
        <f>IF(BU17="Yes","Yes", "No")</f>
        <v/>
      </c>
      <c r="GR17" s="1053">
        <f>IF(GQ17="Yes",SUMIF(GQ:GQ,"Yes",GO:GO),0)</f>
        <v/>
      </c>
      <c r="GS17" s="1053">
        <f>IF(GR17&gt;GP17,(GR17-GP17)*(GO17/SUMIF(GQ:GQ,"Yes",GO:GO)),0)</f>
        <v/>
      </c>
      <c r="GT17" s="1053">
        <f>MAX(0,GO17-GS17)</f>
        <v/>
      </c>
      <c r="GU17" s="1051">
        <f>'Concentration Limits'!$J$69</f>
        <v/>
      </c>
      <c r="GV17" s="1051">
        <f>IF(BW17="Yes", "Yes", "No")</f>
        <v/>
      </c>
      <c r="GW17" s="1051">
        <f>IF(GV17="Yes",SUMIF(GV:GV,"Yes",GT:GT),0)</f>
        <v/>
      </c>
      <c r="GX17" s="1051">
        <f>IF(GW17&gt;GU17,(GW17-GU17)*(GT17/SUMIF(GV:GV,"Yes",GT:GT)),0)</f>
        <v/>
      </c>
      <c r="GY17" s="1051">
        <f>MAX(0,GT17-GX17)</f>
        <v/>
      </c>
      <c r="GZ17" s="1051">
        <f>'Concentration Limits'!$J$70</f>
        <v/>
      </c>
      <c r="HA17" s="1051">
        <f>IF(BX17="Yes", "Yes", "No")</f>
        <v/>
      </c>
      <c r="HB17" s="1051">
        <f>IF(HA17="Yes",SUMIF(HA:HA,"Yes",GY:GY),0)</f>
        <v/>
      </c>
      <c r="HC17" s="1051">
        <f>IF(HB17&gt;GZ17,(HB17-GZ17)*(GY17/SUMIF(HA:HA,"Yes",GY:GY)),0)</f>
        <v/>
      </c>
      <c r="HD17" s="1051">
        <f>MAX(0,GY17-HC17)</f>
        <v/>
      </c>
      <c r="HE17" s="1053">
        <f>IF(AQ17=0,0,HD17*AQ17/(AQ17+AR17))</f>
        <v/>
      </c>
      <c r="HF17" s="1053">
        <f>IF(AR17=0,0,HD17*AR17/(AQ17+AR17))</f>
        <v/>
      </c>
      <c r="HG17" s="1053">
        <f>IF(AW17=0,0,HD17*AW17/(AW17+AX17))</f>
        <v/>
      </c>
      <c r="HH17" s="1053">
        <f>IF(AX17=0,0,HD17*AX17/(AX17+AW17))</f>
        <v/>
      </c>
      <c r="HI17" s="1053">
        <f>IF(BE17=0,0,#REF!*BE17/(BE17+BG17))</f>
        <v/>
      </c>
      <c r="HJ17" s="1053">
        <f>IF(BG17=0,0,#REF!*BG17/(BG17+BE17))</f>
        <v/>
      </c>
      <c r="HK17" s="1054">
        <f>IF(BF17=0,0,#REF!*BF17/(BF17+BH17))</f>
        <v/>
      </c>
      <c r="HL17" s="1053">
        <f>IF(BH17=0,0,#REF!*BH17/(BH17+BF17))</f>
        <v/>
      </c>
      <c r="HM17" s="1053">
        <f>IF(D17="Second Lien",HD17,0)</f>
        <v/>
      </c>
      <c r="HN17" s="1053">
        <f>SUM(HE17:HM17)=HD17</f>
        <v/>
      </c>
    </row>
    <row r="18" ht="12.75" customFormat="1" customHeight="1" s="469">
      <c r="A18" s="55">
        <f>A17+1</f>
        <v/>
      </c>
      <c r="B18" s="437">
        <f>INDEX('Loan Tape - Settled'!$B$4:$AP$55,MATCH($A18,'Loan Tape - Settled'!$E$4:$E$55,0),MATCH("Obligor Name",'Loan Tape - Settled'!$B$4:$AM$4,0))</f>
        <v/>
      </c>
      <c r="C18" s="437">
        <f>INDEX('Loan Tape - Settled'!$B$4:$AP$55,MATCH($A18,'Loan Tape - Settled'!$E$4:$E$55,0),MATCH("Security",'Loan Tape - Settled'!$B$4:$AM$4,0))</f>
        <v/>
      </c>
      <c r="D18" s="438">
        <f>INDEX('Loan Tape - Settled'!$B$4:$AP$55,MATCH($A18,'Loan Tape - Settled'!$E$4:$E$55,0),MATCH("Loan Type",'Loan Tape - Settled'!$B$4:$AM$4,0))</f>
        <v/>
      </c>
      <c r="E18" s="439">
        <f>IF(ISERROR(MATCH(D18,AGENT!$A$4:$A$10,0))=FALSE, TRUE)</f>
        <v/>
      </c>
      <c r="F18" s="439">
        <f>IF(AND(BZ18="no",CA18="no"),TRUE)</f>
        <v/>
      </c>
      <c r="G18" s="439">
        <f>IF(D18&lt;&gt;"Second Lien",TRUE, IF(CY18&gt;=AGENT!$B$4,TRUE))</f>
        <v/>
      </c>
      <c r="H18" s="439">
        <f>IF(DE18&lt;=AGENT!$D$4,TRUE)</f>
        <v/>
      </c>
      <c r="I18" s="439">
        <f>IF(VLOOKUP(CONCATENATE($A$5,A18),'Loan Tape - Settled'!$A$5:$Q$55,17,FALSE)&gt;=AGENT!$E$4,TRUE)</f>
        <v/>
      </c>
      <c r="J18" s="439">
        <f>IF(INDEX('Loan Tape - Settled'!$B$4:$AP$55,MATCH($A18,'Loan Tape - Settled'!$E$4:$E$55,0),MATCH("Loan Denomination",'Loan Tape - Settled'!$B$4:$AP$4,0))="USD", TRUE)</f>
        <v/>
      </c>
      <c r="K18" s="439">
        <f>IF(INDEX('Loan Tape - Settled'!$B$4:$AP$55,MATCH($A18,'Loan Tape - Settled'!$E$4:$E$55,0),MATCH("Exposure Country",'Loan Tape - Settled'!$B$4:$AP$4,0))="United States", TRUE)</f>
        <v/>
      </c>
      <c r="L18" s="439">
        <f>IF(BS18="NO",TRUE)</f>
        <v/>
      </c>
      <c r="M18" s="439">
        <f>IF(((BM18-BL18)/365)&lt;=AGENT!$F$4,TRUE)</f>
        <v/>
      </c>
      <c r="N18" s="439">
        <f>IF(DX18="Yes",FALSE,TRUE)</f>
        <v/>
      </c>
      <c r="O18" s="493" t="n"/>
      <c r="P18" s="764">
        <f>IF($B18="","",IF(OR(O18=TRUE,COUNTIFS($E18:$N18,TRUE)=10),"Yes","No"))</f>
        <v/>
      </c>
      <c r="Q18" s="730" t="inlineStr">
        <is>
          <t>Yes</t>
        </is>
      </c>
      <c r="R18" s="440">
        <f>IF(P18="Yes",B18,"N/A")</f>
        <v/>
      </c>
      <c r="S18" s="440" t="n"/>
      <c r="T18" s="441">
        <f t="array" ref="T18">_xlfn.IFS(D18="Second Lien",D18,D18="First Lien",CONCATENATE(D18," ",EI18),D18="FILO",CONCATENATE(D18," ",EJ18))</f>
        <v/>
      </c>
      <c r="U18" s="442">
        <f>VLOOKUP(T18,'Concentration Limits'!D:G,4,FALSE)</f>
        <v/>
      </c>
      <c r="V18" s="1020">
        <f>AQ18+AW18+BI18</f>
        <v/>
      </c>
      <c r="W18" s="1021">
        <f>(SUMIFS('Loan Tape - Settled'!$AR$4:$AR$55,'Loan Tape - Settled'!$E$4:$E$55,$A18,'Loan Tape - Settled'!$C$4:$C$55,$A$5))</f>
        <v/>
      </c>
      <c r="X18" s="1022" t="n">
        <v>1</v>
      </c>
      <c r="Y18" s="1023">
        <f>W18*X18</f>
        <v/>
      </c>
      <c r="Z18" s="1022">
        <f>(SUMIFS('Loan Tape - Settled'!$AQ$4:$AQ$55,'Loan Tape - Settled'!$E$4:$E$55,$A18,'Loan Tape - Settled'!$C$4:$C$55,$A$5))</f>
        <v/>
      </c>
      <c r="AA18" s="1023">
        <f>Z18*X18</f>
        <v/>
      </c>
      <c r="AB18" s="1023">
        <f>AA18-Y18</f>
        <v/>
      </c>
      <c r="AC18" s="490">
        <f>VLOOKUP(CONCATENATE($A$5,A18),'Loan Tape - Settled'!$A$5:$Q$55,17,FALSE)</f>
        <v/>
      </c>
      <c r="AD18" s="445" t="n"/>
      <c r="AE18" s="446">
        <f>INDEX('Loan Tape - Settled'!$B$4:$AP$55,MATCH($A18,'Loan Tape - Settled'!$E$4:$E$55,0),MATCH("FMV",'Loan Tape - Settled'!$B$4:$AM$4,0))</f>
        <v/>
      </c>
      <c r="AF18" s="446">
        <f t="array" ref="AF18">_xlfn.IFS(D18="First Lien",
_xlfn.IFS(AND(DL18&gt;0,DL18&lt;Tier_1_1L),Tier_1_ApplicableValue,
AND(DL18&gt;=Tier_1_1L,DL18&lt;Tier_2_1L),((Tier_1_1L/DL18)*Tier_1_ApplicableValue)+((DL18-Tier_1_1L)/DL18*Tier_2_ApplicableValue),
AND(DL18&gt;=Tier_2_1L, DL18&lt;Tier_3_1L),((Tier_1_1L/DL18)*Tier_1_ApplicableValue+(Tier_2_1L-Tier_1_1L)/DL18*Tier_2_ApplicableValue+(DL18-Tier_2_1L)/DL18*Tier_3_ApplicableValue),
AND(DL18&gt;=Tier_3_1L, DL18&lt;=Tier_totalzerovalue),((Tier_1_1L/DL18)*Tier_1_ApplicableValue+(Tier_2_1L-Tier_1_1L)/DL18*Tier_2_ApplicableValue+(Tier_3_1L-Tier_2_1L)/DL18*Tier_3_ApplicableValue+(DL18-Tier_partialzerovalue)/DL18*0%),
DL18&gt;Tier_totalzerovalue,0%),
OR(D18="Second Lien", D18="FILO"),
_xlfn.IFS(AND(DM18&gt;0,DM18&lt;Tier_1_2L),Tier_1_ApplicableValue,
AND(DM18&gt;=Tier_1_2L,DM18&lt;Tier_2_2L),((Tier_1_2L/DM18)*Tier_1_ApplicableValue)+((DM18-Tier_1_2L)/DM18*Tier_2_ApplicableValue),
AND(DM18&gt;=Tier_2_2L, DM18&lt;Tier_3_2L),((Tier_1_2L/DM18)*Tier_1_ApplicableValue+(Tier_2_2L-Tier_1_2L)/DM18*Tier_2_ApplicableValue+(DM18-Tier_2_2L)/DM18*Tier_3_ApplicableValue),
AND(DM18&gt;=Tier_3_2L, DM18&lt;=Tier_totalzerovalue),((Tier_1_2L/DM18)*Tier_1_ApplicableValue+(Tier_2_2L-Tier_1_2L)/DM18*Tier_2_ApplicableValue+(Tier_3_2L-Tier_2_2L)/DM18*Tier_3_ApplicableValue+(DM18-Tier_partialzerovalue)/DM18*0%),
DM18&gt;Tier_totalzerovalue,0%))</f>
        <v/>
      </c>
      <c r="AG18" s="447">
        <f>IF(COUNTIFS(VAE!$C$5:$C$96,B18,VAE!$G$5:$G$96,"&lt;="&amp;Availability!$F$8)&gt;=1,"Yes","-")</f>
        <v/>
      </c>
      <c r="AH18" s="447">
        <f t="array" ref="AH18">IFERROR(IF(AG18="Yes",INDEX(VAE!$D$5:$D$96,MATCH(B18&amp;AJ18,VAE!$C$5:$C$96&amp;VAE!$G$5:$G$96,0)),"-"),0)</f>
        <v/>
      </c>
      <c r="AI18" s="447">
        <f t="array" ref="AI18">IFERROR(IF(AG18="Yes",INDEX(VAE!$F$5:$F$96,MATCH(B18&amp;AJ18,VAE!$C$5:$C$96&amp;VAE!$G$5:$G$96,0)),"-"),0)</f>
        <v/>
      </c>
      <c r="AJ18" s="448">
        <f>IF(AG18="-","-",_xlfn.MAXIFS(VAE!$G$5:$G$96,VAE!$C$5:$C$96,$B18))</f>
        <v/>
      </c>
      <c r="AK18" s="449">
        <f t="array" ref="AK18">IFERROR(IF(AG18="Yes",INDEX(VAE!$P$5:$P$96,MATCH(B18&amp;AJ18,VAE!$C$5:$C$96&amp;VAE!$G$5:$G$96,0)),"-"),0)</f>
        <v/>
      </c>
      <c r="AL18" s="446">
        <f>IF($A18="","",IF(P18="No",0,(IF(AG18="Yes",MIN(AE18,AK18,AF18),MIN(AE18,AF18)))))</f>
        <v/>
      </c>
      <c r="AM18" s="1020" t="n"/>
      <c r="AN18" s="1020" t="n"/>
      <c r="AO18" s="1020">
        <f>IF(AND(D18="First Lien",P18="No"),0,IF(D18&lt;&gt;"First Lien",0,Y18))</f>
        <v/>
      </c>
      <c r="AP18" s="1020">
        <f>IF(AND(D18="First Lien",P18="No"),W18,0)</f>
        <v/>
      </c>
      <c r="AQ18" s="1020">
        <f>AL18*AO18</f>
        <v/>
      </c>
      <c r="AR18" s="1020" t="n"/>
      <c r="AS18" s="1020" t="n"/>
      <c r="AT18" s="1020" t="n"/>
      <c r="AU18" s="1020">
        <f>IF(AND(D18="FILO",P18="No"),0,IF(D18&lt;&gt;"FILO",0,Y18))</f>
        <v/>
      </c>
      <c r="AV18" s="1020">
        <f>IF(AND(D18="FILO",P18="No"),W18,0)</f>
        <v/>
      </c>
      <c r="AW18" s="1020">
        <f>AU18*AL18</f>
        <v/>
      </c>
      <c r="AX18" s="1020" t="n"/>
      <c r="AY18" s="1020" t="n"/>
      <c r="AZ18" s="1020" t="n"/>
      <c r="BA18" s="1020">
        <f>IF(AND(OR(D18="First Lien",D18="FILO"),P18="No"),0,IF(OR(D18="First Lien",D18="FILO"),0,(Y18)))</f>
        <v/>
      </c>
      <c r="BB18" s="1020" t="n"/>
      <c r="BC18" s="1020" t="n"/>
      <c r="BD18" s="1020">
        <f>IF(AND(D18="Second Lien",P18="No"),W18,0)</f>
        <v/>
      </c>
      <c r="BE18" s="1020" t="n"/>
      <c r="BF18" s="1020" t="n"/>
      <c r="BG18" s="1020" t="n"/>
      <c r="BH18" s="1020" t="n"/>
      <c r="BI18" s="1020">
        <f>IF(D18="Second Lien",BA18*AL18,0)</f>
        <v/>
      </c>
      <c r="BJ18" s="1020">
        <f>SUM(AM18:AP18)+SUM(AZ18:BD18)+SUM(AS18:AV18)=Y18</f>
        <v/>
      </c>
      <c r="BK18" s="1026">
        <f>INDEX('Loan Tape - Settled'!$B$4:$AP$55,MATCH($A18,'Loan Tape - Settled'!$E$4:$E$55,0),MATCH("Inception Date",'Loan Tape - Settled'!$B$4:$AP$4,0))</f>
        <v/>
      </c>
      <c r="BL18" s="1026">
        <f>INDEX('Loan Tape - Settled'!$B$4:$AP$55,MATCH($A18,'Loan Tape - Settled'!$E$4:$E$55,0),MATCH("Inclusion Date",'Loan Tape - Settled'!$B$4:$AP$4,0))</f>
        <v/>
      </c>
      <c r="BM18" s="1026">
        <f>INDEX('Loan Tape - Settled'!$B$4:$AP$55,MATCH($A18,'Loan Tape - Settled'!$E$4:$E$55,0),MATCH("Maturity Date",'Loan Tape - Settled'!$B$4:$AP$4,0))</f>
        <v/>
      </c>
      <c r="BN18" s="556" t="n"/>
      <c r="BO18" s="556" t="n"/>
      <c r="BP18" s="1055" t="n"/>
      <c r="BQ18" s="556" t="n"/>
      <c r="BR18" s="554">
        <f>INDEX('Loan Tape - Settled'!$B$4:$AP$55,MATCH($A18,'Loan Tape - Settled'!$E$4:$E$55,0),MATCH("Industry Classification",'Loan Tape - Settled'!$B$4:$AP$4,0))</f>
        <v/>
      </c>
      <c r="BS18" s="556">
        <f>IF(INDEX('Loan Tape - Settled'!$B$4:$AP$55,MATCH($A18,'Loan Tape - Settled'!$E$4:$E$55,0),MATCH("Covenant Lite",'Loan Tape - Settled'!$B$4:$AP$4,0))=-1, "Yes", "No")</f>
        <v/>
      </c>
      <c r="BT18" s="1056">
        <f>INDEX('Loan Tape - Settled'!$B$4:$AP$55,MATCH($A18,'Loan Tape - Settled'!$E$4:$E$55,0),MATCH("Spread / Coupon (%)",'Loan Tape - Settled'!$B$4:$AP$4,0))</f>
        <v/>
      </c>
      <c r="BU18" s="556">
        <f>IF(INDEX('Loan Tape - Settled'!$B$4:$AP$55,MATCH($A18,'Loan Tape - Settled'!$E$4:$E$55,0),MATCH("Security Type",'Loan Tape - Settled'!$B$4:$AP$4,0))="Delayed Draw Term Loan", "Yes", "No")</f>
        <v/>
      </c>
      <c r="BV18" s="557" t="inlineStr">
        <is>
          <t>No</t>
        </is>
      </c>
      <c r="BW18" s="557" t="inlineStr">
        <is>
          <t>No</t>
        </is>
      </c>
      <c r="BX18" s="548" t="inlineStr">
        <is>
          <t>No</t>
        </is>
      </c>
      <c r="BY18" s="556">
        <f>IF(INDEX('Loan Tape - Settled'!$B$4:$AP$55,MATCH($A18,'Loan Tape - Settled'!$E$4:$E$55,0),MATCH("Fixed/Floating",'Loan Tape - Settled'!$B$4:$AP$4,0))="Fixed", "Yes", "No")</f>
        <v/>
      </c>
      <c r="BZ18" s="557" t="inlineStr">
        <is>
          <t>No</t>
        </is>
      </c>
      <c r="CA18" s="557" t="inlineStr">
        <is>
          <t>No</t>
        </is>
      </c>
      <c r="CB18" s="556">
        <f>IF(INDEX('Loan Tape - Settled'!$B$4:$AP$55,MATCH($A18,'Loan Tape - Settled'!$E$4:$E$55,0),MATCH("Loan Denomination",'Loan Tape - Settled'!$B$4:$AP$4,0))="CAD", "Yes", "No")</f>
        <v/>
      </c>
      <c r="CC18" s="556">
        <f>INDEX('Loan Tape - Settled'!$B$4:$AP$55,MATCH($A18,'Loan Tape - Settled'!$E$4:$E$55,0),MATCH("Payment Frequency",'Loan Tape - Settled'!$B$4:$AP$4,0))</f>
        <v/>
      </c>
      <c r="CD18" s="557" t="inlineStr">
        <is>
          <t>No</t>
        </is>
      </c>
      <c r="CE18" s="556">
        <f>INDEX('Loan Tape - Settled'!$B$4:$AP$55,MATCH($A18,'Loan Tape - Settled'!$E$4:$E$55,0),MATCH("S&amp;P Loan Rating (if applicable)",'Loan Tape - Settled'!$B$4:$AP$4,0))</f>
        <v/>
      </c>
      <c r="CF18" s="556">
        <f>INDEX('Loan Tape - Settled'!$B$4:$AP$55,MATCH($A18,'Loan Tape - Settled'!$E$4:$E$55,0),MATCH("Moody's Loan Rating (if applicable)",'Loan Tape - Settled'!$B$4:$AP$4,0))</f>
        <v/>
      </c>
      <c r="CG18" s="556" t="n"/>
      <c r="CH18" s="556" t="n"/>
      <c r="CI18" s="1057" t="n"/>
      <c r="CJ18" s="1030">
        <f>INDEX('Loan Tape - Settled'!$B$4:$BF$55,MATCH($A18,'Loan Tape - Settled'!$E$4:$E$55,0),MATCH("Last Financial Received",'Loan Tape - Settled'!$B$4:$BF$4,0))</f>
        <v/>
      </c>
      <c r="CK18" s="559">
        <f>INDEX('Loan Tape - Settled'!$B$4:$BJ$55,MATCH($A18,'Loan Tape - Settled'!$E$4:$E$55,0),MATCH("Initial Adjusted TTM EBITDA",'Loan Tape - Settled'!$B$4:$BJ$4,0))</f>
        <v/>
      </c>
      <c r="CL18" s="559">
        <f>INDEX('Loan Tape - Settled'!$B$4:$BJ$55,MATCH($A18,'Loan Tape - Settled'!$E$4:$E$55,0),MATCH("Initial TTM Non-adjusted EBITDA",'Loan Tape - Settled'!$B$4:$BJ$4,0))</f>
        <v/>
      </c>
      <c r="CM18" s="1031" t="n"/>
      <c r="CN18" s="451" t="n"/>
      <c r="CO18" s="451" t="n"/>
      <c r="CP18" s="1032" t="n"/>
      <c r="CQ18" s="1033" t="inlineStr">
        <is>
          <t>N</t>
        </is>
      </c>
      <c r="CR18" s="1032" t="n"/>
      <c r="CS18" s="454">
        <f>CK18-CP18+CR18</f>
        <v/>
      </c>
      <c r="CT18" s="455">
        <f>1-CS18/CK18</f>
        <v/>
      </c>
      <c r="CU18" s="559">
        <f>INDEX('Loan Tape - Settled'!$B$4:$BJ$55,MATCH($A18,'Loan Tape - Settled'!$E$4:$E$55,0),MATCH("Current TTM Non-adjusted EBITDA",'Loan Tape - Settled'!$B$4:$BJ$4,0))</f>
        <v/>
      </c>
      <c r="CV18" s="456">
        <f>CT18</f>
        <v/>
      </c>
      <c r="CW18" s="1034" t="inlineStr">
        <is>
          <t>N</t>
        </is>
      </c>
      <c r="CX18" s="1035" t="n"/>
      <c r="CY18" s="1036">
        <f>IF(CW18="N",(1-CV18)*CU18,(1-CX18)*CU18)</f>
        <v/>
      </c>
      <c r="CZ18" s="1037" t="n"/>
      <c r="DA18" s="1038" t="n"/>
      <c r="DB18" s="1039" t="n"/>
      <c r="DC18" s="1040" t="n"/>
      <c r="DD18" s="1040">
        <f>INDEX('Loan Tape - Settled'!$B$4:$BJ$55,MATCH($A18,'Loan Tape - Settled'!$E$4:$E$55,0),MATCH("Initial Senior Net Leverage Senior",'Loan Tape - Settled'!$B$4:$BJ$4,0))</f>
        <v/>
      </c>
      <c r="DE18" s="1041">
        <f>INDEX('Loan Tape - Settled'!$B$4:$BJ$55,MATCH($A18,'Loan Tape - Settled'!$E$4:$E$55,0),MATCH("Initial Total Net Leverage",'Loan Tape - Settled'!$B$4:$BJ$4,0))</f>
        <v/>
      </c>
      <c r="DF18" s="1037" t="n"/>
      <c r="DG18" s="1038" t="n"/>
      <c r="DH18" s="1039" t="n"/>
      <c r="DI18" s="1042">
        <f>INDEX('Loan Tape - Settled'!$B$4:$BJ$55,MATCH($A18,'Loan Tape - Settled'!$E$4:$E$55,0),MATCH("Net Attachment",'Loan Tape - Settled'!$B$4:$BJ$4,0))</f>
        <v/>
      </c>
      <c r="DJ18" s="566">
        <f t="array" ref="DJ18">IF(AG18="Yes",INDEX(VAE!$M$5:$M$53,MATCH($B18&amp;$AJ18,VAE!$C$5:$C$53&amp;VAE!$G$5:$G$53,0)),DD18)</f>
        <v/>
      </c>
      <c r="DK18" s="697">
        <f t="array" ref="DK18">IF(AG18="Yes",INDEX(VAE!$N$5:$N$53,MATCH($B18&amp;$AJ18,VAE!$C$5:$C$53&amp;VAE!$G$5:$G$53,0)),DE18)</f>
        <v/>
      </c>
      <c r="DL18" s="1058">
        <f>INDEX('Loan Tape - Settled'!$B$4:$BJ$55,MATCH($A18,'Loan Tape - Settled'!$E$4:$E$55,0),MATCH("Current Senior Net Leverage Senior",'Loan Tape - Settled'!$B$4:$BJ$4,0))</f>
        <v/>
      </c>
      <c r="DM18" s="1059">
        <f>INDEX('Loan Tape - Settled'!$B$4:$BJ$55,MATCH($A18,'Loan Tape - Settled'!$E$4:$E$55,0),MATCH("Current Total Net Leverage",'Loan Tape - Settled'!$B$4:$BJ$4,0))</f>
        <v/>
      </c>
      <c r="DN18" s="1044" t="n"/>
      <c r="DO18" s="1045">
        <f>INDEX('Loan Tape - Settled'!$B$4:$BJ$55,MATCH($A18,'Loan Tape - Settled'!$E$4:$E$55,0),MATCH("Initial Interest Coverage",'Loan Tape - Settled'!$B$4:$BJ$4,0))</f>
        <v/>
      </c>
      <c r="DP18" s="565">
        <f t="array" ref="DP18">IF(AG18="Yes",INDEX(VAE!$O$5:$O$53,MATCH($B18&amp;$AJ18,VAE!$C$5:$C$53&amp;VAE!$G$5:$G$53,0)),DO18)</f>
        <v/>
      </c>
      <c r="DQ18" s="1046">
        <f>INDEX('Loan Tape - Settled'!$B$4:$BJ$55,MATCH($A18,'Loan Tape - Settled'!$E$4:$E$55,0),MATCH("Current Interest Coverage",'Loan Tape - Settled'!$B$4:$BJ$4,0))</f>
        <v/>
      </c>
      <c r="DR18" s="462">
        <f>IF(OR(DU18="Yes",DU18="N/A",DV18="Yes",DV18="N/A",DW18="Yes",DX18="Yes",DY18="Yes",EF18="Yes",EG18="Yes",EH18="Yes"),"Yes","No")</f>
        <v/>
      </c>
      <c r="DS18" s="1047">
        <f>IF(AG18="Yes",DATEDIF(AJ18,Availability!$F$8,"m"),"")</f>
        <v/>
      </c>
      <c r="DT18" s="1047">
        <f>IF(DS18="","No",IF(DS18&gt;12,"Yes","No"))</f>
        <v/>
      </c>
      <c r="DU18" s="695">
        <f>IFERROR(IF(AND(DQ18/DP18&lt;0.75,DQ18&lt;1.5),"Yes","No"),"N/A")</f>
        <v/>
      </c>
      <c r="DV18" s="696">
        <f>IFERROR(IF(OR(D18="First Lien",D18="FILO"),IF(AND((DL18-DJ18)&gt;0.75,DL18&gt;4),"Yes","No"),"No"),"N/A")</f>
        <v/>
      </c>
      <c r="DW18" s="696">
        <f t="array" ref="DW18">_xlfn.IFS(D18&lt;&gt;"Second Lien","No",D18="Second Lien",IF(AND((DM18-DK18)&gt;0.5,DM18&gt;4.5),"Yes","No"))</f>
        <v/>
      </c>
      <c r="DX18" s="735" t="inlineStr">
        <is>
          <t>No</t>
        </is>
      </c>
      <c r="DY18" s="735" t="inlineStr">
        <is>
          <t>No</t>
        </is>
      </c>
      <c r="DZ18" s="1048" t="inlineStr">
        <is>
          <t>No</t>
        </is>
      </c>
      <c r="EA18" s="1048" t="inlineStr">
        <is>
          <t>No</t>
        </is>
      </c>
      <c r="EB18" s="1048" t="inlineStr">
        <is>
          <t>No</t>
        </is>
      </c>
      <c r="EC18" s="1048" t="inlineStr">
        <is>
          <t>No</t>
        </is>
      </c>
      <c r="ED18" s="1048" t="inlineStr">
        <is>
          <t>No</t>
        </is>
      </c>
      <c r="EE18" s="1048" t="inlineStr">
        <is>
          <t>No</t>
        </is>
      </c>
      <c r="EF18" s="442">
        <f>IF(OR(DZ18="Yes",EA18="Yes",EB18="Yes",EC18="Yes",ED18="Yes",EE18="Yes"),"Yes","No")</f>
        <v/>
      </c>
      <c r="EG18" s="1048" t="inlineStr">
        <is>
          <t>No</t>
        </is>
      </c>
      <c r="EH18" s="1049" t="inlineStr">
        <is>
          <t>No</t>
        </is>
      </c>
      <c r="EI18" s="1050">
        <f t="array" ref="EI18">IF(D18="First Lien",_xlfn.IFS(CY18&gt;AGENT!$B$23, "&gt; $20MM",CY18&lt;=AGENT!$C$25, "&lt;= $10MM",AND(CY18&lt;=AGENT!$C$24,CY18&gt;AGENT!$B$24),"&lt;= $20MM"), "N/A")</f>
        <v/>
      </c>
      <c r="EJ18" s="1050">
        <f t="array" ref="EJ18">IF(D18="FILO",_xlfn.IFS(DI18&gt;AGENT!$B$29, "&gt; 1.25x",DI18&lt;AGENT!$C$27, "&lt; 0.75x",AND(DI18&lt;=AGENT!$C$28,DI18&gt;=AGENT!$B$28),"&lt;= 1.25x"), "N/A")</f>
        <v/>
      </c>
      <c r="EK18" s="1051">
        <f>V18</f>
        <v/>
      </c>
      <c r="EL18" s="1051">
        <f>'Concentration Limits'!$J$49</f>
        <v/>
      </c>
      <c r="EM18" s="1051">
        <f>IF(OR(D18="Second Lien",AND(D18="FILO",DI18&gt;AGENT!$C$57)), "Yes", "No")</f>
        <v/>
      </c>
      <c r="EN18" s="1051">
        <f>IF(EM18="Yes",SUMIF(EM:EM,"Yes",EK:EK),0)</f>
        <v/>
      </c>
      <c r="EO18" s="1051">
        <f>IF(EN18&gt;EL18,(EN18-EL18)*(EK18/SUMIF(EM:EM,"Yes",EK:EK)),0)</f>
        <v/>
      </c>
      <c r="EP18" s="1051">
        <f>MAX(0,EK18-EO18)</f>
        <v/>
      </c>
      <c r="EQ18" s="1051">
        <f>'Concentration Limits'!$J$50</f>
        <v/>
      </c>
      <c r="ER18" s="1051">
        <f>IF(D18="Second Lien",SUMIF(D:D,D18,EP:EP),0)</f>
        <v/>
      </c>
      <c r="ES18" s="1051">
        <f>MAX(0,(ER18-EQ18)*IFERROR((EP18/SUMIF($D:$D,D18,EP:EP )),0) )</f>
        <v/>
      </c>
      <c r="ET18" s="1051">
        <f>MAX(0,EP18-ES18)</f>
        <v/>
      </c>
      <c r="EU18" s="1051">
        <f>'Concentration Limits'!$J$51</f>
        <v/>
      </c>
      <c r="EV18" s="1051">
        <f>IF(OR(D18="Second Lien", AND(D18="FILO",DI18&gt;AGENT!$C$59)), "Yes", "No")</f>
        <v/>
      </c>
      <c r="EW18" s="1051">
        <f>IF(EV18="Yes",SUMIF(EV:EV,"Yes",ET:ET),0)</f>
        <v/>
      </c>
      <c r="EX18" s="1051">
        <f>IF(EW18&gt;EU18,(EW18-EU18)*(ET18/SUMIF(EV:EV,"Yes",ET:ET)),0)</f>
        <v/>
      </c>
      <c r="EY18" s="1051">
        <f>MAX(0,ET18-EX18)</f>
        <v/>
      </c>
      <c r="EZ18" s="1051">
        <f>'Concentration Limits'!$J$52</f>
        <v/>
      </c>
      <c r="FA18" s="1051">
        <f>IF(CY18&gt;'Concentration Limits'!$E$52, "No", "Yes")</f>
        <v/>
      </c>
      <c r="FB18" s="1051">
        <f>IF(FA18="Yes",SUMIF(FA:FA,"Yes",EY:EY),0)</f>
        <v/>
      </c>
      <c r="FC18" s="1051">
        <f>IF(FB18&gt;EZ18,(FB18-EZ18)*(EY18/SUMIF(FA:FA,"Yes",EY:EY)),0)</f>
        <v/>
      </c>
      <c r="FD18" s="1051">
        <f>MAX(0,EY18-FC18)</f>
        <v/>
      </c>
      <c r="FE18" s="1052">
        <f>'Concentration Limits'!$J$54</f>
        <v/>
      </c>
      <c r="FF18" s="1052">
        <f>'Concentration Limits'!$J$55</f>
        <v/>
      </c>
      <c r="FG18" s="1052">
        <f>'Concentration Limits'!$J$56</f>
        <v/>
      </c>
      <c r="FH18" s="1053">
        <f>'Concentration Limits'!$J$57</f>
        <v/>
      </c>
      <c r="FI18" s="1053">
        <f>SUMIF($B:$B,$B18,$FD:$FD)</f>
        <v/>
      </c>
      <c r="FJ18" s="1053">
        <f>IF(MATCH($B18,$B:$B,0)=ROW(),$FI18,0)</f>
        <v/>
      </c>
      <c r="FK18" s="1053">
        <f>INDEX(FL$8:FL$60,MATCH(B18,B$8:B$60,0))</f>
        <v/>
      </c>
      <c r="FL18" s="1053">
        <f>IF(FJ18&gt;0,RANK(FJ18,$FJ$9:$FJ$60)+COUNTIF($FJ$9:FJ18,FJ18)-1,0)</f>
        <v/>
      </c>
      <c r="FM18" s="1052">
        <f>IF(FK18=1,IF(FI18&gt;FE18,(FI18-FE18)*(V18/SUMIF($B:$B,B18,$FD:$FD)),0),0)</f>
        <v/>
      </c>
      <c r="FN18" s="1052">
        <f>IF(FK18=2,IF(FI18&gt;FF18,(FI18-FF18)*(V18/SUMIF($B:$B,B18,$FD:$FD)),0),0)</f>
        <v/>
      </c>
      <c r="FO18" s="1052">
        <f>IF(FK18=3,IF(FI18&gt;FG18,(FI18-FG18)*(V18/SUMIF($B:$B,B18,$FD:$FD)),0),0)</f>
        <v/>
      </c>
      <c r="FP18" s="1053">
        <f>IF(FK18&gt;0,IF(FI18&gt;FH18,(FI18-FH18)*(FD18/(SUMIF($B:$B,$B18,$FD:$FD))),0),0)</f>
        <v/>
      </c>
      <c r="FQ18" s="1053">
        <f>MAX(0,FD18-FM18-FN18-FO18-FP18)</f>
        <v/>
      </c>
      <c r="FR18" s="1053">
        <f>'Concentration Limits'!$J$58</f>
        <v/>
      </c>
      <c r="FS18" s="1053">
        <f>SUMIF($BR:$BR,$BR18,FQ:FQ)</f>
        <v/>
      </c>
      <c r="FT18" s="1053">
        <f>VLOOKUP(BR18,'Concentration Limits'!$E$81:$H$153,4,FALSE)</f>
        <v/>
      </c>
      <c r="FU18" s="1053">
        <f>IF(FT18=1,MAX(0,(FS18-FR18)*(FQ18/SUMIF($BR:$BR,BR18,FQ:FQ))),0)</f>
        <v/>
      </c>
      <c r="FV18" s="1053">
        <f>MAX(0,FQ18-FU18)</f>
        <v/>
      </c>
      <c r="FW18" s="1053">
        <f>'Concentration Limits'!$J$59</f>
        <v/>
      </c>
      <c r="FX18" s="1053">
        <f>SUMIF($BR:$BR,$BR18,FV:FV)</f>
        <v/>
      </c>
      <c r="FY18" s="1053">
        <f>VLOOKUP(BR18,'Concentration Limits'!$E$81:$H$153,4,FALSE)</f>
        <v/>
      </c>
      <c r="FZ18" s="1053">
        <f>MAX(0,IF(FY18=2,(FX18-FW18)*(FV18/SUMIF($BR:$BR,BR18,FV:FV)),0))</f>
        <v/>
      </c>
      <c r="GA18" s="1053">
        <f>MAX(0,FV18-FZ18)</f>
        <v/>
      </c>
      <c r="GB18" s="1053">
        <f>'Concentration Limits'!$J$61</f>
        <v/>
      </c>
      <c r="GC18" s="1053">
        <f>SUMIF($BR:$BR,$BR18,GA:GA)</f>
        <v/>
      </c>
      <c r="GD18" s="1051">
        <f>VLOOKUP(BR18,'Concentration Limits'!$E$81:$H$153,4,FALSE)</f>
        <v/>
      </c>
      <c r="GE18" s="1053">
        <f>IF(GA18=0,0,MAX(0,IF(GD18&lt;3,0,(GC18-GB18)*($GA18/SUMIF($BR:$BR,BR18,GA:GA)))))</f>
        <v/>
      </c>
      <c r="GF18" s="1053">
        <f>MAX(0,GA18-GE18)</f>
        <v/>
      </c>
      <c r="GG18" s="1053">
        <f>'Concentration Limits'!$J$64</f>
        <v/>
      </c>
      <c r="GH18" s="1053">
        <f>IF(BY18="Yes",SUMIF(BY:BY,BY18,GF:GF),0)</f>
        <v/>
      </c>
      <c r="GI18" s="1053">
        <f>IFERROR(MAX(0,(GH18-GG18)*(GF18/SUMIF($T:$T,T18,GF:GF ))),0)</f>
        <v/>
      </c>
      <c r="GJ18" s="1053">
        <f>MAX(0,GF18-GI18)</f>
        <v/>
      </c>
      <c r="GK18" s="1053">
        <f>'Concentration Limits'!$J$67</f>
        <v/>
      </c>
      <c r="GL18" s="1051">
        <f>IF(OR(BV18="Yes",OR(ISNUMBER(SEARCH("Travel",BR18)),ISNUMBER(SEARCH("Energy",BR18)),ISNUMBER(SEARCH("Leisure",BR18)),ISNUMBER(SEARCH("hotel",BR18)))),"Yes","No")</f>
        <v/>
      </c>
      <c r="GM18" s="1053">
        <f>IF(GL18="Yes",SUMIF(GL:GL,"Yes",GJ:GJ),0)</f>
        <v/>
      </c>
      <c r="GN18" s="1053">
        <f>IF(GM18&gt;GK18,(GM18-GK18)*(GJ18/SUMIF(GL:GL,"Yes",GJ:GJ)),0)</f>
        <v/>
      </c>
      <c r="GO18" s="1053">
        <f>MAX(0,GJ18-GN18)</f>
        <v/>
      </c>
      <c r="GP18" s="1053">
        <f>'Concentration Limits'!$J$68</f>
        <v/>
      </c>
      <c r="GQ18" s="1051">
        <f>IF(BU18="Yes","Yes", "No")</f>
        <v/>
      </c>
      <c r="GR18" s="1053">
        <f>IF(GQ18="Yes",SUMIF(GQ:GQ,"Yes",GO:GO),0)</f>
        <v/>
      </c>
      <c r="GS18" s="1053">
        <f>IF(GR18&gt;GP18,(GR18-GP18)*(GO18/SUMIF(GQ:GQ,"Yes",GO:GO)),0)</f>
        <v/>
      </c>
      <c r="GT18" s="1053">
        <f>MAX(0,GO18-GS18)</f>
        <v/>
      </c>
      <c r="GU18" s="1051">
        <f>'Concentration Limits'!$J$69</f>
        <v/>
      </c>
      <c r="GV18" s="1051">
        <f>IF(BW18="Yes", "Yes", "No")</f>
        <v/>
      </c>
      <c r="GW18" s="1051">
        <f>IF(GV18="Yes",SUMIF(GV:GV,"Yes",GT:GT),0)</f>
        <v/>
      </c>
      <c r="GX18" s="1051">
        <f>IF(GW18&gt;GU18,(GW18-GU18)*(GT18/SUMIF(GV:GV,"Yes",GT:GT)),0)</f>
        <v/>
      </c>
      <c r="GY18" s="1051">
        <f>MAX(0,GT18-GX18)</f>
        <v/>
      </c>
      <c r="GZ18" s="1051">
        <f>'Concentration Limits'!$J$70</f>
        <v/>
      </c>
      <c r="HA18" s="1051">
        <f>IF(BX18="Yes", "Yes", "No")</f>
        <v/>
      </c>
      <c r="HB18" s="1051">
        <f>IF(HA18="Yes",SUMIF(HA:HA,"Yes",GY:GY),0)</f>
        <v/>
      </c>
      <c r="HC18" s="1051">
        <f>IF(HB18&gt;GZ18,(HB18-GZ18)*(GY18/SUMIF(HA:HA,"Yes",GY:GY)),0)</f>
        <v/>
      </c>
      <c r="HD18" s="1051">
        <f>MAX(0,GY18-HC18)</f>
        <v/>
      </c>
      <c r="HE18" s="1053">
        <f>IF(AQ18=0,0,HD18*AQ18/(AQ18+AR18))</f>
        <v/>
      </c>
      <c r="HF18" s="1053">
        <f>IF(AR18=0,0,HD18*AR18/(AQ18+AR18))</f>
        <v/>
      </c>
      <c r="HG18" s="1053">
        <f>IF(AW18=0,0,HD18*AW18/(AW18+AX18))</f>
        <v/>
      </c>
      <c r="HH18" s="1053">
        <f>IF(AX18=0,0,HD18*AX18/(AX18+AW18))</f>
        <v/>
      </c>
      <c r="HI18" s="1053">
        <f>IF(BE18=0,0,#REF!*BE18/(BE18+BG18))</f>
        <v/>
      </c>
      <c r="HJ18" s="1053">
        <f>IF(BG18=0,0,#REF!*BG18/(BG18+BE18))</f>
        <v/>
      </c>
      <c r="HK18" s="1054">
        <f>IF(BF18=0,0,#REF!*BF18/(BF18+BH18))</f>
        <v/>
      </c>
      <c r="HL18" s="1053">
        <f>IF(BH18=0,0,#REF!*BH18/(BH18+BF18))</f>
        <v/>
      </c>
      <c r="HM18" s="1053">
        <f>IF(D18="Second Lien",HD18,0)</f>
        <v/>
      </c>
      <c r="HN18" s="1053">
        <f>SUM(HE18:HM18)=HD18</f>
        <v/>
      </c>
    </row>
    <row r="19" ht="13.5" customFormat="1" customHeight="1" s="469">
      <c r="A19" s="55">
        <f>A18+1</f>
        <v/>
      </c>
      <c r="B19" s="437">
        <f>INDEX('Loan Tape - Settled'!$B$4:$AP$55,MATCH($A19,'Loan Tape - Settled'!$E$4:$E$55,0),MATCH("Obligor Name",'Loan Tape - Settled'!$B$4:$AM$4,0))</f>
        <v/>
      </c>
      <c r="C19" s="437">
        <f>INDEX('Loan Tape - Settled'!$B$4:$AP$55,MATCH($A19,'Loan Tape - Settled'!$E$4:$E$55,0),MATCH("Security",'Loan Tape - Settled'!$B$4:$AM$4,0))</f>
        <v/>
      </c>
      <c r="D19" s="438">
        <f>INDEX('Loan Tape - Settled'!$B$4:$AP$55,MATCH($A19,'Loan Tape - Settled'!$E$4:$E$55,0),MATCH("Loan Type",'Loan Tape - Settled'!$B$4:$AM$4,0))</f>
        <v/>
      </c>
      <c r="E19" s="439">
        <f>IF(ISERROR(MATCH(D19,AGENT!$A$4:$A$10,0))=FALSE, TRUE)</f>
        <v/>
      </c>
      <c r="F19" s="439">
        <f>IF(AND(BZ19="no",CA19="no"),TRUE)</f>
        <v/>
      </c>
      <c r="G19" s="439">
        <f>IF(D19&lt;&gt;"Second Lien",TRUE, IF(CY19&gt;=AGENT!$B$4,TRUE))</f>
        <v/>
      </c>
      <c r="H19" s="439">
        <f>IF(DE19&lt;=AGENT!$D$4,TRUE)</f>
        <v/>
      </c>
      <c r="I19" s="439">
        <f>IF(VLOOKUP(CONCATENATE($A$5,A19),'Loan Tape - Settled'!$A$5:$Q$55,17,FALSE)&gt;=AGENT!$E$4,TRUE)</f>
        <v/>
      </c>
      <c r="J19" s="439">
        <f>IF(INDEX('Loan Tape - Settled'!$B$4:$AP$55,MATCH($A19,'Loan Tape - Settled'!$E$4:$E$55,0),MATCH("Loan Denomination",'Loan Tape - Settled'!$B$4:$AP$4,0))="USD", TRUE)</f>
        <v/>
      </c>
      <c r="K19" s="439">
        <f>IF(INDEX('Loan Tape - Settled'!$B$4:$AP$55,MATCH($A19,'Loan Tape - Settled'!$E$4:$E$55,0),MATCH("Exposure Country",'Loan Tape - Settled'!$B$4:$AP$4,0))="United States", TRUE)</f>
        <v/>
      </c>
      <c r="L19" s="439">
        <f>IF(BS19="NO",TRUE)</f>
        <v/>
      </c>
      <c r="M19" s="439">
        <f>IF(((BM19-BL19)/365)&lt;=AGENT!$F$4,TRUE)</f>
        <v/>
      </c>
      <c r="N19" s="439">
        <f>IF(DX19="Yes",FALSE,TRUE)</f>
        <v/>
      </c>
      <c r="O19" s="493" t="n"/>
      <c r="P19" s="764">
        <f>IF($B19="","",IF(OR(O19=TRUE,COUNTIFS($E19:$N19,TRUE)=10),"Yes","No"))</f>
        <v/>
      </c>
      <c r="Q19" s="730" t="inlineStr">
        <is>
          <t>Yes</t>
        </is>
      </c>
      <c r="R19" s="440">
        <f>IF(P19="Yes",B19,"N/A")</f>
        <v/>
      </c>
      <c r="S19" s="440" t="n"/>
      <c r="T19" s="441">
        <f t="array" ref="T19">_xlfn.IFS(D19="Second Lien",D19,D19="First Lien",CONCATENATE(D19," ",EI19),D19="FILO",CONCATENATE(D19," ",EJ19))</f>
        <v/>
      </c>
      <c r="U19" s="442">
        <f>VLOOKUP(T19,'Concentration Limits'!D:G,4,FALSE)</f>
        <v/>
      </c>
      <c r="V19" s="1020">
        <f>AQ19+AW19+BI19</f>
        <v/>
      </c>
      <c r="W19" s="1021">
        <f>(SUMIFS('Loan Tape - Settled'!$AR$4:$AR$55,'Loan Tape - Settled'!$E$4:$E$55,$A19,'Loan Tape - Settled'!$C$4:$C$55,$A$5))</f>
        <v/>
      </c>
      <c r="X19" s="1022" t="n">
        <v>1</v>
      </c>
      <c r="Y19" s="1023">
        <f>W19*X19</f>
        <v/>
      </c>
      <c r="Z19" s="1022">
        <f>(SUMIFS('Loan Tape - Settled'!$AQ$4:$AQ$55,'Loan Tape - Settled'!$E$4:$E$55,$A19,'Loan Tape - Settled'!$C$4:$C$55,$A$5))</f>
        <v/>
      </c>
      <c r="AA19" s="1023">
        <f>Z19*X19</f>
        <v/>
      </c>
      <c r="AB19" s="1023">
        <f>AA19-Y19</f>
        <v/>
      </c>
      <c r="AC19" s="490">
        <f>VLOOKUP(CONCATENATE($A$5,A19),'Loan Tape - Settled'!$A$5:$Q$55,17,FALSE)</f>
        <v/>
      </c>
      <c r="AD19" s="445" t="n"/>
      <c r="AE19" s="446">
        <f>INDEX('Loan Tape - Settled'!$B$4:$AP$55,MATCH($A19,'Loan Tape - Settled'!$E$4:$E$55,0),MATCH("FMV",'Loan Tape - Settled'!$B$4:$AM$4,0))</f>
        <v/>
      </c>
      <c r="AF19" s="446">
        <f t="array" ref="AF19">_xlfn.IFS(D19="First Lien",
_xlfn.IFS(AND(DL19&gt;0,DL19&lt;Tier_1_1L),Tier_1_ApplicableValue,
AND(DL19&gt;=Tier_1_1L,DL19&lt;Tier_2_1L),((Tier_1_1L/DL19)*Tier_1_ApplicableValue)+((DL19-Tier_1_1L)/DL19*Tier_2_ApplicableValue),
AND(DL19&gt;=Tier_2_1L, DL19&lt;Tier_3_1L),((Tier_1_1L/DL19)*Tier_1_ApplicableValue+(Tier_2_1L-Tier_1_1L)/DL19*Tier_2_ApplicableValue+(DL19-Tier_2_1L)/DL19*Tier_3_ApplicableValue),
AND(DL19&gt;=Tier_3_1L, DL19&lt;=Tier_totalzerovalue),((Tier_1_1L/DL19)*Tier_1_ApplicableValue+(Tier_2_1L-Tier_1_1L)/DL19*Tier_2_ApplicableValue+(Tier_3_1L-Tier_2_1L)/DL19*Tier_3_ApplicableValue+(DL19-Tier_partialzerovalue)/DL19*0%),
DL19&gt;Tier_totalzerovalue,0%),
OR(D19="Second Lien", D19="FILO"),
_xlfn.IFS(AND(DM19&gt;0,DM19&lt;Tier_1_2L),Tier_1_ApplicableValue,
AND(DM19&gt;=Tier_1_2L,DM19&lt;Tier_2_2L),((Tier_1_2L/DM19)*Tier_1_ApplicableValue)+((DM19-Tier_1_2L)/DM19*Tier_2_ApplicableValue),
AND(DM19&gt;=Tier_2_2L, DM19&lt;Tier_3_2L),((Tier_1_2L/DM19)*Tier_1_ApplicableValue+(Tier_2_2L-Tier_1_2L)/DM19*Tier_2_ApplicableValue+(DM19-Tier_2_2L)/DM19*Tier_3_ApplicableValue),
AND(DM19&gt;=Tier_3_2L, DM19&lt;=Tier_totalzerovalue),((Tier_1_2L/DM19)*Tier_1_ApplicableValue+(Tier_2_2L-Tier_1_2L)/DM19*Tier_2_ApplicableValue+(Tier_3_2L-Tier_2_2L)/DM19*Tier_3_ApplicableValue+(DM19-Tier_partialzerovalue)/DM19*0%),
DM19&gt;Tier_totalzerovalue,0%))</f>
        <v/>
      </c>
      <c r="AG19" s="447">
        <f>IF(COUNTIFS(VAE!$C$5:$C$96,B19,VAE!$G$5:$G$96,"&lt;="&amp;Availability!$F$8)&gt;=1,"Yes","-")</f>
        <v/>
      </c>
      <c r="AH19" s="447">
        <f t="array" ref="AH19">IFERROR(IF(AG19="Yes",INDEX(VAE!$D$5:$D$96,MATCH(B19&amp;AJ19,VAE!$C$5:$C$96&amp;VAE!$G$5:$G$96,0)),"-"),0)</f>
        <v/>
      </c>
      <c r="AI19" s="447">
        <f t="array" ref="AI19">IFERROR(IF(AG19="Yes",INDEX(VAE!$F$5:$F$96,MATCH(B19&amp;AJ19,VAE!$C$5:$C$96&amp;VAE!$G$5:$G$96,0)),"-"),0)</f>
        <v/>
      </c>
      <c r="AJ19" s="448">
        <f>IF(AG19="-","-",_xlfn.MAXIFS(VAE!$G$5:$G$96,VAE!$C$5:$C$96,$B19))</f>
        <v/>
      </c>
      <c r="AK19" s="449">
        <f t="array" ref="AK19">IFERROR(IF(AG19="Yes",INDEX(VAE!$P$5:$P$96,MATCH(B19&amp;AJ19,VAE!$C$5:$C$96&amp;VAE!$G$5:$G$96,0)),"-"),0)</f>
        <v/>
      </c>
      <c r="AL19" s="446">
        <f>IF($A19="","",IF(P19="No",0,(IF(AG19="Yes",MIN(AE19,AK19,AF19),MIN(AE19,AF19)))))</f>
        <v/>
      </c>
      <c r="AM19" s="1020" t="n"/>
      <c r="AN19" s="1020" t="n"/>
      <c r="AO19" s="1020">
        <f>IF(AND(D19="First Lien",P19="No"),0,IF(D19&lt;&gt;"First Lien",0,Y19))</f>
        <v/>
      </c>
      <c r="AP19" s="1020">
        <f>IF(AND(D19="First Lien",P19="No"),W19,0)</f>
        <v/>
      </c>
      <c r="AQ19" s="1020">
        <f>AL19*AO19</f>
        <v/>
      </c>
      <c r="AR19" s="1020" t="n"/>
      <c r="AS19" s="1020" t="n"/>
      <c r="AT19" s="1020" t="n"/>
      <c r="AU19" s="1020">
        <f>IF(AND(D19="FILO",P19="No"),0,IF(D19&lt;&gt;"FILO",0,Y19))</f>
        <v/>
      </c>
      <c r="AV19" s="1020">
        <f>IF(AND(D19="FILO",P19="No"),W19,0)</f>
        <v/>
      </c>
      <c r="AW19" s="1020">
        <f>AU19*AL19</f>
        <v/>
      </c>
      <c r="AX19" s="1020" t="n"/>
      <c r="AY19" s="1020" t="n"/>
      <c r="AZ19" s="1020" t="n"/>
      <c r="BA19" s="1020">
        <f>IF(AND(OR(D19="First Lien",D19="FILO"),P19="No"),0,IF(OR(D19="First Lien",D19="FILO"),0,(Y19)))</f>
        <v/>
      </c>
      <c r="BB19" s="1020" t="n"/>
      <c r="BC19" s="1020" t="n"/>
      <c r="BD19" s="1020">
        <f>IF(AND(D19="Second Lien",P19="No"),W19,0)</f>
        <v/>
      </c>
      <c r="BE19" s="1020" t="n"/>
      <c r="BF19" s="1020" t="n"/>
      <c r="BG19" s="1020" t="n"/>
      <c r="BH19" s="1020" t="n"/>
      <c r="BI19" s="1020">
        <f>IF(D19="Second Lien",BA19*AL19,0)</f>
        <v/>
      </c>
      <c r="BJ19" s="1020">
        <f>SUM(AM19:AP19)+SUM(AZ19:BD19)+SUM(AS19:AV19)=Y19</f>
        <v/>
      </c>
      <c r="BK19" s="1026">
        <f>INDEX('Loan Tape - Settled'!$B$4:$AP$55,MATCH($A19,'Loan Tape - Settled'!$E$4:$E$55,0),MATCH("Inception Date",'Loan Tape - Settled'!$B$4:$AP$4,0))</f>
        <v/>
      </c>
      <c r="BL19" s="1026">
        <f>INDEX('Loan Tape - Settled'!$B$4:$AP$55,MATCH($A19,'Loan Tape - Settled'!$E$4:$E$55,0),MATCH("Inclusion Date",'Loan Tape - Settled'!$B$4:$AP$4,0))</f>
        <v/>
      </c>
      <c r="BM19" s="1026">
        <f>INDEX('Loan Tape - Settled'!$B$4:$AP$55,MATCH($A19,'Loan Tape - Settled'!$E$4:$E$55,0),MATCH("Maturity Date",'Loan Tape - Settled'!$B$4:$AP$4,0))</f>
        <v/>
      </c>
      <c r="BN19" s="556" t="n"/>
      <c r="BO19" s="556" t="n"/>
      <c r="BP19" s="1055" t="n"/>
      <c r="BQ19" s="556" t="n"/>
      <c r="BR19" s="554">
        <f>INDEX('Loan Tape - Settled'!$B$4:$AP$55,MATCH($A19,'Loan Tape - Settled'!$E$4:$E$55,0),MATCH("Industry Classification",'Loan Tape - Settled'!$B$4:$AP$4,0))</f>
        <v/>
      </c>
      <c r="BS19" s="556">
        <f>IF(INDEX('Loan Tape - Settled'!$B$4:$AP$55,MATCH($A19,'Loan Tape - Settled'!$E$4:$E$55,0),MATCH("Covenant Lite",'Loan Tape - Settled'!$B$4:$AP$4,0))=-1, "Yes", "No")</f>
        <v/>
      </c>
      <c r="BT19" s="1056">
        <f>INDEX('Loan Tape - Settled'!$B$4:$AP$55,MATCH($A19,'Loan Tape - Settled'!$E$4:$E$55,0),MATCH("Spread / Coupon (%)",'Loan Tape - Settled'!$B$4:$AP$4,0))</f>
        <v/>
      </c>
      <c r="BU19" s="556">
        <f>IF(INDEX('Loan Tape - Settled'!$B$4:$AP$55,MATCH($A19,'Loan Tape - Settled'!$E$4:$E$55,0),MATCH("Security Type",'Loan Tape - Settled'!$B$4:$AP$4,0))="Delayed Draw Term Loan", "Yes", "No")</f>
        <v/>
      </c>
      <c r="BV19" s="557" t="inlineStr">
        <is>
          <t>No</t>
        </is>
      </c>
      <c r="BW19" s="557" t="inlineStr">
        <is>
          <t>No</t>
        </is>
      </c>
      <c r="BX19" s="548" t="inlineStr">
        <is>
          <t>No</t>
        </is>
      </c>
      <c r="BY19" s="556">
        <f>IF(INDEX('Loan Tape - Settled'!$B$4:$AP$55,MATCH($A19,'Loan Tape - Settled'!$E$4:$E$55,0),MATCH("Fixed/Floating",'Loan Tape - Settled'!$B$4:$AP$4,0))="Fixed", "Yes", "No")</f>
        <v/>
      </c>
      <c r="BZ19" s="557" t="inlineStr">
        <is>
          <t>No</t>
        </is>
      </c>
      <c r="CA19" s="557" t="inlineStr">
        <is>
          <t>No</t>
        </is>
      </c>
      <c r="CB19" s="556">
        <f>IF(INDEX('Loan Tape - Settled'!$B$4:$AP$55,MATCH($A19,'Loan Tape - Settled'!$E$4:$E$55,0),MATCH("Loan Denomination",'Loan Tape - Settled'!$B$4:$AP$4,0))="CAD", "Yes", "No")</f>
        <v/>
      </c>
      <c r="CC19" s="556">
        <f>INDEX('Loan Tape - Settled'!$B$4:$AP$55,MATCH($A19,'Loan Tape - Settled'!$E$4:$E$55,0),MATCH("Payment Frequency",'Loan Tape - Settled'!$B$4:$AP$4,0))</f>
        <v/>
      </c>
      <c r="CD19" s="557" t="inlineStr">
        <is>
          <t>No</t>
        </is>
      </c>
      <c r="CE19" s="556">
        <f>INDEX('Loan Tape - Settled'!$B$4:$AP$55,MATCH($A19,'Loan Tape - Settled'!$E$4:$E$55,0),MATCH("S&amp;P Loan Rating (if applicable)",'Loan Tape - Settled'!$B$4:$AP$4,0))</f>
        <v/>
      </c>
      <c r="CF19" s="556">
        <f>INDEX('Loan Tape - Settled'!$B$4:$AP$55,MATCH($A19,'Loan Tape - Settled'!$E$4:$E$55,0),MATCH("Moody's Loan Rating (if applicable)",'Loan Tape - Settled'!$B$4:$AP$4,0))</f>
        <v/>
      </c>
      <c r="CG19" s="556" t="n"/>
      <c r="CH19" s="556" t="n"/>
      <c r="CI19" s="1057" t="n"/>
      <c r="CJ19" s="1030">
        <f>INDEX('Loan Tape - Settled'!$B$4:$BF$55,MATCH($A19,'Loan Tape - Settled'!$E$4:$E$55,0),MATCH("Last Financial Received",'Loan Tape - Settled'!$B$4:$BF$4,0))</f>
        <v/>
      </c>
      <c r="CK19" s="559">
        <f>INDEX('Loan Tape - Settled'!$B$4:$BJ$55,MATCH($A19,'Loan Tape - Settled'!$E$4:$E$55,0),MATCH("Initial Adjusted TTM EBITDA",'Loan Tape - Settled'!$B$4:$BJ$4,0))</f>
        <v/>
      </c>
      <c r="CL19" s="559">
        <f>INDEX('Loan Tape - Settled'!$B$4:$BJ$55,MATCH($A19,'Loan Tape - Settled'!$E$4:$E$55,0),MATCH("Initial TTM Non-adjusted EBITDA",'Loan Tape - Settled'!$B$4:$BJ$4,0))</f>
        <v/>
      </c>
      <c r="CM19" s="1031" t="n"/>
      <c r="CN19" s="451" t="n"/>
      <c r="CO19" s="451" t="n"/>
      <c r="CP19" s="1032" t="n"/>
      <c r="CQ19" s="1033" t="inlineStr">
        <is>
          <t>N</t>
        </is>
      </c>
      <c r="CR19" s="1032" t="n"/>
      <c r="CS19" s="454">
        <f>CK19-CP19+CR19</f>
        <v/>
      </c>
      <c r="CT19" s="455">
        <f>1-CS19/CK19</f>
        <v/>
      </c>
      <c r="CU19" s="559">
        <f>INDEX('Loan Tape - Settled'!$B$4:$BJ$55,MATCH($A19,'Loan Tape - Settled'!$E$4:$E$55,0),MATCH("Current TTM Non-adjusted EBITDA",'Loan Tape - Settled'!$B$4:$BJ$4,0))</f>
        <v/>
      </c>
      <c r="CV19" s="456">
        <f>CT19</f>
        <v/>
      </c>
      <c r="CW19" s="1034" t="inlineStr">
        <is>
          <t>N</t>
        </is>
      </c>
      <c r="CX19" s="1035" t="n"/>
      <c r="CY19" s="1036">
        <f>IF(CW19="N",(1-CV19)*CU19,(1-CX19)*CU19)</f>
        <v/>
      </c>
      <c r="CZ19" s="1037" t="n"/>
      <c r="DA19" s="1038" t="n"/>
      <c r="DB19" s="1039" t="n"/>
      <c r="DC19" s="1040" t="n"/>
      <c r="DD19" s="1040">
        <f>INDEX('Loan Tape - Settled'!$B$4:$BJ$55,MATCH($A19,'Loan Tape - Settled'!$E$4:$E$55,0),MATCH("Initial Senior Net Leverage Senior",'Loan Tape - Settled'!$B$4:$BJ$4,0))</f>
        <v/>
      </c>
      <c r="DE19" s="1041">
        <f>INDEX('Loan Tape - Settled'!$B$4:$BJ$55,MATCH($A19,'Loan Tape - Settled'!$E$4:$E$55,0),MATCH("Initial Total Net Leverage",'Loan Tape - Settled'!$B$4:$BJ$4,0))</f>
        <v/>
      </c>
      <c r="DF19" s="1037" t="n"/>
      <c r="DG19" s="1038" t="n"/>
      <c r="DH19" s="1039" t="n"/>
      <c r="DI19" s="1042">
        <f>INDEX('Loan Tape - Settled'!$B$4:$BJ$55,MATCH($A19,'Loan Tape - Settled'!$E$4:$E$55,0),MATCH("Net Attachment",'Loan Tape - Settled'!$B$4:$BJ$4,0))</f>
        <v/>
      </c>
      <c r="DJ19" s="566">
        <f t="array" ref="DJ19">IF(AG19="Yes",INDEX(VAE!$M$5:$M$53,MATCH($B19&amp;$AJ19,VAE!$C$5:$C$53&amp;VAE!$G$5:$G$53,0)),DD19)</f>
        <v/>
      </c>
      <c r="DK19" s="697">
        <f t="array" ref="DK19">IF(AG19="Yes",INDEX(VAE!$N$5:$N$53,MATCH($B19&amp;$AJ19,VAE!$C$5:$C$53&amp;VAE!$G$5:$G$53,0)),DE19)</f>
        <v/>
      </c>
      <c r="DL19" s="1058">
        <f>INDEX('Loan Tape - Settled'!$B$4:$BJ$55,MATCH($A19,'Loan Tape - Settled'!$E$4:$E$55,0),MATCH("Current Senior Net Leverage Senior",'Loan Tape - Settled'!$B$4:$BJ$4,0))</f>
        <v/>
      </c>
      <c r="DM19" s="1059">
        <f>INDEX('Loan Tape - Settled'!$B$4:$BJ$55,MATCH($A19,'Loan Tape - Settled'!$E$4:$E$55,0),MATCH("Current Total Net Leverage",'Loan Tape - Settled'!$B$4:$BJ$4,0))</f>
        <v/>
      </c>
      <c r="DN19" s="1044" t="n"/>
      <c r="DO19" s="1045">
        <f>INDEX('Loan Tape - Settled'!$B$4:$BJ$55,MATCH($A19,'Loan Tape - Settled'!$E$4:$E$55,0),MATCH("Initial Interest Coverage",'Loan Tape - Settled'!$B$4:$BJ$4,0))</f>
        <v/>
      </c>
      <c r="DP19" s="565">
        <f t="array" ref="DP19">IF(AG19="Yes",INDEX(VAE!$O$5:$O$53,MATCH($B19&amp;$AJ19,VAE!$C$5:$C$53&amp;VAE!$G$5:$G$53,0)),DO19)</f>
        <v/>
      </c>
      <c r="DQ19" s="1046">
        <f>INDEX('Loan Tape - Settled'!$B$4:$BJ$55,MATCH($A19,'Loan Tape - Settled'!$E$4:$E$55,0),MATCH("Current Interest Coverage",'Loan Tape - Settled'!$B$4:$BJ$4,0))</f>
        <v/>
      </c>
      <c r="DR19" s="462">
        <f>IF(OR(DU19="Yes",DU19="N/A",DV19="Yes",DV19="N/A",DW19="Yes",DX19="Yes",DY19="Yes",EF19="Yes",EG19="Yes",EH19="Yes"),"Yes","No")</f>
        <v/>
      </c>
      <c r="DS19" s="1047">
        <f>IF(AG19="Yes",DATEDIF(AJ19,Availability!$F$8,"m"),"")</f>
        <v/>
      </c>
      <c r="DT19" s="1047">
        <f>IF(DS19="","No",IF(DS19&gt;12,"Yes","No"))</f>
        <v/>
      </c>
      <c r="DU19" s="695">
        <f>IFERROR(IF(AND(DQ19/DP19&lt;0.75,DQ19&lt;1.5),"Yes","No"),"N/A")</f>
        <v/>
      </c>
      <c r="DV19" s="696">
        <f>IFERROR(IF(OR(D19="First Lien",D19="FILO"),IF(AND((DL19-DJ19)&gt;0.75,DL19&gt;4),"Yes","No"),"No"),"N/A")</f>
        <v/>
      </c>
      <c r="DW19" s="696">
        <f t="array" ref="DW19">_xlfn.IFS(D19&lt;&gt;"Second Lien","No",D19="Second Lien",IF(AND((DM19-DK19)&gt;0.5,DM19&gt;4.5),"Yes","No"))</f>
        <v/>
      </c>
      <c r="DX19" s="735" t="inlineStr">
        <is>
          <t>Yes</t>
        </is>
      </c>
      <c r="DY19" s="735" t="inlineStr">
        <is>
          <t>No</t>
        </is>
      </c>
      <c r="DZ19" s="1048" t="inlineStr">
        <is>
          <t>Yes</t>
        </is>
      </c>
      <c r="EA19" s="1048" t="inlineStr">
        <is>
          <t>Yes</t>
        </is>
      </c>
      <c r="EB19" s="1048" t="inlineStr">
        <is>
          <t>Yes</t>
        </is>
      </c>
      <c r="EC19" s="1048" t="inlineStr">
        <is>
          <t>No</t>
        </is>
      </c>
      <c r="ED19" s="1048" t="inlineStr">
        <is>
          <t>No</t>
        </is>
      </c>
      <c r="EE19" s="1048" t="inlineStr">
        <is>
          <t>No</t>
        </is>
      </c>
      <c r="EF19" s="442">
        <f>IF(OR(DZ19="Yes",EA19="Yes",EB19="Yes",EC19="Yes",ED19="Yes",EE19="Yes"),"Yes","No")</f>
        <v/>
      </c>
      <c r="EG19" s="1048" t="inlineStr">
        <is>
          <t>No</t>
        </is>
      </c>
      <c r="EH19" s="1049" t="inlineStr">
        <is>
          <t>No</t>
        </is>
      </c>
      <c r="EI19" s="1050">
        <f t="array" ref="EI19">IF(D19="First Lien",_xlfn.IFS(CY19&gt;AGENT!$B$23, "&gt; $20MM",CY19&lt;=AGENT!$C$25, "&lt;= $10MM",AND(CY19&lt;=AGENT!$C$24,CY19&gt;AGENT!$B$24),"&lt;= $20MM"), "N/A")</f>
        <v/>
      </c>
      <c r="EJ19" s="1050">
        <f t="array" ref="EJ19">IF(D19="FILO",_xlfn.IFS(DI19&gt;AGENT!$B$29, "&gt; 1.25x",DI19&lt;AGENT!$C$27, "&lt; 0.75x",AND(DI19&lt;=AGENT!$C$28,DI19&gt;=AGENT!$B$28),"&lt;= 1.25x"), "N/A")</f>
        <v/>
      </c>
      <c r="EK19" s="1051">
        <f>V19</f>
        <v/>
      </c>
      <c r="EL19" s="1051">
        <f>'Concentration Limits'!$J$49</f>
        <v/>
      </c>
      <c r="EM19" s="1051">
        <f>IF(OR(D19="Second Lien",AND(D19="FILO",DI19&gt;AGENT!$C$57)), "Yes", "No")</f>
        <v/>
      </c>
      <c r="EN19" s="1051">
        <f>IF(EM19="Yes",SUMIF(EM:EM,"Yes",EK:EK),0)</f>
        <v/>
      </c>
      <c r="EO19" s="1051">
        <f>IF(EN19&gt;EL19,(EN19-EL19)*(EK19/SUMIF(EM:EM,"Yes",EK:EK)),0)</f>
        <v/>
      </c>
      <c r="EP19" s="1051">
        <f>MAX(0,EK19-EO19)</f>
        <v/>
      </c>
      <c r="EQ19" s="1051">
        <f>'Concentration Limits'!$J$50</f>
        <v/>
      </c>
      <c r="ER19" s="1051">
        <f>IF(D19="Second Lien",SUMIF(D:D,D19,EP:EP),0)</f>
        <v/>
      </c>
      <c r="ES19" s="1051">
        <f>MAX(0,(ER19-EQ19)*IFERROR((EP19/SUMIF($D:$D,D19,EP:EP )),0) )</f>
        <v/>
      </c>
      <c r="ET19" s="1051">
        <f>MAX(0,EP19-ES19)</f>
        <v/>
      </c>
      <c r="EU19" s="1051">
        <f>'Concentration Limits'!$J$51</f>
        <v/>
      </c>
      <c r="EV19" s="1051">
        <f>IF(OR(D19="Second Lien", AND(D19="FILO",DI19&gt;AGENT!$C$59)), "Yes", "No")</f>
        <v/>
      </c>
      <c r="EW19" s="1051">
        <f>IF(EV19="Yes",SUMIF(EV:EV,"Yes",ET:ET),0)</f>
        <v/>
      </c>
      <c r="EX19" s="1051">
        <f>IF(EW19&gt;EU19,(EW19-EU19)*(ET19/SUMIF(EV:EV,"Yes",ET:ET)),0)</f>
        <v/>
      </c>
      <c r="EY19" s="1051">
        <f>MAX(0,ET19-EX19)</f>
        <v/>
      </c>
      <c r="EZ19" s="1051">
        <f>'Concentration Limits'!$J$52</f>
        <v/>
      </c>
      <c r="FA19" s="1051">
        <f>IF(CY19&gt;'Concentration Limits'!$E$52, "No", "Yes")</f>
        <v/>
      </c>
      <c r="FB19" s="1051">
        <f>IF(FA19="Yes",SUMIF(FA:FA,"Yes",EY:EY),0)</f>
        <v/>
      </c>
      <c r="FC19" s="1051">
        <f>IF(FB19&gt;EZ19,(FB19-EZ19)*(EY19/SUMIF(FA:FA,"Yes",EY:EY)),0)</f>
        <v/>
      </c>
      <c r="FD19" s="1051">
        <f>MAX(0,EY19-FC19)</f>
        <v/>
      </c>
      <c r="FE19" s="1052">
        <f>'Concentration Limits'!$J$54</f>
        <v/>
      </c>
      <c r="FF19" s="1052">
        <f>'Concentration Limits'!$J$55</f>
        <v/>
      </c>
      <c r="FG19" s="1052">
        <f>'Concentration Limits'!$J$56</f>
        <v/>
      </c>
      <c r="FH19" s="1053">
        <f>'Concentration Limits'!$J$57</f>
        <v/>
      </c>
      <c r="FI19" s="1053">
        <f>SUMIF($B:$B,$B19,$FD:$FD)</f>
        <v/>
      </c>
      <c r="FJ19" s="1053">
        <f>IF(MATCH($B19,$B:$B,0)=ROW(),$FI19,0)</f>
        <v/>
      </c>
      <c r="FK19" s="1053">
        <f>INDEX(FL$8:FL$60,MATCH(B19,B$8:B$60,0))</f>
        <v/>
      </c>
      <c r="FL19" s="1053">
        <f>IF(FJ19&gt;0,RANK(FJ19,$FJ$9:$FJ$60)+COUNTIF($FJ$9:FJ19,FJ19)-1,0)</f>
        <v/>
      </c>
      <c r="FM19" s="1052">
        <f>IF(FK19=1,IF(FI19&gt;FE19,(FI19-FE19)*(V19/SUMIF($B:$B,B19,$FD:$FD)),0),0)</f>
        <v/>
      </c>
      <c r="FN19" s="1052">
        <f>IF(FK19=2,IF(FI19&gt;FF19,(FI19-FF19)*(V19/SUMIF($B:$B,B19,$FD:$FD)),0),0)</f>
        <v/>
      </c>
      <c r="FO19" s="1052">
        <f>IF(FK19=3,IF(FI19&gt;FG19,(FI19-FG19)*(V19/SUMIF($B:$B,B19,$FD:$FD)),0),0)</f>
        <v/>
      </c>
      <c r="FP19" s="1053">
        <f>IF(FK19&gt;0,IF(FI19&gt;FH19,(FI19-FH19)*(FD19/(SUMIF($B:$B,$B19,$FD:$FD))),0),0)</f>
        <v/>
      </c>
      <c r="FQ19" s="1053">
        <f>MAX(0,FD19-FM19-FN19-FO19-FP19)</f>
        <v/>
      </c>
      <c r="FR19" s="1053">
        <f>'Concentration Limits'!$J$58</f>
        <v/>
      </c>
      <c r="FS19" s="1053">
        <f>SUMIF($BR:$BR,$BR19,FQ:FQ)</f>
        <v/>
      </c>
      <c r="FT19" s="1053">
        <f>VLOOKUP(BR19,'Concentration Limits'!$E$81:$H$153,4,FALSE)</f>
        <v/>
      </c>
      <c r="FU19" s="1053">
        <f>IF(FT19=1,MAX(0,(FS19-FR19)*(FQ19/SUMIF($BR:$BR,BR19,FQ:FQ))),0)</f>
        <v/>
      </c>
      <c r="FV19" s="1053">
        <f>MAX(0,FQ19-FU19)</f>
        <v/>
      </c>
      <c r="FW19" s="1053">
        <f>'Concentration Limits'!$J$59</f>
        <v/>
      </c>
      <c r="FX19" s="1053">
        <f>SUMIF($BR:$BR,$BR19,FV:FV)</f>
        <v/>
      </c>
      <c r="FY19" s="1053">
        <f>VLOOKUP(BR19,'Concentration Limits'!$E$81:$H$153,4,FALSE)</f>
        <v/>
      </c>
      <c r="FZ19" s="1053">
        <f>MAX(0,IF(FY19=2,(FX19-FW19)*(FV19/SUMIF($BR:$BR,BR19,FV:FV)),0))</f>
        <v/>
      </c>
      <c r="GA19" s="1053">
        <f>MAX(0,FV19-FZ19)</f>
        <v/>
      </c>
      <c r="GB19" s="1053">
        <f>'Concentration Limits'!$J$61</f>
        <v/>
      </c>
      <c r="GC19" s="1053">
        <f>SUMIF($BR:$BR,$BR19,GA:GA)</f>
        <v/>
      </c>
      <c r="GD19" s="1051">
        <f>VLOOKUP(BR19,'Concentration Limits'!$E$81:$H$153,4,FALSE)</f>
        <v/>
      </c>
      <c r="GE19" s="1053">
        <f>IF(GA19=0,0,MAX(0,IF(GD19&lt;3,0,(GC19-GB19)*($GA19/SUMIF($BR:$BR,BR19,GA:GA)))))</f>
        <v/>
      </c>
      <c r="GF19" s="1053">
        <f>MAX(0,GA19-GE19)</f>
        <v/>
      </c>
      <c r="GG19" s="1053">
        <f>'Concentration Limits'!$J$64</f>
        <v/>
      </c>
      <c r="GH19" s="1053">
        <f>IF(BY19="Yes",SUMIF(BY:BY,BY19,GF:GF),0)</f>
        <v/>
      </c>
      <c r="GI19" s="1053">
        <f>IFERROR(MAX(0,(GH19-GG19)*(GF19/SUMIF($T:$T,T19,GF:GF ))),0)</f>
        <v/>
      </c>
      <c r="GJ19" s="1053">
        <f>MAX(0,GF19-GI19)</f>
        <v/>
      </c>
      <c r="GK19" s="1053">
        <f>'Concentration Limits'!$J$67</f>
        <v/>
      </c>
      <c r="GL19" s="1051">
        <f>IF(OR(BV19="Yes",OR(ISNUMBER(SEARCH("Travel",BR19)),ISNUMBER(SEARCH("Energy",BR19)),ISNUMBER(SEARCH("Leisure",BR19)),ISNUMBER(SEARCH("hotel",BR19)))),"Yes","No")</f>
        <v/>
      </c>
      <c r="GM19" s="1053">
        <f>IF(GL19="Yes",SUMIF(GL:GL,"Yes",GJ:GJ),0)</f>
        <v/>
      </c>
      <c r="GN19" s="1053">
        <f>IF(GM19&gt;GK19,(GM19-GK19)*(GJ19/SUMIF(GL:GL,"Yes",GJ:GJ)),0)</f>
        <v/>
      </c>
      <c r="GO19" s="1053">
        <f>MAX(0,GJ19-GN19)</f>
        <v/>
      </c>
      <c r="GP19" s="1053">
        <f>'Concentration Limits'!$J$68</f>
        <v/>
      </c>
      <c r="GQ19" s="1051">
        <f>IF(BU19="Yes","Yes", "No")</f>
        <v/>
      </c>
      <c r="GR19" s="1053">
        <f>IF(GQ19="Yes",SUMIF(GQ:GQ,"Yes",GO:GO),0)</f>
        <v/>
      </c>
      <c r="GS19" s="1053">
        <f>IF(GR19&gt;GP19,(GR19-GP19)*(GO19/SUMIF(GQ:GQ,"Yes",GO:GO)),0)</f>
        <v/>
      </c>
      <c r="GT19" s="1053">
        <f>MAX(0,GO19-GS19)</f>
        <v/>
      </c>
      <c r="GU19" s="1051">
        <f>'Concentration Limits'!$J$69</f>
        <v/>
      </c>
      <c r="GV19" s="1051">
        <f>IF(BW19="Yes", "Yes", "No")</f>
        <v/>
      </c>
      <c r="GW19" s="1051">
        <f>IF(GV19="Yes",SUMIF(GV:GV,"Yes",GT:GT),0)</f>
        <v/>
      </c>
      <c r="GX19" s="1051">
        <f>IF(GW19&gt;GU19,(GW19-GU19)*(GT19/SUMIF(GV:GV,"Yes",GT:GT)),0)</f>
        <v/>
      </c>
      <c r="GY19" s="1051">
        <f>MAX(0,GT19-GX19)</f>
        <v/>
      </c>
      <c r="GZ19" s="1051">
        <f>'Concentration Limits'!$J$70</f>
        <v/>
      </c>
      <c r="HA19" s="1051">
        <f>IF(BX19="Yes", "Yes", "No")</f>
        <v/>
      </c>
      <c r="HB19" s="1051">
        <f>IF(HA19="Yes",SUMIF(HA:HA,"Yes",GY:GY),0)</f>
        <v/>
      </c>
      <c r="HC19" s="1051">
        <f>IF(HB19&gt;GZ19,(HB19-GZ19)*(GY19/SUMIF(HA:HA,"Yes",GY:GY)),0)</f>
        <v/>
      </c>
      <c r="HD19" s="1051">
        <f>MAX(0,GY19-HC19)</f>
        <v/>
      </c>
      <c r="HE19" s="1053">
        <f>IF(AQ19=0,0,HD19*AQ19/(AQ19+AR19))</f>
        <v/>
      </c>
      <c r="HF19" s="1053">
        <f>IF(AR19=0,0,HD19*AR19/(AQ19+AR19))</f>
        <v/>
      </c>
      <c r="HG19" s="1053">
        <f>IF(AW19=0,0,HD19*AW19/(AW19+AX19))</f>
        <v/>
      </c>
      <c r="HH19" s="1053">
        <f>IF(AX19=0,0,HD19*AX19/(AX19+AW19))</f>
        <v/>
      </c>
      <c r="HI19" s="1053">
        <f>IF(BE19=0,0,#REF!*BE19/(BE19+BG19))</f>
        <v/>
      </c>
      <c r="HJ19" s="1053">
        <f>IF(BG19=0,0,#REF!*BG19/(BG19+BE19))</f>
        <v/>
      </c>
      <c r="HK19" s="1054">
        <f>IF(BF19=0,0,#REF!*BF19/(BF19+BH19))</f>
        <v/>
      </c>
      <c r="HL19" s="1053">
        <f>IF(BH19=0,0,#REF!*BH19/(BH19+BF19))</f>
        <v/>
      </c>
      <c r="HM19" s="1053">
        <f>IF(D19="Second Lien",HD19,0)</f>
        <v/>
      </c>
      <c r="HN19" s="1053">
        <f>SUM(HE19:HM19)=HD19</f>
        <v/>
      </c>
    </row>
    <row r="20" ht="12.75" customFormat="1" customHeight="1" s="469">
      <c r="A20" s="55">
        <f>A19+1</f>
        <v/>
      </c>
      <c r="B20" s="437">
        <f>INDEX('Loan Tape - Settled'!$B$4:$AP$55,MATCH($A20,'Loan Tape - Settled'!$E$4:$E$55,0),MATCH("Obligor Name",'Loan Tape - Settled'!$B$4:$AM$4,0))</f>
        <v/>
      </c>
      <c r="C20" s="437">
        <f>INDEX('Loan Tape - Settled'!$B$4:$AP$55,MATCH($A20,'Loan Tape - Settled'!$E$4:$E$55,0),MATCH("Security",'Loan Tape - Settled'!$B$4:$AM$4,0))</f>
        <v/>
      </c>
      <c r="D20" s="438">
        <f>INDEX('Loan Tape - Settled'!$B$4:$AP$55,MATCH($A20,'Loan Tape - Settled'!$E$4:$E$55,0),MATCH("Loan Type",'Loan Tape - Settled'!$B$4:$AM$4,0))</f>
        <v/>
      </c>
      <c r="E20" s="439">
        <f>IF(ISERROR(MATCH(D20,AGENT!$A$4:$A$10,0))=FALSE, TRUE)</f>
        <v/>
      </c>
      <c r="F20" s="439">
        <f>IF(AND(BZ20="no",CA20="no"),TRUE)</f>
        <v/>
      </c>
      <c r="G20" s="439">
        <f>IF(D20&lt;&gt;"Second Lien",TRUE, IF(CY20&gt;=AGENT!$B$4,TRUE))</f>
        <v/>
      </c>
      <c r="H20" s="439">
        <f>IF(DE20&lt;=AGENT!$D$4,TRUE)</f>
        <v/>
      </c>
      <c r="I20" s="439">
        <f>IF(VLOOKUP(CONCATENATE($A$5,A20),'Loan Tape - Settled'!$A$5:$Q$55,17,FALSE)&gt;=AGENT!$E$4,TRUE)</f>
        <v/>
      </c>
      <c r="J20" s="439">
        <f>IF(INDEX('Loan Tape - Settled'!$B$4:$AP$55,MATCH($A20,'Loan Tape - Settled'!$E$4:$E$55,0),MATCH("Loan Denomination",'Loan Tape - Settled'!$B$4:$AP$4,0))="USD", TRUE)</f>
        <v/>
      </c>
      <c r="K20" s="439">
        <f>IF(INDEX('Loan Tape - Settled'!$B$4:$AP$55,MATCH($A20,'Loan Tape - Settled'!$E$4:$E$55,0),MATCH("Exposure Country",'Loan Tape - Settled'!$B$4:$AP$4,0))="United States", TRUE)</f>
        <v/>
      </c>
      <c r="L20" s="439">
        <f>IF(BS20="NO",TRUE)</f>
        <v/>
      </c>
      <c r="M20" s="439">
        <f>IF(((BM20-BL20)/365)&lt;=AGENT!$F$4,TRUE)</f>
        <v/>
      </c>
      <c r="N20" s="439">
        <f>IF(DX20="Yes",FALSE,TRUE)</f>
        <v/>
      </c>
      <c r="O20" s="493" t="n"/>
      <c r="P20" s="764">
        <f>IF($B20="","",IF(OR(O20=TRUE,COUNTIFS($E20:$N20,TRUE)=10),"Yes","No"))</f>
        <v/>
      </c>
      <c r="Q20" s="730" t="inlineStr">
        <is>
          <t>Yes</t>
        </is>
      </c>
      <c r="R20" s="440">
        <f>IF(P20="Yes",B20,"N/A")</f>
        <v/>
      </c>
      <c r="S20" s="440" t="n"/>
      <c r="T20" s="441">
        <f t="array" ref="T20">_xlfn.IFS(D20="Second Lien",D20,D20="First Lien",CONCATENATE(D20," ",EI20),D20="FILO",CONCATENATE(D20," ",EJ20))</f>
        <v/>
      </c>
      <c r="U20" s="442">
        <f>VLOOKUP(T20,'Concentration Limits'!D:G,4,FALSE)</f>
        <v/>
      </c>
      <c r="V20" s="1020">
        <f>AQ20+AW20+BI20</f>
        <v/>
      </c>
      <c r="W20" s="1021">
        <f>(SUMIFS('Loan Tape - Settled'!$AR$4:$AR$55,'Loan Tape - Settled'!$E$4:$E$55,$A20,'Loan Tape - Settled'!$C$4:$C$55,$A$5))</f>
        <v/>
      </c>
      <c r="X20" s="1022" t="n">
        <v>1</v>
      </c>
      <c r="Y20" s="1023">
        <f>W20*X20</f>
        <v/>
      </c>
      <c r="Z20" s="1022">
        <f>(SUMIFS('Loan Tape - Settled'!$AQ$4:$AQ$55,'Loan Tape - Settled'!$E$4:$E$55,$A20,'Loan Tape - Settled'!$C$4:$C$55,$A$5))</f>
        <v/>
      </c>
      <c r="AA20" s="1023">
        <f>Z20*X20</f>
        <v/>
      </c>
      <c r="AB20" s="1023">
        <f>AA20-Y20</f>
        <v/>
      </c>
      <c r="AC20" s="490">
        <f>VLOOKUP(CONCATENATE($A$5,A20),'Loan Tape - Settled'!$A$5:$Q$55,17,FALSE)</f>
        <v/>
      </c>
      <c r="AD20" s="445" t="n"/>
      <c r="AE20" s="446">
        <f>INDEX('Loan Tape - Settled'!$B$4:$AP$55,MATCH($A20,'Loan Tape - Settled'!$E$4:$E$55,0),MATCH("FMV",'Loan Tape - Settled'!$B$4:$AM$4,0))</f>
        <v/>
      </c>
      <c r="AF20" s="446">
        <f t="array" ref="AF20">_xlfn.IFS(D20="First Lien",
_xlfn.IFS(AND(DL20&gt;0,DL20&lt;Tier_1_1L),Tier_1_ApplicableValue,
AND(DL20&gt;=Tier_1_1L,DL20&lt;Tier_2_1L),((Tier_1_1L/DL20)*Tier_1_ApplicableValue)+((DL20-Tier_1_1L)/DL20*Tier_2_ApplicableValue),
AND(DL20&gt;=Tier_2_1L, DL20&lt;Tier_3_1L),((Tier_1_1L/DL20)*Tier_1_ApplicableValue+(Tier_2_1L-Tier_1_1L)/DL20*Tier_2_ApplicableValue+(DL20-Tier_2_1L)/DL20*Tier_3_ApplicableValue),
AND(DL20&gt;=Tier_3_1L, DL20&lt;=Tier_totalzerovalue),((Tier_1_1L/DL20)*Tier_1_ApplicableValue+(Tier_2_1L-Tier_1_1L)/DL20*Tier_2_ApplicableValue+(Tier_3_1L-Tier_2_1L)/DL20*Tier_3_ApplicableValue+(DL20-Tier_partialzerovalue)/DL20*0%),
DL20&gt;Tier_totalzerovalue,0%),
OR(D20="Second Lien", D20="FILO"),
_xlfn.IFS(AND(DM20&gt;0,DM20&lt;Tier_1_2L),Tier_1_ApplicableValue,
AND(DM20&gt;=Tier_1_2L,DM20&lt;Tier_2_2L),((Tier_1_2L/DM20)*Tier_1_ApplicableValue)+((DM20-Tier_1_2L)/DM20*Tier_2_ApplicableValue),
AND(DM20&gt;=Tier_2_2L, DM20&lt;Tier_3_2L),((Tier_1_2L/DM20)*Tier_1_ApplicableValue+(Tier_2_2L-Tier_1_2L)/DM20*Tier_2_ApplicableValue+(DM20-Tier_2_2L)/DM20*Tier_3_ApplicableValue),
AND(DM20&gt;=Tier_3_2L, DM20&lt;=Tier_totalzerovalue),((Tier_1_2L/DM20)*Tier_1_ApplicableValue+(Tier_2_2L-Tier_1_2L)/DM20*Tier_2_ApplicableValue+(Tier_3_2L-Tier_2_2L)/DM20*Tier_3_ApplicableValue+(DM20-Tier_partialzerovalue)/DM20*0%),
DM20&gt;Tier_totalzerovalue,0%))</f>
        <v/>
      </c>
      <c r="AG20" s="447">
        <f>IF(COUNTIFS(VAE!$C$5:$C$96,B20,VAE!$G$5:$G$96,"&lt;="&amp;Availability!$F$8)&gt;=1,"Yes","-")</f>
        <v/>
      </c>
      <c r="AH20" s="447">
        <f t="array" ref="AH20">IFERROR(IF(AG20="Yes",INDEX(VAE!$D$5:$D$96,MATCH(B20&amp;AJ20,VAE!$C$5:$C$96&amp;VAE!$G$5:$G$96,0)),"-"),0)</f>
        <v/>
      </c>
      <c r="AI20" s="447">
        <f t="array" ref="AI20">IFERROR(IF(AG20="Yes",INDEX(VAE!$F$5:$F$96,MATCH(B20&amp;AJ20,VAE!$C$5:$C$96&amp;VAE!$G$5:$G$96,0)),"-"),0)</f>
        <v/>
      </c>
      <c r="AJ20" s="448">
        <f>IF(AG20="-","-",_xlfn.MAXIFS(VAE!$G$5:$G$96,VAE!$C$5:$C$96,$B20))</f>
        <v/>
      </c>
      <c r="AK20" s="449">
        <f t="array" ref="AK20">IFERROR(IF(AG20="Yes",INDEX(VAE!$P$5:$P$96,MATCH(B20&amp;AJ20,VAE!$C$5:$C$96&amp;VAE!$G$5:$G$96,0)),"-"),0)</f>
        <v/>
      </c>
      <c r="AL20" s="446">
        <f>IF($A20="","",IF(P20="No",0,(IF(AG20="Yes",MIN(AE20,AK20,AF20),MIN(AE20,AF20)))))</f>
        <v/>
      </c>
      <c r="AM20" s="1020" t="n"/>
      <c r="AN20" s="1020" t="n"/>
      <c r="AO20" s="1020">
        <f>IF(AND(D20="First Lien",P20="No"),0,IF(D20&lt;&gt;"First Lien",0,Y20))</f>
        <v/>
      </c>
      <c r="AP20" s="1020">
        <f>IF(AND(D20="First Lien",P20="No"),W20,0)</f>
        <v/>
      </c>
      <c r="AQ20" s="1020">
        <f>AL20*AO20</f>
        <v/>
      </c>
      <c r="AR20" s="1020" t="n"/>
      <c r="AS20" s="1020" t="n"/>
      <c r="AT20" s="1020" t="n"/>
      <c r="AU20" s="1020">
        <f>IF(AND(D20="FILO",P20="No"),0,IF(D20&lt;&gt;"FILO",0,Y20))</f>
        <v/>
      </c>
      <c r="AV20" s="1020">
        <f>IF(AND(D20="FILO",P20="No"),W20,0)</f>
        <v/>
      </c>
      <c r="AW20" s="1020">
        <f>AU20*AL20</f>
        <v/>
      </c>
      <c r="AX20" s="1020" t="n"/>
      <c r="AY20" s="1020" t="n"/>
      <c r="AZ20" s="1020" t="n"/>
      <c r="BA20" s="1020">
        <f>IF(AND(OR(D20="First Lien",D20="FILO"),P20="No"),0,IF(OR(D20="First Lien",D20="FILO"),0,(Y20)))</f>
        <v/>
      </c>
      <c r="BB20" s="1020" t="n"/>
      <c r="BC20" s="1020" t="n"/>
      <c r="BD20" s="1020">
        <f>IF(AND(D20="Second Lien",P20="No"),W20,0)</f>
        <v/>
      </c>
      <c r="BE20" s="1020" t="n"/>
      <c r="BF20" s="1020" t="n"/>
      <c r="BG20" s="1020" t="n"/>
      <c r="BH20" s="1020" t="n"/>
      <c r="BI20" s="1020">
        <f>IF(D20="Second Lien",BA20*AL20,0)</f>
        <v/>
      </c>
      <c r="BJ20" s="1020">
        <f>SUM(AM20:AP20)+SUM(AZ20:BD20)+SUM(AS20:AV20)=Y20</f>
        <v/>
      </c>
      <c r="BK20" s="1026">
        <f>INDEX('Loan Tape - Settled'!$B$4:$AP$55,MATCH($A20,'Loan Tape - Settled'!$E$4:$E$55,0),MATCH("Inception Date",'Loan Tape - Settled'!$B$4:$AP$4,0))</f>
        <v/>
      </c>
      <c r="BL20" s="1026">
        <f>INDEX('Loan Tape - Settled'!$B$4:$AP$55,MATCH($A20,'Loan Tape - Settled'!$E$4:$E$55,0),MATCH("Inclusion Date",'Loan Tape - Settled'!$B$4:$AP$4,0))</f>
        <v/>
      </c>
      <c r="BM20" s="1026">
        <f>INDEX('Loan Tape - Settled'!$B$4:$AP$55,MATCH($A20,'Loan Tape - Settled'!$E$4:$E$55,0),MATCH("Maturity Date",'Loan Tape - Settled'!$B$4:$AP$4,0))</f>
        <v/>
      </c>
      <c r="BN20" s="556" t="n"/>
      <c r="BO20" s="556" t="n"/>
      <c r="BP20" s="1055" t="n"/>
      <c r="BQ20" s="556" t="n"/>
      <c r="BR20" s="554">
        <f>INDEX('Loan Tape - Settled'!$B$4:$AP$55,MATCH($A20,'Loan Tape - Settled'!$E$4:$E$55,0),MATCH("Industry Classification",'Loan Tape - Settled'!$B$4:$AP$4,0))</f>
        <v/>
      </c>
      <c r="BS20" s="556">
        <f>IF(INDEX('Loan Tape - Settled'!$B$4:$AP$55,MATCH($A20,'Loan Tape - Settled'!$E$4:$E$55,0),MATCH("Covenant Lite",'Loan Tape - Settled'!$B$4:$AP$4,0))=-1, "Yes", "No")</f>
        <v/>
      </c>
      <c r="BT20" s="1056">
        <f>INDEX('Loan Tape - Settled'!$B$4:$AP$55,MATCH($A20,'Loan Tape - Settled'!$E$4:$E$55,0),MATCH("Spread / Coupon (%)",'Loan Tape - Settled'!$B$4:$AP$4,0))</f>
        <v/>
      </c>
      <c r="BU20" s="556">
        <f>IF(INDEX('Loan Tape - Settled'!$B$4:$AP$55,MATCH($A20,'Loan Tape - Settled'!$E$4:$E$55,0),MATCH("Security Type",'Loan Tape - Settled'!$B$4:$AP$4,0))="Delayed Draw Term Loan", "Yes", "No")</f>
        <v/>
      </c>
      <c r="BV20" s="557" t="inlineStr">
        <is>
          <t>No</t>
        </is>
      </c>
      <c r="BW20" s="557" t="inlineStr">
        <is>
          <t>No</t>
        </is>
      </c>
      <c r="BX20" s="548" t="inlineStr">
        <is>
          <t>No</t>
        </is>
      </c>
      <c r="BY20" s="556">
        <f>IF(INDEX('Loan Tape - Settled'!$B$4:$AP$55,MATCH($A20,'Loan Tape - Settled'!$E$4:$E$55,0),MATCH("Fixed/Floating",'Loan Tape - Settled'!$B$4:$AP$4,0))="Fixed", "Yes", "No")</f>
        <v/>
      </c>
      <c r="BZ20" s="557" t="inlineStr">
        <is>
          <t>No</t>
        </is>
      </c>
      <c r="CA20" s="557" t="inlineStr">
        <is>
          <t>No</t>
        </is>
      </c>
      <c r="CB20" s="556">
        <f>IF(INDEX('Loan Tape - Settled'!$B$4:$AP$55,MATCH($A20,'Loan Tape - Settled'!$E$4:$E$55,0),MATCH("Loan Denomination",'Loan Tape - Settled'!$B$4:$AP$4,0))="CAD", "Yes", "No")</f>
        <v/>
      </c>
      <c r="CC20" s="556">
        <f>INDEX('Loan Tape - Settled'!$B$4:$AP$55,MATCH($A20,'Loan Tape - Settled'!$E$4:$E$55,0),MATCH("Payment Frequency",'Loan Tape - Settled'!$B$4:$AP$4,0))</f>
        <v/>
      </c>
      <c r="CD20" s="557" t="inlineStr">
        <is>
          <t>No</t>
        </is>
      </c>
      <c r="CE20" s="556">
        <f>INDEX('Loan Tape - Settled'!$B$4:$AP$55,MATCH($A20,'Loan Tape - Settled'!$E$4:$E$55,0),MATCH("S&amp;P Loan Rating (if applicable)",'Loan Tape - Settled'!$B$4:$AP$4,0))</f>
        <v/>
      </c>
      <c r="CF20" s="556">
        <f>INDEX('Loan Tape - Settled'!$B$4:$AP$55,MATCH($A20,'Loan Tape - Settled'!$E$4:$E$55,0),MATCH("Moody's Loan Rating (if applicable)",'Loan Tape - Settled'!$B$4:$AP$4,0))</f>
        <v/>
      </c>
      <c r="CG20" s="556" t="n"/>
      <c r="CH20" s="556" t="n"/>
      <c r="CI20" s="1057" t="n"/>
      <c r="CJ20" s="1030">
        <f>INDEX('Loan Tape - Settled'!$B$4:$BF$55,MATCH($A20,'Loan Tape - Settled'!$E$4:$E$55,0),MATCH("Last Financial Received",'Loan Tape - Settled'!$B$4:$BF$4,0))</f>
        <v/>
      </c>
      <c r="CK20" s="559">
        <f>INDEX('Loan Tape - Settled'!$B$4:$BJ$55,MATCH($A20,'Loan Tape - Settled'!$E$4:$E$55,0),MATCH("Initial Adjusted TTM EBITDA",'Loan Tape - Settled'!$B$4:$BJ$4,0))</f>
        <v/>
      </c>
      <c r="CL20" s="559">
        <f>INDEX('Loan Tape - Settled'!$B$4:$BJ$55,MATCH($A20,'Loan Tape - Settled'!$E$4:$E$55,0),MATCH("Initial TTM Non-adjusted EBITDA",'Loan Tape - Settled'!$B$4:$BJ$4,0))</f>
        <v/>
      </c>
      <c r="CM20" s="1031" t="n"/>
      <c r="CN20" s="451" t="n"/>
      <c r="CO20" s="451" t="n"/>
      <c r="CP20" s="1032" t="n"/>
      <c r="CQ20" s="1033" t="inlineStr">
        <is>
          <t>N</t>
        </is>
      </c>
      <c r="CR20" s="1032" t="n"/>
      <c r="CS20" s="454">
        <f>CK20-CP20+CR20</f>
        <v/>
      </c>
      <c r="CT20" s="455">
        <f>1-CS20/CK20</f>
        <v/>
      </c>
      <c r="CU20" s="559">
        <f>INDEX('Loan Tape - Settled'!$B$4:$BJ$55,MATCH($A20,'Loan Tape - Settled'!$E$4:$E$55,0),MATCH("Current TTM Non-adjusted EBITDA",'Loan Tape - Settled'!$B$4:$BJ$4,0))</f>
        <v/>
      </c>
      <c r="CV20" s="456">
        <f>CT20</f>
        <v/>
      </c>
      <c r="CW20" s="1034" t="inlineStr">
        <is>
          <t>N</t>
        </is>
      </c>
      <c r="CX20" s="1035" t="n"/>
      <c r="CY20" s="1036">
        <f>IF(CW20="N",(1-CV20)*CU20,(1-CX20)*CU20)</f>
        <v/>
      </c>
      <c r="CZ20" s="1037" t="n"/>
      <c r="DA20" s="1038" t="n"/>
      <c r="DB20" s="1039" t="n"/>
      <c r="DC20" s="1040" t="n"/>
      <c r="DD20" s="1040">
        <f>INDEX('Loan Tape - Settled'!$B$4:$BJ$55,MATCH($A20,'Loan Tape - Settled'!$E$4:$E$55,0),MATCH("Initial Senior Net Leverage Senior",'Loan Tape - Settled'!$B$4:$BJ$4,0))</f>
        <v/>
      </c>
      <c r="DE20" s="1041">
        <f>INDEX('Loan Tape - Settled'!$B$4:$BJ$55,MATCH($A20,'Loan Tape - Settled'!$E$4:$E$55,0),MATCH("Initial Total Net Leverage",'Loan Tape - Settled'!$B$4:$BJ$4,0))</f>
        <v/>
      </c>
      <c r="DF20" s="1037" t="n"/>
      <c r="DG20" s="1038" t="n"/>
      <c r="DH20" s="1039" t="n"/>
      <c r="DI20" s="1042">
        <f>INDEX('Loan Tape - Settled'!$B$4:$BJ$55,MATCH($A20,'Loan Tape - Settled'!$E$4:$E$55,0),MATCH("Net Attachment",'Loan Tape - Settled'!$B$4:$BJ$4,0))</f>
        <v/>
      </c>
      <c r="DJ20" s="566">
        <f t="array" ref="DJ20">IF(AG20="Yes",INDEX(VAE!$M$5:$M$53,MATCH($B20&amp;$AJ20,VAE!$C$5:$C$53&amp;VAE!$G$5:$G$53,0)),DD20)</f>
        <v/>
      </c>
      <c r="DK20" s="697">
        <f t="array" ref="DK20">IF(AG20="Yes",INDEX(VAE!$N$5:$N$53,MATCH($B20&amp;$AJ20,VAE!$C$5:$C$53&amp;VAE!$G$5:$G$53,0)),DE20)</f>
        <v/>
      </c>
      <c r="DL20" s="1058">
        <f>INDEX('Loan Tape - Settled'!$B$4:$BJ$55,MATCH($A20,'Loan Tape - Settled'!$E$4:$E$55,0),MATCH("Current Senior Net Leverage Senior",'Loan Tape - Settled'!$B$4:$BJ$4,0))</f>
        <v/>
      </c>
      <c r="DM20" s="1059">
        <f>INDEX('Loan Tape - Settled'!$B$4:$BJ$55,MATCH($A20,'Loan Tape - Settled'!$E$4:$E$55,0),MATCH("Current Total Net Leverage",'Loan Tape - Settled'!$B$4:$BJ$4,0))</f>
        <v/>
      </c>
      <c r="DN20" s="1044" t="n"/>
      <c r="DO20" s="1045">
        <f>INDEX('Loan Tape - Settled'!$B$4:$BJ$55,MATCH($A20,'Loan Tape - Settled'!$E$4:$E$55,0),MATCH("Initial Interest Coverage",'Loan Tape - Settled'!$B$4:$BJ$4,0))</f>
        <v/>
      </c>
      <c r="DP20" s="565">
        <f t="array" ref="DP20">IF(AG20="Yes",INDEX(VAE!$O$5:$O$53,MATCH($B20&amp;$AJ20,VAE!$C$5:$C$53&amp;VAE!$G$5:$G$53,0)),DO20)</f>
        <v/>
      </c>
      <c r="DQ20" s="1046">
        <f>INDEX('Loan Tape - Settled'!$B$4:$BJ$55,MATCH($A20,'Loan Tape - Settled'!$E$4:$E$55,0),MATCH("Current Interest Coverage",'Loan Tape - Settled'!$B$4:$BJ$4,0))</f>
        <v/>
      </c>
      <c r="DR20" s="462">
        <f>IF(OR(DU20="Yes",DU20="N/A",DV20="Yes",DV20="N/A",DW20="Yes",DX20="Yes",DY20="Yes",EF20="Yes",EG20="Yes",EH20="Yes"),"Yes","No")</f>
        <v/>
      </c>
      <c r="DS20" s="1047">
        <f>IF(AG20="Yes",DATEDIF(AJ20,Availability!$F$8,"m"),"")</f>
        <v/>
      </c>
      <c r="DT20" s="1047">
        <f>IF(DS20="","No",IF(DS20&gt;12,"Yes","No"))</f>
        <v/>
      </c>
      <c r="DU20" s="695">
        <f>IFERROR(IF(AND(DQ20/DP20&lt;0.75,DQ20&lt;1.5),"Yes","No"),"N/A")</f>
        <v/>
      </c>
      <c r="DV20" s="696">
        <f>IFERROR(IF(OR(D20="First Lien",D20="FILO"),IF(AND((DL20-DJ20)&gt;0.75,DL20&gt;4),"Yes","No"),"No"),"N/A")</f>
        <v/>
      </c>
      <c r="DW20" s="696">
        <f t="array" ref="DW20">_xlfn.IFS(D20&lt;&gt;"Second Lien","No",D20="Second Lien",IF(AND((DM20-DK20)&gt;0.5,DM20&gt;4.5),"Yes","No"))</f>
        <v/>
      </c>
      <c r="DX20" s="735" t="inlineStr">
        <is>
          <t>No</t>
        </is>
      </c>
      <c r="DY20" s="735" t="inlineStr">
        <is>
          <t>No</t>
        </is>
      </c>
      <c r="DZ20" s="1048" t="inlineStr">
        <is>
          <t>No</t>
        </is>
      </c>
      <c r="EA20" s="1048" t="inlineStr">
        <is>
          <t>No</t>
        </is>
      </c>
      <c r="EB20" s="1048" t="inlineStr">
        <is>
          <t>No</t>
        </is>
      </c>
      <c r="EC20" s="1048" t="inlineStr">
        <is>
          <t>No</t>
        </is>
      </c>
      <c r="ED20" s="1048" t="inlineStr">
        <is>
          <t>No</t>
        </is>
      </c>
      <c r="EE20" s="1048" t="inlineStr">
        <is>
          <t>No</t>
        </is>
      </c>
      <c r="EF20" s="442">
        <f>IF(OR(DZ20="Yes",EA20="Yes",EB20="Yes",EC20="Yes",ED20="Yes",EE20="Yes"),"Yes","No")</f>
        <v/>
      </c>
      <c r="EG20" s="1048" t="inlineStr">
        <is>
          <t>No</t>
        </is>
      </c>
      <c r="EH20" s="1049" t="inlineStr">
        <is>
          <t>No</t>
        </is>
      </c>
      <c r="EI20" s="1050">
        <f t="array" ref="EI20">IF(D20="First Lien",_xlfn.IFS(CY20&gt;AGENT!$B$23, "&gt; $20MM",CY20&lt;=AGENT!$C$25, "&lt;= $10MM",AND(CY20&lt;=AGENT!$C$24,CY20&gt;AGENT!$B$24),"&lt;= $20MM"), "N/A")</f>
        <v/>
      </c>
      <c r="EJ20" s="1050">
        <f t="array" ref="EJ20">IF(D20="FILO",_xlfn.IFS(DI20&gt;AGENT!$B$29, "&gt; 1.25x",DI20&lt;AGENT!$C$27, "&lt; 0.75x",AND(DI20&lt;=AGENT!$C$28,DI20&gt;=AGENT!$B$28),"&lt;= 1.25x"), "N/A")</f>
        <v/>
      </c>
      <c r="EK20" s="1051">
        <f>V20</f>
        <v/>
      </c>
      <c r="EL20" s="1051">
        <f>'Concentration Limits'!$J$49</f>
        <v/>
      </c>
      <c r="EM20" s="1051">
        <f>IF(OR(D20="Second Lien",AND(D20="FILO",DI20&gt;AGENT!$C$57)), "Yes", "No")</f>
        <v/>
      </c>
      <c r="EN20" s="1051">
        <f>IF(EM20="Yes",SUMIF(EM:EM,"Yes",EK:EK),0)</f>
        <v/>
      </c>
      <c r="EO20" s="1051">
        <f>IF(EN20&gt;EL20,(EN20-EL20)*(EK20/SUMIF(EM:EM,"Yes",EK:EK)),0)</f>
        <v/>
      </c>
      <c r="EP20" s="1051">
        <f>MAX(0,EK20-EO20)</f>
        <v/>
      </c>
      <c r="EQ20" s="1051">
        <f>'Concentration Limits'!$J$50</f>
        <v/>
      </c>
      <c r="ER20" s="1051">
        <f>IF(D20="Second Lien",SUMIF(D:D,D20,EP:EP),0)</f>
        <v/>
      </c>
      <c r="ES20" s="1051">
        <f>MAX(0,(ER20-EQ20)*IFERROR((EP20/SUMIF($D:$D,D20,EP:EP )),0) )</f>
        <v/>
      </c>
      <c r="ET20" s="1051">
        <f>MAX(0,EP20-ES20)</f>
        <v/>
      </c>
      <c r="EU20" s="1051">
        <f>'Concentration Limits'!$J$51</f>
        <v/>
      </c>
      <c r="EV20" s="1051">
        <f>IF(OR(D20="Second Lien", AND(D20="FILO",DI20&gt;AGENT!$C$59)), "Yes", "No")</f>
        <v/>
      </c>
      <c r="EW20" s="1051">
        <f>IF(EV20="Yes",SUMIF(EV:EV,"Yes",ET:ET),0)</f>
        <v/>
      </c>
      <c r="EX20" s="1051">
        <f>IF(EW20&gt;EU20,(EW20-EU20)*(ET20/SUMIF(EV:EV,"Yes",ET:ET)),0)</f>
        <v/>
      </c>
      <c r="EY20" s="1051">
        <f>MAX(0,ET20-EX20)</f>
        <v/>
      </c>
      <c r="EZ20" s="1051">
        <f>'Concentration Limits'!$J$52</f>
        <v/>
      </c>
      <c r="FA20" s="1051">
        <f>IF(CY20&gt;'Concentration Limits'!$E$52, "No", "Yes")</f>
        <v/>
      </c>
      <c r="FB20" s="1051">
        <f>IF(FA20="Yes",SUMIF(FA:FA,"Yes",EY:EY),0)</f>
        <v/>
      </c>
      <c r="FC20" s="1051">
        <f>IF(FB20&gt;EZ20,(FB20-EZ20)*(EY20/SUMIF(FA:FA,"Yes",EY:EY)),0)</f>
        <v/>
      </c>
      <c r="FD20" s="1051">
        <f>MAX(0,EY20-FC20)</f>
        <v/>
      </c>
      <c r="FE20" s="1052">
        <f>'Concentration Limits'!$J$54</f>
        <v/>
      </c>
      <c r="FF20" s="1052">
        <f>'Concentration Limits'!$J$55</f>
        <v/>
      </c>
      <c r="FG20" s="1052">
        <f>'Concentration Limits'!$J$56</f>
        <v/>
      </c>
      <c r="FH20" s="1053">
        <f>'Concentration Limits'!$J$57</f>
        <v/>
      </c>
      <c r="FI20" s="1053">
        <f>SUMIF($B:$B,$B20,$FD:$FD)</f>
        <v/>
      </c>
      <c r="FJ20" s="1053">
        <f>IF(MATCH($B20,$B:$B,0)=ROW(),$FI20,0)</f>
        <v/>
      </c>
      <c r="FK20" s="1053">
        <f>INDEX(FL$8:FL$60,MATCH(B20,B$8:B$60,0))</f>
        <v/>
      </c>
      <c r="FL20" s="1053">
        <f>IF(FJ20&gt;0,RANK(FJ20,$FJ$9:$FJ$60)+COUNTIF($FJ$9:FJ20,FJ20)-1,0)</f>
        <v/>
      </c>
      <c r="FM20" s="1052">
        <f>IF(FK20=1,IF(FI20&gt;FE20,(FI20-FE20)*(V20/SUMIF($B:$B,B20,$FD:$FD)),0),0)</f>
        <v/>
      </c>
      <c r="FN20" s="1052">
        <f>IF(FK20=2,IF(FI20&gt;FF20,(FI20-FF20)*(V20/SUMIF($B:$B,B20,$FD:$FD)),0),0)</f>
        <v/>
      </c>
      <c r="FO20" s="1052">
        <f>IF(FK20=3,IF(FI20&gt;FG20,(FI20-FG20)*(V20/SUMIF($B:$B,B20,$FD:$FD)),0),0)</f>
        <v/>
      </c>
      <c r="FP20" s="1053">
        <f>IF(FK20&gt;0,IF(FI20&gt;FH20,(FI20-FH20)*(FD20/(SUMIF($B:$B,$B20,$FD:$FD))),0),0)</f>
        <v/>
      </c>
      <c r="FQ20" s="1053">
        <f>MAX(0,FD20-FM20-FN20-FO20-FP20)</f>
        <v/>
      </c>
      <c r="FR20" s="1053">
        <f>'Concentration Limits'!$J$58</f>
        <v/>
      </c>
      <c r="FS20" s="1053">
        <f>SUMIF($BR:$BR,$BR20,FQ:FQ)</f>
        <v/>
      </c>
      <c r="FT20" s="1053">
        <f>VLOOKUP(BR20,'Concentration Limits'!$E$81:$H$153,4,FALSE)</f>
        <v/>
      </c>
      <c r="FU20" s="1053">
        <f>IF(FT20=1,MAX(0,(FS20-FR20)*(FQ20/SUMIF($BR:$BR,BR20,FQ:FQ))),0)</f>
        <v/>
      </c>
      <c r="FV20" s="1053">
        <f>MAX(0,FQ20-FU20)</f>
        <v/>
      </c>
      <c r="FW20" s="1053">
        <f>'Concentration Limits'!$J$59</f>
        <v/>
      </c>
      <c r="FX20" s="1053">
        <f>SUMIF($BR:$BR,$BR20,FV:FV)</f>
        <v/>
      </c>
      <c r="FY20" s="1053">
        <f>VLOOKUP(BR20,'Concentration Limits'!$E$81:$H$153,4,FALSE)</f>
        <v/>
      </c>
      <c r="FZ20" s="1053">
        <f>MAX(0,IF(FY20=2,(FX20-FW20)*(FV20/SUMIF($BR:$BR,BR20,FV:FV)),0))</f>
        <v/>
      </c>
      <c r="GA20" s="1053">
        <f>MAX(0,FV20-FZ20)</f>
        <v/>
      </c>
      <c r="GB20" s="1053">
        <f>'Concentration Limits'!$J$61</f>
        <v/>
      </c>
      <c r="GC20" s="1053">
        <f>SUMIF($BR:$BR,$BR20,GA:GA)</f>
        <v/>
      </c>
      <c r="GD20" s="1051">
        <f>VLOOKUP(BR20,'Concentration Limits'!$E$81:$H$153,4,FALSE)</f>
        <v/>
      </c>
      <c r="GE20" s="1053">
        <f>IF(GA20=0,0,MAX(0,IF(GD20&lt;3,0,(GC20-GB20)*($GA20/SUMIF($BR:$BR,BR20,GA:GA)))))</f>
        <v/>
      </c>
      <c r="GF20" s="1053">
        <f>MAX(0,GA20-GE20)</f>
        <v/>
      </c>
      <c r="GG20" s="1053">
        <f>'Concentration Limits'!$J$64</f>
        <v/>
      </c>
      <c r="GH20" s="1053">
        <f>IF(BY20="Yes",SUMIF(BY:BY,BY20,GF:GF),0)</f>
        <v/>
      </c>
      <c r="GI20" s="1053">
        <f>IFERROR(MAX(0,(GH20-GG20)*(GF20/SUMIF($T:$T,T20,GF:GF ))),0)</f>
        <v/>
      </c>
      <c r="GJ20" s="1053">
        <f>MAX(0,GF20-GI20)</f>
        <v/>
      </c>
      <c r="GK20" s="1053">
        <f>'Concentration Limits'!$J$67</f>
        <v/>
      </c>
      <c r="GL20" s="1051">
        <f>IF(OR(BV20="Yes",OR(ISNUMBER(SEARCH("Travel",BR20)),ISNUMBER(SEARCH("Energy",BR20)),ISNUMBER(SEARCH("Leisure",BR20)),ISNUMBER(SEARCH("hotel",BR20)))),"Yes","No")</f>
        <v/>
      </c>
      <c r="GM20" s="1053">
        <f>IF(GL20="Yes",SUMIF(GL:GL,"Yes",GJ:GJ),0)</f>
        <v/>
      </c>
      <c r="GN20" s="1053">
        <f>IF(GM20&gt;GK20,(GM20-GK20)*(GJ20/SUMIF(GL:GL,"Yes",GJ:GJ)),0)</f>
        <v/>
      </c>
      <c r="GO20" s="1053">
        <f>MAX(0,GJ20-GN20)</f>
        <v/>
      </c>
      <c r="GP20" s="1053">
        <f>'Concentration Limits'!$J$68</f>
        <v/>
      </c>
      <c r="GQ20" s="1051">
        <f>IF(BU20="Yes","Yes", "No")</f>
        <v/>
      </c>
      <c r="GR20" s="1053">
        <f>IF(GQ20="Yes",SUMIF(GQ:GQ,"Yes",GO:GO),0)</f>
        <v/>
      </c>
      <c r="GS20" s="1053">
        <f>IF(GR20&gt;GP20,(GR20-GP20)*(GO20/SUMIF(GQ:GQ,"Yes",GO:GO)),0)</f>
        <v/>
      </c>
      <c r="GT20" s="1053">
        <f>MAX(0,GO20-GS20)</f>
        <v/>
      </c>
      <c r="GU20" s="1051">
        <f>'Concentration Limits'!$J$69</f>
        <v/>
      </c>
      <c r="GV20" s="1051">
        <f>IF(BW20="Yes", "Yes", "No")</f>
        <v/>
      </c>
      <c r="GW20" s="1051">
        <f>IF(GV20="Yes",SUMIF(GV:GV,"Yes",GT:GT),0)</f>
        <v/>
      </c>
      <c r="GX20" s="1051">
        <f>IF(GW20&gt;GU20,(GW20-GU20)*(GT20/SUMIF(GV:GV,"Yes",GT:GT)),0)</f>
        <v/>
      </c>
      <c r="GY20" s="1051">
        <f>MAX(0,GT20-GX20)</f>
        <v/>
      </c>
      <c r="GZ20" s="1051">
        <f>'Concentration Limits'!$J$70</f>
        <v/>
      </c>
      <c r="HA20" s="1051">
        <f>IF(BX20="Yes", "Yes", "No")</f>
        <v/>
      </c>
      <c r="HB20" s="1051">
        <f>IF(HA20="Yes",SUMIF(HA:HA,"Yes",GY:GY),0)</f>
        <v/>
      </c>
      <c r="HC20" s="1051">
        <f>IF(HB20&gt;GZ20,(HB20-GZ20)*(GY20/SUMIF(HA:HA,"Yes",GY:GY)),0)</f>
        <v/>
      </c>
      <c r="HD20" s="1051">
        <f>MAX(0,GY20-HC20)</f>
        <v/>
      </c>
      <c r="HE20" s="1053">
        <f>IF(AQ20=0,0,HD20*AQ20/(AQ20+AR20))</f>
        <v/>
      </c>
      <c r="HF20" s="1053">
        <f>IF(AR20=0,0,HD20*AR20/(AQ20+AR20))</f>
        <v/>
      </c>
      <c r="HG20" s="1053">
        <f>IF(AW20=0,0,HD20*AW20/(AW20+AX20))</f>
        <v/>
      </c>
      <c r="HH20" s="1053">
        <f>IF(AX20=0,0,HD20*AX20/(AX20+AW20))</f>
        <v/>
      </c>
      <c r="HI20" s="1053">
        <f>IF(BE20=0,0,#REF!*BE20/(BE20+BG20))</f>
        <v/>
      </c>
      <c r="HJ20" s="1053">
        <f>IF(BG20=0,0,#REF!*BG20/(BG20+BE20))</f>
        <v/>
      </c>
      <c r="HK20" s="1054">
        <f>IF(BF20=0,0,#REF!*BF20/(BF20+BH20))</f>
        <v/>
      </c>
      <c r="HL20" s="1053">
        <f>IF(BH20=0,0,#REF!*BH20/(BH20+BF20))</f>
        <v/>
      </c>
      <c r="HM20" s="1053">
        <f>IF(D20="Second Lien",HD20,0)</f>
        <v/>
      </c>
      <c r="HN20" s="1053">
        <f>SUM(HE20:HM20)=HD20</f>
        <v/>
      </c>
    </row>
    <row r="21" ht="12.75" customFormat="1" customHeight="1" s="469">
      <c r="A21" s="55">
        <f>A20+1</f>
        <v/>
      </c>
      <c r="B21" s="437">
        <f>INDEX('Loan Tape - Settled'!$B$4:$AP$55,MATCH($A21,'Loan Tape - Settled'!$E$4:$E$55,0),MATCH("Obligor Name",'Loan Tape - Settled'!$B$4:$AM$4,0))</f>
        <v/>
      </c>
      <c r="C21" s="437">
        <f>INDEX('Loan Tape - Settled'!$B$4:$AP$55,MATCH($A21,'Loan Tape - Settled'!$E$4:$E$55,0),MATCH("Security",'Loan Tape - Settled'!$B$4:$AM$4,0))</f>
        <v/>
      </c>
      <c r="D21" s="438">
        <f>INDEX('Loan Tape - Settled'!$B$4:$AP$55,MATCH($A21,'Loan Tape - Settled'!$E$4:$E$55,0),MATCH("Loan Type",'Loan Tape - Settled'!$B$4:$AM$4,0))</f>
        <v/>
      </c>
      <c r="E21" s="439">
        <f>IF(ISERROR(MATCH(D21,AGENT!$A$4:$A$10,0))=FALSE, TRUE)</f>
        <v/>
      </c>
      <c r="F21" s="439">
        <f>IF(AND(BZ21="no",CA21="no"),TRUE)</f>
        <v/>
      </c>
      <c r="G21" s="439">
        <f>IF(D21&lt;&gt;"Second Lien",TRUE, IF(CY21&gt;=AGENT!$B$4,TRUE))</f>
        <v/>
      </c>
      <c r="H21" s="439">
        <f>IF(DE21&lt;=AGENT!$D$4,TRUE)</f>
        <v/>
      </c>
      <c r="I21" s="439">
        <f>IF(VLOOKUP(CONCATENATE($A$5,A21),'Loan Tape - Settled'!$A$5:$Q$55,17,FALSE)&gt;=AGENT!$E$4,TRUE)</f>
        <v/>
      </c>
      <c r="J21" s="439">
        <f>IF(INDEX('Loan Tape - Settled'!$B$4:$AP$55,MATCH($A21,'Loan Tape - Settled'!$E$4:$E$55,0),MATCH("Loan Denomination",'Loan Tape - Settled'!$B$4:$AP$4,0))="USD", TRUE)</f>
        <v/>
      </c>
      <c r="K21" s="439">
        <f>IF(INDEX('Loan Tape - Settled'!$B$4:$AP$55,MATCH($A21,'Loan Tape - Settled'!$E$4:$E$55,0),MATCH("Exposure Country",'Loan Tape - Settled'!$B$4:$AP$4,0))="United States", TRUE)</f>
        <v/>
      </c>
      <c r="L21" s="439">
        <f>IF(BS21="NO",TRUE)</f>
        <v/>
      </c>
      <c r="M21" s="439">
        <f>IF(((BM21-BL21)/365)&lt;=AGENT!$F$4,TRUE)</f>
        <v/>
      </c>
      <c r="N21" s="439">
        <f>IF(DX21="Yes",FALSE,TRUE)</f>
        <v/>
      </c>
      <c r="O21" s="493" t="n"/>
      <c r="P21" s="764">
        <f>IF($B21="","",IF(OR(O21=TRUE,COUNTIFS($E21:$N21,TRUE)=10),"Yes","No"))</f>
        <v/>
      </c>
      <c r="Q21" s="730" t="inlineStr">
        <is>
          <t>Yes</t>
        </is>
      </c>
      <c r="R21" s="440">
        <f>IF(P21="Yes",B21,"N/A")</f>
        <v/>
      </c>
      <c r="S21" s="440" t="n"/>
      <c r="T21" s="441">
        <f t="array" ref="T21">_xlfn.IFS(D21="Second Lien",D21,D21="First Lien",CONCATENATE(D21," ",EI21),D21="FILO",CONCATENATE(D21," ",EJ21))</f>
        <v/>
      </c>
      <c r="U21" s="442">
        <f>VLOOKUP(T21,'Concentration Limits'!D:G,4,FALSE)</f>
        <v/>
      </c>
      <c r="V21" s="1020">
        <f>AQ21+AW21+BI21</f>
        <v/>
      </c>
      <c r="W21" s="1021">
        <f>(SUMIFS('Loan Tape - Settled'!$AR$4:$AR$55,'Loan Tape - Settled'!$E$4:$E$55,$A21,'Loan Tape - Settled'!$C$4:$C$55,$A$5))</f>
        <v/>
      </c>
      <c r="X21" s="1022" t="n">
        <v>1</v>
      </c>
      <c r="Y21" s="1023">
        <f>W21*X21</f>
        <v/>
      </c>
      <c r="Z21" s="1022">
        <f>(SUMIFS('Loan Tape - Settled'!$AQ$4:$AQ$55,'Loan Tape - Settled'!$E$4:$E$55,$A21,'Loan Tape - Settled'!$C$4:$C$55,$A$5))</f>
        <v/>
      </c>
      <c r="AA21" s="1023">
        <f>Z21*X21</f>
        <v/>
      </c>
      <c r="AB21" s="1023">
        <f>AA21-Y21</f>
        <v/>
      </c>
      <c r="AC21" s="490">
        <f>VLOOKUP(CONCATENATE($A$5,A21),'Loan Tape - Settled'!$A$5:$Q$55,17,FALSE)</f>
        <v/>
      </c>
      <c r="AD21" s="445" t="n"/>
      <c r="AE21" s="446">
        <f>INDEX('Loan Tape - Settled'!$B$4:$AP$55,MATCH($A21,'Loan Tape - Settled'!$E$4:$E$55,0),MATCH("FMV",'Loan Tape - Settled'!$B$4:$AM$4,0))</f>
        <v/>
      </c>
      <c r="AF21" s="446">
        <f t="array" ref="AF21">_xlfn.IFS(D21="First Lien",
_xlfn.IFS(AND(DL21&gt;0,DL21&lt;Tier_1_1L),Tier_1_ApplicableValue,
AND(DL21&gt;=Tier_1_1L,DL21&lt;Tier_2_1L),((Tier_1_1L/DL21)*Tier_1_ApplicableValue)+((DL21-Tier_1_1L)/DL21*Tier_2_ApplicableValue),
AND(DL21&gt;=Tier_2_1L, DL21&lt;Tier_3_1L),((Tier_1_1L/DL21)*Tier_1_ApplicableValue+(Tier_2_1L-Tier_1_1L)/DL21*Tier_2_ApplicableValue+(DL21-Tier_2_1L)/DL21*Tier_3_ApplicableValue),
AND(DL21&gt;=Tier_3_1L, DL21&lt;=Tier_totalzerovalue),((Tier_1_1L/DL21)*Tier_1_ApplicableValue+(Tier_2_1L-Tier_1_1L)/DL21*Tier_2_ApplicableValue+(Tier_3_1L-Tier_2_1L)/DL21*Tier_3_ApplicableValue+(DL21-Tier_partialzerovalue)/DL21*0%),
DL21&gt;Tier_totalzerovalue,0%),
OR(D21="Second Lien", D21="FILO"),
_xlfn.IFS(AND(DM21&gt;0,DM21&lt;Tier_1_2L),Tier_1_ApplicableValue,
AND(DM21&gt;=Tier_1_2L,DM21&lt;Tier_2_2L),((Tier_1_2L/DM21)*Tier_1_ApplicableValue)+((DM21-Tier_1_2L)/DM21*Tier_2_ApplicableValue),
AND(DM21&gt;=Tier_2_2L, DM21&lt;Tier_3_2L),((Tier_1_2L/DM21)*Tier_1_ApplicableValue+(Tier_2_2L-Tier_1_2L)/DM21*Tier_2_ApplicableValue+(DM21-Tier_2_2L)/DM21*Tier_3_ApplicableValue),
AND(DM21&gt;=Tier_3_2L, DM21&lt;=Tier_totalzerovalue),((Tier_1_2L/DM21)*Tier_1_ApplicableValue+(Tier_2_2L-Tier_1_2L)/DM21*Tier_2_ApplicableValue+(Tier_3_2L-Tier_2_2L)/DM21*Tier_3_ApplicableValue+(DM21-Tier_partialzerovalue)/DM21*0%),
DM21&gt;Tier_totalzerovalue,0%))</f>
        <v/>
      </c>
      <c r="AG21" s="447">
        <f>IF(COUNTIFS(VAE!$C$5:$C$96,B21,VAE!$G$5:$G$96,"&lt;="&amp;Availability!$F$8)&gt;=1,"Yes","-")</f>
        <v/>
      </c>
      <c r="AH21" s="447">
        <f t="array" ref="AH21">IFERROR(IF(AG21="Yes",INDEX(VAE!$D$5:$D$96,MATCH(B21&amp;AJ21,VAE!$C$5:$C$96&amp;VAE!$G$5:$G$96,0)),"-"),0)</f>
        <v/>
      </c>
      <c r="AI21" s="447">
        <f t="array" ref="AI21">IFERROR(IF(AG21="Yes",INDEX(VAE!$F$5:$F$96,MATCH(B21&amp;AJ21,VAE!$C$5:$C$96&amp;VAE!$G$5:$G$96,0)),"-"),0)</f>
        <v/>
      </c>
      <c r="AJ21" s="448">
        <f>IF(AG21="-","-",_xlfn.MAXIFS(VAE!$G$5:$G$96,VAE!$C$5:$C$96,$B21))</f>
        <v/>
      </c>
      <c r="AK21" s="449">
        <f t="array" ref="AK21">IFERROR(IF(AG21="Yes",INDEX(VAE!$P$5:$P$96,MATCH(B21&amp;AJ21,VAE!$C$5:$C$96&amp;VAE!$G$5:$G$96,0)),"-"),0)</f>
        <v/>
      </c>
      <c r="AL21" s="446">
        <f>IF($A21="","",IF(P21="No",0,(IF(AG21="Yes",MIN(AE21,AK21,AF21),MIN(AE21,AF21)))))</f>
        <v/>
      </c>
      <c r="AM21" s="1020" t="n"/>
      <c r="AN21" s="1020" t="n"/>
      <c r="AO21" s="1020">
        <f>IF(AND(D21="First Lien",P21="No"),0,IF(D21&lt;&gt;"First Lien",0,Y21))</f>
        <v/>
      </c>
      <c r="AP21" s="1020">
        <f>IF(AND(D21="First Lien",P21="No"),W21,0)</f>
        <v/>
      </c>
      <c r="AQ21" s="1020">
        <f>AL21*AO21</f>
        <v/>
      </c>
      <c r="AR21" s="1020" t="n"/>
      <c r="AS21" s="1020" t="n"/>
      <c r="AT21" s="1020" t="n"/>
      <c r="AU21" s="1020">
        <f>IF(AND(D21="FILO",P21="No"),0,IF(D21&lt;&gt;"FILO",0,Y21))</f>
        <v/>
      </c>
      <c r="AV21" s="1020">
        <f>IF(AND(D21="FILO",P21="No"),W21,0)</f>
        <v/>
      </c>
      <c r="AW21" s="1020">
        <f>AU21*AL21</f>
        <v/>
      </c>
      <c r="AX21" s="1020" t="n"/>
      <c r="AY21" s="1020" t="n"/>
      <c r="AZ21" s="1020" t="n"/>
      <c r="BA21" s="1020">
        <f>IF(AND(OR(D21="First Lien",D21="FILO"),P21="No"),0,IF(OR(D21="First Lien",D21="FILO"),0,(Y21)))</f>
        <v/>
      </c>
      <c r="BB21" s="1020" t="n"/>
      <c r="BC21" s="1020" t="n"/>
      <c r="BD21" s="1020">
        <f>IF(AND(D21="Second Lien",P21="No"),W21,0)</f>
        <v/>
      </c>
      <c r="BE21" s="1020" t="n"/>
      <c r="BF21" s="1020" t="n"/>
      <c r="BG21" s="1020" t="n"/>
      <c r="BH21" s="1020" t="n"/>
      <c r="BI21" s="1020">
        <f>IF(D21="Second Lien",BA21*AL21,0)</f>
        <v/>
      </c>
      <c r="BJ21" s="1020">
        <f>SUM(AM21:AP21)+SUM(AZ21:BD21)+SUM(AS21:AV21)=Y21</f>
        <v/>
      </c>
      <c r="BK21" s="1026">
        <f>INDEX('Loan Tape - Settled'!$B$4:$AP$55,MATCH($A21,'Loan Tape - Settled'!$E$4:$E$55,0),MATCH("Inception Date",'Loan Tape - Settled'!$B$4:$AP$4,0))</f>
        <v/>
      </c>
      <c r="BL21" s="1026">
        <f>INDEX('Loan Tape - Settled'!$B$4:$AP$55,MATCH($A21,'Loan Tape - Settled'!$E$4:$E$55,0),MATCH("Inclusion Date",'Loan Tape - Settled'!$B$4:$AP$4,0))</f>
        <v/>
      </c>
      <c r="BM21" s="1026">
        <f>INDEX('Loan Tape - Settled'!$B$4:$AP$55,MATCH($A21,'Loan Tape - Settled'!$E$4:$E$55,0),MATCH("Maturity Date",'Loan Tape - Settled'!$B$4:$AP$4,0))</f>
        <v/>
      </c>
      <c r="BN21" s="556" t="n"/>
      <c r="BO21" s="556" t="n"/>
      <c r="BP21" s="1055" t="n"/>
      <c r="BQ21" s="556" t="n"/>
      <c r="BR21" s="554">
        <f>INDEX('Loan Tape - Settled'!$B$4:$AP$55,MATCH($A21,'Loan Tape - Settled'!$E$4:$E$55,0),MATCH("Industry Classification",'Loan Tape - Settled'!$B$4:$AP$4,0))</f>
        <v/>
      </c>
      <c r="BS21" s="556">
        <f>IF(INDEX('Loan Tape - Settled'!$B$4:$AP$55,MATCH($A21,'Loan Tape - Settled'!$E$4:$E$55,0),MATCH("Covenant Lite",'Loan Tape - Settled'!$B$4:$AP$4,0))=-1, "Yes", "No")</f>
        <v/>
      </c>
      <c r="BT21" s="1056">
        <f>INDEX('Loan Tape - Settled'!$B$4:$AP$55,MATCH($A21,'Loan Tape - Settled'!$E$4:$E$55,0),MATCH("Spread / Coupon (%)",'Loan Tape - Settled'!$B$4:$AP$4,0))</f>
        <v/>
      </c>
      <c r="BU21" s="556">
        <f>IF(INDEX('Loan Tape - Settled'!$B$4:$AP$55,MATCH($A21,'Loan Tape - Settled'!$E$4:$E$55,0),MATCH("Security Type",'Loan Tape - Settled'!$B$4:$AP$4,0))="Delayed Draw Term Loan", "Yes", "No")</f>
        <v/>
      </c>
      <c r="BV21" s="557" t="inlineStr">
        <is>
          <t>No</t>
        </is>
      </c>
      <c r="BW21" s="557" t="inlineStr">
        <is>
          <t>No</t>
        </is>
      </c>
      <c r="BX21" s="548" t="inlineStr">
        <is>
          <t>No</t>
        </is>
      </c>
      <c r="BY21" s="556">
        <f>IF(INDEX('Loan Tape - Settled'!$B$4:$AP$55,MATCH($A21,'Loan Tape - Settled'!$E$4:$E$55,0),MATCH("Fixed/Floating",'Loan Tape - Settled'!$B$4:$AP$4,0))="Fixed", "Yes", "No")</f>
        <v/>
      </c>
      <c r="BZ21" s="557" t="inlineStr">
        <is>
          <t>No</t>
        </is>
      </c>
      <c r="CA21" s="557" t="inlineStr">
        <is>
          <t>No</t>
        </is>
      </c>
      <c r="CB21" s="556">
        <f>IF(INDEX('Loan Tape - Settled'!$B$4:$AP$55,MATCH($A21,'Loan Tape - Settled'!$E$4:$E$55,0),MATCH("Loan Denomination",'Loan Tape - Settled'!$B$4:$AP$4,0))="CAD", "Yes", "No")</f>
        <v/>
      </c>
      <c r="CC21" s="556">
        <f>INDEX('Loan Tape - Settled'!$B$4:$AP$55,MATCH($A21,'Loan Tape - Settled'!$E$4:$E$55,0),MATCH("Payment Frequency",'Loan Tape - Settled'!$B$4:$AP$4,0))</f>
        <v/>
      </c>
      <c r="CD21" s="557" t="inlineStr">
        <is>
          <t>No</t>
        </is>
      </c>
      <c r="CE21" s="556">
        <f>INDEX('Loan Tape - Settled'!$B$4:$AP$55,MATCH($A21,'Loan Tape - Settled'!$E$4:$E$55,0),MATCH("S&amp;P Loan Rating (if applicable)",'Loan Tape - Settled'!$B$4:$AP$4,0))</f>
        <v/>
      </c>
      <c r="CF21" s="556">
        <f>INDEX('Loan Tape - Settled'!$B$4:$AP$55,MATCH($A21,'Loan Tape - Settled'!$E$4:$E$55,0),MATCH("Moody's Loan Rating (if applicable)",'Loan Tape - Settled'!$B$4:$AP$4,0))</f>
        <v/>
      </c>
      <c r="CG21" s="556" t="n"/>
      <c r="CH21" s="556" t="n"/>
      <c r="CI21" s="1057" t="n"/>
      <c r="CJ21" s="1030">
        <f>INDEX('Loan Tape - Settled'!$B$4:$BF$55,MATCH($A21,'Loan Tape - Settled'!$E$4:$E$55,0),MATCH("Last Financial Received",'Loan Tape - Settled'!$B$4:$BF$4,0))</f>
        <v/>
      </c>
      <c r="CK21" s="559">
        <f>INDEX('Loan Tape - Settled'!$B$4:$BJ$55,MATCH($A21,'Loan Tape - Settled'!$E$4:$E$55,0),MATCH("Initial Adjusted TTM EBITDA",'Loan Tape - Settled'!$B$4:$BJ$4,0))</f>
        <v/>
      </c>
      <c r="CL21" s="559">
        <f>INDEX('Loan Tape - Settled'!$B$4:$BJ$55,MATCH($A21,'Loan Tape - Settled'!$E$4:$E$55,0),MATCH("Initial TTM Non-adjusted EBITDA",'Loan Tape - Settled'!$B$4:$BJ$4,0))</f>
        <v/>
      </c>
      <c r="CM21" s="1031" t="n"/>
      <c r="CN21" s="451" t="n"/>
      <c r="CO21" s="451" t="n"/>
      <c r="CP21" s="1032" t="n"/>
      <c r="CQ21" s="1033" t="inlineStr">
        <is>
          <t>N</t>
        </is>
      </c>
      <c r="CR21" s="1032" t="n"/>
      <c r="CS21" s="454">
        <f>CK21-CP21+CR21</f>
        <v/>
      </c>
      <c r="CT21" s="455">
        <f>1-CS21/CK21</f>
        <v/>
      </c>
      <c r="CU21" s="559">
        <f>INDEX('Loan Tape - Settled'!$B$4:$BJ$55,MATCH($A21,'Loan Tape - Settled'!$E$4:$E$55,0),MATCH("Current TTM Non-adjusted EBITDA",'Loan Tape - Settled'!$B$4:$BJ$4,0))</f>
        <v/>
      </c>
      <c r="CV21" s="456">
        <f>CT21</f>
        <v/>
      </c>
      <c r="CW21" s="1034" t="inlineStr">
        <is>
          <t>N</t>
        </is>
      </c>
      <c r="CX21" s="1035" t="n"/>
      <c r="CY21" s="1036">
        <f>IF(CW21="N",(1-CV21)*CU21,(1-CX21)*CU21)</f>
        <v/>
      </c>
      <c r="CZ21" s="1037" t="n"/>
      <c r="DA21" s="1038" t="n"/>
      <c r="DB21" s="1039" t="n"/>
      <c r="DC21" s="1040" t="n"/>
      <c r="DD21" s="1040">
        <f>INDEX('Loan Tape - Settled'!$B$4:$BJ$55,MATCH($A21,'Loan Tape - Settled'!$E$4:$E$55,0),MATCH("Initial Senior Net Leverage Senior",'Loan Tape - Settled'!$B$4:$BJ$4,0))</f>
        <v/>
      </c>
      <c r="DE21" s="1041">
        <f>INDEX('Loan Tape - Settled'!$B$4:$BJ$55,MATCH($A21,'Loan Tape - Settled'!$E$4:$E$55,0),MATCH("Initial Total Net Leverage",'Loan Tape - Settled'!$B$4:$BJ$4,0))</f>
        <v/>
      </c>
      <c r="DF21" s="1037" t="n"/>
      <c r="DG21" s="1038" t="n"/>
      <c r="DH21" s="1039" t="n"/>
      <c r="DI21" s="1042">
        <f>INDEX('Loan Tape - Settled'!$B$4:$BJ$55,MATCH($A21,'Loan Tape - Settled'!$E$4:$E$55,0),MATCH("Net Attachment",'Loan Tape - Settled'!$B$4:$BJ$4,0))</f>
        <v/>
      </c>
      <c r="DJ21" s="566">
        <f t="array" ref="DJ21">IF(AG21="Yes",INDEX(VAE!$M$5:$M$53,MATCH($B21&amp;$AJ21,VAE!$C$5:$C$53&amp;VAE!$G$5:$G$53,0)),DD21)</f>
        <v/>
      </c>
      <c r="DK21" s="697">
        <f t="array" ref="DK21">IF(AG21="Yes",INDEX(VAE!$N$5:$N$53,MATCH($B21&amp;$AJ21,VAE!$C$5:$C$53&amp;VAE!$G$5:$G$53,0)),DE21)</f>
        <v/>
      </c>
      <c r="DL21" s="1058">
        <f>INDEX('Loan Tape - Settled'!$B$4:$BJ$55,MATCH($A21,'Loan Tape - Settled'!$E$4:$E$55,0),MATCH("Current Senior Net Leverage Senior",'Loan Tape - Settled'!$B$4:$BJ$4,0))</f>
        <v/>
      </c>
      <c r="DM21" s="1059">
        <f>INDEX('Loan Tape - Settled'!$B$4:$BJ$55,MATCH($A21,'Loan Tape - Settled'!$E$4:$E$55,0),MATCH("Current Total Net Leverage",'Loan Tape - Settled'!$B$4:$BJ$4,0))</f>
        <v/>
      </c>
      <c r="DN21" s="1044" t="n"/>
      <c r="DO21" s="1045">
        <f>INDEX('Loan Tape - Settled'!$B$4:$BJ$55,MATCH($A21,'Loan Tape - Settled'!$E$4:$E$55,0),MATCH("Initial Interest Coverage",'Loan Tape - Settled'!$B$4:$BJ$4,0))</f>
        <v/>
      </c>
      <c r="DP21" s="565">
        <f t="array" ref="DP21">IF(AG21="Yes",INDEX(VAE!$O$5:$O$53,MATCH($B21&amp;$AJ21,VAE!$C$5:$C$53&amp;VAE!$G$5:$G$53,0)),DO21)</f>
        <v/>
      </c>
      <c r="DQ21" s="1046">
        <f>INDEX('Loan Tape - Settled'!$B$4:$BJ$55,MATCH($A21,'Loan Tape - Settled'!$E$4:$E$55,0),MATCH("Current Interest Coverage",'Loan Tape - Settled'!$B$4:$BJ$4,0))</f>
        <v/>
      </c>
      <c r="DR21" s="462">
        <f>IF(OR(DU21="Yes",DU21="N/A",DV21="Yes",DV21="N/A",DW21="Yes",DX21="Yes",DY21="Yes",EF21="Yes",EG21="Yes",EH21="Yes"),"Yes","No")</f>
        <v/>
      </c>
      <c r="DS21" s="1047">
        <f>IF(AG21="Yes",DATEDIF(AJ21,Availability!$F$8,"m"),"")</f>
        <v/>
      </c>
      <c r="DT21" s="1047">
        <f>IF(DS21="","No",IF(DS21&gt;12,"Yes","No"))</f>
        <v/>
      </c>
      <c r="DU21" s="695">
        <f>IFERROR(IF(AND(DQ21/DP21&lt;0.75,DQ21&lt;1.5),"Yes","No"),"N/A")</f>
        <v/>
      </c>
      <c r="DV21" s="696">
        <f>IFERROR(IF(OR(D21="First Lien",D21="FILO"),IF(AND((DL21-DJ21)&gt;0.75,DL21&gt;4),"Yes","No"),"No"),"N/A")</f>
        <v/>
      </c>
      <c r="DW21" s="696">
        <f t="array" ref="DW21">_xlfn.IFS(D21&lt;&gt;"Second Lien","No",D21="Second Lien",IF(AND((DM21-DK21)&gt;0.5,DM21&gt;4.5),"Yes","No"))</f>
        <v/>
      </c>
      <c r="DX21" s="735" t="inlineStr">
        <is>
          <t>Yes</t>
        </is>
      </c>
      <c r="DY21" s="735" t="inlineStr">
        <is>
          <t>No</t>
        </is>
      </c>
      <c r="DZ21" s="1048" t="inlineStr">
        <is>
          <t>Yes</t>
        </is>
      </c>
      <c r="EA21" s="1048" t="inlineStr">
        <is>
          <t>Yes</t>
        </is>
      </c>
      <c r="EB21" s="1048" t="inlineStr">
        <is>
          <t>Yes</t>
        </is>
      </c>
      <c r="EC21" s="1048" t="inlineStr">
        <is>
          <t>No</t>
        </is>
      </c>
      <c r="ED21" s="1048" t="inlineStr">
        <is>
          <t>No</t>
        </is>
      </c>
      <c r="EE21" s="1048" t="inlineStr">
        <is>
          <t>No</t>
        </is>
      </c>
      <c r="EF21" s="442">
        <f>IF(OR(DZ21="Yes",EA21="Yes",EB21="Yes",EC21="Yes",ED21="Yes",EE21="Yes"),"Yes","No")</f>
        <v/>
      </c>
      <c r="EG21" s="1048" t="inlineStr">
        <is>
          <t>No</t>
        </is>
      </c>
      <c r="EH21" s="1049" t="inlineStr">
        <is>
          <t>No</t>
        </is>
      </c>
      <c r="EI21" s="1050">
        <f t="array" ref="EI21">IF(D21="First Lien",_xlfn.IFS(CY21&gt;AGENT!$B$23, "&gt; $20MM",CY21&lt;=AGENT!$C$25, "&lt;= $10MM",AND(CY21&lt;=AGENT!$C$24,CY21&gt;AGENT!$B$24),"&lt;= $20MM"), "N/A")</f>
        <v/>
      </c>
      <c r="EJ21" s="1050">
        <f t="array" ref="EJ21">IF(D21="FILO",_xlfn.IFS(DI21&gt;AGENT!$B$29, "&gt; 1.25x",DI21&lt;AGENT!$C$27, "&lt; 0.75x",AND(DI21&lt;=AGENT!$C$28,DI21&gt;=AGENT!$B$28),"&lt;= 1.25x"), "N/A")</f>
        <v/>
      </c>
      <c r="EK21" s="1051">
        <f>V21</f>
        <v/>
      </c>
      <c r="EL21" s="1051">
        <f>'Concentration Limits'!$J$49</f>
        <v/>
      </c>
      <c r="EM21" s="1051">
        <f>IF(OR(D21="Second Lien",AND(D21="FILO",DI21&gt;AGENT!$C$57)), "Yes", "No")</f>
        <v/>
      </c>
      <c r="EN21" s="1051">
        <f>IF(EM21="Yes",SUMIF(EM:EM,"Yes",EK:EK),0)</f>
        <v/>
      </c>
      <c r="EO21" s="1051">
        <f>IF(EN21&gt;EL21,(EN21-EL21)*(EK21/SUMIF(EM:EM,"Yes",EK:EK)),0)</f>
        <v/>
      </c>
      <c r="EP21" s="1051">
        <f>MAX(0,EK21-EO21)</f>
        <v/>
      </c>
      <c r="EQ21" s="1051">
        <f>'Concentration Limits'!$J$50</f>
        <v/>
      </c>
      <c r="ER21" s="1051">
        <f>IF(D21="Second Lien",SUMIF(D:D,D21,EP:EP),0)</f>
        <v/>
      </c>
      <c r="ES21" s="1051">
        <f>MAX(0,(ER21-EQ21)*IFERROR((EP21/SUMIF($D:$D,D21,EP:EP )),0) )</f>
        <v/>
      </c>
      <c r="ET21" s="1051">
        <f>MAX(0,EP21-ES21)</f>
        <v/>
      </c>
      <c r="EU21" s="1051">
        <f>'Concentration Limits'!$J$51</f>
        <v/>
      </c>
      <c r="EV21" s="1051">
        <f>IF(OR(D21="Second Lien", AND(D21="FILO",DI21&gt;AGENT!$C$59)), "Yes", "No")</f>
        <v/>
      </c>
      <c r="EW21" s="1051">
        <f>IF(EV21="Yes",SUMIF(EV:EV,"Yes",ET:ET),0)</f>
        <v/>
      </c>
      <c r="EX21" s="1051">
        <f>IF(EW21&gt;EU21,(EW21-EU21)*(ET21/SUMIF(EV:EV,"Yes",ET:ET)),0)</f>
        <v/>
      </c>
      <c r="EY21" s="1051">
        <f>MAX(0,ET21-EX21)</f>
        <v/>
      </c>
      <c r="EZ21" s="1051">
        <f>'Concentration Limits'!$J$52</f>
        <v/>
      </c>
      <c r="FA21" s="1051">
        <f>IF(CY21&gt;'Concentration Limits'!$E$52, "No", "Yes")</f>
        <v/>
      </c>
      <c r="FB21" s="1051">
        <f>IF(FA21="Yes",SUMIF(FA:FA,"Yes",EY:EY),0)</f>
        <v/>
      </c>
      <c r="FC21" s="1051">
        <f>IF(FB21&gt;EZ21,(FB21-EZ21)*(EY21/SUMIF(FA:FA,"Yes",EY:EY)),0)</f>
        <v/>
      </c>
      <c r="FD21" s="1051">
        <f>MAX(0,EY21-FC21)</f>
        <v/>
      </c>
      <c r="FE21" s="1052">
        <f>'Concentration Limits'!$J$54</f>
        <v/>
      </c>
      <c r="FF21" s="1052">
        <f>'Concentration Limits'!$J$55</f>
        <v/>
      </c>
      <c r="FG21" s="1052">
        <f>'Concentration Limits'!$J$56</f>
        <v/>
      </c>
      <c r="FH21" s="1053">
        <f>'Concentration Limits'!$J$57</f>
        <v/>
      </c>
      <c r="FI21" s="1053">
        <f>SUMIF($B:$B,$B21,$FD:$FD)</f>
        <v/>
      </c>
      <c r="FJ21" s="1053">
        <f>IF(MATCH($B21,$B:$B,0)=ROW(),$FI21,0)</f>
        <v/>
      </c>
      <c r="FK21" s="1053">
        <f>INDEX(FL$8:FL$60,MATCH(B21,B$8:B$60,0))</f>
        <v/>
      </c>
      <c r="FL21" s="1053">
        <f>IF(FJ21&gt;0,RANK(FJ21,$FJ$9:$FJ$60)+COUNTIF($FJ$9:FJ21,FJ21)-1,0)</f>
        <v/>
      </c>
      <c r="FM21" s="1052">
        <f>IF(FK21=1,IF(FI21&gt;FE21,(FI21-FE21)*(V21/SUMIF($B:$B,B21,$FD:$FD)),0),0)</f>
        <v/>
      </c>
      <c r="FN21" s="1052">
        <f>IF(FK21=2,IF(FI21&gt;FF21,(FI21-FF21)*(V21/SUMIF($B:$B,B21,$FD:$FD)),0),0)</f>
        <v/>
      </c>
      <c r="FO21" s="1052">
        <f>IF(FK21=3,IF(FI21&gt;FG21,(FI21-FG21)*(V21/SUMIF($B:$B,B21,$FD:$FD)),0),0)</f>
        <v/>
      </c>
      <c r="FP21" s="1053">
        <f>IF(FK21&gt;0,IF(FI21&gt;FH21,(FI21-FH21)*(FD21/(SUMIF($B:$B,$B21,$FD:$FD))),0),0)</f>
        <v/>
      </c>
      <c r="FQ21" s="1053">
        <f>MAX(0,FD21-FM21-FN21-FO21-FP21)</f>
        <v/>
      </c>
      <c r="FR21" s="1053">
        <f>'Concentration Limits'!$J$58</f>
        <v/>
      </c>
      <c r="FS21" s="1053">
        <f>SUMIF($BR:$BR,$BR21,FQ:FQ)</f>
        <v/>
      </c>
      <c r="FT21" s="1053">
        <f>VLOOKUP(BR21,'Concentration Limits'!$E$81:$H$153,4,FALSE)</f>
        <v/>
      </c>
      <c r="FU21" s="1053">
        <f>IF(FT21=1,MAX(0,(FS21-FR21)*(FQ21/SUMIF($BR:$BR,BR21,FQ:FQ))),0)</f>
        <v/>
      </c>
      <c r="FV21" s="1053">
        <f>MAX(0,FQ21-FU21)</f>
        <v/>
      </c>
      <c r="FW21" s="1053">
        <f>'Concentration Limits'!$J$59</f>
        <v/>
      </c>
      <c r="FX21" s="1053">
        <f>SUMIF($BR:$BR,$BR21,FV:FV)</f>
        <v/>
      </c>
      <c r="FY21" s="1053">
        <f>VLOOKUP(BR21,'Concentration Limits'!$E$81:$H$153,4,FALSE)</f>
        <v/>
      </c>
      <c r="FZ21" s="1053">
        <f>MAX(0,IF(FY21=2,(FX21-FW21)*(FV21/SUMIF($BR:$BR,BR21,FV:FV)),0))</f>
        <v/>
      </c>
      <c r="GA21" s="1053">
        <f>MAX(0,FV21-FZ21)</f>
        <v/>
      </c>
      <c r="GB21" s="1053">
        <f>'Concentration Limits'!$J$61</f>
        <v/>
      </c>
      <c r="GC21" s="1053">
        <f>SUMIF($BR:$BR,$BR21,GA:GA)</f>
        <v/>
      </c>
      <c r="GD21" s="1051">
        <f>VLOOKUP(BR21,'Concentration Limits'!$E$81:$H$153,4,FALSE)</f>
        <v/>
      </c>
      <c r="GE21" s="1053">
        <f>IF(GA21=0,0,MAX(0,IF(GD21&lt;3,0,(GC21-GB21)*($GA21/SUMIF($BR:$BR,BR21,GA:GA)))))</f>
        <v/>
      </c>
      <c r="GF21" s="1053">
        <f>MAX(0,GA21-GE21)</f>
        <v/>
      </c>
      <c r="GG21" s="1053">
        <f>'Concentration Limits'!$J$64</f>
        <v/>
      </c>
      <c r="GH21" s="1053">
        <f>IF(BY21="Yes",SUMIF(BY:BY,BY21,GF:GF),0)</f>
        <v/>
      </c>
      <c r="GI21" s="1053">
        <f>IFERROR(MAX(0,(GH21-GG21)*(GF21/SUMIF($T:$T,T21,GF:GF ))),0)</f>
        <v/>
      </c>
      <c r="GJ21" s="1053">
        <f>MAX(0,GF21-GI21)</f>
        <v/>
      </c>
      <c r="GK21" s="1053">
        <f>'Concentration Limits'!$J$67</f>
        <v/>
      </c>
      <c r="GL21" s="1051">
        <f>IF(OR(BV21="Yes",OR(ISNUMBER(SEARCH("Travel",BR21)),ISNUMBER(SEARCH("Energy",BR21)),ISNUMBER(SEARCH("Leisure",BR21)),ISNUMBER(SEARCH("hotel",BR21)))),"Yes","No")</f>
        <v/>
      </c>
      <c r="GM21" s="1053">
        <f>IF(GL21="Yes",SUMIF(GL:GL,"Yes",GJ:GJ),0)</f>
        <v/>
      </c>
      <c r="GN21" s="1053">
        <f>IF(GM21&gt;GK21,(GM21-GK21)*(GJ21/SUMIF(GL:GL,"Yes",GJ:GJ)),0)</f>
        <v/>
      </c>
      <c r="GO21" s="1053">
        <f>MAX(0,GJ21-GN21)</f>
        <v/>
      </c>
      <c r="GP21" s="1053">
        <f>'Concentration Limits'!$J$68</f>
        <v/>
      </c>
      <c r="GQ21" s="1051">
        <f>IF(BU21="Yes","Yes", "No")</f>
        <v/>
      </c>
      <c r="GR21" s="1053">
        <f>IF(GQ21="Yes",SUMIF(GQ:GQ,"Yes",GO:GO),0)</f>
        <v/>
      </c>
      <c r="GS21" s="1053">
        <f>IF(GR21&gt;GP21,(GR21-GP21)*(GO21/SUMIF(GQ:GQ,"Yes",GO:GO)),0)</f>
        <v/>
      </c>
      <c r="GT21" s="1053">
        <f>MAX(0,GO21-GS21)</f>
        <v/>
      </c>
      <c r="GU21" s="1051">
        <f>'Concentration Limits'!$J$69</f>
        <v/>
      </c>
      <c r="GV21" s="1051">
        <f>IF(BW21="Yes", "Yes", "No")</f>
        <v/>
      </c>
      <c r="GW21" s="1051">
        <f>IF(GV21="Yes",SUMIF(GV:GV,"Yes",GT:GT),0)</f>
        <v/>
      </c>
      <c r="GX21" s="1051">
        <f>IF(GW21&gt;GU21,(GW21-GU21)*(GT21/SUMIF(GV:GV,"Yes",GT:GT)),0)</f>
        <v/>
      </c>
      <c r="GY21" s="1051">
        <f>MAX(0,GT21-GX21)</f>
        <v/>
      </c>
      <c r="GZ21" s="1051">
        <f>'Concentration Limits'!$J$70</f>
        <v/>
      </c>
      <c r="HA21" s="1051">
        <f>IF(BX21="Yes", "Yes", "No")</f>
        <v/>
      </c>
      <c r="HB21" s="1051">
        <f>IF(HA21="Yes",SUMIF(HA:HA,"Yes",GY:GY),0)</f>
        <v/>
      </c>
      <c r="HC21" s="1051">
        <f>IF(HB21&gt;GZ21,(HB21-GZ21)*(GY21/SUMIF(HA:HA,"Yes",GY:GY)),0)</f>
        <v/>
      </c>
      <c r="HD21" s="1051">
        <f>MAX(0,GY21-HC21)</f>
        <v/>
      </c>
      <c r="HE21" s="1053">
        <f>IF(AQ21=0,0,HD21*AQ21/(AQ21+AR21))</f>
        <v/>
      </c>
      <c r="HF21" s="1053">
        <f>IF(AR21=0,0,HD21*AR21/(AQ21+AR21))</f>
        <v/>
      </c>
      <c r="HG21" s="1053">
        <f>IF(AW21=0,0,HD21*AW21/(AW21+AX21))</f>
        <v/>
      </c>
      <c r="HH21" s="1053">
        <f>IF(AX21=0,0,HD21*AX21/(AX21+AW21))</f>
        <v/>
      </c>
      <c r="HI21" s="1053">
        <f>IF(BE21=0,0,#REF!*BE21/(BE21+BG21))</f>
        <v/>
      </c>
      <c r="HJ21" s="1053">
        <f>IF(BG21=0,0,#REF!*BG21/(BG21+BE21))</f>
        <v/>
      </c>
      <c r="HK21" s="1054">
        <f>IF(BF21=0,0,#REF!*BF21/(BF21+BH21))</f>
        <v/>
      </c>
      <c r="HL21" s="1053">
        <f>IF(BH21=0,0,#REF!*BH21/(BH21+BF21))</f>
        <v/>
      </c>
      <c r="HM21" s="1053">
        <f>IF(D21="Second Lien",HD21,0)</f>
        <v/>
      </c>
      <c r="HN21" s="1053">
        <f>SUM(HE21:HM21)=HD21</f>
        <v/>
      </c>
    </row>
    <row r="22" ht="12.75" customFormat="1" customHeight="1" s="469">
      <c r="A22" s="55">
        <f>A21+1</f>
        <v/>
      </c>
      <c r="B22" s="437">
        <f>INDEX('Loan Tape - Settled'!$B$4:$AP$55,MATCH($A22,'Loan Tape - Settled'!$E$4:$E$55,0),MATCH("Obligor Name",'Loan Tape - Settled'!$B$4:$AM$4,0))</f>
        <v/>
      </c>
      <c r="C22" s="437">
        <f>INDEX('Loan Tape - Settled'!$B$4:$AP$55,MATCH($A22,'Loan Tape - Settled'!$E$4:$E$55,0),MATCH("Security",'Loan Tape - Settled'!$B$4:$AM$4,0))</f>
        <v/>
      </c>
      <c r="D22" s="438">
        <f>INDEX('Loan Tape - Settled'!$B$4:$AP$55,MATCH($A22,'Loan Tape - Settled'!$E$4:$E$55,0),MATCH("Loan Type",'Loan Tape - Settled'!$B$4:$AM$4,0))</f>
        <v/>
      </c>
      <c r="E22" s="439">
        <f>IF(ISERROR(MATCH(D22,AGENT!$A$4:$A$10,0))=FALSE, TRUE)</f>
        <v/>
      </c>
      <c r="F22" s="439">
        <f>IF(AND(BZ22="no",CA22="no"),TRUE)</f>
        <v/>
      </c>
      <c r="G22" s="439">
        <f>IF(D22&lt;&gt;"Second Lien",TRUE, IF(CY22&gt;=AGENT!$B$4,TRUE))</f>
        <v/>
      </c>
      <c r="H22" s="439">
        <f>IF(DE22&lt;=AGENT!$D$4,TRUE)</f>
        <v/>
      </c>
      <c r="I22" s="439">
        <f>IF(VLOOKUP(CONCATENATE($A$5,A22),'Loan Tape - Settled'!$A$5:$Q$55,17,FALSE)&gt;=AGENT!$E$4,TRUE)</f>
        <v/>
      </c>
      <c r="J22" s="439">
        <f>IF(INDEX('Loan Tape - Settled'!$B$4:$AP$55,MATCH($A22,'Loan Tape - Settled'!$E$4:$E$55,0),MATCH("Loan Denomination",'Loan Tape - Settled'!$B$4:$AP$4,0))="USD", TRUE)</f>
        <v/>
      </c>
      <c r="K22" s="439">
        <f>IF(INDEX('Loan Tape - Settled'!$B$4:$AP$55,MATCH($A22,'Loan Tape - Settled'!$E$4:$E$55,0),MATCH("Exposure Country",'Loan Tape - Settled'!$B$4:$AP$4,0))="United States", TRUE)</f>
        <v/>
      </c>
      <c r="L22" s="439">
        <f>IF(BS22="NO",TRUE)</f>
        <v/>
      </c>
      <c r="M22" s="439">
        <f>IF(((BM22-BL22)/365)&lt;=AGENT!$F$4,TRUE)</f>
        <v/>
      </c>
      <c r="N22" s="439">
        <f>IF(DX22="Yes",FALSE,TRUE)</f>
        <v/>
      </c>
      <c r="O22" s="493" t="n"/>
      <c r="P22" s="764">
        <f>IF($B22="","",IF(OR(O22=TRUE,COUNTIFS($E22:$N22,TRUE)=10),"Yes","No"))</f>
        <v/>
      </c>
      <c r="Q22" s="730" t="inlineStr">
        <is>
          <t>Yes</t>
        </is>
      </c>
      <c r="R22" s="440">
        <f>IF(P22="Yes",B22,"N/A")</f>
        <v/>
      </c>
      <c r="S22" s="440" t="n"/>
      <c r="T22" s="441">
        <f t="array" ref="T22">_xlfn.IFS(D22="Second Lien",D22,D22="First Lien",CONCATENATE(D22," ",EI22),D22="FILO",CONCATENATE(D22," ",EJ22))</f>
        <v/>
      </c>
      <c r="U22" s="442">
        <f>VLOOKUP(T22,'Concentration Limits'!D:G,4,FALSE)</f>
        <v/>
      </c>
      <c r="V22" s="1020">
        <f>AQ22+AW22+BI22</f>
        <v/>
      </c>
      <c r="W22" s="1021">
        <f>(SUMIFS('Loan Tape - Settled'!$AR$4:$AR$55,'Loan Tape - Settled'!$E$4:$E$55,$A22,'Loan Tape - Settled'!$C$4:$C$55,$A$5))</f>
        <v/>
      </c>
      <c r="X22" s="1022" t="n">
        <v>1</v>
      </c>
      <c r="Y22" s="1023">
        <f>W22*X22</f>
        <v/>
      </c>
      <c r="Z22" s="1022">
        <f>(SUMIFS('Loan Tape - Settled'!$AQ$4:$AQ$55,'Loan Tape - Settled'!$E$4:$E$55,$A22,'Loan Tape - Settled'!$C$4:$C$55,$A$5))</f>
        <v/>
      </c>
      <c r="AA22" s="1023">
        <f>Z22*X22</f>
        <v/>
      </c>
      <c r="AB22" s="1023">
        <f>AA22-Y22</f>
        <v/>
      </c>
      <c r="AC22" s="490">
        <f>VLOOKUP(CONCATENATE($A$5,A22),'Loan Tape - Settled'!$A$5:$Q$55,17,FALSE)</f>
        <v/>
      </c>
      <c r="AD22" s="445" t="n"/>
      <c r="AE22" s="446">
        <f>INDEX('Loan Tape - Settled'!$B$4:$AP$55,MATCH($A22,'Loan Tape - Settled'!$E$4:$E$55,0),MATCH("FMV",'Loan Tape - Settled'!$B$4:$AM$4,0))</f>
        <v/>
      </c>
      <c r="AF22" s="446">
        <f t="array" ref="AF22">_xlfn.IFS(D22="First Lien",
_xlfn.IFS(AND(DL22&gt;0,DL22&lt;Tier_1_1L),Tier_1_ApplicableValue,
AND(DL22&gt;=Tier_1_1L,DL22&lt;Tier_2_1L),((Tier_1_1L/DL22)*Tier_1_ApplicableValue)+((DL22-Tier_1_1L)/DL22*Tier_2_ApplicableValue),
AND(DL22&gt;=Tier_2_1L, DL22&lt;Tier_3_1L),((Tier_1_1L/DL22)*Tier_1_ApplicableValue+(Tier_2_1L-Tier_1_1L)/DL22*Tier_2_ApplicableValue+(DL22-Tier_2_1L)/DL22*Tier_3_ApplicableValue),
AND(DL22&gt;=Tier_3_1L, DL22&lt;=Tier_totalzerovalue),((Tier_1_1L/DL22)*Tier_1_ApplicableValue+(Tier_2_1L-Tier_1_1L)/DL22*Tier_2_ApplicableValue+(Tier_3_1L-Tier_2_1L)/DL22*Tier_3_ApplicableValue+(DL22-Tier_partialzerovalue)/DL22*0%),
DL22&gt;Tier_totalzerovalue,0%),
OR(D22="Second Lien", D22="FILO"),
_xlfn.IFS(AND(DM22&gt;0,DM22&lt;Tier_1_2L),Tier_1_ApplicableValue,
AND(DM22&gt;=Tier_1_2L,DM22&lt;Tier_2_2L),((Tier_1_2L/DM22)*Tier_1_ApplicableValue)+((DM22-Tier_1_2L)/DM22*Tier_2_ApplicableValue),
AND(DM22&gt;=Tier_2_2L, DM22&lt;Tier_3_2L),((Tier_1_2L/DM22)*Tier_1_ApplicableValue+(Tier_2_2L-Tier_1_2L)/DM22*Tier_2_ApplicableValue+(DM22-Tier_2_2L)/DM22*Tier_3_ApplicableValue),
AND(DM22&gt;=Tier_3_2L, DM22&lt;=Tier_totalzerovalue),((Tier_1_2L/DM22)*Tier_1_ApplicableValue+(Tier_2_2L-Tier_1_2L)/DM22*Tier_2_ApplicableValue+(Tier_3_2L-Tier_2_2L)/DM22*Tier_3_ApplicableValue+(DM22-Tier_partialzerovalue)/DM22*0%),
DM22&gt;Tier_totalzerovalue,0%))</f>
        <v/>
      </c>
      <c r="AG22" s="447">
        <f>IF(COUNTIFS(VAE!$C$5:$C$96,B22,VAE!$G$5:$G$96,"&lt;="&amp;Availability!$F$8)&gt;=1,"Yes","-")</f>
        <v/>
      </c>
      <c r="AH22" s="447">
        <f t="array" ref="AH22">IFERROR(IF(AG22="Yes",INDEX(VAE!$D$5:$D$96,MATCH(B22&amp;AJ22,VAE!$C$5:$C$96&amp;VAE!$G$5:$G$96,0)),"-"),0)</f>
        <v/>
      </c>
      <c r="AI22" s="447">
        <f t="array" ref="AI22">IFERROR(IF(AG22="Yes",INDEX(VAE!$F$5:$F$96,MATCH(B22&amp;AJ22,VAE!$C$5:$C$96&amp;VAE!$G$5:$G$96,0)),"-"),0)</f>
        <v/>
      </c>
      <c r="AJ22" s="448">
        <f>IF(AG22="-","-",_xlfn.MAXIFS(VAE!$G$5:$G$96,VAE!$C$5:$C$96,$B22))</f>
        <v/>
      </c>
      <c r="AK22" s="449">
        <f t="array" ref="AK22">IFERROR(IF(AG22="Yes",INDEX(VAE!$P$5:$P$96,MATCH(B22&amp;AJ22,VAE!$C$5:$C$96&amp;VAE!$G$5:$G$96,0)),"-"),0)</f>
        <v/>
      </c>
      <c r="AL22" s="446">
        <f>IF($A22="","",IF(P22="No",0,(IF(AG22="Yes",MIN(AE22,AK22,AF22),MIN(AE22,AF22)))))</f>
        <v/>
      </c>
      <c r="AM22" s="1020" t="n"/>
      <c r="AN22" s="1020" t="n"/>
      <c r="AO22" s="1020">
        <f>IF(AND(D22="First Lien",P22="No"),0,IF(D22&lt;&gt;"First Lien",0,Y22))</f>
        <v/>
      </c>
      <c r="AP22" s="1020">
        <f>IF(AND(D22="First Lien",P22="No"),W22,0)</f>
        <v/>
      </c>
      <c r="AQ22" s="1020">
        <f>AL22*AO22</f>
        <v/>
      </c>
      <c r="AR22" s="1020" t="n"/>
      <c r="AS22" s="1020" t="n"/>
      <c r="AT22" s="1020" t="n"/>
      <c r="AU22" s="1020">
        <f>IF(AND(D22="FILO",P22="No"),0,IF(D22&lt;&gt;"FILO",0,Y22))</f>
        <v/>
      </c>
      <c r="AV22" s="1020">
        <f>IF(AND(D22="FILO",P22="No"),W22,0)</f>
        <v/>
      </c>
      <c r="AW22" s="1020">
        <f>AU22*AL22</f>
        <v/>
      </c>
      <c r="AX22" s="1020" t="n"/>
      <c r="AY22" s="1020" t="n"/>
      <c r="AZ22" s="1020" t="n"/>
      <c r="BA22" s="1020">
        <f>IF(AND(OR(D22="First Lien",D22="FILO"),P22="No"),0,IF(OR(D22="First Lien",D22="FILO"),0,(Y22)))</f>
        <v/>
      </c>
      <c r="BB22" s="1020" t="n"/>
      <c r="BC22" s="1020" t="n"/>
      <c r="BD22" s="1020">
        <f>IF(AND(D22="Second Lien",P22="No"),W22,0)</f>
        <v/>
      </c>
      <c r="BE22" s="1020" t="n"/>
      <c r="BF22" s="1020" t="n"/>
      <c r="BG22" s="1020" t="n"/>
      <c r="BH22" s="1020" t="n"/>
      <c r="BI22" s="1020">
        <f>IF(D22="Second Lien",BA22*AL22,0)</f>
        <v/>
      </c>
      <c r="BJ22" s="1020">
        <f>SUM(AM22:AP22)+SUM(AZ22:BD22)+SUM(AS22:AV22)=Y22</f>
        <v/>
      </c>
      <c r="BK22" s="1026">
        <f>INDEX('Loan Tape - Settled'!$B$4:$AP$55,MATCH($A22,'Loan Tape - Settled'!$E$4:$E$55,0),MATCH("Inception Date",'Loan Tape - Settled'!$B$4:$AP$4,0))</f>
        <v/>
      </c>
      <c r="BL22" s="1026">
        <f>INDEX('Loan Tape - Settled'!$B$4:$AP$55,MATCH($A22,'Loan Tape - Settled'!$E$4:$E$55,0),MATCH("Inclusion Date",'Loan Tape - Settled'!$B$4:$AP$4,0))</f>
        <v/>
      </c>
      <c r="BM22" s="1026">
        <f>INDEX('Loan Tape - Settled'!$B$4:$AP$55,MATCH($A22,'Loan Tape - Settled'!$E$4:$E$55,0),MATCH("Maturity Date",'Loan Tape - Settled'!$B$4:$AP$4,0))</f>
        <v/>
      </c>
      <c r="BN22" s="556" t="n"/>
      <c r="BO22" s="556" t="n"/>
      <c r="BP22" s="1055" t="n"/>
      <c r="BQ22" s="556" t="n"/>
      <c r="BR22" s="554">
        <f>INDEX('Loan Tape - Settled'!$B$4:$AP$55,MATCH($A22,'Loan Tape - Settled'!$E$4:$E$55,0),MATCH("Industry Classification",'Loan Tape - Settled'!$B$4:$AP$4,0))</f>
        <v/>
      </c>
      <c r="BS22" s="556">
        <f>IF(INDEX('Loan Tape - Settled'!$B$4:$AP$55,MATCH($A22,'Loan Tape - Settled'!$E$4:$E$55,0),MATCH("Covenant Lite",'Loan Tape - Settled'!$B$4:$AP$4,0))=-1, "Yes", "No")</f>
        <v/>
      </c>
      <c r="BT22" s="1056">
        <f>INDEX('Loan Tape - Settled'!$B$4:$AP$55,MATCH($A22,'Loan Tape - Settled'!$E$4:$E$55,0),MATCH("Spread / Coupon (%)",'Loan Tape - Settled'!$B$4:$AP$4,0))</f>
        <v/>
      </c>
      <c r="BU22" s="556">
        <f>IF(INDEX('Loan Tape - Settled'!$B$4:$AP$55,MATCH($A22,'Loan Tape - Settled'!$E$4:$E$55,0),MATCH("Security Type",'Loan Tape - Settled'!$B$4:$AP$4,0))="Delayed Draw Term Loan", "Yes", "No")</f>
        <v/>
      </c>
      <c r="BV22" s="557" t="inlineStr">
        <is>
          <t>No</t>
        </is>
      </c>
      <c r="BW22" s="557" t="inlineStr">
        <is>
          <t>No</t>
        </is>
      </c>
      <c r="BX22" s="548" t="inlineStr">
        <is>
          <t>No</t>
        </is>
      </c>
      <c r="BY22" s="556">
        <f>IF(INDEX('Loan Tape - Settled'!$B$4:$AP$55,MATCH($A22,'Loan Tape - Settled'!$E$4:$E$55,0),MATCH("Fixed/Floating",'Loan Tape - Settled'!$B$4:$AP$4,0))="Fixed", "Yes", "No")</f>
        <v/>
      </c>
      <c r="BZ22" s="557" t="inlineStr">
        <is>
          <t>No</t>
        </is>
      </c>
      <c r="CA22" s="557" t="inlineStr">
        <is>
          <t>No</t>
        </is>
      </c>
      <c r="CB22" s="556">
        <f>IF(INDEX('Loan Tape - Settled'!$B$4:$AP$55,MATCH($A22,'Loan Tape - Settled'!$E$4:$E$55,0),MATCH("Loan Denomination",'Loan Tape - Settled'!$B$4:$AP$4,0))="CAD", "Yes", "No")</f>
        <v/>
      </c>
      <c r="CC22" s="556">
        <f>INDEX('Loan Tape - Settled'!$B$4:$AP$55,MATCH($A22,'Loan Tape - Settled'!$E$4:$E$55,0),MATCH("Payment Frequency",'Loan Tape - Settled'!$B$4:$AP$4,0))</f>
        <v/>
      </c>
      <c r="CD22" s="557" t="inlineStr">
        <is>
          <t>No</t>
        </is>
      </c>
      <c r="CE22" s="556">
        <f>INDEX('Loan Tape - Settled'!$B$4:$AP$55,MATCH($A22,'Loan Tape - Settled'!$E$4:$E$55,0),MATCH("S&amp;P Loan Rating (if applicable)",'Loan Tape - Settled'!$B$4:$AP$4,0))</f>
        <v/>
      </c>
      <c r="CF22" s="556">
        <f>INDEX('Loan Tape - Settled'!$B$4:$AP$55,MATCH($A22,'Loan Tape - Settled'!$E$4:$E$55,0),MATCH("Moody's Loan Rating (if applicable)",'Loan Tape - Settled'!$B$4:$AP$4,0))</f>
        <v/>
      </c>
      <c r="CG22" s="556" t="n"/>
      <c r="CH22" s="556" t="n"/>
      <c r="CI22" s="1057" t="n"/>
      <c r="CJ22" s="1030">
        <f>INDEX('Loan Tape - Settled'!$B$4:$BF$55,MATCH($A22,'Loan Tape - Settled'!$E$4:$E$55,0),MATCH("Last Financial Received",'Loan Tape - Settled'!$B$4:$BF$4,0))</f>
        <v/>
      </c>
      <c r="CK22" s="559">
        <f>INDEX('Loan Tape - Settled'!$B$4:$BJ$55,MATCH($A22,'Loan Tape - Settled'!$E$4:$E$55,0),MATCH("Initial Adjusted TTM EBITDA",'Loan Tape - Settled'!$B$4:$BJ$4,0))</f>
        <v/>
      </c>
      <c r="CL22" s="559">
        <f>INDEX('Loan Tape - Settled'!$B$4:$BJ$55,MATCH($A22,'Loan Tape - Settled'!$E$4:$E$55,0),MATCH("Initial TTM Non-adjusted EBITDA",'Loan Tape - Settled'!$B$4:$BJ$4,0))</f>
        <v/>
      </c>
      <c r="CM22" s="1031" t="n"/>
      <c r="CN22" s="451" t="n"/>
      <c r="CO22" s="451" t="n"/>
      <c r="CP22" s="1032" t="n"/>
      <c r="CQ22" s="1033" t="inlineStr">
        <is>
          <t>N</t>
        </is>
      </c>
      <c r="CR22" s="1032" t="n"/>
      <c r="CS22" s="454">
        <f>CK22-CP22+CR22</f>
        <v/>
      </c>
      <c r="CT22" s="455">
        <f>1-CS22/CK22</f>
        <v/>
      </c>
      <c r="CU22" s="559">
        <f>INDEX('Loan Tape - Settled'!$B$4:$BJ$55,MATCH($A22,'Loan Tape - Settled'!$E$4:$E$55,0),MATCH("Current TTM Non-adjusted EBITDA",'Loan Tape - Settled'!$B$4:$BJ$4,0))</f>
        <v/>
      </c>
      <c r="CV22" s="456">
        <f>CT22</f>
        <v/>
      </c>
      <c r="CW22" s="1034" t="inlineStr">
        <is>
          <t>N</t>
        </is>
      </c>
      <c r="CX22" s="1035" t="n"/>
      <c r="CY22" s="1036">
        <f>IF(CW22="N",(1-CV22)*CU22,(1-CX22)*CU22)</f>
        <v/>
      </c>
      <c r="CZ22" s="1037" t="n"/>
      <c r="DA22" s="1038" t="n"/>
      <c r="DB22" s="1039" t="n"/>
      <c r="DC22" s="1040" t="n"/>
      <c r="DD22" s="1040">
        <f>INDEX('Loan Tape - Settled'!$B$4:$BJ$55,MATCH($A22,'Loan Tape - Settled'!$E$4:$E$55,0),MATCH("Initial Senior Net Leverage Senior",'Loan Tape - Settled'!$B$4:$BJ$4,0))</f>
        <v/>
      </c>
      <c r="DE22" s="1041">
        <f>INDEX('Loan Tape - Settled'!$B$4:$BJ$55,MATCH($A22,'Loan Tape - Settled'!$E$4:$E$55,0),MATCH("Initial Total Net Leverage",'Loan Tape - Settled'!$B$4:$BJ$4,0))</f>
        <v/>
      </c>
      <c r="DF22" s="1037" t="n"/>
      <c r="DG22" s="1038" t="n"/>
      <c r="DH22" s="1039" t="n"/>
      <c r="DI22" s="1042">
        <f>INDEX('Loan Tape - Settled'!$B$4:$BJ$55,MATCH($A22,'Loan Tape - Settled'!$E$4:$E$55,0),MATCH("Net Attachment",'Loan Tape - Settled'!$B$4:$BJ$4,0))</f>
        <v/>
      </c>
      <c r="DJ22" s="566">
        <f t="array" ref="DJ22">IF(AG22="Yes",INDEX(VAE!$M$5:$M$53,MATCH($B22&amp;$AJ22,VAE!$C$5:$C$53&amp;VAE!$G$5:$G$53,0)),DD22)</f>
        <v/>
      </c>
      <c r="DK22" s="697">
        <f t="array" ref="DK22">IF(AG22="Yes",INDEX(VAE!$N$5:$N$53,MATCH($B22&amp;$AJ22,VAE!$C$5:$C$53&amp;VAE!$G$5:$G$53,0)),DE22)</f>
        <v/>
      </c>
      <c r="DL22" s="1058">
        <f>INDEX('Loan Tape - Settled'!$B$4:$BJ$55,MATCH($A22,'Loan Tape - Settled'!$E$4:$E$55,0),MATCH("Current Senior Net Leverage Senior",'Loan Tape - Settled'!$B$4:$BJ$4,0))</f>
        <v/>
      </c>
      <c r="DM22" s="1059">
        <f>INDEX('Loan Tape - Settled'!$B$4:$BJ$55,MATCH($A22,'Loan Tape - Settled'!$E$4:$E$55,0),MATCH("Current Total Net Leverage",'Loan Tape - Settled'!$B$4:$BJ$4,0))</f>
        <v/>
      </c>
      <c r="DN22" s="1044" t="n"/>
      <c r="DO22" s="1045">
        <f>INDEX('Loan Tape - Settled'!$B$4:$BJ$55,MATCH($A22,'Loan Tape - Settled'!$E$4:$E$55,0),MATCH("Initial Interest Coverage",'Loan Tape - Settled'!$B$4:$BJ$4,0))</f>
        <v/>
      </c>
      <c r="DP22" s="565">
        <f t="array" ref="DP22">IF(AG22="Yes",INDEX(VAE!$O$5:$O$53,MATCH($B22&amp;$AJ22,VAE!$C$5:$C$53&amp;VAE!$G$5:$G$53,0)),DO22)</f>
        <v/>
      </c>
      <c r="DQ22" s="1046">
        <f>INDEX('Loan Tape - Settled'!$B$4:$BJ$55,MATCH($A22,'Loan Tape - Settled'!$E$4:$E$55,0),MATCH("Current Interest Coverage",'Loan Tape - Settled'!$B$4:$BJ$4,0))</f>
        <v/>
      </c>
      <c r="DR22" s="462">
        <f>IF(OR(DU22="Yes",DU22="N/A",DV22="Yes",DV22="N/A",DW22="Yes",DX22="Yes",DY22="Yes",EF22="Yes",EG22="Yes",EH22="Yes"),"Yes","No")</f>
        <v/>
      </c>
      <c r="DS22" s="1047">
        <f>IF(AG22="Yes",DATEDIF(AJ22,Availability!$F$8,"m"),"")</f>
        <v/>
      </c>
      <c r="DT22" s="1047">
        <f>IF(DS22="","No",IF(DS22&gt;12,"Yes","No"))</f>
        <v/>
      </c>
      <c r="DU22" s="695">
        <f>IFERROR(IF(AND(DQ22/DP22&lt;0.75,DQ22&lt;1.5),"Yes","No"),"N/A")</f>
        <v/>
      </c>
      <c r="DV22" s="696">
        <f>IFERROR(IF(OR(D22="First Lien",D22="FILO"),IF(AND((DL22-DJ22)&gt;0.75,DL22&gt;4),"Yes","No"),"No"),"N/A")</f>
        <v/>
      </c>
      <c r="DW22" s="696">
        <f t="array" ref="DW22">_xlfn.IFS(D22&lt;&gt;"Second Lien","No",D22="Second Lien",IF(AND((DM22-DK22)&gt;0.5,DM22&gt;4.5),"Yes","No"))</f>
        <v/>
      </c>
      <c r="DX22" s="735" t="inlineStr">
        <is>
          <t>No</t>
        </is>
      </c>
      <c r="DY22" s="735" t="inlineStr">
        <is>
          <t>No</t>
        </is>
      </c>
      <c r="DZ22" s="1048" t="inlineStr">
        <is>
          <t>No</t>
        </is>
      </c>
      <c r="EA22" s="1048" t="inlineStr">
        <is>
          <t>No</t>
        </is>
      </c>
      <c r="EB22" s="1048" t="inlineStr">
        <is>
          <t>No</t>
        </is>
      </c>
      <c r="EC22" s="1048" t="inlineStr">
        <is>
          <t>No</t>
        </is>
      </c>
      <c r="ED22" s="1048" t="inlineStr">
        <is>
          <t>No</t>
        </is>
      </c>
      <c r="EE22" s="1048" t="inlineStr">
        <is>
          <t>No</t>
        </is>
      </c>
      <c r="EF22" s="442">
        <f>IF(OR(DZ22="Yes",EA22="Yes",EB22="Yes",EC22="Yes",ED22="Yes",EE22="Yes"),"Yes","No")</f>
        <v/>
      </c>
      <c r="EG22" s="1048" t="inlineStr">
        <is>
          <t>No</t>
        </is>
      </c>
      <c r="EH22" s="1049" t="inlineStr">
        <is>
          <t>No</t>
        </is>
      </c>
      <c r="EI22" s="1050">
        <f t="array" ref="EI22">IF(D22="First Lien",_xlfn.IFS(CY22&gt;AGENT!$B$23, "&gt; $20MM",CY22&lt;=AGENT!$C$25, "&lt;= $10MM",AND(CY22&lt;=AGENT!$C$24,CY22&gt;AGENT!$B$24),"&lt;= $20MM"), "N/A")</f>
        <v/>
      </c>
      <c r="EJ22" s="1050">
        <f t="array" ref="EJ22">IF(D22="FILO",_xlfn.IFS(DI22&gt;AGENT!$B$29, "&gt; 1.25x",DI22&lt;AGENT!$C$27, "&lt; 0.75x",AND(DI22&lt;=AGENT!$C$28,DI22&gt;=AGENT!$B$28),"&lt;= 1.25x"), "N/A")</f>
        <v/>
      </c>
      <c r="EK22" s="1051">
        <f>V22</f>
        <v/>
      </c>
      <c r="EL22" s="1051">
        <f>'Concentration Limits'!$J$49</f>
        <v/>
      </c>
      <c r="EM22" s="1051">
        <f>IF(OR(D22="Second Lien",AND(D22="FILO",DI22&gt;AGENT!$C$57)), "Yes", "No")</f>
        <v/>
      </c>
      <c r="EN22" s="1051">
        <f>IF(EM22="Yes",SUMIF(EM:EM,"Yes",EK:EK),0)</f>
        <v/>
      </c>
      <c r="EO22" s="1051">
        <f>IF(EN22&gt;EL22,(EN22-EL22)*(EK22/SUMIF(EM:EM,"Yes",EK:EK)),0)</f>
        <v/>
      </c>
      <c r="EP22" s="1051">
        <f>MAX(0,EK22-EO22)</f>
        <v/>
      </c>
      <c r="EQ22" s="1051">
        <f>'Concentration Limits'!$J$50</f>
        <v/>
      </c>
      <c r="ER22" s="1051">
        <f>IF(D22="Second Lien",SUMIF(D:D,D22,EP:EP),0)</f>
        <v/>
      </c>
      <c r="ES22" s="1051">
        <f>MAX(0,(ER22-EQ22)*IFERROR((EP22/SUMIF($D:$D,D22,EP:EP )),0) )</f>
        <v/>
      </c>
      <c r="ET22" s="1051">
        <f>MAX(0,EP22-ES22)</f>
        <v/>
      </c>
      <c r="EU22" s="1051">
        <f>'Concentration Limits'!$J$51</f>
        <v/>
      </c>
      <c r="EV22" s="1051">
        <f>IF(OR(D22="Second Lien", AND(D22="FILO",DI22&gt;AGENT!$C$59)), "Yes", "No")</f>
        <v/>
      </c>
      <c r="EW22" s="1051">
        <f>IF(EV22="Yes",SUMIF(EV:EV,"Yes",ET:ET),0)</f>
        <v/>
      </c>
      <c r="EX22" s="1051">
        <f>IF(EW22&gt;EU22,(EW22-EU22)*(ET22/SUMIF(EV:EV,"Yes",ET:ET)),0)</f>
        <v/>
      </c>
      <c r="EY22" s="1051">
        <f>MAX(0,ET22-EX22)</f>
        <v/>
      </c>
      <c r="EZ22" s="1051">
        <f>'Concentration Limits'!$J$52</f>
        <v/>
      </c>
      <c r="FA22" s="1051">
        <f>IF(CY22&gt;'Concentration Limits'!$E$52, "No", "Yes")</f>
        <v/>
      </c>
      <c r="FB22" s="1051">
        <f>IF(FA22="Yes",SUMIF(FA:FA,"Yes",EY:EY),0)</f>
        <v/>
      </c>
      <c r="FC22" s="1051">
        <f>IF(FB22&gt;EZ22,(FB22-EZ22)*(EY22/SUMIF(FA:FA,"Yes",EY:EY)),0)</f>
        <v/>
      </c>
      <c r="FD22" s="1051">
        <f>MAX(0,EY22-FC22)</f>
        <v/>
      </c>
      <c r="FE22" s="1052">
        <f>'Concentration Limits'!$J$54</f>
        <v/>
      </c>
      <c r="FF22" s="1052">
        <f>'Concentration Limits'!$J$55</f>
        <v/>
      </c>
      <c r="FG22" s="1052">
        <f>'Concentration Limits'!$J$56</f>
        <v/>
      </c>
      <c r="FH22" s="1053">
        <f>'Concentration Limits'!$J$57</f>
        <v/>
      </c>
      <c r="FI22" s="1053">
        <f>SUMIF($B:$B,$B22,$FD:$FD)</f>
        <v/>
      </c>
      <c r="FJ22" s="1053">
        <f>IF(MATCH($B22,$B:$B,0)=ROW(),$FI22,0)</f>
        <v/>
      </c>
      <c r="FK22" s="1053">
        <f>INDEX(FL$8:FL$60,MATCH(B22,B$8:B$60,0))</f>
        <v/>
      </c>
      <c r="FL22" s="1053">
        <f>IF(FJ22&gt;0,RANK(FJ22,$FJ$9:$FJ$60)+COUNTIF($FJ$9:FJ22,FJ22)-1,0)</f>
        <v/>
      </c>
      <c r="FM22" s="1052">
        <f>IF(FK22=1,IF(FI22&gt;FE22,(FI22-FE22)*(V22/SUMIF($B:$B,B22,$FD:$FD)),0),0)</f>
        <v/>
      </c>
      <c r="FN22" s="1052">
        <f>IF(FK22=2,IF(FI22&gt;FF22,(FI22-FF22)*(V22/SUMIF($B:$B,B22,$FD:$FD)),0),0)</f>
        <v/>
      </c>
      <c r="FO22" s="1052">
        <f>IF(FK22=3,IF(FI22&gt;FG22,(FI22-FG22)*(V22/SUMIF($B:$B,B22,$FD:$FD)),0),0)</f>
        <v/>
      </c>
      <c r="FP22" s="1053">
        <f>IF(FK22&gt;0,IF(FI22&gt;FH22,(FI22-FH22)*(FD22/(SUMIF($B:$B,$B22,$FD:$FD))),0),0)</f>
        <v/>
      </c>
      <c r="FQ22" s="1053">
        <f>MAX(0,FD22-FM22-FN22-FO22-FP22)</f>
        <v/>
      </c>
      <c r="FR22" s="1053">
        <f>'Concentration Limits'!$J$58</f>
        <v/>
      </c>
      <c r="FS22" s="1053">
        <f>SUMIF($BR:$BR,$BR22,FQ:FQ)</f>
        <v/>
      </c>
      <c r="FT22" s="1053">
        <f>VLOOKUP(BR22,'Concentration Limits'!$E$81:$H$153,4,FALSE)</f>
        <v/>
      </c>
      <c r="FU22" s="1053">
        <f>IF(FT22=1,MAX(0,(FS22-FR22)*(FQ22/SUMIF($BR:$BR,BR22,FQ:FQ))),0)</f>
        <v/>
      </c>
      <c r="FV22" s="1053">
        <f>MAX(0,FQ22-FU22)</f>
        <v/>
      </c>
      <c r="FW22" s="1053">
        <f>'Concentration Limits'!$J$59</f>
        <v/>
      </c>
      <c r="FX22" s="1053">
        <f>SUMIF($BR:$BR,$BR22,FV:FV)</f>
        <v/>
      </c>
      <c r="FY22" s="1053">
        <f>VLOOKUP(BR22,'Concentration Limits'!$E$81:$H$153,4,FALSE)</f>
        <v/>
      </c>
      <c r="FZ22" s="1053">
        <f>MAX(0,IF(FY22=2,(FX22-FW22)*(FV22/SUMIF($BR:$BR,BR22,FV:FV)),0))</f>
        <v/>
      </c>
      <c r="GA22" s="1053">
        <f>MAX(0,FV22-FZ22)</f>
        <v/>
      </c>
      <c r="GB22" s="1053">
        <f>'Concentration Limits'!$J$61</f>
        <v/>
      </c>
      <c r="GC22" s="1053">
        <f>SUMIF($BR:$BR,$BR22,GA:GA)</f>
        <v/>
      </c>
      <c r="GD22" s="1051">
        <f>VLOOKUP(BR22,'Concentration Limits'!$E$81:$H$153,4,FALSE)</f>
        <v/>
      </c>
      <c r="GE22" s="1053">
        <f>IF(GA22=0,0,MAX(0,IF(GD22&lt;3,0,(GC22-GB22)*($GA22/SUMIF($BR:$BR,BR22,GA:GA)))))</f>
        <v/>
      </c>
      <c r="GF22" s="1053">
        <f>MAX(0,GA22-GE22)</f>
        <v/>
      </c>
      <c r="GG22" s="1053">
        <f>'Concentration Limits'!$J$64</f>
        <v/>
      </c>
      <c r="GH22" s="1053">
        <f>IF(BY22="Yes",SUMIF(BY:BY,BY22,GF:GF),0)</f>
        <v/>
      </c>
      <c r="GI22" s="1053">
        <f>IFERROR(MAX(0,(GH22-GG22)*(GF22/SUMIF($T:$T,T22,GF:GF ))),0)</f>
        <v/>
      </c>
      <c r="GJ22" s="1053">
        <f>MAX(0,GF22-GI22)</f>
        <v/>
      </c>
      <c r="GK22" s="1053">
        <f>'Concentration Limits'!$J$67</f>
        <v/>
      </c>
      <c r="GL22" s="1051">
        <f>IF(OR(BV22="Yes",OR(ISNUMBER(SEARCH("Travel",BR22)),ISNUMBER(SEARCH("Energy",BR22)),ISNUMBER(SEARCH("Leisure",BR22)),ISNUMBER(SEARCH("hotel",BR22)))),"Yes","No")</f>
        <v/>
      </c>
      <c r="GM22" s="1053">
        <f>IF(GL22="Yes",SUMIF(GL:GL,"Yes",GJ:GJ),0)</f>
        <v/>
      </c>
      <c r="GN22" s="1053">
        <f>IF(GM22&gt;GK22,(GM22-GK22)*(GJ22/SUMIF(GL:GL,"Yes",GJ:GJ)),0)</f>
        <v/>
      </c>
      <c r="GO22" s="1053">
        <f>MAX(0,GJ22-GN22)</f>
        <v/>
      </c>
      <c r="GP22" s="1053">
        <f>'Concentration Limits'!$J$68</f>
        <v/>
      </c>
      <c r="GQ22" s="1051">
        <f>IF(BU22="Yes","Yes", "No")</f>
        <v/>
      </c>
      <c r="GR22" s="1053">
        <f>IF(GQ22="Yes",SUMIF(GQ:GQ,"Yes",GO:GO),0)</f>
        <v/>
      </c>
      <c r="GS22" s="1053">
        <f>IF(GR22&gt;GP22,(GR22-GP22)*(GO22/SUMIF(GQ:GQ,"Yes",GO:GO)),0)</f>
        <v/>
      </c>
      <c r="GT22" s="1053">
        <f>MAX(0,GO22-GS22)</f>
        <v/>
      </c>
      <c r="GU22" s="1051">
        <f>'Concentration Limits'!$J$69</f>
        <v/>
      </c>
      <c r="GV22" s="1051">
        <f>IF(BW22="Yes", "Yes", "No")</f>
        <v/>
      </c>
      <c r="GW22" s="1051">
        <f>IF(GV22="Yes",SUMIF(GV:GV,"Yes",GT:GT),0)</f>
        <v/>
      </c>
      <c r="GX22" s="1051">
        <f>IF(GW22&gt;GU22,(GW22-GU22)*(GT22/SUMIF(GV:GV,"Yes",GT:GT)),0)</f>
        <v/>
      </c>
      <c r="GY22" s="1051">
        <f>MAX(0,GT22-GX22)</f>
        <v/>
      </c>
      <c r="GZ22" s="1051">
        <f>'Concentration Limits'!$J$70</f>
        <v/>
      </c>
      <c r="HA22" s="1051">
        <f>IF(BX22="Yes", "Yes", "No")</f>
        <v/>
      </c>
      <c r="HB22" s="1051">
        <f>IF(HA22="Yes",SUMIF(HA:HA,"Yes",GY:GY),0)</f>
        <v/>
      </c>
      <c r="HC22" s="1051">
        <f>IF(HB22&gt;GZ22,(HB22-GZ22)*(GY22/SUMIF(HA:HA,"Yes",GY:GY)),0)</f>
        <v/>
      </c>
      <c r="HD22" s="1051">
        <f>MAX(0,GY22-HC22)</f>
        <v/>
      </c>
      <c r="HE22" s="1053">
        <f>IF(AQ22=0,0,HD22*AQ22/(AQ22+AR22))</f>
        <v/>
      </c>
      <c r="HF22" s="1053">
        <f>IF(AR22=0,0,HD22*AR22/(AQ22+AR22))</f>
        <v/>
      </c>
      <c r="HG22" s="1053">
        <f>IF(AW22=0,0,HD22*AW22/(AW22+AX22))</f>
        <v/>
      </c>
      <c r="HH22" s="1053">
        <f>IF(AX22=0,0,HD22*AX22/(AX22+AW22))</f>
        <v/>
      </c>
      <c r="HI22" s="1053">
        <f>IF(BE22=0,0,#REF!*BE22/(BE22+BG22))</f>
        <v/>
      </c>
      <c r="HJ22" s="1053">
        <f>IF(BG22=0,0,#REF!*BG22/(BG22+BE22))</f>
        <v/>
      </c>
      <c r="HK22" s="1054">
        <f>IF(BF22=0,0,#REF!*BF22/(BF22+BH22))</f>
        <v/>
      </c>
      <c r="HL22" s="1053">
        <f>IF(BH22=0,0,#REF!*BH22/(BH22+BF22))</f>
        <v/>
      </c>
      <c r="HM22" s="1053">
        <f>IF(D22="Second Lien",HD22,0)</f>
        <v/>
      </c>
      <c r="HN22" s="1053">
        <f>SUM(HE22:HM22)=HD22</f>
        <v/>
      </c>
    </row>
    <row r="23" ht="12.75" customFormat="1" customHeight="1" s="469">
      <c r="A23" s="55">
        <f>A22+1</f>
        <v/>
      </c>
      <c r="B23" s="437">
        <f>INDEX('Loan Tape - Settled'!$B$4:$AP$55,MATCH($A23,'Loan Tape - Settled'!$E$4:$E$55,0),MATCH("Obligor Name",'Loan Tape - Settled'!$B$4:$AM$4,0))</f>
        <v/>
      </c>
      <c r="C23" s="437">
        <f>INDEX('Loan Tape - Settled'!$B$4:$AP$55,MATCH($A23,'Loan Tape - Settled'!$E$4:$E$55,0),MATCH("Security",'Loan Tape - Settled'!$B$4:$AM$4,0))</f>
        <v/>
      </c>
      <c r="D23" s="438">
        <f>INDEX('Loan Tape - Settled'!$B$4:$AP$55,MATCH($A23,'Loan Tape - Settled'!$E$4:$E$55,0),MATCH("Loan Type",'Loan Tape - Settled'!$B$4:$AM$4,0))</f>
        <v/>
      </c>
      <c r="E23" s="439">
        <f>IF(ISERROR(MATCH(D23,AGENT!$A$4:$A$10,0))=FALSE, TRUE)</f>
        <v/>
      </c>
      <c r="F23" s="439">
        <f>IF(AND(BZ23="no",CA23="no"),TRUE)</f>
        <v/>
      </c>
      <c r="G23" s="439">
        <f>IF(D23&lt;&gt;"Second Lien",TRUE, IF(CY23&gt;=AGENT!$B$4,TRUE))</f>
        <v/>
      </c>
      <c r="H23" s="439">
        <f>IF(DE23&lt;=AGENT!$D$4,TRUE)</f>
        <v/>
      </c>
      <c r="I23" s="439">
        <f>IF(VLOOKUP(CONCATENATE($A$5,A23),'Loan Tape - Settled'!$A$5:$Q$55,17,FALSE)&gt;=AGENT!$E$4,TRUE)</f>
        <v/>
      </c>
      <c r="J23" s="439">
        <f>IF(INDEX('Loan Tape - Settled'!$B$4:$AP$55,MATCH($A23,'Loan Tape - Settled'!$E$4:$E$55,0),MATCH("Loan Denomination",'Loan Tape - Settled'!$B$4:$AP$4,0))="USD", TRUE)</f>
        <v/>
      </c>
      <c r="K23" s="439">
        <f>IF(INDEX('Loan Tape - Settled'!$B$4:$AP$55,MATCH($A23,'Loan Tape - Settled'!$E$4:$E$55,0),MATCH("Exposure Country",'Loan Tape - Settled'!$B$4:$AP$4,0))="United States", TRUE)</f>
        <v/>
      </c>
      <c r="L23" s="439">
        <f>IF(BS23="NO",TRUE)</f>
        <v/>
      </c>
      <c r="M23" s="439">
        <f>IF(((BM23-BL23)/365)&lt;=AGENT!$F$4,TRUE)</f>
        <v/>
      </c>
      <c r="N23" s="439">
        <f>IF(DX23="Yes",FALSE,TRUE)</f>
        <v/>
      </c>
      <c r="O23" s="493" t="n"/>
      <c r="P23" s="764">
        <f>IF($B23="","",IF(OR(O23=TRUE,COUNTIFS($E23:$N23,TRUE)=10),"Yes","No"))</f>
        <v/>
      </c>
      <c r="Q23" s="730" t="inlineStr">
        <is>
          <t>Yes</t>
        </is>
      </c>
      <c r="R23" s="440">
        <f>IF(P23="Yes",B23,"N/A")</f>
        <v/>
      </c>
      <c r="S23" s="440" t="n"/>
      <c r="T23" s="441">
        <f t="array" ref="T23">_xlfn.IFS(D23="Second Lien",D23,D23="First Lien",CONCATENATE(D23," ",EI23),D23="FILO",CONCATENATE(D23," ",EJ23))</f>
        <v/>
      </c>
      <c r="U23" s="442">
        <f>VLOOKUP(T23,'Concentration Limits'!D:G,4,FALSE)</f>
        <v/>
      </c>
      <c r="V23" s="1020">
        <f>AQ23+AW23+BI23</f>
        <v/>
      </c>
      <c r="W23" s="1021">
        <f>(SUMIFS('Loan Tape - Settled'!$AR$4:$AR$55,'Loan Tape - Settled'!$E$4:$E$55,$A23,'Loan Tape - Settled'!$C$4:$C$55,$A$5))</f>
        <v/>
      </c>
      <c r="X23" s="1022" t="n">
        <v>1</v>
      </c>
      <c r="Y23" s="1023">
        <f>W23*X23</f>
        <v/>
      </c>
      <c r="Z23" s="1022">
        <f>(SUMIFS('Loan Tape - Settled'!$AQ$4:$AQ$55,'Loan Tape - Settled'!$E$4:$E$55,$A23,'Loan Tape - Settled'!$C$4:$C$55,$A$5))</f>
        <v/>
      </c>
      <c r="AA23" s="1023">
        <f>Z23*X23</f>
        <v/>
      </c>
      <c r="AB23" s="1023">
        <f>AA23-Y23</f>
        <v/>
      </c>
      <c r="AC23" s="490">
        <f>VLOOKUP(CONCATENATE($A$5,A23),'Loan Tape - Settled'!$A$5:$Q$55,17,FALSE)</f>
        <v/>
      </c>
      <c r="AD23" s="445" t="n"/>
      <c r="AE23" s="446">
        <f>INDEX('Loan Tape - Settled'!$B$4:$AP$55,MATCH($A23,'Loan Tape - Settled'!$E$4:$E$55,0),MATCH("FMV",'Loan Tape - Settled'!$B$4:$AM$4,0))</f>
        <v/>
      </c>
      <c r="AF23" s="446">
        <f t="array" ref="AF23">_xlfn.IFS(D23="First Lien",
_xlfn.IFS(AND(DL23&gt;0,DL23&lt;Tier_1_1L),Tier_1_ApplicableValue,
AND(DL23&gt;=Tier_1_1L,DL23&lt;Tier_2_1L),((Tier_1_1L/DL23)*Tier_1_ApplicableValue)+((DL23-Tier_1_1L)/DL23*Tier_2_ApplicableValue),
AND(DL23&gt;=Tier_2_1L, DL23&lt;Tier_3_1L),((Tier_1_1L/DL23)*Tier_1_ApplicableValue+(Tier_2_1L-Tier_1_1L)/DL23*Tier_2_ApplicableValue+(DL23-Tier_2_1L)/DL23*Tier_3_ApplicableValue),
AND(DL23&gt;=Tier_3_1L, DL23&lt;=Tier_totalzerovalue),((Tier_1_1L/DL23)*Tier_1_ApplicableValue+(Tier_2_1L-Tier_1_1L)/DL23*Tier_2_ApplicableValue+(Tier_3_1L-Tier_2_1L)/DL23*Tier_3_ApplicableValue+(DL23-Tier_partialzerovalue)/DL23*0%),
DL23&gt;Tier_totalzerovalue,0%),
OR(D23="Second Lien", D23="FILO"),
_xlfn.IFS(AND(DM23&gt;0,DM23&lt;Tier_1_2L),Tier_1_ApplicableValue,
AND(DM23&gt;=Tier_1_2L,DM23&lt;Tier_2_2L),((Tier_1_2L/DM23)*Tier_1_ApplicableValue)+((DM23-Tier_1_2L)/DM23*Tier_2_ApplicableValue),
AND(DM23&gt;=Tier_2_2L, DM23&lt;Tier_3_2L),((Tier_1_2L/DM23)*Tier_1_ApplicableValue+(Tier_2_2L-Tier_1_2L)/DM23*Tier_2_ApplicableValue+(DM23-Tier_2_2L)/DM23*Tier_3_ApplicableValue),
AND(DM23&gt;=Tier_3_2L, DM23&lt;=Tier_totalzerovalue),((Tier_1_2L/DM23)*Tier_1_ApplicableValue+(Tier_2_2L-Tier_1_2L)/DM23*Tier_2_ApplicableValue+(Tier_3_2L-Tier_2_2L)/DM23*Tier_3_ApplicableValue+(DM23-Tier_partialzerovalue)/DM23*0%),
DM23&gt;Tier_totalzerovalue,0%))</f>
        <v/>
      </c>
      <c r="AG23" s="447">
        <f>IF(COUNTIFS(VAE!$C$5:$C$96,B23,VAE!$G$5:$G$96,"&lt;="&amp;Availability!$F$8)&gt;=1,"Yes","-")</f>
        <v/>
      </c>
      <c r="AH23" s="447">
        <f t="array" ref="AH23">IFERROR(IF(AG23="Yes",INDEX(VAE!$D$5:$D$96,MATCH(B23&amp;AJ23,VAE!$C$5:$C$96&amp;VAE!$G$5:$G$96,0)),"-"),0)</f>
        <v/>
      </c>
      <c r="AI23" s="447">
        <f t="array" ref="AI23">IFERROR(IF(AG23="Yes",INDEX(VAE!$F$5:$F$96,MATCH(B23&amp;AJ23,VAE!$C$5:$C$96&amp;VAE!$G$5:$G$96,0)),"-"),0)</f>
        <v/>
      </c>
      <c r="AJ23" s="448">
        <f>IF(AG23="-","-",_xlfn.MAXIFS(VAE!$G$5:$G$96,VAE!$C$5:$C$96,$B23))</f>
        <v/>
      </c>
      <c r="AK23" s="449">
        <f t="array" ref="AK23">IFERROR(IF(AG23="Yes",INDEX(VAE!$P$5:$P$96,MATCH(B23&amp;AJ23,VAE!$C$5:$C$96&amp;VAE!$G$5:$G$96,0)),"-"),0)</f>
        <v/>
      </c>
      <c r="AL23" s="446">
        <f>IF($A23="","",IF(P23="No",0,(IF(AG23="Yes",MIN(AE23,AK23,AF23),MIN(AE23,AF23)))))</f>
        <v/>
      </c>
      <c r="AM23" s="1020" t="n"/>
      <c r="AN23" s="1020" t="n"/>
      <c r="AO23" s="1020">
        <f>IF(AND(D23="First Lien",P23="No"),0,IF(D23&lt;&gt;"First Lien",0,Y23))</f>
        <v/>
      </c>
      <c r="AP23" s="1020">
        <f>IF(AND(D23="First Lien",P23="No"),W23,0)</f>
        <v/>
      </c>
      <c r="AQ23" s="1020">
        <f>AL23*AO23</f>
        <v/>
      </c>
      <c r="AR23" s="1020" t="n"/>
      <c r="AS23" s="1020" t="n"/>
      <c r="AT23" s="1020" t="n"/>
      <c r="AU23" s="1020">
        <f>IF(AND(D23="FILO",P23="No"),0,IF(D23&lt;&gt;"FILO",0,Y23))</f>
        <v/>
      </c>
      <c r="AV23" s="1020">
        <f>IF(AND(D23="FILO",P23="No"),W23,0)</f>
        <v/>
      </c>
      <c r="AW23" s="1020">
        <f>AU23*AL23</f>
        <v/>
      </c>
      <c r="AX23" s="1020" t="n"/>
      <c r="AY23" s="1020" t="n"/>
      <c r="AZ23" s="1020" t="n"/>
      <c r="BA23" s="1020">
        <f>IF(AND(OR(D23="First Lien",D23="FILO"),P23="No"),0,IF(OR(D23="First Lien",D23="FILO"),0,(Y23)))</f>
        <v/>
      </c>
      <c r="BB23" s="1020" t="n"/>
      <c r="BC23" s="1020" t="n"/>
      <c r="BD23" s="1020">
        <f>IF(AND(D23="Second Lien",P23="No"),W23,0)</f>
        <v/>
      </c>
      <c r="BE23" s="1020" t="n"/>
      <c r="BF23" s="1020" t="n"/>
      <c r="BG23" s="1020" t="n"/>
      <c r="BH23" s="1020" t="n"/>
      <c r="BI23" s="1020">
        <f>IF(D23="Second Lien",BA23*AL23,0)</f>
        <v/>
      </c>
      <c r="BJ23" s="1020">
        <f>SUM(AM23:AP23)+SUM(AZ23:BD23)+SUM(AS23:AV23)=Y23</f>
        <v/>
      </c>
      <c r="BK23" s="1026">
        <f>INDEX('Loan Tape - Settled'!$B$4:$AP$55,MATCH($A23,'Loan Tape - Settled'!$E$4:$E$55,0),MATCH("Inception Date",'Loan Tape - Settled'!$B$4:$AP$4,0))</f>
        <v/>
      </c>
      <c r="BL23" s="1026">
        <f>INDEX('Loan Tape - Settled'!$B$4:$AP$55,MATCH($A23,'Loan Tape - Settled'!$E$4:$E$55,0),MATCH("Inclusion Date",'Loan Tape - Settled'!$B$4:$AP$4,0))</f>
        <v/>
      </c>
      <c r="BM23" s="1026">
        <f>INDEX('Loan Tape - Settled'!$B$4:$AP$55,MATCH($A23,'Loan Tape - Settled'!$E$4:$E$55,0),MATCH("Maturity Date",'Loan Tape - Settled'!$B$4:$AP$4,0))</f>
        <v/>
      </c>
      <c r="BN23" s="556" t="n"/>
      <c r="BO23" s="556" t="n"/>
      <c r="BP23" s="1055" t="n"/>
      <c r="BQ23" s="556" t="n"/>
      <c r="BR23" s="554">
        <f>INDEX('Loan Tape - Settled'!$B$4:$AP$55,MATCH($A23,'Loan Tape - Settled'!$E$4:$E$55,0),MATCH("Industry Classification",'Loan Tape - Settled'!$B$4:$AP$4,0))</f>
        <v/>
      </c>
      <c r="BS23" s="556">
        <f>IF(INDEX('Loan Tape - Settled'!$B$4:$AP$55,MATCH($A23,'Loan Tape - Settled'!$E$4:$E$55,0),MATCH("Covenant Lite",'Loan Tape - Settled'!$B$4:$AP$4,0))=-1, "Yes", "No")</f>
        <v/>
      </c>
      <c r="BT23" s="1056">
        <f>INDEX('Loan Tape - Settled'!$B$4:$AP$55,MATCH($A23,'Loan Tape - Settled'!$E$4:$E$55,0),MATCH("Spread / Coupon (%)",'Loan Tape - Settled'!$B$4:$AP$4,0))</f>
        <v/>
      </c>
      <c r="BU23" s="556">
        <f>IF(INDEX('Loan Tape - Settled'!$B$4:$AP$55,MATCH($A23,'Loan Tape - Settled'!$E$4:$E$55,0),MATCH("Security Type",'Loan Tape - Settled'!$B$4:$AP$4,0))="Delayed Draw Term Loan", "Yes", "No")</f>
        <v/>
      </c>
      <c r="BV23" s="557" t="inlineStr">
        <is>
          <t>No</t>
        </is>
      </c>
      <c r="BW23" s="557" t="inlineStr">
        <is>
          <t>No</t>
        </is>
      </c>
      <c r="BX23" s="548" t="inlineStr">
        <is>
          <t>No</t>
        </is>
      </c>
      <c r="BY23" s="556">
        <f>IF(INDEX('Loan Tape - Settled'!$B$4:$AP$55,MATCH($A23,'Loan Tape - Settled'!$E$4:$E$55,0),MATCH("Fixed/Floating",'Loan Tape - Settled'!$B$4:$AP$4,0))="Fixed", "Yes", "No")</f>
        <v/>
      </c>
      <c r="BZ23" s="557" t="inlineStr">
        <is>
          <t>No</t>
        </is>
      </c>
      <c r="CA23" s="557" t="inlineStr">
        <is>
          <t>No</t>
        </is>
      </c>
      <c r="CB23" s="556">
        <f>IF(INDEX('Loan Tape - Settled'!$B$4:$AP$55,MATCH($A23,'Loan Tape - Settled'!$E$4:$E$55,0),MATCH("Loan Denomination",'Loan Tape - Settled'!$B$4:$AP$4,0))="CAD", "Yes", "No")</f>
        <v/>
      </c>
      <c r="CC23" s="556">
        <f>INDEX('Loan Tape - Settled'!$B$4:$AP$55,MATCH($A23,'Loan Tape - Settled'!$E$4:$E$55,0),MATCH("Payment Frequency",'Loan Tape - Settled'!$B$4:$AP$4,0))</f>
        <v/>
      </c>
      <c r="CD23" s="557" t="inlineStr">
        <is>
          <t>No</t>
        </is>
      </c>
      <c r="CE23" s="556">
        <f>INDEX('Loan Tape - Settled'!$B$4:$AP$55,MATCH($A23,'Loan Tape - Settled'!$E$4:$E$55,0),MATCH("S&amp;P Loan Rating (if applicable)",'Loan Tape - Settled'!$B$4:$AP$4,0))</f>
        <v/>
      </c>
      <c r="CF23" s="556">
        <f>INDEX('Loan Tape - Settled'!$B$4:$AP$55,MATCH($A23,'Loan Tape - Settled'!$E$4:$E$55,0),MATCH("Moody's Loan Rating (if applicable)",'Loan Tape - Settled'!$B$4:$AP$4,0))</f>
        <v/>
      </c>
      <c r="CG23" s="556" t="n"/>
      <c r="CH23" s="556" t="n"/>
      <c r="CI23" s="1057" t="n"/>
      <c r="CJ23" s="1030">
        <f>INDEX('Loan Tape - Settled'!$B$4:$BF$55,MATCH($A23,'Loan Tape - Settled'!$E$4:$E$55,0),MATCH("Last Financial Received",'Loan Tape - Settled'!$B$4:$BF$4,0))</f>
        <v/>
      </c>
      <c r="CK23" s="559">
        <f>INDEX('Loan Tape - Settled'!$B$4:$BJ$55,MATCH($A23,'Loan Tape - Settled'!$E$4:$E$55,0),MATCH("Initial Adjusted TTM EBITDA",'Loan Tape - Settled'!$B$4:$BJ$4,0))</f>
        <v/>
      </c>
      <c r="CL23" s="559">
        <f>INDEX('Loan Tape - Settled'!$B$4:$BJ$55,MATCH($A23,'Loan Tape - Settled'!$E$4:$E$55,0),MATCH("Initial TTM Non-adjusted EBITDA",'Loan Tape - Settled'!$B$4:$BJ$4,0))</f>
        <v/>
      </c>
      <c r="CM23" s="1031" t="n"/>
      <c r="CN23" s="451" t="n"/>
      <c r="CO23" s="451" t="n"/>
      <c r="CP23" s="1032" t="n"/>
      <c r="CQ23" s="1033" t="inlineStr">
        <is>
          <t>N</t>
        </is>
      </c>
      <c r="CR23" s="1032" t="n"/>
      <c r="CS23" s="454">
        <f>CK23-CP23+CR23</f>
        <v/>
      </c>
      <c r="CT23" s="455">
        <f>1-CS23/CK23</f>
        <v/>
      </c>
      <c r="CU23" s="559">
        <f>INDEX('Loan Tape - Settled'!$B$4:$BJ$55,MATCH($A23,'Loan Tape - Settled'!$E$4:$E$55,0),MATCH("Current TTM Non-adjusted EBITDA",'Loan Tape - Settled'!$B$4:$BJ$4,0))</f>
        <v/>
      </c>
      <c r="CV23" s="456">
        <f>CT23</f>
        <v/>
      </c>
      <c r="CW23" s="1034" t="inlineStr">
        <is>
          <t>N</t>
        </is>
      </c>
      <c r="CX23" s="1035" t="n"/>
      <c r="CY23" s="1036">
        <f>IF(CW23="N",(1-CV23)*CU23,(1-CX23)*CU23)</f>
        <v/>
      </c>
      <c r="CZ23" s="1037" t="n"/>
      <c r="DA23" s="1038" t="n"/>
      <c r="DB23" s="1039" t="n"/>
      <c r="DC23" s="1040" t="n"/>
      <c r="DD23" s="1040">
        <f>INDEX('Loan Tape - Settled'!$B$4:$BJ$55,MATCH($A23,'Loan Tape - Settled'!$E$4:$E$55,0),MATCH("Initial Senior Net Leverage Senior",'Loan Tape - Settled'!$B$4:$BJ$4,0))</f>
        <v/>
      </c>
      <c r="DE23" s="1041">
        <f>INDEX('Loan Tape - Settled'!$B$4:$BJ$55,MATCH($A23,'Loan Tape - Settled'!$E$4:$E$55,0),MATCH("Initial Total Net Leverage",'Loan Tape - Settled'!$B$4:$BJ$4,0))</f>
        <v/>
      </c>
      <c r="DF23" s="1037" t="n"/>
      <c r="DG23" s="1038" t="n"/>
      <c r="DH23" s="1039" t="n"/>
      <c r="DI23" s="1042">
        <f>INDEX('Loan Tape - Settled'!$B$4:$BJ$55,MATCH($A23,'Loan Tape - Settled'!$E$4:$E$55,0),MATCH("Net Attachment",'Loan Tape - Settled'!$B$4:$BJ$4,0))</f>
        <v/>
      </c>
      <c r="DJ23" s="566">
        <f t="array" ref="DJ23">IF(AG23="Yes",INDEX(VAE!$M$5:$M$53,MATCH($B23&amp;$AJ23,VAE!$C$5:$C$53&amp;VAE!$G$5:$G$53,0)),DD23)</f>
        <v/>
      </c>
      <c r="DK23" s="697">
        <f t="array" ref="DK23">IF(AG23="Yes",INDEX(VAE!$N$5:$N$53,MATCH($B23&amp;$AJ23,VAE!$C$5:$C$53&amp;VAE!$G$5:$G$53,0)),DE23)</f>
        <v/>
      </c>
      <c r="DL23" s="1058">
        <f>INDEX('Loan Tape - Settled'!$B$4:$BJ$55,MATCH($A23,'Loan Tape - Settled'!$E$4:$E$55,0),MATCH("Current Senior Net Leverage Senior",'Loan Tape - Settled'!$B$4:$BJ$4,0))</f>
        <v/>
      </c>
      <c r="DM23" s="1059">
        <f>INDEX('Loan Tape - Settled'!$B$4:$BJ$55,MATCH($A23,'Loan Tape - Settled'!$E$4:$E$55,0),MATCH("Current Total Net Leverage",'Loan Tape - Settled'!$B$4:$BJ$4,0))</f>
        <v/>
      </c>
      <c r="DN23" s="1044" t="n"/>
      <c r="DO23" s="1045">
        <f>INDEX('Loan Tape - Settled'!$B$4:$BJ$55,MATCH($A23,'Loan Tape - Settled'!$E$4:$E$55,0),MATCH("Initial Interest Coverage",'Loan Tape - Settled'!$B$4:$BJ$4,0))</f>
        <v/>
      </c>
      <c r="DP23" s="565">
        <f t="array" ref="DP23">IF(AG23="Yes",INDEX(VAE!$O$5:$O$53,MATCH($B23&amp;$AJ23,VAE!$C$5:$C$53&amp;VAE!$G$5:$G$53,0)),DO23)</f>
        <v/>
      </c>
      <c r="DQ23" s="1046">
        <f>INDEX('Loan Tape - Settled'!$B$4:$BJ$55,MATCH($A23,'Loan Tape - Settled'!$E$4:$E$55,0),MATCH("Current Interest Coverage",'Loan Tape - Settled'!$B$4:$BJ$4,0))</f>
        <v/>
      </c>
      <c r="DR23" s="462">
        <f>IF(OR(DU23="Yes",DU23="N/A",DV23="Yes",DV23="N/A",DW23="Yes",DX23="Yes",DY23="Yes",EF23="Yes",EG23="Yes",EH23="Yes"),"Yes","No")</f>
        <v/>
      </c>
      <c r="DS23" s="1047">
        <f>IF(AG23="Yes",DATEDIF(AJ23,Availability!$F$8,"m"),"")</f>
        <v/>
      </c>
      <c r="DT23" s="1047">
        <f>IF(DS23="","No",IF(DS23&gt;12,"Yes","No"))</f>
        <v/>
      </c>
      <c r="DU23" s="695">
        <f>IFERROR(IF(AND(DQ23/DP23&lt;0.75,DQ23&lt;1.5),"Yes","No"),"N/A")</f>
        <v/>
      </c>
      <c r="DV23" s="696">
        <f>IFERROR(IF(OR(D23="First Lien",D23="FILO"),IF(AND((DL23-DJ23)&gt;0.75,DL23&gt;4),"Yes","No"),"No"),"N/A")</f>
        <v/>
      </c>
      <c r="DW23" s="696">
        <f t="array" ref="DW23">_xlfn.IFS(D23&lt;&gt;"Second Lien","No",D23="Second Lien",IF(AND((DM23-DK23)&gt;0.5,DM23&gt;4.5),"Yes","No"))</f>
        <v/>
      </c>
      <c r="DX23" s="735" t="inlineStr">
        <is>
          <t>No</t>
        </is>
      </c>
      <c r="DY23" s="735" t="inlineStr">
        <is>
          <t>No</t>
        </is>
      </c>
      <c r="DZ23" s="1048" t="inlineStr">
        <is>
          <t>No</t>
        </is>
      </c>
      <c r="EA23" s="1048" t="inlineStr">
        <is>
          <t>No</t>
        </is>
      </c>
      <c r="EB23" s="1048" t="inlineStr">
        <is>
          <t>No</t>
        </is>
      </c>
      <c r="EC23" s="1048" t="inlineStr">
        <is>
          <t>No</t>
        </is>
      </c>
      <c r="ED23" s="1048" t="inlineStr">
        <is>
          <t>No</t>
        </is>
      </c>
      <c r="EE23" s="1048" t="inlineStr">
        <is>
          <t>No</t>
        </is>
      </c>
      <c r="EF23" s="442">
        <f>IF(OR(DZ23="Yes",EA23="Yes",EB23="Yes",EC23="Yes",ED23="Yes",EE23="Yes"),"Yes","No")</f>
        <v/>
      </c>
      <c r="EG23" s="1048" t="inlineStr">
        <is>
          <t>No</t>
        </is>
      </c>
      <c r="EH23" s="1049" t="inlineStr">
        <is>
          <t>No</t>
        </is>
      </c>
      <c r="EI23" s="1050">
        <f t="array" ref="EI23">IF(D23="First Lien",_xlfn.IFS(CY23&gt;AGENT!$B$23, "&gt; $20MM",CY23&lt;=AGENT!$C$25, "&lt;= $10MM",AND(CY23&lt;=AGENT!$C$24,CY23&gt;AGENT!$B$24),"&lt;= $20MM"), "N/A")</f>
        <v/>
      </c>
      <c r="EJ23" s="1050">
        <f t="array" ref="EJ23">IF(D23="FILO",_xlfn.IFS(DI23&gt;AGENT!$B$29, "&gt; 1.25x",DI23&lt;AGENT!$C$27, "&lt; 0.75x",AND(DI23&lt;=AGENT!$C$28,DI23&gt;=AGENT!$B$28),"&lt;= 1.25x"), "N/A")</f>
        <v/>
      </c>
      <c r="EK23" s="1051">
        <f>V23</f>
        <v/>
      </c>
      <c r="EL23" s="1051">
        <f>'Concentration Limits'!$J$49</f>
        <v/>
      </c>
      <c r="EM23" s="1051">
        <f>IF(OR(D23="Second Lien",AND(D23="FILO",DI23&gt;AGENT!$C$57)), "Yes", "No")</f>
        <v/>
      </c>
      <c r="EN23" s="1051">
        <f>IF(EM23="Yes",SUMIF(EM:EM,"Yes",EK:EK),0)</f>
        <v/>
      </c>
      <c r="EO23" s="1051">
        <f>IF(EN23&gt;EL23,(EN23-EL23)*(EK23/SUMIF(EM:EM,"Yes",EK:EK)),0)</f>
        <v/>
      </c>
      <c r="EP23" s="1051">
        <f>MAX(0,EK23-EO23)</f>
        <v/>
      </c>
      <c r="EQ23" s="1051">
        <f>'Concentration Limits'!$J$50</f>
        <v/>
      </c>
      <c r="ER23" s="1051">
        <f>IF(D23="Second Lien",SUMIF(D:D,D23,EP:EP),0)</f>
        <v/>
      </c>
      <c r="ES23" s="1051">
        <f>MAX(0,(ER23-EQ23)*IFERROR((EP23/SUMIF($D:$D,D23,EP:EP )),0) )</f>
        <v/>
      </c>
      <c r="ET23" s="1051">
        <f>MAX(0,EP23-ES23)</f>
        <v/>
      </c>
      <c r="EU23" s="1051">
        <f>'Concentration Limits'!$J$51</f>
        <v/>
      </c>
      <c r="EV23" s="1051">
        <f>IF(OR(D23="Second Lien", AND(D23="FILO",DI23&gt;AGENT!$C$59)), "Yes", "No")</f>
        <v/>
      </c>
      <c r="EW23" s="1051">
        <f>IF(EV23="Yes",SUMIF(EV:EV,"Yes",ET:ET),0)</f>
        <v/>
      </c>
      <c r="EX23" s="1051">
        <f>IF(EW23&gt;EU23,(EW23-EU23)*(ET23/SUMIF(EV:EV,"Yes",ET:ET)),0)</f>
        <v/>
      </c>
      <c r="EY23" s="1051">
        <f>MAX(0,ET23-EX23)</f>
        <v/>
      </c>
      <c r="EZ23" s="1051">
        <f>'Concentration Limits'!$J$52</f>
        <v/>
      </c>
      <c r="FA23" s="1051">
        <f>IF(CY23&gt;'Concentration Limits'!$E$52, "No", "Yes")</f>
        <v/>
      </c>
      <c r="FB23" s="1051">
        <f>IF(FA23="Yes",SUMIF(FA:FA,"Yes",EY:EY),0)</f>
        <v/>
      </c>
      <c r="FC23" s="1051">
        <f>IF(FB23&gt;EZ23,(FB23-EZ23)*(EY23/SUMIF(FA:FA,"Yes",EY:EY)),0)</f>
        <v/>
      </c>
      <c r="FD23" s="1051">
        <f>MAX(0,EY23-FC23)</f>
        <v/>
      </c>
      <c r="FE23" s="1052">
        <f>'Concentration Limits'!$J$54</f>
        <v/>
      </c>
      <c r="FF23" s="1052">
        <f>'Concentration Limits'!$J$55</f>
        <v/>
      </c>
      <c r="FG23" s="1052">
        <f>'Concentration Limits'!$J$56</f>
        <v/>
      </c>
      <c r="FH23" s="1053">
        <f>'Concentration Limits'!$J$57</f>
        <v/>
      </c>
      <c r="FI23" s="1053">
        <f>SUMIF($B:$B,$B23,$FD:$FD)</f>
        <v/>
      </c>
      <c r="FJ23" s="1053">
        <f>IF(MATCH($B23,$B:$B,0)=ROW(),$FI23,0)</f>
        <v/>
      </c>
      <c r="FK23" s="1053">
        <f>INDEX(FL$8:FL$60,MATCH(B23,B$8:B$60,0))</f>
        <v/>
      </c>
      <c r="FL23" s="1053">
        <f>IF(FJ23&gt;0,RANK(FJ23,$FJ$9:$FJ$60)+COUNTIF($FJ$9:FJ23,FJ23)-1,0)</f>
        <v/>
      </c>
      <c r="FM23" s="1052">
        <f>IF(FK23=1,IF(FI23&gt;FE23,(FI23-FE23)*(V23/SUMIF($B:$B,B23,$FD:$FD)),0),0)</f>
        <v/>
      </c>
      <c r="FN23" s="1052">
        <f>IF(FK23=2,IF(FI23&gt;FF23,(FI23-FF23)*(V23/SUMIF($B:$B,B23,$FD:$FD)),0),0)</f>
        <v/>
      </c>
      <c r="FO23" s="1052">
        <f>IF(FK23=3,IF(FI23&gt;FG23,(FI23-FG23)*(V23/SUMIF($B:$B,B23,$FD:$FD)),0),0)</f>
        <v/>
      </c>
      <c r="FP23" s="1053">
        <f>IF(FK23&gt;0,IF(FI23&gt;FH23,(FI23-FH23)*(FD23/(SUMIF($B:$B,$B23,$FD:$FD))),0),0)</f>
        <v/>
      </c>
      <c r="FQ23" s="1053">
        <f>MAX(0,FD23-FM23-FN23-FO23-FP23)</f>
        <v/>
      </c>
      <c r="FR23" s="1053">
        <f>'Concentration Limits'!$J$58</f>
        <v/>
      </c>
      <c r="FS23" s="1053">
        <f>SUMIF($BR:$BR,$BR23,FQ:FQ)</f>
        <v/>
      </c>
      <c r="FT23" s="1053">
        <f>VLOOKUP(BR23,'Concentration Limits'!$E$81:$H$153,4,FALSE)</f>
        <v/>
      </c>
      <c r="FU23" s="1053">
        <f>IF(FT23=1,MAX(0,(FS23-FR23)*(FQ23/SUMIF($BR:$BR,BR23,FQ:FQ))),0)</f>
        <v/>
      </c>
      <c r="FV23" s="1053">
        <f>MAX(0,FQ23-FU23)</f>
        <v/>
      </c>
      <c r="FW23" s="1053">
        <f>'Concentration Limits'!$J$59</f>
        <v/>
      </c>
      <c r="FX23" s="1053">
        <f>SUMIF($BR:$BR,$BR23,FV:FV)</f>
        <v/>
      </c>
      <c r="FY23" s="1053">
        <f>VLOOKUP(BR23,'Concentration Limits'!$E$81:$H$153,4,FALSE)</f>
        <v/>
      </c>
      <c r="FZ23" s="1053">
        <f>MAX(0,IF(FY23=2,(FX23-FW23)*(FV23/SUMIF($BR:$BR,BR23,FV:FV)),0))</f>
        <v/>
      </c>
      <c r="GA23" s="1053">
        <f>MAX(0,FV23-FZ23)</f>
        <v/>
      </c>
      <c r="GB23" s="1053">
        <f>'Concentration Limits'!$J$61</f>
        <v/>
      </c>
      <c r="GC23" s="1053">
        <f>SUMIF($BR:$BR,$BR23,GA:GA)</f>
        <v/>
      </c>
      <c r="GD23" s="1051">
        <f>VLOOKUP(BR23,'Concentration Limits'!$E$81:$H$153,4,FALSE)</f>
        <v/>
      </c>
      <c r="GE23" s="1053">
        <f>IF(GA23=0,0,MAX(0,IF(GD23&lt;3,0,(GC23-GB23)*($GA23/SUMIF($BR:$BR,BR23,GA:GA)))))</f>
        <v/>
      </c>
      <c r="GF23" s="1053">
        <f>MAX(0,GA23-GE23)</f>
        <v/>
      </c>
      <c r="GG23" s="1053">
        <f>'Concentration Limits'!$J$64</f>
        <v/>
      </c>
      <c r="GH23" s="1053">
        <f>IF(BY23="Yes",SUMIF(BY:BY,BY23,GF:GF),0)</f>
        <v/>
      </c>
      <c r="GI23" s="1053">
        <f>IFERROR(MAX(0,(GH23-GG23)*(GF23/SUMIF($T:$T,T23,GF:GF ))),0)</f>
        <v/>
      </c>
      <c r="GJ23" s="1053">
        <f>MAX(0,GF23-GI23)</f>
        <v/>
      </c>
      <c r="GK23" s="1053">
        <f>'Concentration Limits'!$J$67</f>
        <v/>
      </c>
      <c r="GL23" s="1051">
        <f>IF(OR(BV23="Yes",OR(ISNUMBER(SEARCH("Travel",BR23)),ISNUMBER(SEARCH("Energy",BR23)),ISNUMBER(SEARCH("Leisure",BR23)),ISNUMBER(SEARCH("hotel",BR23)))),"Yes","No")</f>
        <v/>
      </c>
      <c r="GM23" s="1053">
        <f>IF(GL23="Yes",SUMIF(GL:GL,"Yes",GJ:GJ),0)</f>
        <v/>
      </c>
      <c r="GN23" s="1053">
        <f>IF(GM23&gt;GK23,(GM23-GK23)*(GJ23/SUMIF(GL:GL,"Yes",GJ:GJ)),0)</f>
        <v/>
      </c>
      <c r="GO23" s="1053">
        <f>MAX(0,GJ23-GN23)</f>
        <v/>
      </c>
      <c r="GP23" s="1053">
        <f>'Concentration Limits'!$J$68</f>
        <v/>
      </c>
      <c r="GQ23" s="1051">
        <f>IF(BU23="Yes","Yes", "No")</f>
        <v/>
      </c>
      <c r="GR23" s="1053">
        <f>IF(GQ23="Yes",SUMIF(GQ:GQ,"Yes",GO:GO),0)</f>
        <v/>
      </c>
      <c r="GS23" s="1053">
        <f>IF(GR23&gt;GP23,(GR23-GP23)*(GO23/SUMIF(GQ:GQ,"Yes",GO:GO)),0)</f>
        <v/>
      </c>
      <c r="GT23" s="1053">
        <f>MAX(0,GO23-GS23)</f>
        <v/>
      </c>
      <c r="GU23" s="1051">
        <f>'Concentration Limits'!$J$69</f>
        <v/>
      </c>
      <c r="GV23" s="1051">
        <f>IF(BW23="Yes", "Yes", "No")</f>
        <v/>
      </c>
      <c r="GW23" s="1051">
        <f>IF(GV23="Yes",SUMIF(GV:GV,"Yes",GT:GT),0)</f>
        <v/>
      </c>
      <c r="GX23" s="1051">
        <f>IF(GW23&gt;GU23,(GW23-GU23)*(GT23/SUMIF(GV:GV,"Yes",GT:GT)),0)</f>
        <v/>
      </c>
      <c r="GY23" s="1051">
        <f>MAX(0,GT23-GX23)</f>
        <v/>
      </c>
      <c r="GZ23" s="1051">
        <f>'Concentration Limits'!$J$70</f>
        <v/>
      </c>
      <c r="HA23" s="1051">
        <f>IF(BX23="Yes", "Yes", "No")</f>
        <v/>
      </c>
      <c r="HB23" s="1051">
        <f>IF(HA23="Yes",SUMIF(HA:HA,"Yes",GY:GY),0)</f>
        <v/>
      </c>
      <c r="HC23" s="1051">
        <f>IF(HB23&gt;GZ23,(HB23-GZ23)*(GY23/SUMIF(HA:HA,"Yes",GY:GY)),0)</f>
        <v/>
      </c>
      <c r="HD23" s="1051">
        <f>MAX(0,GY23-HC23)</f>
        <v/>
      </c>
      <c r="HE23" s="1053">
        <f>IF(AQ23=0,0,HD23*AQ23/(AQ23+AR23))</f>
        <v/>
      </c>
      <c r="HF23" s="1053">
        <f>IF(AR23=0,0,HD23*AR23/(AQ23+AR23))</f>
        <v/>
      </c>
      <c r="HG23" s="1053">
        <f>IF(AW23=0,0,HD23*AW23/(AW23+AX23))</f>
        <v/>
      </c>
      <c r="HH23" s="1053">
        <f>IF(AX23=0,0,HD23*AX23/(AX23+AW23))</f>
        <v/>
      </c>
      <c r="HI23" s="1053">
        <f>IF(BE23=0,0,#REF!*BE23/(BE23+BG23))</f>
        <v/>
      </c>
      <c r="HJ23" s="1053">
        <f>IF(BG23=0,0,#REF!*BG23/(BG23+BE23))</f>
        <v/>
      </c>
      <c r="HK23" s="1054">
        <f>IF(BF23=0,0,#REF!*BF23/(BF23+BH23))</f>
        <v/>
      </c>
      <c r="HL23" s="1053">
        <f>IF(BH23=0,0,#REF!*BH23/(BH23+BF23))</f>
        <v/>
      </c>
      <c r="HM23" s="1053">
        <f>IF(D23="Second Lien",HD23,0)</f>
        <v/>
      </c>
      <c r="HN23" s="1053">
        <f>SUM(HE23:HM23)=HD23</f>
        <v/>
      </c>
    </row>
    <row r="24" ht="12.75" customFormat="1" customHeight="1" s="469">
      <c r="A24" s="55">
        <f>A23+1</f>
        <v/>
      </c>
      <c r="B24" s="437">
        <f>INDEX('Loan Tape - Settled'!$B$4:$AP$55,MATCH($A24,'Loan Tape - Settled'!$E$4:$E$55,0),MATCH("Obligor Name",'Loan Tape - Settled'!$B$4:$AM$4,0))</f>
        <v/>
      </c>
      <c r="C24" s="437">
        <f>INDEX('Loan Tape - Settled'!$B$4:$AP$55,MATCH($A24,'Loan Tape - Settled'!$E$4:$E$55,0),MATCH("Security",'Loan Tape - Settled'!$B$4:$AM$4,0))</f>
        <v/>
      </c>
      <c r="D24" s="438">
        <f>INDEX('Loan Tape - Settled'!$B$4:$AP$55,MATCH($A24,'Loan Tape - Settled'!$E$4:$E$55,0),MATCH("Loan Type",'Loan Tape - Settled'!$B$4:$AM$4,0))</f>
        <v/>
      </c>
      <c r="E24" s="439">
        <f>IF(ISERROR(MATCH(D24,AGENT!$A$4:$A$10,0))=FALSE, TRUE)</f>
        <v/>
      </c>
      <c r="F24" s="439">
        <f>IF(AND(BZ24="no",CA24="no"),TRUE)</f>
        <v/>
      </c>
      <c r="G24" s="439">
        <f>IF(D24&lt;&gt;"Second Lien",TRUE, IF(CY24&gt;=AGENT!$B$4,TRUE))</f>
        <v/>
      </c>
      <c r="H24" s="439">
        <f>IF(DE24&lt;=AGENT!$D$4,TRUE)</f>
        <v/>
      </c>
      <c r="I24" s="439">
        <f>IF(VLOOKUP(CONCATENATE($A$5,A24),'Loan Tape - Settled'!$A$5:$Q$55,17,FALSE)&gt;=AGENT!$E$4,TRUE)</f>
        <v/>
      </c>
      <c r="J24" s="439">
        <f>IF(INDEX('Loan Tape - Settled'!$B$4:$AP$55,MATCH($A24,'Loan Tape - Settled'!$E$4:$E$55,0),MATCH("Loan Denomination",'Loan Tape - Settled'!$B$4:$AP$4,0))="USD", TRUE)</f>
        <v/>
      </c>
      <c r="K24" s="439">
        <f>IF(INDEX('Loan Tape - Settled'!$B$4:$AP$55,MATCH($A24,'Loan Tape - Settled'!$E$4:$E$55,0),MATCH("Exposure Country",'Loan Tape - Settled'!$B$4:$AP$4,0))="United States", TRUE)</f>
        <v/>
      </c>
      <c r="L24" s="439">
        <f>IF(BS24="NO",TRUE)</f>
        <v/>
      </c>
      <c r="M24" s="439">
        <f>IF(((BM24-BL24)/365)&lt;=AGENT!$F$4,TRUE)</f>
        <v/>
      </c>
      <c r="N24" s="439">
        <f>IF(DX24="Yes",FALSE,TRUE)</f>
        <v/>
      </c>
      <c r="O24" s="493" t="n"/>
      <c r="P24" s="730">
        <f>IF($B24="","",IF(OR(O24=TRUE,COUNTIFS($E24:$N24,TRUE)=10),"Yes","No"))</f>
        <v/>
      </c>
      <c r="Q24" s="730" t="inlineStr">
        <is>
          <t>Yes</t>
        </is>
      </c>
      <c r="R24" s="440">
        <f>IF(P24="Yes",B24,"N/A")</f>
        <v/>
      </c>
      <c r="S24" s="440" t="n"/>
      <c r="T24" s="441">
        <f t="array" ref="T24">_xlfn.IFS(D24="Second Lien",D24,D24="First Lien",CONCATENATE(D24," ",EI24),D24="FILO",CONCATENATE(D24," ",EJ24))</f>
        <v/>
      </c>
      <c r="U24" s="442">
        <f>VLOOKUP(T24,'Concentration Limits'!D:G,4,FALSE)</f>
        <v/>
      </c>
      <c r="V24" s="1020">
        <f>AQ24+AW24+BI24</f>
        <v/>
      </c>
      <c r="W24" s="1021">
        <f>(SUMIFS('Loan Tape - Settled'!$AR$4:$AR$55,'Loan Tape - Settled'!$E$4:$E$55,$A24,'Loan Tape - Settled'!$C$4:$C$55,$A$5))</f>
        <v/>
      </c>
      <c r="X24" s="1022" t="n">
        <v>1</v>
      </c>
      <c r="Y24" s="1023">
        <f>W24*X24</f>
        <v/>
      </c>
      <c r="Z24" s="1022">
        <f>(SUMIFS('Loan Tape - Settled'!$AQ$4:$AQ$55,'Loan Tape - Settled'!$E$4:$E$55,$A24,'Loan Tape - Settled'!$C$4:$C$55,$A$5))</f>
        <v/>
      </c>
      <c r="AA24" s="1023">
        <f>Z24*X24</f>
        <v/>
      </c>
      <c r="AB24" s="1023">
        <f>AA24-Y24</f>
        <v/>
      </c>
      <c r="AC24" s="490">
        <f>VLOOKUP(CONCATENATE($A$5,A24),'Loan Tape - Settled'!$A$5:$Q$55,17,FALSE)</f>
        <v/>
      </c>
      <c r="AD24" s="445" t="n"/>
      <c r="AE24" s="446">
        <f>INDEX('Loan Tape - Settled'!$B$4:$AP$55,MATCH($A24,'Loan Tape - Settled'!$E$4:$E$55,0),MATCH("FMV",'Loan Tape - Settled'!$B$4:$AM$4,0))</f>
        <v/>
      </c>
      <c r="AF24" s="446">
        <f t="array" ref="AF24">_xlfn.IFS(D24="First Lien",
_xlfn.IFS(AND(DL24&gt;0,DL24&lt;Tier_1_1L),Tier_1_ApplicableValue,
AND(DL24&gt;=Tier_1_1L,DL24&lt;Tier_2_1L),((Tier_1_1L/DL24)*Tier_1_ApplicableValue)+((DL24-Tier_1_1L)/DL24*Tier_2_ApplicableValue),
AND(DL24&gt;=Tier_2_1L, DL24&lt;Tier_3_1L),((Tier_1_1L/DL24)*Tier_1_ApplicableValue+(Tier_2_1L-Tier_1_1L)/DL24*Tier_2_ApplicableValue+(DL24-Tier_2_1L)/DL24*Tier_3_ApplicableValue),
AND(DL24&gt;=Tier_3_1L, DL24&lt;=Tier_totalzerovalue),((Tier_1_1L/DL24)*Tier_1_ApplicableValue+(Tier_2_1L-Tier_1_1L)/DL24*Tier_2_ApplicableValue+(Tier_3_1L-Tier_2_1L)/DL24*Tier_3_ApplicableValue+(DL24-Tier_partialzerovalue)/DL24*0%),
DL24&gt;Tier_totalzerovalue,0%),
OR(D24="Second Lien", D24="FILO"),
_xlfn.IFS(AND(DM24&gt;0,DM24&lt;Tier_1_2L),Tier_1_ApplicableValue,
AND(DM24&gt;=Tier_1_2L,DM24&lt;Tier_2_2L),((Tier_1_2L/DM24)*Tier_1_ApplicableValue)+((DM24-Tier_1_2L)/DM24*Tier_2_ApplicableValue),
AND(DM24&gt;=Tier_2_2L, DM24&lt;Tier_3_2L),((Tier_1_2L/DM24)*Tier_1_ApplicableValue+(Tier_2_2L-Tier_1_2L)/DM24*Tier_2_ApplicableValue+(DM24-Tier_2_2L)/DM24*Tier_3_ApplicableValue),
AND(DM24&gt;=Tier_3_2L, DM24&lt;=Tier_totalzerovalue),((Tier_1_2L/DM24)*Tier_1_ApplicableValue+(Tier_2_2L-Tier_1_2L)/DM24*Tier_2_ApplicableValue+(Tier_3_2L-Tier_2_2L)/DM24*Tier_3_ApplicableValue+(DM24-Tier_partialzerovalue)/DM24*0%),
DM24&gt;Tier_totalzerovalue,0%))</f>
        <v/>
      </c>
      <c r="AG24" s="447">
        <f>IF(COUNTIFS(VAE!$C$5:$C$96,B24,VAE!$G$5:$G$96,"&lt;="&amp;Availability!$F$8)&gt;=1,"Yes","-")</f>
        <v/>
      </c>
      <c r="AH24" s="447">
        <f t="array" ref="AH24">IFERROR(IF(AG24="Yes",INDEX(VAE!$D$5:$D$96,MATCH(B24&amp;AJ24,VAE!$C$5:$C$96&amp;VAE!$G$5:$G$96,0)),"-"),0)</f>
        <v/>
      </c>
      <c r="AI24" s="447">
        <f t="array" ref="AI24">IFERROR(IF(AG24="Yes",INDEX(VAE!$F$5:$F$96,MATCH(B24&amp;AJ24,VAE!$C$5:$C$96&amp;VAE!$G$5:$G$96,0)),"-"),0)</f>
        <v/>
      </c>
      <c r="AJ24" s="448">
        <f>IF(AG24="-","-",_xlfn.MAXIFS(VAE!$G$5:$G$96,VAE!$C$5:$C$96,$B24))</f>
        <v/>
      </c>
      <c r="AK24" s="449">
        <f t="array" ref="AK24">IFERROR(IF(AG24="Yes",INDEX(VAE!$P$5:$P$96,MATCH(B24&amp;AJ24,VAE!$C$5:$C$96&amp;VAE!$G$5:$G$96,0)),"-"),0)</f>
        <v/>
      </c>
      <c r="AL24" s="446">
        <f>IF($A24="","",IF(P24="No",0,(IF(AG24="Yes",MIN(AE24,AK24,AF24),MIN(AE24,AF24)))))</f>
        <v/>
      </c>
      <c r="AM24" s="1020" t="n"/>
      <c r="AN24" s="1020" t="n"/>
      <c r="AO24" s="1020">
        <f>IF(AND(D24="First Lien",P24="No"),0,IF(D24&lt;&gt;"First Lien",0,Y24))</f>
        <v/>
      </c>
      <c r="AP24" s="1020">
        <f>IF(AND(D24="First Lien",P24="No"),W24,0)</f>
        <v/>
      </c>
      <c r="AQ24" s="1020">
        <f>AL24*AO24</f>
        <v/>
      </c>
      <c r="AR24" s="1020" t="n"/>
      <c r="AS24" s="1020" t="n"/>
      <c r="AT24" s="1020" t="n"/>
      <c r="AU24" s="1020">
        <f>IF(AND(D24="FILO",P24="No"),0,IF(D24&lt;&gt;"FILO",0,Y24))</f>
        <v/>
      </c>
      <c r="AV24" s="1020">
        <f>IF(AND(D24="FILO",P24="No"),W24,0)</f>
        <v/>
      </c>
      <c r="AW24" s="1020">
        <f>AU24*AL24</f>
        <v/>
      </c>
      <c r="AX24" s="1020" t="n"/>
      <c r="AY24" s="1020" t="n"/>
      <c r="AZ24" s="1020" t="n"/>
      <c r="BA24" s="1020">
        <f>IF(AND(OR(D24="First Lien",D24="FILO"),P24="No"),0,IF(OR(D24="First Lien",D24="FILO"),0,(Y24)))</f>
        <v/>
      </c>
      <c r="BB24" s="1020" t="n"/>
      <c r="BC24" s="1020" t="n"/>
      <c r="BD24" s="1020">
        <f>IF(AND(D24="Second Lien",P24="No"),W24,0)</f>
        <v/>
      </c>
      <c r="BE24" s="1020" t="n"/>
      <c r="BF24" s="1020" t="n"/>
      <c r="BG24" s="1020" t="n"/>
      <c r="BH24" s="1020" t="n"/>
      <c r="BI24" s="1020">
        <f>IF(D24="Second Lien",BA24*AL24,0)</f>
        <v/>
      </c>
      <c r="BJ24" s="1020">
        <f>SUM(AM24:AP24)+SUM(AZ24:BD24)+SUM(AS24:AV24)=Y24</f>
        <v/>
      </c>
      <c r="BK24" s="1026">
        <f>INDEX('Loan Tape - Settled'!$B$4:$AP$55,MATCH($A24,'Loan Tape - Settled'!$E$4:$E$55,0),MATCH("Inception Date",'Loan Tape - Settled'!$B$4:$AP$4,0))</f>
        <v/>
      </c>
      <c r="BL24" s="1026">
        <f>INDEX('Loan Tape - Settled'!$B$4:$AP$55,MATCH($A24,'Loan Tape - Settled'!$E$4:$E$55,0),MATCH("Inclusion Date",'Loan Tape - Settled'!$B$4:$AP$4,0))</f>
        <v/>
      </c>
      <c r="BM24" s="1026">
        <f>INDEX('Loan Tape - Settled'!$B$4:$AP$55,MATCH($A24,'Loan Tape - Settled'!$E$4:$E$55,0),MATCH("Maturity Date",'Loan Tape - Settled'!$B$4:$AP$4,0))</f>
        <v/>
      </c>
      <c r="BN24" s="556" t="n"/>
      <c r="BO24" s="556" t="n"/>
      <c r="BP24" s="1055" t="n"/>
      <c r="BQ24" s="556" t="n"/>
      <c r="BR24" s="554">
        <f>INDEX('Loan Tape - Settled'!$B$4:$AP$55,MATCH($A24,'Loan Tape - Settled'!$E$4:$E$55,0),MATCH("Industry Classification",'Loan Tape - Settled'!$B$4:$AP$4,0))</f>
        <v/>
      </c>
      <c r="BS24" s="556">
        <f>IF(INDEX('Loan Tape - Settled'!$B$4:$AP$55,MATCH($A24,'Loan Tape - Settled'!$E$4:$E$55,0),MATCH("Covenant Lite",'Loan Tape - Settled'!$B$4:$AP$4,0))=-1, "Yes", "No")</f>
        <v/>
      </c>
      <c r="BT24" s="1056">
        <f>INDEX('Loan Tape - Settled'!$B$4:$AP$55,MATCH($A24,'Loan Tape - Settled'!$E$4:$E$55,0),MATCH("Spread / Coupon (%)",'Loan Tape - Settled'!$B$4:$AP$4,0))</f>
        <v/>
      </c>
      <c r="BU24" s="556">
        <f>IF(INDEX('Loan Tape - Settled'!$B$4:$AP$55,MATCH($A24,'Loan Tape - Settled'!$E$4:$E$55,0),MATCH("Security Type",'Loan Tape - Settled'!$B$4:$AP$4,0))="Delayed Draw Term Loan", "Yes", "No")</f>
        <v/>
      </c>
      <c r="BV24" s="557" t="inlineStr">
        <is>
          <t>No</t>
        </is>
      </c>
      <c r="BW24" s="557" t="inlineStr">
        <is>
          <t>No</t>
        </is>
      </c>
      <c r="BX24" s="548" t="inlineStr">
        <is>
          <t>No</t>
        </is>
      </c>
      <c r="BY24" s="556">
        <f>IF(INDEX('Loan Tape - Settled'!$B$4:$AP$55,MATCH($A24,'Loan Tape - Settled'!$E$4:$E$55,0),MATCH("Fixed/Floating",'Loan Tape - Settled'!$B$4:$AP$4,0))="Fixed", "Yes", "No")</f>
        <v/>
      </c>
      <c r="BZ24" s="557" t="inlineStr">
        <is>
          <t>No</t>
        </is>
      </c>
      <c r="CA24" s="557" t="inlineStr">
        <is>
          <t>No</t>
        </is>
      </c>
      <c r="CB24" s="556">
        <f>IF(INDEX('Loan Tape - Settled'!$B$4:$AP$55,MATCH($A24,'Loan Tape - Settled'!$E$4:$E$55,0),MATCH("Loan Denomination",'Loan Tape - Settled'!$B$4:$AP$4,0))="CAD", "Yes", "No")</f>
        <v/>
      </c>
      <c r="CC24" s="556">
        <f>INDEX('Loan Tape - Settled'!$B$4:$AP$55,MATCH($A24,'Loan Tape - Settled'!$E$4:$E$55,0),MATCH("Payment Frequency",'Loan Tape - Settled'!$B$4:$AP$4,0))</f>
        <v/>
      </c>
      <c r="CD24" s="557" t="inlineStr">
        <is>
          <t>No</t>
        </is>
      </c>
      <c r="CE24" s="556">
        <f>INDEX('Loan Tape - Settled'!$B$4:$AP$55,MATCH($A24,'Loan Tape - Settled'!$E$4:$E$55,0),MATCH("S&amp;P Loan Rating (if applicable)",'Loan Tape - Settled'!$B$4:$AP$4,0))</f>
        <v/>
      </c>
      <c r="CF24" s="556">
        <f>INDEX('Loan Tape - Settled'!$B$4:$AP$55,MATCH($A24,'Loan Tape - Settled'!$E$4:$E$55,0),MATCH("Moody's Loan Rating (if applicable)",'Loan Tape - Settled'!$B$4:$AP$4,0))</f>
        <v/>
      </c>
      <c r="CG24" s="556" t="n"/>
      <c r="CH24" s="556" t="n"/>
      <c r="CI24" s="1057" t="n"/>
      <c r="CJ24" s="1030">
        <f>INDEX('Loan Tape - Settled'!$B$4:$BF$55,MATCH($A24,'Loan Tape - Settled'!$E$4:$E$55,0),MATCH("Last Financial Received",'Loan Tape - Settled'!$B$4:$BF$4,0))</f>
        <v/>
      </c>
      <c r="CK24" s="559">
        <f>INDEX('Loan Tape - Settled'!$B$4:$BJ$55,MATCH($A24,'Loan Tape - Settled'!$E$4:$E$55,0),MATCH("Initial Adjusted TTM EBITDA",'Loan Tape - Settled'!$B$4:$BJ$4,0))</f>
        <v/>
      </c>
      <c r="CL24" s="559">
        <f>INDEX('Loan Tape - Settled'!$B$4:$BJ$55,MATCH($A24,'Loan Tape - Settled'!$E$4:$E$55,0),MATCH("Initial TTM Non-adjusted EBITDA",'Loan Tape - Settled'!$B$4:$BJ$4,0))</f>
        <v/>
      </c>
      <c r="CM24" s="1031" t="n"/>
      <c r="CN24" s="451" t="n"/>
      <c r="CO24" s="451" t="n"/>
      <c r="CP24" s="1032" t="n"/>
      <c r="CQ24" s="1033" t="inlineStr">
        <is>
          <t>N</t>
        </is>
      </c>
      <c r="CR24" s="1032" t="n"/>
      <c r="CS24" s="454">
        <f>CK24-CP24+CR24</f>
        <v/>
      </c>
      <c r="CT24" s="455">
        <f>1-CS24/CK24</f>
        <v/>
      </c>
      <c r="CU24" s="559">
        <f>INDEX('Loan Tape - Settled'!$B$4:$BJ$55,MATCH($A24,'Loan Tape - Settled'!$E$4:$E$55,0),MATCH("Current TTM Non-adjusted EBITDA",'Loan Tape - Settled'!$B$4:$BJ$4,0))</f>
        <v/>
      </c>
      <c r="CV24" s="456">
        <f>CT24</f>
        <v/>
      </c>
      <c r="CW24" s="1034" t="inlineStr">
        <is>
          <t>N</t>
        </is>
      </c>
      <c r="CX24" s="1035" t="n"/>
      <c r="CY24" s="1036">
        <f>IF(CW24="N",(1-CV24)*CU24,(1-CX24)*CU24)</f>
        <v/>
      </c>
      <c r="CZ24" s="1037" t="n"/>
      <c r="DA24" s="1038" t="n"/>
      <c r="DB24" s="1039" t="n"/>
      <c r="DC24" s="1040" t="n"/>
      <c r="DD24" s="1040">
        <f>INDEX('Loan Tape - Settled'!$B$4:$BJ$55,MATCH($A24,'Loan Tape - Settled'!$E$4:$E$55,0),MATCH("Initial Senior Net Leverage Senior",'Loan Tape - Settled'!$B$4:$BJ$4,0))</f>
        <v/>
      </c>
      <c r="DE24" s="1041">
        <f>INDEX('Loan Tape - Settled'!$B$4:$BJ$55,MATCH($A24,'Loan Tape - Settled'!$E$4:$E$55,0),MATCH("Initial Total Net Leverage",'Loan Tape - Settled'!$B$4:$BJ$4,0))</f>
        <v/>
      </c>
      <c r="DF24" s="1037" t="n"/>
      <c r="DG24" s="1038" t="n"/>
      <c r="DH24" s="1039" t="n"/>
      <c r="DI24" s="1042">
        <f>INDEX('Loan Tape - Settled'!$B$4:$BJ$55,MATCH($A24,'Loan Tape - Settled'!$E$4:$E$55,0),MATCH("Net Attachment",'Loan Tape - Settled'!$B$4:$BJ$4,0))</f>
        <v/>
      </c>
      <c r="DJ24" s="566">
        <f t="array" ref="DJ24">IF(AG24="Yes",INDEX(VAE!$M$5:$M$53,MATCH($B24&amp;$AJ24,VAE!$C$5:$C$53&amp;VAE!$G$5:$G$53,0)),DD24)</f>
        <v/>
      </c>
      <c r="DK24" s="697">
        <f t="array" ref="DK24">IF(AG24="Yes",INDEX(VAE!$N$5:$N$53,MATCH($B24&amp;$AJ24,VAE!$C$5:$C$53&amp;VAE!$G$5:$G$53,0)),DE24)</f>
        <v/>
      </c>
      <c r="DL24" s="1058">
        <f>INDEX('Loan Tape - Settled'!$B$4:$BJ$55,MATCH($A24,'Loan Tape - Settled'!$E$4:$E$55,0),MATCH("Current Senior Net Leverage Senior",'Loan Tape - Settled'!$B$4:$BJ$4,0))</f>
        <v/>
      </c>
      <c r="DM24" s="1059">
        <f>INDEX('Loan Tape - Settled'!$B$4:$BJ$55,MATCH($A24,'Loan Tape - Settled'!$E$4:$E$55,0),MATCH("Current Total Net Leverage",'Loan Tape - Settled'!$B$4:$BJ$4,0))</f>
        <v/>
      </c>
      <c r="DN24" s="1044" t="n"/>
      <c r="DO24" s="1045">
        <f>INDEX('Loan Tape - Settled'!$B$4:$BJ$55,MATCH($A24,'Loan Tape - Settled'!$E$4:$E$55,0),MATCH("Initial Interest Coverage",'Loan Tape - Settled'!$B$4:$BJ$4,0))</f>
        <v/>
      </c>
      <c r="DP24" s="565">
        <f t="array" ref="DP24">IF(AG24="Yes",INDEX(VAE!$O$5:$O$53,MATCH($B24&amp;$AJ24,VAE!$C$5:$C$53&amp;VAE!$G$5:$G$53,0)),DO24)</f>
        <v/>
      </c>
      <c r="DQ24" s="1046">
        <f>INDEX('Loan Tape - Settled'!$B$4:$BJ$55,MATCH($A24,'Loan Tape - Settled'!$E$4:$E$55,0),MATCH("Current Interest Coverage",'Loan Tape - Settled'!$B$4:$BJ$4,0))</f>
        <v/>
      </c>
      <c r="DR24" s="462">
        <f>IF(OR(DU24="Yes",DU24="N/A",DV24="Yes",DV24="N/A",DW24="Yes",DX24="Yes",DY24="Yes",EF24="Yes",EG24="Yes",EH24="Yes"),"Yes","No")</f>
        <v/>
      </c>
      <c r="DS24" s="1047">
        <f>IF(AG24="Yes",DATEDIF(AJ24,Availability!$F$8,"m"),"")</f>
        <v/>
      </c>
      <c r="DT24" s="1047">
        <f>IF(DS24="","No",IF(DS24&gt;12,"Yes","No"))</f>
        <v/>
      </c>
      <c r="DU24" s="695">
        <f>IFERROR(IF(AND(DQ24/DP24&lt;0.75,DQ24&lt;1.5),"Yes","No"),"N/A")</f>
        <v/>
      </c>
      <c r="DV24" s="696">
        <f>IFERROR(IF(OR(D24="First Lien",D24="FILO"),IF(AND((DL24-DJ24)&gt;0.75,DL24&gt;4),"Yes","No"),"No"),"N/A")</f>
        <v/>
      </c>
      <c r="DW24" s="696">
        <f t="array" ref="DW24">_xlfn.IFS(D24&lt;&gt;"Second Lien","No",D24="Second Lien",IF(AND((DM24-DK24)&gt;0.5,DM24&gt;4.5),"Yes","No"))</f>
        <v/>
      </c>
      <c r="DX24" s="735" t="inlineStr">
        <is>
          <t>No</t>
        </is>
      </c>
      <c r="DY24" s="735" t="inlineStr">
        <is>
          <t>No</t>
        </is>
      </c>
      <c r="DZ24" s="1048" t="inlineStr">
        <is>
          <t>No</t>
        </is>
      </c>
      <c r="EA24" s="1048" t="inlineStr">
        <is>
          <t>No</t>
        </is>
      </c>
      <c r="EB24" s="1048" t="inlineStr">
        <is>
          <t>No</t>
        </is>
      </c>
      <c r="EC24" s="1048" t="inlineStr">
        <is>
          <t>No</t>
        </is>
      </c>
      <c r="ED24" s="1048" t="inlineStr">
        <is>
          <t>No</t>
        </is>
      </c>
      <c r="EE24" s="1048" t="inlineStr">
        <is>
          <t>No</t>
        </is>
      </c>
      <c r="EF24" s="442">
        <f>IF(OR(DZ24="Yes",EA24="Yes",EB24="Yes",EC24="Yes",ED24="Yes",EE24="Yes"),"Yes","No")</f>
        <v/>
      </c>
      <c r="EG24" s="1048" t="inlineStr">
        <is>
          <t>No</t>
        </is>
      </c>
      <c r="EH24" s="1049" t="inlineStr">
        <is>
          <t>No</t>
        </is>
      </c>
      <c r="EI24" s="1050">
        <f t="array" ref="EI24">IF(D24="First Lien",_xlfn.IFS(CY24&gt;AGENT!$B$23, "&gt; $20MM",CY24&lt;=AGENT!$C$25, "&lt;= $10MM",AND(CY24&lt;=AGENT!$C$24,CY24&gt;AGENT!$B$24),"&lt;= $20MM"), "N/A")</f>
        <v/>
      </c>
      <c r="EJ24" s="1050">
        <f t="array" ref="EJ24">IF(D24="FILO",_xlfn.IFS(DI24&gt;AGENT!$B$29, "&gt; 1.25x",DI24&lt;AGENT!$C$27, "&lt; 0.75x",AND(DI24&lt;=AGENT!$C$28,DI24&gt;=AGENT!$B$28),"&lt;= 1.25x"), "N/A")</f>
        <v/>
      </c>
      <c r="EK24" s="1051">
        <f>V24</f>
        <v/>
      </c>
      <c r="EL24" s="1051">
        <f>'Concentration Limits'!$J$49</f>
        <v/>
      </c>
      <c r="EM24" s="1051">
        <f>IF(OR(D24="Second Lien",AND(D24="FILO",DI24&gt;AGENT!$C$57)), "Yes", "No")</f>
        <v/>
      </c>
      <c r="EN24" s="1051">
        <f>IF(EM24="Yes",SUMIF(EM:EM,"Yes",EK:EK),0)</f>
        <v/>
      </c>
      <c r="EO24" s="1051">
        <f>IF(EN24&gt;EL24,(EN24-EL24)*(EK24/SUMIF(EM:EM,"Yes",EK:EK)),0)</f>
        <v/>
      </c>
      <c r="EP24" s="1051">
        <f>MAX(0,EK24-EO24)</f>
        <v/>
      </c>
      <c r="EQ24" s="1051">
        <f>'Concentration Limits'!$J$50</f>
        <v/>
      </c>
      <c r="ER24" s="1051">
        <f>IF(D24="Second Lien",SUMIF(D:D,D24,EP:EP),0)</f>
        <v/>
      </c>
      <c r="ES24" s="1051">
        <f>MAX(0,(ER24-EQ24)*IFERROR((EP24/SUMIF($D:$D,D24,EP:EP )),0) )</f>
        <v/>
      </c>
      <c r="ET24" s="1051">
        <f>MAX(0,EP24-ES24)</f>
        <v/>
      </c>
      <c r="EU24" s="1051">
        <f>'Concentration Limits'!$J$51</f>
        <v/>
      </c>
      <c r="EV24" s="1051">
        <f>IF(OR(D24="Second Lien", AND(D24="FILO",DI24&gt;AGENT!$C$59)), "Yes", "No")</f>
        <v/>
      </c>
      <c r="EW24" s="1051">
        <f>IF(EV24="Yes",SUMIF(EV:EV,"Yes",ET:ET),0)</f>
        <v/>
      </c>
      <c r="EX24" s="1051">
        <f>IF(EW24&gt;EU24,(EW24-EU24)*(ET24/SUMIF(EV:EV,"Yes",ET:ET)),0)</f>
        <v/>
      </c>
      <c r="EY24" s="1051">
        <f>MAX(0,ET24-EX24)</f>
        <v/>
      </c>
      <c r="EZ24" s="1051">
        <f>'Concentration Limits'!$J$52</f>
        <v/>
      </c>
      <c r="FA24" s="1051">
        <f>IF(CY24&gt;'Concentration Limits'!$E$52, "No", "Yes")</f>
        <v/>
      </c>
      <c r="FB24" s="1051">
        <f>IF(FA24="Yes",SUMIF(FA:FA,"Yes",EY:EY),0)</f>
        <v/>
      </c>
      <c r="FC24" s="1051">
        <f>IF(FB24&gt;EZ24,(FB24-EZ24)*(EY24/SUMIF(FA:FA,"Yes",EY:EY)),0)</f>
        <v/>
      </c>
      <c r="FD24" s="1051">
        <f>MAX(0,EY24-FC24)</f>
        <v/>
      </c>
      <c r="FE24" s="1052">
        <f>'Concentration Limits'!$J$54</f>
        <v/>
      </c>
      <c r="FF24" s="1052">
        <f>'Concentration Limits'!$J$55</f>
        <v/>
      </c>
      <c r="FG24" s="1052">
        <f>'Concentration Limits'!$J$56</f>
        <v/>
      </c>
      <c r="FH24" s="1053">
        <f>'Concentration Limits'!$J$57</f>
        <v/>
      </c>
      <c r="FI24" s="1053">
        <f>SUMIF($B:$B,$B24,$FD:$FD)</f>
        <v/>
      </c>
      <c r="FJ24" s="1053">
        <f>IF(MATCH($B24,$B:$B,0)=ROW(),$FI24,0)</f>
        <v/>
      </c>
      <c r="FK24" s="1053">
        <f>INDEX(FL$8:FL$60,MATCH(B24,B$8:B$60,0))</f>
        <v/>
      </c>
      <c r="FL24" s="1053">
        <f>IF(FJ24&gt;0,RANK(FJ24,$FJ$9:$FJ$60)+COUNTIF($FJ$9:FJ24,FJ24)-1,0)</f>
        <v/>
      </c>
      <c r="FM24" s="1052">
        <f>IF(FK24=1,IF(FI24&gt;FE24,(FI24-FE24)*(V24/SUMIF($B:$B,B24,$FD:$FD)),0),0)</f>
        <v/>
      </c>
      <c r="FN24" s="1052">
        <f>IF(FK24=2,IF(FI24&gt;FF24,(FI24-FF24)*(V24/SUMIF($B:$B,B24,$FD:$FD)),0),0)</f>
        <v/>
      </c>
      <c r="FO24" s="1052">
        <f>IF(FK24=3,IF(FI24&gt;FG24,(FI24-FG24)*(V24/SUMIF($B:$B,B24,$FD:$FD)),0),0)</f>
        <v/>
      </c>
      <c r="FP24" s="1053">
        <f>IF(FK24&gt;0,IF(FI24&gt;FH24,(FI24-FH24)*(FD24/(SUMIF($B:$B,$B24,$FD:$FD))),0),0)</f>
        <v/>
      </c>
      <c r="FQ24" s="1053">
        <f>MAX(0,FD24-FM24-FN24-FO24-FP24)</f>
        <v/>
      </c>
      <c r="FR24" s="1053">
        <f>'Concentration Limits'!$J$58</f>
        <v/>
      </c>
      <c r="FS24" s="1053">
        <f>SUMIF($BR:$BR,$BR24,FQ:FQ)</f>
        <v/>
      </c>
      <c r="FT24" s="1053">
        <f>VLOOKUP(BR24,'Concentration Limits'!$E$81:$H$153,4,FALSE)</f>
        <v/>
      </c>
      <c r="FU24" s="1053">
        <f>IF(FT24=1,MAX(0,(FS24-FR24)*(FQ24/SUMIF($BR:$BR,BR24,FQ:FQ))),0)</f>
        <v/>
      </c>
      <c r="FV24" s="1053">
        <f>MAX(0,FQ24-FU24)</f>
        <v/>
      </c>
      <c r="FW24" s="1053">
        <f>'Concentration Limits'!$J$59</f>
        <v/>
      </c>
      <c r="FX24" s="1053">
        <f>SUMIF($BR:$BR,$BR24,FV:FV)</f>
        <v/>
      </c>
      <c r="FY24" s="1053">
        <f>VLOOKUP(BR24,'Concentration Limits'!$E$81:$H$153,4,FALSE)</f>
        <v/>
      </c>
      <c r="FZ24" s="1053">
        <f>MAX(0,IF(FY24=2,(FX24-FW24)*(FV24/SUMIF($BR:$BR,BR24,FV:FV)),0))</f>
        <v/>
      </c>
      <c r="GA24" s="1053">
        <f>MAX(0,FV24-FZ24)</f>
        <v/>
      </c>
      <c r="GB24" s="1053">
        <f>'Concentration Limits'!$J$61</f>
        <v/>
      </c>
      <c r="GC24" s="1053">
        <f>SUMIF($BR:$BR,$BR24,GA:GA)</f>
        <v/>
      </c>
      <c r="GD24" s="1051">
        <f>VLOOKUP(BR24,'Concentration Limits'!$E$81:$H$153,4,FALSE)</f>
        <v/>
      </c>
      <c r="GE24" s="1053">
        <f>IF(GA24=0,0,MAX(0,IF(GD24&lt;3,0,(GC24-GB24)*($GA24/SUMIF($BR:$BR,BR24,GA:GA)))))</f>
        <v/>
      </c>
      <c r="GF24" s="1053">
        <f>MAX(0,GA24-GE24)</f>
        <v/>
      </c>
      <c r="GG24" s="1053">
        <f>'Concentration Limits'!$J$64</f>
        <v/>
      </c>
      <c r="GH24" s="1053">
        <f>IF(BY24="Yes",SUMIF(BY:BY,BY24,GF:GF),0)</f>
        <v/>
      </c>
      <c r="GI24" s="1053">
        <f>IFERROR(MAX(0,(GH24-GG24)*(GF24/SUMIF($T:$T,T24,GF:GF ))),0)</f>
        <v/>
      </c>
      <c r="GJ24" s="1053">
        <f>MAX(0,GF24-GI24)</f>
        <v/>
      </c>
      <c r="GK24" s="1053">
        <f>'Concentration Limits'!$J$67</f>
        <v/>
      </c>
      <c r="GL24" s="1051">
        <f>IF(OR(BV24="Yes",OR(ISNUMBER(SEARCH("Travel",BR24)),ISNUMBER(SEARCH("Energy",BR24)),ISNUMBER(SEARCH("Leisure",BR24)),ISNUMBER(SEARCH("hotel",BR24)))),"Yes","No")</f>
        <v/>
      </c>
      <c r="GM24" s="1053">
        <f>IF(GL24="Yes",SUMIF(GL:GL,"Yes",GJ:GJ),0)</f>
        <v/>
      </c>
      <c r="GN24" s="1053">
        <f>IF(GM24&gt;GK24,(GM24-GK24)*(GJ24/SUMIF(GL:GL,"Yes",GJ:GJ)),0)</f>
        <v/>
      </c>
      <c r="GO24" s="1053">
        <f>MAX(0,GJ24-GN24)</f>
        <v/>
      </c>
      <c r="GP24" s="1053">
        <f>'Concentration Limits'!$J$68</f>
        <v/>
      </c>
      <c r="GQ24" s="1051">
        <f>IF(BU24="Yes","Yes", "No")</f>
        <v/>
      </c>
      <c r="GR24" s="1053">
        <f>IF(GQ24="Yes",SUMIF(GQ:GQ,"Yes",GO:GO),0)</f>
        <v/>
      </c>
      <c r="GS24" s="1053">
        <f>IF(GR24&gt;GP24,(GR24-GP24)*(GO24/SUMIF(GQ:GQ,"Yes",GO:GO)),0)</f>
        <v/>
      </c>
      <c r="GT24" s="1053">
        <f>MAX(0,GO24-GS24)</f>
        <v/>
      </c>
      <c r="GU24" s="1051">
        <f>'Concentration Limits'!$J$69</f>
        <v/>
      </c>
      <c r="GV24" s="1051">
        <f>IF(BW24="Yes", "Yes", "No")</f>
        <v/>
      </c>
      <c r="GW24" s="1051">
        <f>IF(GV24="Yes",SUMIF(GV:GV,"Yes",GT:GT),0)</f>
        <v/>
      </c>
      <c r="GX24" s="1051">
        <f>IF(GW24&gt;GU24,(GW24-GU24)*(GT24/SUMIF(GV:GV,"Yes",GT:GT)),0)</f>
        <v/>
      </c>
      <c r="GY24" s="1051">
        <f>MAX(0,GT24-GX24)</f>
        <v/>
      </c>
      <c r="GZ24" s="1051">
        <f>'Concentration Limits'!$J$70</f>
        <v/>
      </c>
      <c r="HA24" s="1051">
        <f>IF(BX24="Yes", "Yes", "No")</f>
        <v/>
      </c>
      <c r="HB24" s="1051">
        <f>IF(HA24="Yes",SUMIF(HA:HA,"Yes",GY:GY),0)</f>
        <v/>
      </c>
      <c r="HC24" s="1051">
        <f>IF(HB24&gt;GZ24,(HB24-GZ24)*(GY24/SUMIF(HA:HA,"Yes",GY:GY)),0)</f>
        <v/>
      </c>
      <c r="HD24" s="1051">
        <f>MAX(0,GY24-HC24)</f>
        <v/>
      </c>
      <c r="HE24" s="1053">
        <f>IF(AQ24=0,0,HD24*AQ24/(AQ24+AR24))</f>
        <v/>
      </c>
      <c r="HF24" s="1053">
        <f>IF(AR24=0,0,HD24*AR24/(AQ24+AR24))</f>
        <v/>
      </c>
      <c r="HG24" s="1053">
        <f>IF(AW24=0,0,HD24*AW24/(AW24+AX24))</f>
        <v/>
      </c>
      <c r="HH24" s="1053">
        <f>IF(AX24=0,0,HD24*AX24/(AX24+AW24))</f>
        <v/>
      </c>
      <c r="HI24" s="1053">
        <f>IF(BE24=0,0,#REF!*BE24/(BE24+BG24))</f>
        <v/>
      </c>
      <c r="HJ24" s="1053">
        <f>IF(BG24=0,0,#REF!*BG24/(BG24+BE24))</f>
        <v/>
      </c>
      <c r="HK24" s="1054">
        <f>IF(BF24=0,0,#REF!*BF24/(BF24+BH24))</f>
        <v/>
      </c>
      <c r="HL24" s="1053">
        <f>IF(BH24=0,0,#REF!*BH24/(BH24+BF24))</f>
        <v/>
      </c>
      <c r="HM24" s="1053">
        <f>IF(D24="Second Lien",HD24,0)</f>
        <v/>
      </c>
      <c r="HN24" s="1053">
        <f>SUM(HE24:HM24)=HD24</f>
        <v/>
      </c>
    </row>
    <row r="25" ht="12.75" customFormat="1" customHeight="1" s="469">
      <c r="A25" s="55">
        <f>A24+1</f>
        <v/>
      </c>
      <c r="B25" s="437">
        <f>INDEX('Loan Tape - Settled'!$B$4:$AP$55,MATCH($A25,'Loan Tape - Settled'!$E$4:$E$55,0),MATCH("Obligor Name",'Loan Tape - Settled'!$B$4:$AM$4,0))</f>
        <v/>
      </c>
      <c r="C25" s="437">
        <f>INDEX('Loan Tape - Settled'!$B$4:$AP$55,MATCH($A25,'Loan Tape - Settled'!$E$4:$E$55,0),MATCH("Security",'Loan Tape - Settled'!$B$4:$AM$4,0))</f>
        <v/>
      </c>
      <c r="D25" s="438">
        <f>INDEX('Loan Tape - Settled'!$B$4:$AP$55,MATCH($A25,'Loan Tape - Settled'!$E$4:$E$55,0),MATCH("Loan Type",'Loan Tape - Settled'!$B$4:$AM$4,0))</f>
        <v/>
      </c>
      <c r="E25" s="439">
        <f>IF(ISERROR(MATCH(D25,AGENT!$A$4:$A$10,0))=FALSE, TRUE)</f>
        <v/>
      </c>
      <c r="F25" s="439">
        <f>IF(AND(BZ25="no",CA25="no"),TRUE)</f>
        <v/>
      </c>
      <c r="G25" s="439">
        <f>IF(D25&lt;&gt;"Second Lien",TRUE, IF(CY25&gt;=AGENT!$B$4,TRUE))</f>
        <v/>
      </c>
      <c r="H25" s="439">
        <f>IF(DE25&lt;=AGENT!$D$4,TRUE)</f>
        <v/>
      </c>
      <c r="I25" s="439">
        <f>IF(VLOOKUP(CONCATENATE($A$5,A25),'Loan Tape - Settled'!$A$5:$Q$55,17,FALSE)&gt;=AGENT!$E$4,TRUE)</f>
        <v/>
      </c>
      <c r="J25" s="439">
        <f>IF(INDEX('Loan Tape - Settled'!$B$4:$AP$55,MATCH($A25,'Loan Tape - Settled'!$E$4:$E$55,0),MATCH("Loan Denomination",'Loan Tape - Settled'!$B$4:$AP$4,0))="USD", TRUE)</f>
        <v/>
      </c>
      <c r="K25" s="439">
        <f>IF(INDEX('Loan Tape - Settled'!$B$4:$AP$55,MATCH($A25,'Loan Tape - Settled'!$E$4:$E$55,0),MATCH("Exposure Country",'Loan Tape - Settled'!$B$4:$AP$4,0))="United States", TRUE)</f>
        <v/>
      </c>
      <c r="L25" s="439">
        <f>IF(BS25="NO",TRUE)</f>
        <v/>
      </c>
      <c r="M25" s="439">
        <f>IF(((BM25-BL25)/365)&lt;=AGENT!$F$4,TRUE)</f>
        <v/>
      </c>
      <c r="N25" s="439">
        <f>IF(DX25="Yes",FALSE,TRUE)</f>
        <v/>
      </c>
      <c r="O25" s="493" t="n"/>
      <c r="P25" s="730">
        <f>IF($B25="","",IF(OR(O25=TRUE,COUNTIFS($E25:$N25,TRUE)=10),"Yes","No"))</f>
        <v/>
      </c>
      <c r="Q25" s="730" t="inlineStr">
        <is>
          <t>Yes</t>
        </is>
      </c>
      <c r="R25" s="440">
        <f>IF(P25="Yes",B25,"N/A")</f>
        <v/>
      </c>
      <c r="S25" s="440" t="n"/>
      <c r="T25" s="441">
        <f t="array" ref="T25">_xlfn.IFS(D25="Second Lien",D25,D25="First Lien",CONCATENATE(D25," ",EI25),D25="FILO",CONCATENATE(D25," ",EJ25))</f>
        <v/>
      </c>
      <c r="U25" s="442">
        <f>VLOOKUP(T25,'Concentration Limits'!D:G,4,FALSE)</f>
        <v/>
      </c>
      <c r="V25" s="1020">
        <f>AQ25+AW25+BI25</f>
        <v/>
      </c>
      <c r="W25" s="1021">
        <f>(SUMIFS('Loan Tape - Settled'!$AR$4:$AR$55,'Loan Tape - Settled'!$E$4:$E$55,$A25,'Loan Tape - Settled'!$C$4:$C$55,$A$5))</f>
        <v/>
      </c>
      <c r="X25" s="1022" t="n">
        <v>1</v>
      </c>
      <c r="Y25" s="1023">
        <f>W25*X25</f>
        <v/>
      </c>
      <c r="Z25" s="1022">
        <f>(SUMIFS('Loan Tape - Settled'!$AQ$4:$AQ$55,'Loan Tape - Settled'!$E$4:$E$55,$A25,'Loan Tape - Settled'!$C$4:$C$55,$A$5))</f>
        <v/>
      </c>
      <c r="AA25" s="1023">
        <f>Z25*X25</f>
        <v/>
      </c>
      <c r="AB25" s="1023">
        <f>AA25-Y25</f>
        <v/>
      </c>
      <c r="AC25" s="490">
        <f>VLOOKUP(CONCATENATE($A$5,A25),'Loan Tape - Settled'!$A$5:$Q$55,17,FALSE)</f>
        <v/>
      </c>
      <c r="AD25" s="445" t="n"/>
      <c r="AE25" s="446">
        <f>INDEX('Loan Tape - Settled'!$B$4:$AP$55,MATCH($A25,'Loan Tape - Settled'!$E$4:$E$55,0),MATCH("FMV",'Loan Tape - Settled'!$B$4:$AM$4,0))</f>
        <v/>
      </c>
      <c r="AF25" s="446">
        <f t="array" ref="AF25">_xlfn.IFS(D25="First Lien",
_xlfn.IFS(AND(DL25&gt;0,DL25&lt;Tier_1_1L),Tier_1_ApplicableValue,
AND(DL25&gt;=Tier_1_1L,DL25&lt;Tier_2_1L),((Tier_1_1L/DL25)*Tier_1_ApplicableValue)+((DL25-Tier_1_1L)/DL25*Tier_2_ApplicableValue),
AND(DL25&gt;=Tier_2_1L, DL25&lt;Tier_3_1L),((Tier_1_1L/DL25)*Tier_1_ApplicableValue+(Tier_2_1L-Tier_1_1L)/DL25*Tier_2_ApplicableValue+(DL25-Tier_2_1L)/DL25*Tier_3_ApplicableValue),
AND(DL25&gt;=Tier_3_1L, DL25&lt;=Tier_totalzerovalue),((Tier_1_1L/DL25)*Tier_1_ApplicableValue+(Tier_2_1L-Tier_1_1L)/DL25*Tier_2_ApplicableValue+(Tier_3_1L-Tier_2_1L)/DL25*Tier_3_ApplicableValue+(DL25-Tier_partialzerovalue)/DL25*0%),
DL25&gt;Tier_totalzerovalue,0%),
OR(D25="Second Lien", D25="FILO"),
_xlfn.IFS(AND(DM25&gt;0,DM25&lt;Tier_1_2L),Tier_1_ApplicableValue,
AND(DM25&gt;=Tier_1_2L,DM25&lt;Tier_2_2L),((Tier_1_2L/DM25)*Tier_1_ApplicableValue)+((DM25-Tier_1_2L)/DM25*Tier_2_ApplicableValue),
AND(DM25&gt;=Tier_2_2L, DM25&lt;Tier_3_2L),((Tier_1_2L/DM25)*Tier_1_ApplicableValue+(Tier_2_2L-Tier_1_2L)/DM25*Tier_2_ApplicableValue+(DM25-Tier_2_2L)/DM25*Tier_3_ApplicableValue),
AND(DM25&gt;=Tier_3_2L, DM25&lt;=Tier_totalzerovalue),((Tier_1_2L/DM25)*Tier_1_ApplicableValue+(Tier_2_2L-Tier_1_2L)/DM25*Tier_2_ApplicableValue+(Tier_3_2L-Tier_2_2L)/DM25*Tier_3_ApplicableValue+(DM25-Tier_partialzerovalue)/DM25*0%),
DM25&gt;Tier_totalzerovalue,0%))</f>
        <v/>
      </c>
      <c r="AG25" s="447">
        <f>IF(COUNTIFS(VAE!$C$5:$C$96,B25,VAE!$G$5:$G$96,"&lt;="&amp;Availability!$F$8)&gt;=1,"Yes","-")</f>
        <v/>
      </c>
      <c r="AH25" s="447">
        <f t="array" ref="AH25">IFERROR(IF(AG25="Yes",INDEX(VAE!$D$5:$D$96,MATCH(B25&amp;AJ25,VAE!$C$5:$C$96&amp;VAE!$G$5:$G$96,0)),"-"),0)</f>
        <v/>
      </c>
      <c r="AI25" s="447">
        <f t="array" ref="AI25">IFERROR(IF(AG25="Yes",INDEX(VAE!$F$5:$F$96,MATCH(B25&amp;AJ25,VAE!$C$5:$C$96&amp;VAE!$G$5:$G$96,0)),"-"),0)</f>
        <v/>
      </c>
      <c r="AJ25" s="448">
        <f>IF(AG25="-","-",_xlfn.MAXIFS(VAE!$G$5:$G$96,VAE!$C$5:$C$96,$B25))</f>
        <v/>
      </c>
      <c r="AK25" s="449">
        <f t="array" ref="AK25">IFERROR(IF(AG25="Yes",INDEX(VAE!$P$5:$P$96,MATCH(B25&amp;AJ25,VAE!$C$5:$C$96&amp;VAE!$G$5:$G$96,0)),"-"),0)</f>
        <v/>
      </c>
      <c r="AL25" s="446">
        <f>IF($A25="","",IF(P25="No",0,(IF(AG25="Yes",MIN(AE25,AK25,AF25),MIN(AE25,AF25)))))</f>
        <v/>
      </c>
      <c r="AM25" s="1020" t="n"/>
      <c r="AN25" s="1020" t="n"/>
      <c r="AO25" s="1020">
        <f>IF(AND(D25="First Lien",P25="No"),0,IF(D25&lt;&gt;"First Lien",0,Y25))</f>
        <v/>
      </c>
      <c r="AP25" s="1020">
        <f>IF(AND(D25="First Lien",P25="No"),W25,0)</f>
        <v/>
      </c>
      <c r="AQ25" s="1020">
        <f>AL25*AO25</f>
        <v/>
      </c>
      <c r="AR25" s="1020" t="n"/>
      <c r="AS25" s="1020" t="n"/>
      <c r="AT25" s="1020" t="n"/>
      <c r="AU25" s="1020">
        <f>IF(AND(D25="FILO",P25="No"),0,IF(D25&lt;&gt;"FILO",0,Y25))</f>
        <v/>
      </c>
      <c r="AV25" s="1020">
        <f>IF(AND(D25="FILO",P25="No"),W25,0)</f>
        <v/>
      </c>
      <c r="AW25" s="1020">
        <f>AU25*AL25</f>
        <v/>
      </c>
      <c r="AX25" s="1020" t="n"/>
      <c r="AY25" s="1020" t="n"/>
      <c r="AZ25" s="1020" t="n"/>
      <c r="BA25" s="1020">
        <f>IF(AND(OR(D25="First Lien",D25="FILO"),P25="No"),0,IF(OR(D25="First Lien",D25="FILO"),0,(Y25)))</f>
        <v/>
      </c>
      <c r="BB25" s="1020" t="n"/>
      <c r="BC25" s="1020" t="n"/>
      <c r="BD25" s="1020">
        <f>IF(AND(D25="Second Lien",P25="No"),W25,0)</f>
        <v/>
      </c>
      <c r="BE25" s="1020" t="n"/>
      <c r="BF25" s="1020" t="n"/>
      <c r="BG25" s="1020" t="n"/>
      <c r="BH25" s="1020" t="n"/>
      <c r="BI25" s="1020">
        <f>IF(D25="Second Lien",BA25*AL25,0)</f>
        <v/>
      </c>
      <c r="BJ25" s="1020">
        <f>SUM(AM25:AP25)+SUM(AZ25:BD25)+SUM(AS25:AV25)=Y25</f>
        <v/>
      </c>
      <c r="BK25" s="1026">
        <f>INDEX('Loan Tape - Settled'!$B$4:$AP$55,MATCH($A25,'Loan Tape - Settled'!$E$4:$E$55,0),MATCH("Inception Date",'Loan Tape - Settled'!$B$4:$AP$4,0))</f>
        <v/>
      </c>
      <c r="BL25" s="1026">
        <f>INDEX('Loan Tape - Settled'!$B$4:$AP$55,MATCH($A25,'Loan Tape - Settled'!$E$4:$E$55,0),MATCH("Inclusion Date",'Loan Tape - Settled'!$B$4:$AP$4,0))</f>
        <v/>
      </c>
      <c r="BM25" s="1026">
        <f>INDEX('Loan Tape - Settled'!$B$4:$AP$55,MATCH($A25,'Loan Tape - Settled'!$E$4:$E$55,0),MATCH("Maturity Date",'Loan Tape - Settled'!$B$4:$AP$4,0))</f>
        <v/>
      </c>
      <c r="BN25" s="556" t="n"/>
      <c r="BO25" s="556" t="n"/>
      <c r="BP25" s="1055" t="n"/>
      <c r="BQ25" s="556" t="n"/>
      <c r="BR25" s="554">
        <f>INDEX('Loan Tape - Settled'!$B$4:$AP$55,MATCH($A25,'Loan Tape - Settled'!$E$4:$E$55,0),MATCH("Industry Classification",'Loan Tape - Settled'!$B$4:$AP$4,0))</f>
        <v/>
      </c>
      <c r="BS25" s="556">
        <f>IF(INDEX('Loan Tape - Settled'!$B$4:$AP$55,MATCH($A25,'Loan Tape - Settled'!$E$4:$E$55,0),MATCH("Covenant Lite",'Loan Tape - Settled'!$B$4:$AP$4,0))=-1, "Yes", "No")</f>
        <v/>
      </c>
      <c r="BT25" s="1056">
        <f>INDEX('Loan Tape - Settled'!$B$4:$AP$55,MATCH($A25,'Loan Tape - Settled'!$E$4:$E$55,0),MATCH("Spread / Coupon (%)",'Loan Tape - Settled'!$B$4:$AP$4,0))</f>
        <v/>
      </c>
      <c r="BU25" s="556">
        <f>IF(INDEX('Loan Tape - Settled'!$B$4:$AP$55,MATCH($A25,'Loan Tape - Settled'!$E$4:$E$55,0),MATCH("Security Type",'Loan Tape - Settled'!$B$4:$AP$4,0))="Delayed Draw Term Loan", "Yes", "No")</f>
        <v/>
      </c>
      <c r="BV25" s="557" t="inlineStr">
        <is>
          <t>No</t>
        </is>
      </c>
      <c r="BW25" s="557" t="inlineStr">
        <is>
          <t>No</t>
        </is>
      </c>
      <c r="BX25" s="548" t="inlineStr">
        <is>
          <t>No</t>
        </is>
      </c>
      <c r="BY25" s="556">
        <f>IF(INDEX('Loan Tape - Settled'!$B$4:$AP$55,MATCH($A25,'Loan Tape - Settled'!$E$4:$E$55,0),MATCH("Fixed/Floating",'Loan Tape - Settled'!$B$4:$AP$4,0))="Fixed", "Yes", "No")</f>
        <v/>
      </c>
      <c r="BZ25" s="557" t="inlineStr">
        <is>
          <t>No</t>
        </is>
      </c>
      <c r="CA25" s="557" t="inlineStr">
        <is>
          <t>No</t>
        </is>
      </c>
      <c r="CB25" s="556">
        <f>IF(INDEX('Loan Tape - Settled'!$B$4:$AP$55,MATCH($A25,'Loan Tape - Settled'!$E$4:$E$55,0),MATCH("Loan Denomination",'Loan Tape - Settled'!$B$4:$AP$4,0))="CAD", "Yes", "No")</f>
        <v/>
      </c>
      <c r="CC25" s="556">
        <f>INDEX('Loan Tape - Settled'!$B$4:$AP$55,MATCH($A25,'Loan Tape - Settled'!$E$4:$E$55,0),MATCH("Payment Frequency",'Loan Tape - Settled'!$B$4:$AP$4,0))</f>
        <v/>
      </c>
      <c r="CD25" s="557" t="inlineStr">
        <is>
          <t>No</t>
        </is>
      </c>
      <c r="CE25" s="556">
        <f>INDEX('Loan Tape - Settled'!$B$4:$AP$55,MATCH($A25,'Loan Tape - Settled'!$E$4:$E$55,0),MATCH("S&amp;P Loan Rating (if applicable)",'Loan Tape - Settled'!$B$4:$AP$4,0))</f>
        <v/>
      </c>
      <c r="CF25" s="556">
        <f>INDEX('Loan Tape - Settled'!$B$4:$AP$55,MATCH($A25,'Loan Tape - Settled'!$E$4:$E$55,0),MATCH("Moody's Loan Rating (if applicable)",'Loan Tape - Settled'!$B$4:$AP$4,0))</f>
        <v/>
      </c>
      <c r="CG25" s="556" t="n"/>
      <c r="CH25" s="556" t="n"/>
      <c r="CI25" s="1057" t="n"/>
      <c r="CJ25" s="1030">
        <f>INDEX('Loan Tape - Settled'!$B$4:$BF$55,MATCH($A25,'Loan Tape - Settled'!$E$4:$E$55,0),MATCH("Last Financial Received",'Loan Tape - Settled'!$B$4:$BF$4,0))</f>
        <v/>
      </c>
      <c r="CK25" s="559">
        <f>INDEX('Loan Tape - Settled'!$B$4:$BJ$55,MATCH($A25,'Loan Tape - Settled'!$E$4:$E$55,0),MATCH("Initial Adjusted TTM EBITDA",'Loan Tape - Settled'!$B$4:$BJ$4,0))</f>
        <v/>
      </c>
      <c r="CL25" s="559">
        <f>INDEX('Loan Tape - Settled'!$B$4:$BJ$55,MATCH($A25,'Loan Tape - Settled'!$E$4:$E$55,0),MATCH("Initial TTM Non-adjusted EBITDA",'Loan Tape - Settled'!$B$4:$BJ$4,0))</f>
        <v/>
      </c>
      <c r="CM25" s="1031" t="n"/>
      <c r="CN25" s="451" t="n"/>
      <c r="CO25" s="451" t="n"/>
      <c r="CP25" s="1032" t="n"/>
      <c r="CQ25" s="1033" t="inlineStr">
        <is>
          <t>N</t>
        </is>
      </c>
      <c r="CR25" s="1032" t="n"/>
      <c r="CS25" s="454">
        <f>CK25-CP25+CR25</f>
        <v/>
      </c>
      <c r="CT25" s="455">
        <f>1-CS25/CK25</f>
        <v/>
      </c>
      <c r="CU25" s="559">
        <f>INDEX('Loan Tape - Settled'!$B$4:$BJ$55,MATCH($A25,'Loan Tape - Settled'!$E$4:$E$55,0),MATCH("Current TTM Non-adjusted EBITDA",'Loan Tape - Settled'!$B$4:$BJ$4,0))</f>
        <v/>
      </c>
      <c r="CV25" s="456">
        <f>CT25</f>
        <v/>
      </c>
      <c r="CW25" s="1034" t="inlineStr">
        <is>
          <t>N</t>
        </is>
      </c>
      <c r="CX25" s="1035" t="n"/>
      <c r="CY25" s="1036">
        <f>IF(CW25="N",(1-CV25)*CU25,(1-CX25)*CU25)</f>
        <v/>
      </c>
      <c r="CZ25" s="1037" t="n"/>
      <c r="DA25" s="1038" t="n"/>
      <c r="DB25" s="1039" t="n"/>
      <c r="DC25" s="1040" t="n"/>
      <c r="DD25" s="1040">
        <f>INDEX('Loan Tape - Settled'!$B$4:$BJ$55,MATCH($A25,'Loan Tape - Settled'!$E$4:$E$55,0),MATCH("Initial Senior Net Leverage Senior",'Loan Tape - Settled'!$B$4:$BJ$4,0))</f>
        <v/>
      </c>
      <c r="DE25" s="1041">
        <f>INDEX('Loan Tape - Settled'!$B$4:$BJ$55,MATCH($A25,'Loan Tape - Settled'!$E$4:$E$55,0),MATCH("Initial Total Net Leverage",'Loan Tape - Settled'!$B$4:$BJ$4,0))</f>
        <v/>
      </c>
      <c r="DF25" s="1037" t="n"/>
      <c r="DG25" s="1038" t="n"/>
      <c r="DH25" s="1039" t="n"/>
      <c r="DI25" s="1042">
        <f>INDEX('Loan Tape - Settled'!$B$4:$BJ$55,MATCH($A25,'Loan Tape - Settled'!$E$4:$E$55,0),MATCH("Net Attachment",'Loan Tape - Settled'!$B$4:$BJ$4,0))</f>
        <v/>
      </c>
      <c r="DJ25" s="566">
        <f t="array" ref="DJ25">IF(AG25="Yes",INDEX(VAE!$M$5:$M$53,MATCH($B25&amp;$AJ25,VAE!$C$5:$C$53&amp;VAE!$G$5:$G$53,0)),DD25)</f>
        <v/>
      </c>
      <c r="DK25" s="697">
        <f t="array" ref="DK25">IF(AG25="Yes",INDEX(VAE!$N$5:$N$53,MATCH($B25&amp;$AJ25,VAE!$C$5:$C$53&amp;VAE!$G$5:$G$53,0)),DE25)</f>
        <v/>
      </c>
      <c r="DL25" s="1058">
        <f>INDEX('Loan Tape - Settled'!$B$4:$BJ$55,MATCH($A25,'Loan Tape - Settled'!$E$4:$E$55,0),MATCH("Current Senior Net Leverage Senior",'Loan Tape - Settled'!$B$4:$BJ$4,0))</f>
        <v/>
      </c>
      <c r="DM25" s="1059">
        <f>INDEX('Loan Tape - Settled'!$B$4:$BJ$55,MATCH($A25,'Loan Tape - Settled'!$E$4:$E$55,0),MATCH("Current Total Net Leverage",'Loan Tape - Settled'!$B$4:$BJ$4,0))</f>
        <v/>
      </c>
      <c r="DN25" s="1044" t="n"/>
      <c r="DO25" s="1045">
        <f>INDEX('Loan Tape - Settled'!$B$4:$BJ$55,MATCH($A25,'Loan Tape - Settled'!$E$4:$E$55,0),MATCH("Initial Interest Coverage",'Loan Tape - Settled'!$B$4:$BJ$4,0))</f>
        <v/>
      </c>
      <c r="DP25" s="565">
        <f t="array" ref="DP25">IF(AG25="Yes",INDEX(VAE!$O$5:$O$53,MATCH($B25&amp;$AJ25,VAE!$C$5:$C$53&amp;VAE!$G$5:$G$53,0)),DO25)</f>
        <v/>
      </c>
      <c r="DQ25" s="1046">
        <f>INDEX('Loan Tape - Settled'!$B$4:$BJ$55,MATCH($A25,'Loan Tape - Settled'!$E$4:$E$55,0),MATCH("Current Interest Coverage",'Loan Tape - Settled'!$B$4:$BJ$4,0))</f>
        <v/>
      </c>
      <c r="DR25" s="462">
        <f>IF(OR(DU25="Yes",DU25="N/A",DV25="Yes",DV25="N/A",DW25="Yes",DX25="Yes",DY25="Yes",EF25="Yes",EG25="Yes",EH25="Yes"),"Yes","No")</f>
        <v/>
      </c>
      <c r="DS25" s="1047">
        <f>IF(AG25="Yes",DATEDIF(AJ25,Availability!$F$8,"m"),"")</f>
        <v/>
      </c>
      <c r="DT25" s="1047">
        <f>IF(DS25="","No",IF(DS25&gt;12,"Yes","No"))</f>
        <v/>
      </c>
      <c r="DU25" s="695">
        <f>IFERROR(IF(AND(DQ25/DP25&lt;0.75,DQ25&lt;1.5),"Yes","No"),"N/A")</f>
        <v/>
      </c>
      <c r="DV25" s="696">
        <f>IFERROR(IF(OR(D25="First Lien",D25="FILO"),IF(AND((DL25-DJ25)&gt;0.75,DL25&gt;4),"Yes","No"),"No"),"N/A")</f>
        <v/>
      </c>
      <c r="DW25" s="696">
        <f t="array" ref="DW25">_xlfn.IFS(D25&lt;&gt;"Second Lien","No",D25="Second Lien",IF(AND((DM25-DK25)&gt;0.5,DM25&gt;4.5),"Yes","No"))</f>
        <v/>
      </c>
      <c r="DX25" s="735" t="inlineStr">
        <is>
          <t>No</t>
        </is>
      </c>
      <c r="DY25" s="735" t="inlineStr">
        <is>
          <t>No</t>
        </is>
      </c>
      <c r="DZ25" s="1048" t="inlineStr">
        <is>
          <t>No</t>
        </is>
      </c>
      <c r="EA25" s="1048" t="inlineStr">
        <is>
          <t>No</t>
        </is>
      </c>
      <c r="EB25" s="1048" t="inlineStr">
        <is>
          <t>No</t>
        </is>
      </c>
      <c r="EC25" s="1048" t="inlineStr">
        <is>
          <t>No</t>
        </is>
      </c>
      <c r="ED25" s="1048" t="inlineStr">
        <is>
          <t>No</t>
        </is>
      </c>
      <c r="EE25" s="1048" t="inlineStr">
        <is>
          <t>No</t>
        </is>
      </c>
      <c r="EF25" s="442">
        <f>IF(OR(DZ25="Yes",EA25="Yes",EB25="Yes",EC25="Yes",ED25="Yes",EE25="Yes"),"Yes","No")</f>
        <v/>
      </c>
      <c r="EG25" s="1048" t="inlineStr">
        <is>
          <t>No</t>
        </is>
      </c>
      <c r="EH25" s="1049" t="inlineStr">
        <is>
          <t>No</t>
        </is>
      </c>
      <c r="EI25" s="1050">
        <f t="array" ref="EI25">IF(D25="First Lien",_xlfn.IFS(CY25&gt;AGENT!$B$23, "&gt; $20MM",CY25&lt;=AGENT!$C$25, "&lt;= $10MM",AND(CY25&lt;=AGENT!$C$24,CY25&gt;AGENT!$B$24),"&lt;= $20MM"), "N/A")</f>
        <v/>
      </c>
      <c r="EJ25" s="1050">
        <f t="array" ref="EJ25">IF(D25="FILO",_xlfn.IFS(DI25&gt;AGENT!$B$29, "&gt; 1.25x",DI25&lt;AGENT!$C$27, "&lt; 0.75x",AND(DI25&lt;=AGENT!$C$28,DI25&gt;=AGENT!$B$28),"&lt;= 1.25x"), "N/A")</f>
        <v/>
      </c>
      <c r="EK25" s="1051">
        <f>V25</f>
        <v/>
      </c>
      <c r="EL25" s="1051">
        <f>'Concentration Limits'!$J$49</f>
        <v/>
      </c>
      <c r="EM25" s="1051">
        <f>IF(OR(D25="Second Lien",AND(D25="FILO",DI25&gt;AGENT!$C$57)), "Yes", "No")</f>
        <v/>
      </c>
      <c r="EN25" s="1051">
        <f>IF(EM25="Yes",SUMIF(EM:EM,"Yes",EK:EK),0)</f>
        <v/>
      </c>
      <c r="EO25" s="1051">
        <f>IF(EN25&gt;EL25,(EN25-EL25)*(EK25/SUMIF(EM:EM,"Yes",EK:EK)),0)</f>
        <v/>
      </c>
      <c r="EP25" s="1051">
        <f>MAX(0,EK25-EO25)</f>
        <v/>
      </c>
      <c r="EQ25" s="1051">
        <f>'Concentration Limits'!$J$50</f>
        <v/>
      </c>
      <c r="ER25" s="1051">
        <f>IF(D25="Second Lien",SUMIF(D:D,D25,EP:EP),0)</f>
        <v/>
      </c>
      <c r="ES25" s="1051">
        <f>MAX(0,(ER25-EQ25)*IFERROR((EP25/SUMIF($D:$D,D25,EP:EP )),0) )</f>
        <v/>
      </c>
      <c r="ET25" s="1051">
        <f>MAX(0,EP25-ES25)</f>
        <v/>
      </c>
      <c r="EU25" s="1051">
        <f>'Concentration Limits'!$J$51</f>
        <v/>
      </c>
      <c r="EV25" s="1051">
        <f>IF(OR(D25="Second Lien", AND(D25="FILO",DI25&gt;AGENT!$C$59)), "Yes", "No")</f>
        <v/>
      </c>
      <c r="EW25" s="1051">
        <f>IF(EV25="Yes",SUMIF(EV:EV,"Yes",ET:ET),0)</f>
        <v/>
      </c>
      <c r="EX25" s="1051">
        <f>IF(EW25&gt;EU25,(EW25-EU25)*(ET25/SUMIF(EV:EV,"Yes",ET:ET)),0)</f>
        <v/>
      </c>
      <c r="EY25" s="1051">
        <f>MAX(0,ET25-EX25)</f>
        <v/>
      </c>
      <c r="EZ25" s="1051">
        <f>'Concentration Limits'!$J$52</f>
        <v/>
      </c>
      <c r="FA25" s="1051">
        <f>IF(CY25&gt;'Concentration Limits'!$E$52, "No", "Yes")</f>
        <v/>
      </c>
      <c r="FB25" s="1051">
        <f>IF(FA25="Yes",SUMIF(FA:FA,"Yes",EY:EY),0)</f>
        <v/>
      </c>
      <c r="FC25" s="1051">
        <f>IF(FB25&gt;EZ25,(FB25-EZ25)*(EY25/SUMIF(FA:FA,"Yes",EY:EY)),0)</f>
        <v/>
      </c>
      <c r="FD25" s="1051">
        <f>MAX(0,EY25-FC25)</f>
        <v/>
      </c>
      <c r="FE25" s="1052">
        <f>'Concentration Limits'!$J$54</f>
        <v/>
      </c>
      <c r="FF25" s="1052">
        <f>'Concentration Limits'!$J$55</f>
        <v/>
      </c>
      <c r="FG25" s="1052">
        <f>'Concentration Limits'!$J$56</f>
        <v/>
      </c>
      <c r="FH25" s="1053">
        <f>'Concentration Limits'!$J$57</f>
        <v/>
      </c>
      <c r="FI25" s="1053">
        <f>SUMIF($B:$B,$B25,$FD:$FD)</f>
        <v/>
      </c>
      <c r="FJ25" s="1053">
        <f>IF(MATCH($B25,$B:$B,0)=ROW(),$FI25,0)</f>
        <v/>
      </c>
      <c r="FK25" s="1053">
        <f>INDEX(FL$8:FL$60,MATCH(B25,B$8:B$60,0))</f>
        <v/>
      </c>
      <c r="FL25" s="1053">
        <f>IF(FJ25&gt;0,RANK(FJ25,$FJ$9:$FJ$60)+COUNTIF($FJ$9:FJ25,FJ25)-1,0)</f>
        <v/>
      </c>
      <c r="FM25" s="1052">
        <f>IF(FK25=1,IF(FI25&gt;FE25,(FI25-FE25)*(V25/SUMIF($B:$B,B25,$FD:$FD)),0),0)</f>
        <v/>
      </c>
      <c r="FN25" s="1052">
        <f>IF(FK25=2,IF(FI25&gt;FF25,(FI25-FF25)*(V25/SUMIF($B:$B,B25,$FD:$FD)),0),0)</f>
        <v/>
      </c>
      <c r="FO25" s="1052">
        <f>IF(FK25=3,IF(FI25&gt;FG25,(FI25-FG25)*(V25/SUMIF($B:$B,B25,$FD:$FD)),0),0)</f>
        <v/>
      </c>
      <c r="FP25" s="1053">
        <f>IF(FK25&gt;0,IF(FI25&gt;FH25,(FI25-FH25)*(FD25/(SUMIF($B:$B,$B25,$FD:$FD))),0),0)</f>
        <v/>
      </c>
      <c r="FQ25" s="1053">
        <f>MAX(0,FD25-FM25-FN25-FO25-FP25)</f>
        <v/>
      </c>
      <c r="FR25" s="1053">
        <f>'Concentration Limits'!$J$58</f>
        <v/>
      </c>
      <c r="FS25" s="1053">
        <f>SUMIF($BR:$BR,$BR25,FQ:FQ)</f>
        <v/>
      </c>
      <c r="FT25" s="1053">
        <f>VLOOKUP(BR25,'Concentration Limits'!$E$81:$H$153,4,FALSE)</f>
        <v/>
      </c>
      <c r="FU25" s="1053">
        <f>IF(FT25=1,MAX(0,(FS25-FR25)*(FQ25/SUMIF($BR:$BR,BR25,FQ:FQ))),0)</f>
        <v/>
      </c>
      <c r="FV25" s="1053">
        <f>MAX(0,FQ25-FU25)</f>
        <v/>
      </c>
      <c r="FW25" s="1053">
        <f>'Concentration Limits'!$J$59</f>
        <v/>
      </c>
      <c r="FX25" s="1053">
        <f>SUMIF($BR:$BR,$BR25,FV:FV)</f>
        <v/>
      </c>
      <c r="FY25" s="1053">
        <f>VLOOKUP(BR25,'Concentration Limits'!$E$81:$H$153,4,FALSE)</f>
        <v/>
      </c>
      <c r="FZ25" s="1053">
        <f>MAX(0,IF(FY25=2,(FX25-FW25)*(FV25/SUMIF($BR:$BR,BR25,FV:FV)),0))</f>
        <v/>
      </c>
      <c r="GA25" s="1053">
        <f>MAX(0,FV25-FZ25)</f>
        <v/>
      </c>
      <c r="GB25" s="1053">
        <f>'Concentration Limits'!$J$61</f>
        <v/>
      </c>
      <c r="GC25" s="1053">
        <f>SUMIF($BR:$BR,$BR25,GA:GA)</f>
        <v/>
      </c>
      <c r="GD25" s="1051">
        <f>VLOOKUP(BR25,'Concentration Limits'!$E$81:$H$153,4,FALSE)</f>
        <v/>
      </c>
      <c r="GE25" s="1053">
        <f>IF(GA25=0,0,MAX(0,IF(GD25&lt;3,0,(GC25-GB25)*($GA25/SUMIF($BR:$BR,BR25,GA:GA)))))</f>
        <v/>
      </c>
      <c r="GF25" s="1053">
        <f>MAX(0,GA25-GE25)</f>
        <v/>
      </c>
      <c r="GG25" s="1053">
        <f>'Concentration Limits'!$J$64</f>
        <v/>
      </c>
      <c r="GH25" s="1053">
        <f>IF(BY25="Yes",SUMIF(BY:BY,BY25,GF:GF),0)</f>
        <v/>
      </c>
      <c r="GI25" s="1053">
        <f>IFERROR(MAX(0,(GH25-GG25)*(GF25/SUMIF($T:$T,T25,GF:GF ))),0)</f>
        <v/>
      </c>
      <c r="GJ25" s="1053">
        <f>MAX(0,GF25-GI25)</f>
        <v/>
      </c>
      <c r="GK25" s="1053">
        <f>'Concentration Limits'!$J$67</f>
        <v/>
      </c>
      <c r="GL25" s="1051">
        <f>IF(OR(BV25="Yes",OR(ISNUMBER(SEARCH("Travel",BR25)),ISNUMBER(SEARCH("Energy",BR25)),ISNUMBER(SEARCH("Leisure",BR25)),ISNUMBER(SEARCH("hotel",BR25)))),"Yes","No")</f>
        <v/>
      </c>
      <c r="GM25" s="1053">
        <f>IF(GL25="Yes",SUMIF(GL:GL,"Yes",GJ:GJ),0)</f>
        <v/>
      </c>
      <c r="GN25" s="1053">
        <f>IF(GM25&gt;GK25,(GM25-GK25)*(GJ25/SUMIF(GL:GL,"Yes",GJ:GJ)),0)</f>
        <v/>
      </c>
      <c r="GO25" s="1053">
        <f>MAX(0,GJ25-GN25)</f>
        <v/>
      </c>
      <c r="GP25" s="1053">
        <f>'Concentration Limits'!$J$68</f>
        <v/>
      </c>
      <c r="GQ25" s="1051">
        <f>IF(BU25="Yes","Yes", "No")</f>
        <v/>
      </c>
      <c r="GR25" s="1053">
        <f>IF(GQ25="Yes",SUMIF(GQ:GQ,"Yes",GO:GO),0)</f>
        <v/>
      </c>
      <c r="GS25" s="1053">
        <f>IF(GR25&gt;GP25,(GR25-GP25)*(GO25/SUMIF(GQ:GQ,"Yes",GO:GO)),0)</f>
        <v/>
      </c>
      <c r="GT25" s="1053">
        <f>MAX(0,GO25-GS25)</f>
        <v/>
      </c>
      <c r="GU25" s="1051">
        <f>'Concentration Limits'!$J$69</f>
        <v/>
      </c>
      <c r="GV25" s="1051">
        <f>IF(BW25="Yes", "Yes", "No")</f>
        <v/>
      </c>
      <c r="GW25" s="1051">
        <f>IF(GV25="Yes",SUMIF(GV:GV,"Yes",GT:GT),0)</f>
        <v/>
      </c>
      <c r="GX25" s="1051">
        <f>IF(GW25&gt;GU25,(GW25-GU25)*(GT25/SUMIF(GV:GV,"Yes",GT:GT)),0)</f>
        <v/>
      </c>
      <c r="GY25" s="1051">
        <f>MAX(0,GT25-GX25)</f>
        <v/>
      </c>
      <c r="GZ25" s="1051">
        <f>'Concentration Limits'!$J$70</f>
        <v/>
      </c>
      <c r="HA25" s="1051">
        <f>IF(BX25="Yes", "Yes", "No")</f>
        <v/>
      </c>
      <c r="HB25" s="1051">
        <f>IF(HA25="Yes",SUMIF(HA:HA,"Yes",GY:GY),0)</f>
        <v/>
      </c>
      <c r="HC25" s="1051">
        <f>IF(HB25&gt;GZ25,(HB25-GZ25)*(GY25/SUMIF(HA:HA,"Yes",GY:GY)),0)</f>
        <v/>
      </c>
      <c r="HD25" s="1051">
        <f>MAX(0,GY25-HC25)</f>
        <v/>
      </c>
      <c r="HE25" s="1053">
        <f>IF(AQ25=0,0,HD25*AQ25/(AQ25+AR25))</f>
        <v/>
      </c>
      <c r="HF25" s="1053">
        <f>IF(AR25=0,0,HD25*AR25/(AQ25+AR25))</f>
        <v/>
      </c>
      <c r="HG25" s="1053">
        <f>IF(AW25=0,0,HD25*AW25/(AW25+AX25))</f>
        <v/>
      </c>
      <c r="HH25" s="1053">
        <f>IF(AX25=0,0,HD25*AX25/(AX25+AW25))</f>
        <v/>
      </c>
      <c r="HI25" s="1053">
        <f>IF(BE25=0,0,#REF!*BE25/(BE25+BG25))</f>
        <v/>
      </c>
      <c r="HJ25" s="1053">
        <f>IF(BG25=0,0,#REF!*BG25/(BG25+BE25))</f>
        <v/>
      </c>
      <c r="HK25" s="1054">
        <f>IF(BF25=0,0,#REF!*BF25/(BF25+BH25))</f>
        <v/>
      </c>
      <c r="HL25" s="1053">
        <f>IF(BH25=0,0,#REF!*BH25/(BH25+BF25))</f>
        <v/>
      </c>
      <c r="HM25" s="1053">
        <f>IF(D25="Second Lien",HD25,0)</f>
        <v/>
      </c>
      <c r="HN25" s="1053">
        <f>SUM(HE25:HM25)=HD25</f>
        <v/>
      </c>
    </row>
    <row r="26" ht="12.75" customFormat="1" customHeight="1" s="469">
      <c r="A26" s="55">
        <f>A25+1</f>
        <v/>
      </c>
      <c r="B26" s="437">
        <f>INDEX('Loan Tape - Settled'!$B$4:$AP$55,MATCH($A26,'Loan Tape - Settled'!$E$4:$E$55,0),MATCH("Obligor Name",'Loan Tape - Settled'!$B$4:$AM$4,0))</f>
        <v/>
      </c>
      <c r="C26" s="437">
        <f>INDEX('Loan Tape - Settled'!$B$4:$AP$55,MATCH($A26,'Loan Tape - Settled'!$E$4:$E$55,0),MATCH("Security",'Loan Tape - Settled'!$B$4:$AM$4,0))</f>
        <v/>
      </c>
      <c r="D26" s="438">
        <f>INDEX('Loan Tape - Settled'!$B$4:$AP$55,MATCH($A26,'Loan Tape - Settled'!$E$4:$E$55,0),MATCH("Loan Type",'Loan Tape - Settled'!$B$4:$AM$4,0))</f>
        <v/>
      </c>
      <c r="E26" s="439">
        <f>IF(ISERROR(MATCH(D26,AGENT!$A$4:$A$10,0))=FALSE, TRUE)</f>
        <v/>
      </c>
      <c r="F26" s="439">
        <f>IF(AND(BZ26="no",CA26="no"),TRUE)</f>
        <v/>
      </c>
      <c r="G26" s="439">
        <f>IF(D26&lt;&gt;"Second Lien",TRUE, IF(CY26&gt;=AGENT!$B$4,TRUE))</f>
        <v/>
      </c>
      <c r="H26" s="439">
        <f>IF(DE26&lt;=AGENT!$D$4,TRUE)</f>
        <v/>
      </c>
      <c r="I26" s="439">
        <f>IF(VLOOKUP(CONCATENATE($A$5,A26),'Loan Tape - Settled'!$A$5:$Q$55,17,FALSE)&gt;=AGENT!$E$4,TRUE)</f>
        <v/>
      </c>
      <c r="J26" s="439">
        <f>IF(INDEX('Loan Tape - Settled'!$B$4:$AP$55,MATCH($A26,'Loan Tape - Settled'!$E$4:$E$55,0),MATCH("Loan Denomination",'Loan Tape - Settled'!$B$4:$AP$4,0))="USD", TRUE)</f>
        <v/>
      </c>
      <c r="K26" s="439">
        <f>IF(INDEX('Loan Tape - Settled'!$B$4:$AP$55,MATCH($A26,'Loan Tape - Settled'!$E$4:$E$55,0),MATCH("Exposure Country",'Loan Tape - Settled'!$B$4:$AP$4,0))="United States", TRUE)</f>
        <v/>
      </c>
      <c r="L26" s="439">
        <f>IF(BS26="NO",TRUE)</f>
        <v/>
      </c>
      <c r="M26" s="439">
        <f>IF(((BM26-BL26)/365)&lt;=AGENT!$F$4,TRUE)</f>
        <v/>
      </c>
      <c r="N26" s="439">
        <f>IF(DX26="Yes",FALSE,TRUE)</f>
        <v/>
      </c>
      <c r="O26" s="493" t="n"/>
      <c r="P26" s="730">
        <f>IF($B26="","",IF(OR(O26=TRUE,COUNTIFS($E26:$N26,TRUE)=10),"Yes","No"))</f>
        <v/>
      </c>
      <c r="Q26" s="730" t="inlineStr">
        <is>
          <t>Yes</t>
        </is>
      </c>
      <c r="R26" s="440">
        <f>IF(P26="Yes",B26,"N/A")</f>
        <v/>
      </c>
      <c r="S26" s="440" t="n"/>
      <c r="T26" s="441">
        <f t="array" ref="T26">_xlfn.IFS(D26="Second Lien",D26,D26="First Lien",CONCATENATE(D26," ",EI26),D26="FILO",CONCATENATE(D26," ",EJ26))</f>
        <v/>
      </c>
      <c r="U26" s="442">
        <f>VLOOKUP(T26,'Concentration Limits'!D:G,4,FALSE)</f>
        <v/>
      </c>
      <c r="V26" s="1020">
        <f>AQ26+AW26+BI26</f>
        <v/>
      </c>
      <c r="W26" s="1021">
        <f>(SUMIFS('Loan Tape - Settled'!$AR$4:$AR$55,'Loan Tape - Settled'!$E$4:$E$55,$A26,'Loan Tape - Settled'!$C$4:$C$55,$A$5))</f>
        <v/>
      </c>
      <c r="X26" s="1022" t="n">
        <v>1</v>
      </c>
      <c r="Y26" s="1023">
        <f>W26*X26</f>
        <v/>
      </c>
      <c r="Z26" s="1022">
        <f>(SUMIFS('Loan Tape - Settled'!$AQ$4:$AQ$55,'Loan Tape - Settled'!$E$4:$E$55,$A26,'Loan Tape - Settled'!$C$4:$C$55,$A$5))</f>
        <v/>
      </c>
      <c r="AA26" s="1023">
        <f>Z26*X26</f>
        <v/>
      </c>
      <c r="AB26" s="1023">
        <f>AA26-Y26</f>
        <v/>
      </c>
      <c r="AC26" s="490">
        <f>VLOOKUP(CONCATENATE($A$5,A26),'Loan Tape - Settled'!$A$5:$Q$55,17,FALSE)</f>
        <v/>
      </c>
      <c r="AD26" s="445" t="n"/>
      <c r="AE26" s="446">
        <f>INDEX('Loan Tape - Settled'!$B$4:$AP$55,MATCH($A26,'Loan Tape - Settled'!$E$4:$E$55,0),MATCH("FMV",'Loan Tape - Settled'!$B$4:$AM$4,0))</f>
        <v/>
      </c>
      <c r="AF26" s="446">
        <f t="array" ref="AF26">_xlfn.IFS(D26="First Lien",
_xlfn.IFS(AND(DL26&gt;0,DL26&lt;Tier_1_1L),Tier_1_ApplicableValue,
AND(DL26&gt;=Tier_1_1L,DL26&lt;Tier_2_1L),((Tier_1_1L/DL26)*Tier_1_ApplicableValue)+((DL26-Tier_1_1L)/DL26*Tier_2_ApplicableValue),
AND(DL26&gt;=Tier_2_1L, DL26&lt;Tier_3_1L),((Tier_1_1L/DL26)*Tier_1_ApplicableValue+(Tier_2_1L-Tier_1_1L)/DL26*Tier_2_ApplicableValue+(DL26-Tier_2_1L)/DL26*Tier_3_ApplicableValue),
AND(DL26&gt;=Tier_3_1L, DL26&lt;=Tier_totalzerovalue),((Tier_1_1L/DL26)*Tier_1_ApplicableValue+(Tier_2_1L-Tier_1_1L)/DL26*Tier_2_ApplicableValue+(Tier_3_1L-Tier_2_1L)/DL26*Tier_3_ApplicableValue+(DL26-Tier_partialzerovalue)/DL26*0%),
DL26&gt;Tier_totalzerovalue,0%),
OR(D26="Second Lien", D26="FILO"),
_xlfn.IFS(AND(DM26&gt;0,DM26&lt;Tier_1_2L),Tier_1_ApplicableValue,
AND(DM26&gt;=Tier_1_2L,DM26&lt;Tier_2_2L),((Tier_1_2L/DM26)*Tier_1_ApplicableValue)+((DM26-Tier_1_2L)/DM26*Tier_2_ApplicableValue),
AND(DM26&gt;=Tier_2_2L, DM26&lt;Tier_3_2L),((Tier_1_2L/DM26)*Tier_1_ApplicableValue+(Tier_2_2L-Tier_1_2L)/DM26*Tier_2_ApplicableValue+(DM26-Tier_2_2L)/DM26*Tier_3_ApplicableValue),
AND(DM26&gt;=Tier_3_2L, DM26&lt;=Tier_totalzerovalue),((Tier_1_2L/DM26)*Tier_1_ApplicableValue+(Tier_2_2L-Tier_1_2L)/DM26*Tier_2_ApplicableValue+(Tier_3_2L-Tier_2_2L)/DM26*Tier_3_ApplicableValue+(DM26-Tier_partialzerovalue)/DM26*0%),
DM26&gt;Tier_totalzerovalue,0%))</f>
        <v/>
      </c>
      <c r="AG26" s="447">
        <f>IF(COUNTIFS(VAE!$C$5:$C$96,B26,VAE!$G$5:$G$96,"&lt;="&amp;Availability!$F$8)&gt;=1,"Yes","-")</f>
        <v/>
      </c>
      <c r="AH26" s="447">
        <f t="array" ref="AH26">IFERROR(IF(AG26="Yes",INDEX(VAE!$D$5:$D$96,MATCH(B26&amp;AJ26,VAE!$C$5:$C$96&amp;VAE!$G$5:$G$96,0)),"-"),0)</f>
        <v/>
      </c>
      <c r="AI26" s="447">
        <f t="array" ref="AI26">IFERROR(IF(AG26="Yes",INDEX(VAE!$F$5:$F$96,MATCH(B26&amp;AJ26,VAE!$C$5:$C$96&amp;VAE!$G$5:$G$96,0)),"-"),0)</f>
        <v/>
      </c>
      <c r="AJ26" s="448">
        <f>IF(AG26="-","-",_xlfn.MAXIFS(VAE!$G$5:$G$96,VAE!$C$5:$C$96,$B26))</f>
        <v/>
      </c>
      <c r="AK26" s="449">
        <f t="array" ref="AK26">IFERROR(IF(AG26="Yes",INDEX(VAE!$P$5:$P$96,MATCH(B26&amp;AJ26,VAE!$C$5:$C$96&amp;VAE!$G$5:$G$96,0)),"-"),0)</f>
        <v/>
      </c>
      <c r="AL26" s="446">
        <f>IF($A26="","",IF(P26="No",0,(IF(AG26="Yes",MIN(AE26,AK26,AF26),MIN(AE26,AF26)))))</f>
        <v/>
      </c>
      <c r="AM26" s="1020" t="n"/>
      <c r="AN26" s="1020" t="n"/>
      <c r="AO26" s="1020">
        <f>IF(AND(D26="First Lien",P26="No"),0,IF(D26&lt;&gt;"First Lien",0,Y26))</f>
        <v/>
      </c>
      <c r="AP26" s="1020">
        <f>IF(AND(D26="First Lien",P26="No"),W26,0)</f>
        <v/>
      </c>
      <c r="AQ26" s="1020">
        <f>AL26*AO26</f>
        <v/>
      </c>
      <c r="AR26" s="1020" t="n"/>
      <c r="AS26" s="1020" t="n"/>
      <c r="AT26" s="1020" t="n"/>
      <c r="AU26" s="1020">
        <f>IF(AND(D26="FILO",P26="No"),0,IF(D26&lt;&gt;"FILO",0,Y26))</f>
        <v/>
      </c>
      <c r="AV26" s="1020">
        <f>IF(AND(D26="FILO",P26="No"),W26,0)</f>
        <v/>
      </c>
      <c r="AW26" s="1020">
        <f>AU26*AL26</f>
        <v/>
      </c>
      <c r="AX26" s="1020" t="n"/>
      <c r="AY26" s="1020" t="n"/>
      <c r="AZ26" s="1020" t="n"/>
      <c r="BA26" s="1020">
        <f>IF(AND(OR(D26="First Lien",D26="FILO"),P26="No"),0,IF(OR(D26="First Lien",D26="FILO"),0,(Y26)))</f>
        <v/>
      </c>
      <c r="BB26" s="1020" t="n"/>
      <c r="BC26" s="1020" t="n"/>
      <c r="BD26" s="1020">
        <f>IF(AND(D26="Second Lien",P26="No"),W26,0)</f>
        <v/>
      </c>
      <c r="BE26" s="1020" t="n"/>
      <c r="BF26" s="1020" t="n"/>
      <c r="BG26" s="1020" t="n"/>
      <c r="BH26" s="1020" t="n"/>
      <c r="BI26" s="1020">
        <f>IF(D26="Second Lien",BA26*AL26,0)</f>
        <v/>
      </c>
      <c r="BJ26" s="1020">
        <f>SUM(AM26:AP26)+SUM(AZ26:BD26)+SUM(AS26:AV26)=Y26</f>
        <v/>
      </c>
      <c r="BK26" s="1026">
        <f>INDEX('Loan Tape - Settled'!$B$4:$AP$55,MATCH($A26,'Loan Tape - Settled'!$E$4:$E$55,0),MATCH("Inception Date",'Loan Tape - Settled'!$B$4:$AP$4,0))</f>
        <v/>
      </c>
      <c r="BL26" s="1026">
        <f>INDEX('Loan Tape - Settled'!$B$4:$AP$55,MATCH($A26,'Loan Tape - Settled'!$E$4:$E$55,0),MATCH("Inclusion Date",'Loan Tape - Settled'!$B$4:$AP$4,0))</f>
        <v/>
      </c>
      <c r="BM26" s="1026">
        <f>INDEX('Loan Tape - Settled'!$B$4:$AP$55,MATCH($A26,'Loan Tape - Settled'!$E$4:$E$55,0),MATCH("Maturity Date",'Loan Tape - Settled'!$B$4:$AP$4,0))</f>
        <v/>
      </c>
      <c r="BN26" s="556" t="n"/>
      <c r="BO26" s="556" t="n"/>
      <c r="BP26" s="1055" t="n"/>
      <c r="BQ26" s="556" t="n"/>
      <c r="BR26" s="554">
        <f>INDEX('Loan Tape - Settled'!$B$4:$AP$55,MATCH($A26,'Loan Tape - Settled'!$E$4:$E$55,0),MATCH("Industry Classification",'Loan Tape - Settled'!$B$4:$AP$4,0))</f>
        <v/>
      </c>
      <c r="BS26" s="556">
        <f>IF(INDEX('Loan Tape - Settled'!$B$4:$AP$55,MATCH($A26,'Loan Tape - Settled'!$E$4:$E$55,0),MATCH("Covenant Lite",'Loan Tape - Settled'!$B$4:$AP$4,0))=-1, "Yes", "No")</f>
        <v/>
      </c>
      <c r="BT26" s="1056">
        <f>INDEX('Loan Tape - Settled'!$B$4:$AP$55,MATCH($A26,'Loan Tape - Settled'!$E$4:$E$55,0),MATCH("Spread / Coupon (%)",'Loan Tape - Settled'!$B$4:$AP$4,0))</f>
        <v/>
      </c>
      <c r="BU26" s="556">
        <f>IF(INDEX('Loan Tape - Settled'!$B$4:$AP$55,MATCH($A26,'Loan Tape - Settled'!$E$4:$E$55,0),MATCH("Security Type",'Loan Tape - Settled'!$B$4:$AP$4,0))="Delayed Draw Term Loan", "Yes", "No")</f>
        <v/>
      </c>
      <c r="BV26" s="557" t="inlineStr">
        <is>
          <t>No</t>
        </is>
      </c>
      <c r="BW26" s="557" t="inlineStr">
        <is>
          <t>No</t>
        </is>
      </c>
      <c r="BX26" s="548" t="inlineStr">
        <is>
          <t>No</t>
        </is>
      </c>
      <c r="BY26" s="556">
        <f>IF(INDEX('Loan Tape - Settled'!$B$4:$AP$55,MATCH($A26,'Loan Tape - Settled'!$E$4:$E$55,0),MATCH("Fixed/Floating",'Loan Tape - Settled'!$B$4:$AP$4,0))="Fixed", "Yes", "No")</f>
        <v/>
      </c>
      <c r="BZ26" s="557" t="inlineStr">
        <is>
          <t>No</t>
        </is>
      </c>
      <c r="CA26" s="557" t="inlineStr">
        <is>
          <t>No</t>
        </is>
      </c>
      <c r="CB26" s="556">
        <f>IF(INDEX('Loan Tape - Settled'!$B$4:$AP$55,MATCH($A26,'Loan Tape - Settled'!$E$4:$E$55,0),MATCH("Loan Denomination",'Loan Tape - Settled'!$B$4:$AP$4,0))="CAD", "Yes", "No")</f>
        <v/>
      </c>
      <c r="CC26" s="556">
        <f>INDEX('Loan Tape - Settled'!$B$4:$AP$55,MATCH($A26,'Loan Tape - Settled'!$E$4:$E$55,0),MATCH("Payment Frequency",'Loan Tape - Settled'!$B$4:$AP$4,0))</f>
        <v/>
      </c>
      <c r="CD26" s="557" t="inlineStr">
        <is>
          <t>No</t>
        </is>
      </c>
      <c r="CE26" s="556">
        <f>INDEX('Loan Tape - Settled'!$B$4:$AP$55,MATCH($A26,'Loan Tape - Settled'!$E$4:$E$55,0),MATCH("S&amp;P Loan Rating (if applicable)",'Loan Tape - Settled'!$B$4:$AP$4,0))</f>
        <v/>
      </c>
      <c r="CF26" s="556">
        <f>INDEX('Loan Tape - Settled'!$B$4:$AP$55,MATCH($A26,'Loan Tape - Settled'!$E$4:$E$55,0),MATCH("Moody's Loan Rating (if applicable)",'Loan Tape - Settled'!$B$4:$AP$4,0))</f>
        <v/>
      </c>
      <c r="CG26" s="556" t="n"/>
      <c r="CH26" s="556" t="n"/>
      <c r="CI26" s="1057" t="n"/>
      <c r="CJ26" s="1030">
        <f>INDEX('Loan Tape - Settled'!$B$4:$BF$55,MATCH($A26,'Loan Tape - Settled'!$E$4:$E$55,0),MATCH("Last Financial Received",'Loan Tape - Settled'!$B$4:$BF$4,0))</f>
        <v/>
      </c>
      <c r="CK26" s="559">
        <f>INDEX('Loan Tape - Settled'!$B$4:$BJ$55,MATCH($A26,'Loan Tape - Settled'!$E$4:$E$55,0),MATCH("Initial Adjusted TTM EBITDA",'Loan Tape - Settled'!$B$4:$BJ$4,0))</f>
        <v/>
      </c>
      <c r="CL26" s="559">
        <f>INDEX('Loan Tape - Settled'!$B$4:$BJ$55,MATCH($A26,'Loan Tape - Settled'!$E$4:$E$55,0),MATCH("Initial TTM Non-adjusted EBITDA",'Loan Tape - Settled'!$B$4:$BJ$4,0))</f>
        <v/>
      </c>
      <c r="CM26" s="1031" t="n"/>
      <c r="CN26" s="451" t="n"/>
      <c r="CO26" s="451" t="n"/>
      <c r="CP26" s="1032" t="n"/>
      <c r="CQ26" s="1033" t="inlineStr">
        <is>
          <t>N</t>
        </is>
      </c>
      <c r="CR26" s="1032" t="n"/>
      <c r="CS26" s="454">
        <f>CK26-CP26+CR26</f>
        <v/>
      </c>
      <c r="CT26" s="455">
        <f>1-CS26/CK26</f>
        <v/>
      </c>
      <c r="CU26" s="559">
        <f>INDEX('Loan Tape - Settled'!$B$4:$BJ$55,MATCH($A26,'Loan Tape - Settled'!$E$4:$E$55,0),MATCH("Current TTM Non-adjusted EBITDA",'Loan Tape - Settled'!$B$4:$BJ$4,0))</f>
        <v/>
      </c>
      <c r="CV26" s="456">
        <f>CT26</f>
        <v/>
      </c>
      <c r="CW26" s="1034" t="inlineStr">
        <is>
          <t>N</t>
        </is>
      </c>
      <c r="CX26" s="1035" t="n"/>
      <c r="CY26" s="1036">
        <f>IF(CW26="N",(1-CV26)*CU26,(1-CX26)*CU26)</f>
        <v/>
      </c>
      <c r="CZ26" s="1037" t="n"/>
      <c r="DA26" s="1038" t="n"/>
      <c r="DB26" s="1039" t="n"/>
      <c r="DC26" s="1040" t="n"/>
      <c r="DD26" s="1040">
        <f>INDEX('Loan Tape - Settled'!$B$4:$BJ$55,MATCH($A26,'Loan Tape - Settled'!$E$4:$E$55,0),MATCH("Initial Senior Net Leverage Senior",'Loan Tape - Settled'!$B$4:$BJ$4,0))</f>
        <v/>
      </c>
      <c r="DE26" s="1041">
        <f>INDEX('Loan Tape - Settled'!$B$4:$BJ$55,MATCH($A26,'Loan Tape - Settled'!$E$4:$E$55,0),MATCH("Initial Total Net Leverage",'Loan Tape - Settled'!$B$4:$BJ$4,0))</f>
        <v/>
      </c>
      <c r="DF26" s="1037" t="n"/>
      <c r="DG26" s="1038" t="n"/>
      <c r="DH26" s="1039" t="n"/>
      <c r="DI26" s="1042">
        <f>INDEX('Loan Tape - Settled'!$B$4:$BJ$55,MATCH($A26,'Loan Tape - Settled'!$E$4:$E$55,0),MATCH("Net Attachment",'Loan Tape - Settled'!$B$4:$BJ$4,0))</f>
        <v/>
      </c>
      <c r="DJ26" s="566">
        <f t="array" ref="DJ26">IF(AG26="Yes",INDEX(VAE!$M$5:$M$53,MATCH($B26&amp;$AJ26,VAE!$C$5:$C$53&amp;VAE!$G$5:$G$53,0)),DD26)</f>
        <v/>
      </c>
      <c r="DK26" s="697">
        <f t="array" ref="DK26">IF(AG26="Yes",INDEX(VAE!$N$5:$N$53,MATCH($B26&amp;$AJ26,VAE!$C$5:$C$53&amp;VAE!$G$5:$G$53,0)),DE26)</f>
        <v/>
      </c>
      <c r="DL26" s="1058">
        <f>INDEX('Loan Tape - Settled'!$B$4:$BJ$55,MATCH($A26,'Loan Tape - Settled'!$E$4:$E$55,0),MATCH("Current Senior Net Leverage Senior",'Loan Tape - Settled'!$B$4:$BJ$4,0))</f>
        <v/>
      </c>
      <c r="DM26" s="1059">
        <f>INDEX('Loan Tape - Settled'!$B$4:$BJ$55,MATCH($A26,'Loan Tape - Settled'!$E$4:$E$55,0),MATCH("Current Total Net Leverage",'Loan Tape - Settled'!$B$4:$BJ$4,0))</f>
        <v/>
      </c>
      <c r="DN26" s="1044" t="n"/>
      <c r="DO26" s="1045">
        <f>INDEX('Loan Tape - Settled'!$B$4:$BJ$55,MATCH($A26,'Loan Tape - Settled'!$E$4:$E$55,0),MATCH("Initial Interest Coverage",'Loan Tape - Settled'!$B$4:$BJ$4,0))</f>
        <v/>
      </c>
      <c r="DP26" s="565">
        <f t="array" ref="DP26">IF(AG26="Yes",INDEX(VAE!$O$5:$O$53,MATCH($B26&amp;$AJ26,VAE!$C$5:$C$53&amp;VAE!$G$5:$G$53,0)),DO26)</f>
        <v/>
      </c>
      <c r="DQ26" s="1046">
        <f>INDEX('Loan Tape - Settled'!$B$4:$BJ$55,MATCH($A26,'Loan Tape - Settled'!$E$4:$E$55,0),MATCH("Current Interest Coverage",'Loan Tape - Settled'!$B$4:$BJ$4,0))</f>
        <v/>
      </c>
      <c r="DR26" s="462">
        <f>IF(OR(DU26="Yes",DU26="N/A",DV26="Yes",DV26="N/A",DW26="Yes",DX26="Yes",DY26="Yes",EF26="Yes",EG26="Yes",EH26="Yes"),"Yes","No")</f>
        <v/>
      </c>
      <c r="DS26" s="1047">
        <f>IF(AG26="Yes",DATEDIF(AJ26,Availability!$F$8,"m"),"")</f>
        <v/>
      </c>
      <c r="DT26" s="1047">
        <f>IF(DS26="","No",IF(DS26&gt;12,"Yes","No"))</f>
        <v/>
      </c>
      <c r="DU26" s="695">
        <f>IFERROR(IF(AND(DQ26/DP26&lt;0.75,DQ26&lt;1.5),"Yes","No"),"N/A")</f>
        <v/>
      </c>
      <c r="DV26" s="696">
        <f>IFERROR(IF(OR(D26="First Lien",D26="FILO"),IF(AND((DL26-DJ26)&gt;0.75,DL26&gt;4),"Yes","No"),"No"),"N/A")</f>
        <v/>
      </c>
      <c r="DW26" s="696">
        <f t="array" ref="DW26">_xlfn.IFS(D26&lt;&gt;"Second Lien","No",D26="Second Lien",IF(AND((DM26-DK26)&gt;0.5,DM26&gt;4.5),"Yes","No"))</f>
        <v/>
      </c>
      <c r="DX26" s="735" t="inlineStr">
        <is>
          <t>No</t>
        </is>
      </c>
      <c r="DY26" s="735" t="inlineStr">
        <is>
          <t>No</t>
        </is>
      </c>
      <c r="DZ26" s="1048" t="inlineStr">
        <is>
          <t>No</t>
        </is>
      </c>
      <c r="EA26" s="1048" t="inlineStr">
        <is>
          <t>No</t>
        </is>
      </c>
      <c r="EB26" s="1048" t="inlineStr">
        <is>
          <t>No</t>
        </is>
      </c>
      <c r="EC26" s="1048" t="inlineStr">
        <is>
          <t>No</t>
        </is>
      </c>
      <c r="ED26" s="1048" t="inlineStr">
        <is>
          <t>No</t>
        </is>
      </c>
      <c r="EE26" s="1048" t="inlineStr">
        <is>
          <t>No</t>
        </is>
      </c>
      <c r="EF26" s="442">
        <f>IF(OR(DZ26="Yes",EA26="Yes",EB26="Yes",EC26="Yes",ED26="Yes",EE26="Yes"),"Yes","No")</f>
        <v/>
      </c>
      <c r="EG26" s="1048" t="inlineStr">
        <is>
          <t>No</t>
        </is>
      </c>
      <c r="EH26" s="1049" t="inlineStr">
        <is>
          <t>No</t>
        </is>
      </c>
      <c r="EI26" s="1050">
        <f t="array" ref="EI26">IF(D26="First Lien",_xlfn.IFS(CY26&gt;AGENT!$B$23, "&gt; $20MM",CY26&lt;=AGENT!$C$25, "&lt;= $10MM",AND(CY26&lt;=AGENT!$C$24,CY26&gt;AGENT!$B$24),"&lt;= $20MM"), "N/A")</f>
        <v/>
      </c>
      <c r="EJ26" s="1050">
        <f t="array" ref="EJ26">IF(D26="FILO",_xlfn.IFS(DI26&gt;AGENT!$B$29, "&gt; 1.25x",DI26&lt;AGENT!$C$27, "&lt; 0.75x",AND(DI26&lt;=AGENT!$C$28,DI26&gt;=AGENT!$B$28),"&lt;= 1.25x"), "N/A")</f>
        <v/>
      </c>
      <c r="EK26" s="1051">
        <f>V26</f>
        <v/>
      </c>
      <c r="EL26" s="1051">
        <f>'Concentration Limits'!$J$49</f>
        <v/>
      </c>
      <c r="EM26" s="1051">
        <f>IF(OR(D26="Second Lien",AND(D26="FILO",DI26&gt;AGENT!$C$57)), "Yes", "No")</f>
        <v/>
      </c>
      <c r="EN26" s="1051">
        <f>IF(EM26="Yes",SUMIF(EM:EM,"Yes",EK:EK),0)</f>
        <v/>
      </c>
      <c r="EO26" s="1051">
        <f>IF(EN26&gt;EL26,(EN26-EL26)*(EK26/SUMIF(EM:EM,"Yes",EK:EK)),0)</f>
        <v/>
      </c>
      <c r="EP26" s="1051">
        <f>MAX(0,EK26-EO26)</f>
        <v/>
      </c>
      <c r="EQ26" s="1051">
        <f>'Concentration Limits'!$J$50</f>
        <v/>
      </c>
      <c r="ER26" s="1051">
        <f>IF(D26="Second Lien",SUMIF(D:D,D26,EP:EP),0)</f>
        <v/>
      </c>
      <c r="ES26" s="1051">
        <f>MAX(0,(ER26-EQ26)*IFERROR((EP26/SUMIF($D:$D,D26,EP:EP )),0) )</f>
        <v/>
      </c>
      <c r="ET26" s="1051">
        <f>MAX(0,EP26-ES26)</f>
        <v/>
      </c>
      <c r="EU26" s="1051">
        <f>'Concentration Limits'!$J$51</f>
        <v/>
      </c>
      <c r="EV26" s="1051">
        <f>IF(OR(D26="Second Lien", AND(D26="FILO",DI26&gt;AGENT!$C$59)), "Yes", "No")</f>
        <v/>
      </c>
      <c r="EW26" s="1051">
        <f>IF(EV26="Yes",SUMIF(EV:EV,"Yes",ET:ET),0)</f>
        <v/>
      </c>
      <c r="EX26" s="1051">
        <f>IF(EW26&gt;EU26,(EW26-EU26)*(ET26/SUMIF(EV:EV,"Yes",ET:ET)),0)</f>
        <v/>
      </c>
      <c r="EY26" s="1051">
        <f>MAX(0,ET26-EX26)</f>
        <v/>
      </c>
      <c r="EZ26" s="1051">
        <f>'Concentration Limits'!$J$52</f>
        <v/>
      </c>
      <c r="FA26" s="1051">
        <f>IF(CY26&gt;'Concentration Limits'!$E$52, "No", "Yes")</f>
        <v/>
      </c>
      <c r="FB26" s="1051">
        <f>IF(FA26="Yes",SUMIF(FA:FA,"Yes",EY:EY),0)</f>
        <v/>
      </c>
      <c r="FC26" s="1051">
        <f>IF(FB26&gt;EZ26,(FB26-EZ26)*(EY26/SUMIF(FA:FA,"Yes",EY:EY)),0)</f>
        <v/>
      </c>
      <c r="FD26" s="1051">
        <f>MAX(0,EY26-FC26)</f>
        <v/>
      </c>
      <c r="FE26" s="1052">
        <f>'Concentration Limits'!$J$54</f>
        <v/>
      </c>
      <c r="FF26" s="1052">
        <f>'Concentration Limits'!$J$55</f>
        <v/>
      </c>
      <c r="FG26" s="1052">
        <f>'Concentration Limits'!$J$56</f>
        <v/>
      </c>
      <c r="FH26" s="1053">
        <f>'Concentration Limits'!$J$57</f>
        <v/>
      </c>
      <c r="FI26" s="1053">
        <f>SUMIF($B:$B,$B26,$FD:$FD)</f>
        <v/>
      </c>
      <c r="FJ26" s="1053">
        <f>IF(MATCH($B26,$B:$B,0)=ROW(),$FI26,0)</f>
        <v/>
      </c>
      <c r="FK26" s="1053">
        <f>INDEX(FL$8:FL$60,MATCH(B26,B$8:B$60,0))</f>
        <v/>
      </c>
      <c r="FL26" s="1053">
        <f>IF(FJ26&gt;0,RANK(FJ26,$FJ$9:$FJ$60)+COUNTIF($FJ$9:FJ26,FJ26)-1,0)</f>
        <v/>
      </c>
      <c r="FM26" s="1052">
        <f>IF(FK26=1,IF(FI26&gt;FE26,(FI26-FE26)*(V26/SUMIF($B:$B,B26,$FD:$FD)),0),0)</f>
        <v/>
      </c>
      <c r="FN26" s="1052">
        <f>IF(FK26=2,IF(FI26&gt;FF26,(FI26-FF26)*(V26/SUMIF($B:$B,B26,$FD:$FD)),0),0)</f>
        <v/>
      </c>
      <c r="FO26" s="1052">
        <f>IF(FK26=3,IF(FI26&gt;FG26,(FI26-FG26)*(V26/SUMIF($B:$B,B26,$FD:$FD)),0),0)</f>
        <v/>
      </c>
      <c r="FP26" s="1053">
        <f>IF(FK26&gt;0,IF(FI26&gt;FH26,(FI26-FH26)*(FD26/(SUMIF($B:$B,$B26,$FD:$FD))),0),0)</f>
        <v/>
      </c>
      <c r="FQ26" s="1053">
        <f>MAX(0,FD26-FM26-FN26-FO26-FP26)</f>
        <v/>
      </c>
      <c r="FR26" s="1053">
        <f>'Concentration Limits'!$J$58</f>
        <v/>
      </c>
      <c r="FS26" s="1053">
        <f>SUMIF($BR:$BR,$BR26,FQ:FQ)</f>
        <v/>
      </c>
      <c r="FT26" s="1053">
        <f>VLOOKUP(BR26,'Concentration Limits'!$E$81:$H$153,4,FALSE)</f>
        <v/>
      </c>
      <c r="FU26" s="1053">
        <f>IF(FT26=1,MAX(0,(FS26-FR26)*(FQ26/SUMIF($BR:$BR,BR26,FQ:FQ))),0)</f>
        <v/>
      </c>
      <c r="FV26" s="1053">
        <f>MAX(0,FQ26-FU26)</f>
        <v/>
      </c>
      <c r="FW26" s="1053">
        <f>'Concentration Limits'!$J$59</f>
        <v/>
      </c>
      <c r="FX26" s="1053">
        <f>SUMIF($BR:$BR,$BR26,FV:FV)</f>
        <v/>
      </c>
      <c r="FY26" s="1053">
        <f>VLOOKUP(BR26,'Concentration Limits'!$E$81:$H$153,4,FALSE)</f>
        <v/>
      </c>
      <c r="FZ26" s="1053">
        <f>MAX(0,IF(FY26=2,(FX26-FW26)*(FV26/SUMIF($BR:$BR,BR26,FV:FV)),0))</f>
        <v/>
      </c>
      <c r="GA26" s="1053">
        <f>MAX(0,FV26-FZ26)</f>
        <v/>
      </c>
      <c r="GB26" s="1053">
        <f>'Concentration Limits'!$J$61</f>
        <v/>
      </c>
      <c r="GC26" s="1053">
        <f>SUMIF($BR:$BR,$BR26,GA:GA)</f>
        <v/>
      </c>
      <c r="GD26" s="1051">
        <f>VLOOKUP(BR26,'Concentration Limits'!$E$81:$H$153,4,FALSE)</f>
        <v/>
      </c>
      <c r="GE26" s="1053">
        <f>IF(GA26=0,0,MAX(0,IF(GD26&lt;3,0,(GC26-GB26)*($GA26/SUMIF($BR:$BR,BR26,GA:GA)))))</f>
        <v/>
      </c>
      <c r="GF26" s="1053">
        <f>MAX(0,GA26-GE26)</f>
        <v/>
      </c>
      <c r="GG26" s="1053">
        <f>'Concentration Limits'!$J$64</f>
        <v/>
      </c>
      <c r="GH26" s="1053">
        <f>IF(BY26="Yes",SUMIF(BY:BY,BY26,GF:GF),0)</f>
        <v/>
      </c>
      <c r="GI26" s="1053">
        <f>IFERROR(MAX(0,(GH26-GG26)*(GF26/SUMIF($T:$T,T26,GF:GF ))),0)</f>
        <v/>
      </c>
      <c r="GJ26" s="1053">
        <f>MAX(0,GF26-GI26)</f>
        <v/>
      </c>
      <c r="GK26" s="1053">
        <f>'Concentration Limits'!$J$67</f>
        <v/>
      </c>
      <c r="GL26" s="1051">
        <f>IF(OR(BV26="Yes",OR(ISNUMBER(SEARCH("Travel",BR26)),ISNUMBER(SEARCH("Energy",BR26)),ISNUMBER(SEARCH("Leisure",BR26)),ISNUMBER(SEARCH("hotel",BR26)))),"Yes","No")</f>
        <v/>
      </c>
      <c r="GM26" s="1053">
        <f>IF(GL26="Yes",SUMIF(GL:GL,"Yes",GJ:GJ),0)</f>
        <v/>
      </c>
      <c r="GN26" s="1053">
        <f>IF(GM26&gt;GK26,(GM26-GK26)*(GJ26/SUMIF(GL:GL,"Yes",GJ:GJ)),0)</f>
        <v/>
      </c>
      <c r="GO26" s="1053">
        <f>MAX(0,GJ26-GN26)</f>
        <v/>
      </c>
      <c r="GP26" s="1053">
        <f>'Concentration Limits'!$J$68</f>
        <v/>
      </c>
      <c r="GQ26" s="1051">
        <f>IF(BU26="Yes","Yes", "No")</f>
        <v/>
      </c>
      <c r="GR26" s="1053">
        <f>IF(GQ26="Yes",SUMIF(GQ:GQ,"Yes",GO:GO),0)</f>
        <v/>
      </c>
      <c r="GS26" s="1053">
        <f>IF(GR26&gt;GP26,(GR26-GP26)*(GO26/SUMIF(GQ:GQ,"Yes",GO:GO)),0)</f>
        <v/>
      </c>
      <c r="GT26" s="1053">
        <f>MAX(0,GO26-GS26)</f>
        <v/>
      </c>
      <c r="GU26" s="1051">
        <f>'Concentration Limits'!$J$69</f>
        <v/>
      </c>
      <c r="GV26" s="1051">
        <f>IF(BW26="Yes", "Yes", "No")</f>
        <v/>
      </c>
      <c r="GW26" s="1051">
        <f>IF(GV26="Yes",SUMIF(GV:GV,"Yes",GT:GT),0)</f>
        <v/>
      </c>
      <c r="GX26" s="1051">
        <f>IF(GW26&gt;GU26,(GW26-GU26)*(GT26/SUMIF(GV:GV,"Yes",GT:GT)),0)</f>
        <v/>
      </c>
      <c r="GY26" s="1051">
        <f>MAX(0,GT26-GX26)</f>
        <v/>
      </c>
      <c r="GZ26" s="1051">
        <f>'Concentration Limits'!$J$70</f>
        <v/>
      </c>
      <c r="HA26" s="1051">
        <f>IF(BX26="Yes", "Yes", "No")</f>
        <v/>
      </c>
      <c r="HB26" s="1051">
        <f>IF(HA26="Yes",SUMIF(HA:HA,"Yes",GY:GY),0)</f>
        <v/>
      </c>
      <c r="HC26" s="1051">
        <f>IF(HB26&gt;GZ26,(HB26-GZ26)*(GY26/SUMIF(HA:HA,"Yes",GY:GY)),0)</f>
        <v/>
      </c>
      <c r="HD26" s="1051">
        <f>MAX(0,GY26-HC26)</f>
        <v/>
      </c>
      <c r="HE26" s="1053">
        <f>IF(AQ26=0,0,HD26*AQ26/(AQ26+AR26))</f>
        <v/>
      </c>
      <c r="HF26" s="1053">
        <f>IF(AR26=0,0,HD26*AR26/(AQ26+AR26))</f>
        <v/>
      </c>
      <c r="HG26" s="1053">
        <f>IF(AW26=0,0,HD26*AW26/(AW26+AX26))</f>
        <v/>
      </c>
      <c r="HH26" s="1053">
        <f>IF(AX26=0,0,HD26*AX26/(AX26+AW26))</f>
        <v/>
      </c>
      <c r="HI26" s="1053">
        <f>IF(BE26=0,0,#REF!*BE26/(BE26+BG26))</f>
        <v/>
      </c>
      <c r="HJ26" s="1053">
        <f>IF(BG26=0,0,#REF!*BG26/(BG26+BE26))</f>
        <v/>
      </c>
      <c r="HK26" s="1054">
        <f>IF(BF26=0,0,#REF!*BF26/(BF26+BH26))</f>
        <v/>
      </c>
      <c r="HL26" s="1053">
        <f>IF(BH26=0,0,#REF!*BH26/(BH26+BF26))</f>
        <v/>
      </c>
      <c r="HM26" s="1053">
        <f>IF(D26="Second Lien",HD26,0)</f>
        <v/>
      </c>
      <c r="HN26" s="1053">
        <f>SUM(HE26:HM26)=HD26</f>
        <v/>
      </c>
    </row>
    <row r="27" ht="12.75" customFormat="1" customHeight="1" s="469">
      <c r="A27" s="55">
        <f>A26+1</f>
        <v/>
      </c>
      <c r="B27" s="437">
        <f>INDEX('Loan Tape - Settled'!$B$4:$AP$55,MATCH($A27,'Loan Tape - Settled'!$E$4:$E$55,0),MATCH("Obligor Name",'Loan Tape - Settled'!$B$4:$AM$4,0))</f>
        <v/>
      </c>
      <c r="C27" s="437">
        <f>INDEX('Loan Tape - Settled'!$B$4:$AP$55,MATCH($A27,'Loan Tape - Settled'!$E$4:$E$55,0),MATCH("Security",'Loan Tape - Settled'!$B$4:$AM$4,0))</f>
        <v/>
      </c>
      <c r="D27" s="438">
        <f>INDEX('Loan Tape - Settled'!$B$4:$AP$55,MATCH($A27,'Loan Tape - Settled'!$E$4:$E$55,0),MATCH("Loan Type",'Loan Tape - Settled'!$B$4:$AM$4,0))</f>
        <v/>
      </c>
      <c r="E27" s="439">
        <f>IF(ISERROR(MATCH(D27,AGENT!$A$4:$A$10,0))=FALSE, TRUE)</f>
        <v/>
      </c>
      <c r="F27" s="439">
        <f>IF(AND(BZ27="no",CA27="no"),TRUE)</f>
        <v/>
      </c>
      <c r="G27" s="439">
        <f>IF(D27&lt;&gt;"Second Lien",TRUE, IF(CY27&gt;=AGENT!$B$4,TRUE))</f>
        <v/>
      </c>
      <c r="H27" s="439">
        <f>IF(DE27&lt;=AGENT!$D$4,TRUE)</f>
        <v/>
      </c>
      <c r="I27" s="439">
        <f>IF(VLOOKUP(CONCATENATE($A$5,A27),'Loan Tape - Settled'!$A$5:$Q$55,17,FALSE)&gt;=AGENT!$E$4,TRUE)</f>
        <v/>
      </c>
      <c r="J27" s="439">
        <f>IF(INDEX('Loan Tape - Settled'!$B$4:$AP$55,MATCH($A27,'Loan Tape - Settled'!$E$4:$E$55,0),MATCH("Loan Denomination",'Loan Tape - Settled'!$B$4:$AP$4,0))="USD", TRUE)</f>
        <v/>
      </c>
      <c r="K27" s="439">
        <f>IF(INDEX('Loan Tape - Settled'!$B$4:$AP$55,MATCH($A27,'Loan Tape - Settled'!$E$4:$E$55,0),MATCH("Exposure Country",'Loan Tape - Settled'!$B$4:$AP$4,0))="United States", TRUE)</f>
        <v/>
      </c>
      <c r="L27" s="439">
        <f>IF(BS27="NO",TRUE)</f>
        <v/>
      </c>
      <c r="M27" s="439">
        <f>IF(((BM27-BL27)/365)&lt;=AGENT!$F$4,TRUE)</f>
        <v/>
      </c>
      <c r="N27" s="439">
        <f>IF(DX27="Yes",FALSE,TRUE)</f>
        <v/>
      </c>
      <c r="O27" s="493" t="n"/>
      <c r="P27" s="764">
        <f>IF($B27="","",IF(OR(O27=TRUE,COUNTIFS($E27:$N27,TRUE)=10),"Yes","No"))</f>
        <v/>
      </c>
      <c r="Q27" s="730" t="inlineStr">
        <is>
          <t>Yes</t>
        </is>
      </c>
      <c r="R27" s="440">
        <f>IF(P27="Yes",B27,"N/A")</f>
        <v/>
      </c>
      <c r="S27" s="440" t="n"/>
      <c r="T27" s="441">
        <f t="array" ref="T27">_xlfn.IFS(D27="Second Lien",D27,D27="First Lien",CONCATENATE(D27," ",EI27),D27="FILO",CONCATENATE(D27," ",EJ27))</f>
        <v/>
      </c>
      <c r="U27" s="442">
        <f>VLOOKUP(T27,'Concentration Limits'!D:G,4,FALSE)</f>
        <v/>
      </c>
      <c r="V27" s="1020">
        <f>AQ27+AW27+BI27</f>
        <v/>
      </c>
      <c r="W27" s="1021">
        <f>(SUMIFS('Loan Tape - Settled'!$AR$4:$AR$55,'Loan Tape - Settled'!$E$4:$E$55,$A27,'Loan Tape - Settled'!$C$4:$C$55,$A$5))</f>
        <v/>
      </c>
      <c r="X27" s="1022" t="n">
        <v>1</v>
      </c>
      <c r="Y27" s="1023">
        <f>W27*X27</f>
        <v/>
      </c>
      <c r="Z27" s="1022">
        <f>(SUMIFS('Loan Tape - Settled'!$AQ$4:$AQ$55,'Loan Tape - Settled'!$E$4:$E$55,$A27,'Loan Tape - Settled'!$C$4:$C$55,$A$5))</f>
        <v/>
      </c>
      <c r="AA27" s="1023">
        <f>Z27*X27</f>
        <v/>
      </c>
      <c r="AB27" s="1023">
        <f>AA27-Y27</f>
        <v/>
      </c>
      <c r="AC27" s="490">
        <f>VLOOKUP(CONCATENATE($A$5,A27),'Loan Tape - Settled'!$A$5:$Q$55,17,FALSE)</f>
        <v/>
      </c>
      <c r="AD27" s="445" t="n"/>
      <c r="AE27" s="446">
        <f>INDEX('Loan Tape - Settled'!$B$4:$AP$55,MATCH($A27,'Loan Tape - Settled'!$E$4:$E$55,0),MATCH("FMV",'Loan Tape - Settled'!$B$4:$AM$4,0))</f>
        <v/>
      </c>
      <c r="AF27" s="446">
        <f t="array" ref="AF27">_xlfn.IFS(D27="First Lien",
_xlfn.IFS(AND(DL27&gt;0,DL27&lt;Tier_1_1L),Tier_1_ApplicableValue,
AND(DL27&gt;=Tier_1_1L,DL27&lt;Tier_2_1L),((Tier_1_1L/DL27)*Tier_1_ApplicableValue)+((DL27-Tier_1_1L)/DL27*Tier_2_ApplicableValue),
AND(DL27&gt;=Tier_2_1L, DL27&lt;Tier_3_1L),((Tier_1_1L/DL27)*Tier_1_ApplicableValue+(Tier_2_1L-Tier_1_1L)/DL27*Tier_2_ApplicableValue+(DL27-Tier_2_1L)/DL27*Tier_3_ApplicableValue),
AND(DL27&gt;=Tier_3_1L, DL27&lt;=Tier_totalzerovalue),((Tier_1_1L/DL27)*Tier_1_ApplicableValue+(Tier_2_1L-Tier_1_1L)/DL27*Tier_2_ApplicableValue+(Tier_3_1L-Tier_2_1L)/DL27*Tier_3_ApplicableValue+(DL27-Tier_partialzerovalue)/DL27*0%),
DL27&gt;Tier_totalzerovalue,0%),
OR(D27="Second Lien", D27="FILO"),
_xlfn.IFS(AND(DM27&gt;0,DM27&lt;Tier_1_2L),Tier_1_ApplicableValue,
AND(DM27&gt;=Tier_1_2L,DM27&lt;Tier_2_2L),((Tier_1_2L/DM27)*Tier_1_ApplicableValue)+((DM27-Tier_1_2L)/DM27*Tier_2_ApplicableValue),
AND(DM27&gt;=Tier_2_2L, DM27&lt;Tier_3_2L),((Tier_1_2L/DM27)*Tier_1_ApplicableValue+(Tier_2_2L-Tier_1_2L)/DM27*Tier_2_ApplicableValue+(DM27-Tier_2_2L)/DM27*Tier_3_ApplicableValue),
AND(DM27&gt;=Tier_3_2L, DM27&lt;=Tier_totalzerovalue),((Tier_1_2L/DM27)*Tier_1_ApplicableValue+(Tier_2_2L-Tier_1_2L)/DM27*Tier_2_ApplicableValue+(Tier_3_2L-Tier_2_2L)/DM27*Tier_3_ApplicableValue+(DM27-Tier_partialzerovalue)/DM27*0%),
DM27&gt;Tier_totalzerovalue,0%))</f>
        <v/>
      </c>
      <c r="AG27" s="447">
        <f>IF(COUNTIFS(VAE!$C$5:$C$96,B27,VAE!$G$5:$G$96,"&lt;="&amp;Availability!$F$8)&gt;=1,"Yes","-")</f>
        <v/>
      </c>
      <c r="AH27" s="447">
        <f t="array" ref="AH27">IFERROR(IF(AG27="Yes",INDEX(VAE!$D$5:$D$96,MATCH(B27&amp;AJ27,VAE!$C$5:$C$96&amp;VAE!$G$5:$G$96,0)),"-"),0)</f>
        <v/>
      </c>
      <c r="AI27" s="447">
        <f t="array" ref="AI27">IFERROR(IF(AG27="Yes",INDEX(VAE!$F$5:$F$96,MATCH(B27&amp;AJ27,VAE!$C$5:$C$96&amp;VAE!$G$5:$G$96,0)),"-"),0)</f>
        <v/>
      </c>
      <c r="AJ27" s="448">
        <f>IF(AG27="-","-",_xlfn.MAXIFS(VAE!$G$5:$G$96,VAE!$C$5:$C$96,$B27))</f>
        <v/>
      </c>
      <c r="AK27" s="449">
        <f t="array" ref="AK27">IFERROR(IF(AG27="Yes",INDEX(VAE!$P$5:$P$96,MATCH(B27&amp;AJ27,VAE!$C$5:$C$96&amp;VAE!$G$5:$G$96,0)),"-"),0)</f>
        <v/>
      </c>
      <c r="AL27" s="446">
        <f>IF($A27="","",IF(P27="No",0,(IF(AG27="Yes",MIN(AE27,AK27,AF27),MIN(AE27,AF27)))))</f>
        <v/>
      </c>
      <c r="AM27" s="1020" t="n"/>
      <c r="AN27" s="1020" t="n"/>
      <c r="AO27" s="1020">
        <f>IF(AND(D27="First Lien",P27="No"),0,IF(D27&lt;&gt;"First Lien",0,Y27))</f>
        <v/>
      </c>
      <c r="AP27" s="1020">
        <f>IF(AND(D27="First Lien",P27="No"),W27,0)</f>
        <v/>
      </c>
      <c r="AQ27" s="1020">
        <f>AL27*AO27</f>
        <v/>
      </c>
      <c r="AR27" s="1020" t="n"/>
      <c r="AS27" s="1020" t="n"/>
      <c r="AT27" s="1020" t="n"/>
      <c r="AU27" s="1020">
        <f>IF(AND(D27="FILO",P27="No"),0,IF(D27&lt;&gt;"FILO",0,Y27))</f>
        <v/>
      </c>
      <c r="AV27" s="1020">
        <f>IF(AND(D27="FILO",P27="No"),W27,0)</f>
        <v/>
      </c>
      <c r="AW27" s="1020">
        <f>AU27*AL27</f>
        <v/>
      </c>
      <c r="AX27" s="1020" t="n"/>
      <c r="AY27" s="1020" t="n"/>
      <c r="AZ27" s="1020" t="n"/>
      <c r="BA27" s="1020">
        <f>IF(AND(OR(D27="First Lien",D27="FILO"),P27="No"),0,IF(OR(D27="First Lien",D27="FILO"),0,(Y27)))</f>
        <v/>
      </c>
      <c r="BB27" s="1020" t="n"/>
      <c r="BC27" s="1020" t="n"/>
      <c r="BD27" s="1020">
        <f>IF(AND(D27="Second Lien",P27="No"),W27,0)</f>
        <v/>
      </c>
      <c r="BE27" s="1020" t="n"/>
      <c r="BF27" s="1020" t="n"/>
      <c r="BG27" s="1020" t="n"/>
      <c r="BH27" s="1020" t="n"/>
      <c r="BI27" s="1020">
        <f>IF(D27="Second Lien",BA27*AL27,0)</f>
        <v/>
      </c>
      <c r="BJ27" s="1020">
        <f>SUM(AM27:AP27)+SUM(AZ27:BD27)+SUM(AS27:AV27)=Y27</f>
        <v/>
      </c>
      <c r="BK27" s="1026">
        <f>INDEX('Loan Tape - Settled'!$B$4:$AP$55,MATCH($A27,'Loan Tape - Settled'!$E$4:$E$55,0),MATCH("Inception Date",'Loan Tape - Settled'!$B$4:$AP$4,0))</f>
        <v/>
      </c>
      <c r="BL27" s="1026">
        <f>INDEX('Loan Tape - Settled'!$B$4:$AP$55,MATCH($A27,'Loan Tape - Settled'!$E$4:$E$55,0),MATCH("Inclusion Date",'Loan Tape - Settled'!$B$4:$AP$4,0))</f>
        <v/>
      </c>
      <c r="BM27" s="1026">
        <f>INDEX('Loan Tape - Settled'!$B$4:$AP$55,MATCH($A27,'Loan Tape - Settled'!$E$4:$E$55,0),MATCH("Maturity Date",'Loan Tape - Settled'!$B$4:$AP$4,0))</f>
        <v/>
      </c>
      <c r="BN27" s="556" t="n"/>
      <c r="BO27" s="556" t="n"/>
      <c r="BP27" s="1055" t="n"/>
      <c r="BQ27" s="556" t="n"/>
      <c r="BR27" s="554">
        <f>INDEX('Loan Tape - Settled'!$B$4:$AP$55,MATCH($A27,'Loan Tape - Settled'!$E$4:$E$55,0),MATCH("Industry Classification",'Loan Tape - Settled'!$B$4:$AP$4,0))</f>
        <v/>
      </c>
      <c r="BS27" s="556">
        <f>IF(INDEX('Loan Tape - Settled'!$B$4:$AP$55,MATCH($A27,'Loan Tape - Settled'!$E$4:$E$55,0),MATCH("Covenant Lite",'Loan Tape - Settled'!$B$4:$AP$4,0))=-1, "Yes", "No")</f>
        <v/>
      </c>
      <c r="BT27" s="1056">
        <f>INDEX('Loan Tape - Settled'!$B$4:$AP$55,MATCH($A27,'Loan Tape - Settled'!$E$4:$E$55,0),MATCH("Spread / Coupon (%)",'Loan Tape - Settled'!$B$4:$AP$4,0))</f>
        <v/>
      </c>
      <c r="BU27" s="556">
        <f>IF(INDEX('Loan Tape - Settled'!$B$4:$AP$55,MATCH($A27,'Loan Tape - Settled'!$E$4:$E$55,0),MATCH("Security Type",'Loan Tape - Settled'!$B$4:$AP$4,0))="Delayed Draw Term Loan", "Yes", "No")</f>
        <v/>
      </c>
      <c r="BV27" s="557" t="inlineStr">
        <is>
          <t>No</t>
        </is>
      </c>
      <c r="BW27" s="557" t="inlineStr">
        <is>
          <t>Yes</t>
        </is>
      </c>
      <c r="BX27" s="548" t="inlineStr">
        <is>
          <t>No</t>
        </is>
      </c>
      <c r="BY27" s="556">
        <f>IF(INDEX('Loan Tape - Settled'!$B$4:$AP$55,MATCH($A27,'Loan Tape - Settled'!$E$4:$E$55,0),MATCH("Fixed/Floating",'Loan Tape - Settled'!$B$4:$AP$4,0))="Fixed", "Yes", "No")</f>
        <v/>
      </c>
      <c r="BZ27" s="557" t="inlineStr">
        <is>
          <t>No</t>
        </is>
      </c>
      <c r="CA27" s="557" t="inlineStr">
        <is>
          <t>No</t>
        </is>
      </c>
      <c r="CB27" s="556">
        <f>IF(INDEX('Loan Tape - Settled'!$B$4:$AP$55,MATCH($A27,'Loan Tape - Settled'!$E$4:$E$55,0),MATCH("Loan Denomination",'Loan Tape - Settled'!$B$4:$AP$4,0))="CAD", "Yes", "No")</f>
        <v/>
      </c>
      <c r="CC27" s="556">
        <f>INDEX('Loan Tape - Settled'!$B$4:$AP$55,MATCH($A27,'Loan Tape - Settled'!$E$4:$E$55,0),MATCH("Payment Frequency",'Loan Tape - Settled'!$B$4:$AP$4,0))</f>
        <v/>
      </c>
      <c r="CD27" s="557" t="inlineStr">
        <is>
          <t>No</t>
        </is>
      </c>
      <c r="CE27" s="556">
        <f>INDEX('Loan Tape - Settled'!$B$4:$AP$55,MATCH($A27,'Loan Tape - Settled'!$E$4:$E$55,0),MATCH("S&amp;P Loan Rating (if applicable)",'Loan Tape - Settled'!$B$4:$AP$4,0))</f>
        <v/>
      </c>
      <c r="CF27" s="556">
        <f>INDEX('Loan Tape - Settled'!$B$4:$AP$55,MATCH($A27,'Loan Tape - Settled'!$E$4:$E$55,0),MATCH("Moody's Loan Rating (if applicable)",'Loan Tape - Settled'!$B$4:$AP$4,0))</f>
        <v/>
      </c>
      <c r="CG27" s="556" t="n"/>
      <c r="CH27" s="556" t="n"/>
      <c r="CI27" s="1057" t="n"/>
      <c r="CJ27" s="1030">
        <f>INDEX('Loan Tape - Settled'!$B$4:$BF$55,MATCH($A27,'Loan Tape - Settled'!$E$4:$E$55,0),MATCH("Last Financial Received",'Loan Tape - Settled'!$B$4:$BF$4,0))</f>
        <v/>
      </c>
      <c r="CK27" s="559">
        <f>INDEX('Loan Tape - Settled'!$B$4:$BJ$55,MATCH($A27,'Loan Tape - Settled'!$E$4:$E$55,0),MATCH("Initial Adjusted TTM EBITDA",'Loan Tape - Settled'!$B$4:$BJ$4,0))</f>
        <v/>
      </c>
      <c r="CL27" s="559">
        <f>INDEX('Loan Tape - Settled'!$B$4:$BJ$55,MATCH($A27,'Loan Tape - Settled'!$E$4:$E$55,0),MATCH("Initial TTM Non-adjusted EBITDA",'Loan Tape - Settled'!$B$4:$BJ$4,0))</f>
        <v/>
      </c>
      <c r="CM27" s="1031" t="n"/>
      <c r="CN27" s="451" t="n"/>
      <c r="CO27" s="451" t="n"/>
      <c r="CP27" s="1032" t="n"/>
      <c r="CQ27" s="1033" t="inlineStr">
        <is>
          <t>N</t>
        </is>
      </c>
      <c r="CR27" s="1032" t="n"/>
      <c r="CS27" s="454">
        <f>CK27-CP27+CR27</f>
        <v/>
      </c>
      <c r="CT27" s="455">
        <f>1-CS27/CK27</f>
        <v/>
      </c>
      <c r="CU27" s="559">
        <f>INDEX('Loan Tape - Settled'!$B$4:$BJ$55,MATCH($A27,'Loan Tape - Settled'!$E$4:$E$55,0),MATCH("Current TTM Non-adjusted EBITDA",'Loan Tape - Settled'!$B$4:$BJ$4,0))</f>
        <v/>
      </c>
      <c r="CV27" s="456">
        <f>CT27</f>
        <v/>
      </c>
      <c r="CW27" s="1034" t="inlineStr">
        <is>
          <t>N</t>
        </is>
      </c>
      <c r="CX27" s="1035" t="n"/>
      <c r="CY27" s="1036">
        <f>IF(CW27="N",(1-CV27)*CU27,(1-CX27)*CU27)</f>
        <v/>
      </c>
      <c r="CZ27" s="1037" t="n"/>
      <c r="DA27" s="1038" t="n"/>
      <c r="DB27" s="1039" t="n"/>
      <c r="DC27" s="1040" t="n"/>
      <c r="DD27" s="1040">
        <f>INDEX('Loan Tape - Settled'!$B$4:$BJ$55,MATCH($A27,'Loan Tape - Settled'!$E$4:$E$55,0),MATCH("Initial Senior Net Leverage Senior",'Loan Tape - Settled'!$B$4:$BJ$4,0))</f>
        <v/>
      </c>
      <c r="DE27" s="1041">
        <f>INDEX('Loan Tape - Settled'!$B$4:$BJ$55,MATCH($A27,'Loan Tape - Settled'!$E$4:$E$55,0),MATCH("Initial Total Net Leverage",'Loan Tape - Settled'!$B$4:$BJ$4,0))</f>
        <v/>
      </c>
      <c r="DF27" s="1037" t="n"/>
      <c r="DG27" s="1038" t="n"/>
      <c r="DH27" s="1039" t="n"/>
      <c r="DI27" s="1042">
        <f>INDEX('Loan Tape - Settled'!$B$4:$BJ$55,MATCH($A27,'Loan Tape - Settled'!$E$4:$E$55,0),MATCH("Net Attachment",'Loan Tape - Settled'!$B$4:$BJ$4,0))</f>
        <v/>
      </c>
      <c r="DJ27" s="566">
        <f t="array" ref="DJ27">IF(AG27="Yes",INDEX(VAE!$M$5:$M$53,MATCH($B27&amp;$AJ27,VAE!$C$5:$C$53&amp;VAE!$G$5:$G$53,0)),DD27)</f>
        <v/>
      </c>
      <c r="DK27" s="697">
        <f t="array" ref="DK27">IF(AG27="Yes",INDEX(VAE!$N$5:$N$53,MATCH($B27&amp;$AJ27,VAE!$C$5:$C$53&amp;VAE!$G$5:$G$53,0)),DE27)</f>
        <v/>
      </c>
      <c r="DL27" s="1058">
        <f>INDEX('Loan Tape - Settled'!$B$4:$BJ$55,MATCH($A27,'Loan Tape - Settled'!$E$4:$E$55,0),MATCH("Current Senior Net Leverage Senior",'Loan Tape - Settled'!$B$4:$BJ$4,0))</f>
        <v/>
      </c>
      <c r="DM27" s="1059">
        <f>INDEX('Loan Tape - Settled'!$B$4:$BJ$55,MATCH($A27,'Loan Tape - Settled'!$E$4:$E$55,0),MATCH("Current Total Net Leverage",'Loan Tape - Settled'!$B$4:$BJ$4,0))</f>
        <v/>
      </c>
      <c r="DN27" s="1044" t="n"/>
      <c r="DO27" s="1045">
        <f>INDEX('Loan Tape - Settled'!$B$4:$BJ$55,MATCH($A27,'Loan Tape - Settled'!$E$4:$E$55,0),MATCH("Initial Interest Coverage",'Loan Tape - Settled'!$B$4:$BJ$4,0))</f>
        <v/>
      </c>
      <c r="DP27" s="565">
        <f t="array" ref="DP27">IF(AG27="Yes",INDEX(VAE!$O$5:$O$53,MATCH($B27&amp;$AJ27,VAE!$C$5:$C$53&amp;VAE!$G$5:$G$53,0)),DO27)</f>
        <v/>
      </c>
      <c r="DQ27" s="1046">
        <f>INDEX('Loan Tape - Settled'!$B$4:$BJ$55,MATCH($A27,'Loan Tape - Settled'!$E$4:$E$55,0),MATCH("Current Interest Coverage",'Loan Tape - Settled'!$B$4:$BJ$4,0))</f>
        <v/>
      </c>
      <c r="DR27" s="462">
        <f>IF(OR(DU27="Yes",DU27="N/A",DV27="Yes",DV27="N/A",DW27="Yes",DX27="Yes",DY27="Yes",EF27="Yes",EG27="Yes",EH27="Yes"),"Yes","No")</f>
        <v/>
      </c>
      <c r="DS27" s="1047">
        <f>IF(AG27="Yes",DATEDIF(AJ27,Availability!$F$8,"m"),"")</f>
        <v/>
      </c>
      <c r="DT27" s="1047">
        <f>IF(DS27="","No",IF(DS27&gt;12,"Yes","No"))</f>
        <v/>
      </c>
      <c r="DU27" s="695">
        <f>IFERROR(IF(AND(DQ27/DP27&lt;0.75,DQ27&lt;1.5),"Yes","No"),"N/A")</f>
        <v/>
      </c>
      <c r="DV27" s="696">
        <f>IFERROR(IF(OR(D27="First Lien",D27="FILO"),IF(AND((DL27-DJ27)&gt;0.75,DL27&gt;4),"Yes","No"),"No"),"N/A")</f>
        <v/>
      </c>
      <c r="DW27" s="696">
        <f t="array" ref="DW27">_xlfn.IFS(D27&lt;&gt;"Second Lien","No",D27="Second Lien",IF(AND((DM27-DK27)&gt;0.5,DM27&gt;4.5),"Yes","No"))</f>
        <v/>
      </c>
      <c r="DX27" s="735" t="inlineStr">
        <is>
          <t>Yes</t>
        </is>
      </c>
      <c r="DY27" s="735" t="inlineStr">
        <is>
          <t>No</t>
        </is>
      </c>
      <c r="DZ27" s="1048" t="inlineStr">
        <is>
          <t>Yes</t>
        </is>
      </c>
      <c r="EA27" s="1048" t="inlineStr">
        <is>
          <t>Yes</t>
        </is>
      </c>
      <c r="EB27" s="1048" t="inlineStr">
        <is>
          <t>Yes</t>
        </is>
      </c>
      <c r="EC27" s="1048" t="inlineStr">
        <is>
          <t>No</t>
        </is>
      </c>
      <c r="ED27" s="1048" t="inlineStr">
        <is>
          <t>No</t>
        </is>
      </c>
      <c r="EE27" s="1048" t="inlineStr">
        <is>
          <t>No</t>
        </is>
      </c>
      <c r="EF27" s="442">
        <f>IF(OR(DZ27="Yes",EA27="Yes",EB27="Yes",EC27="Yes",ED27="Yes",EE27="Yes"),"Yes","No")</f>
        <v/>
      </c>
      <c r="EG27" s="1048" t="inlineStr">
        <is>
          <t>No</t>
        </is>
      </c>
      <c r="EH27" s="1049" t="inlineStr">
        <is>
          <t>No</t>
        </is>
      </c>
      <c r="EI27" s="1050">
        <f t="array" ref="EI27">IF(D27="First Lien",_xlfn.IFS(CY27&gt;AGENT!$B$23, "&gt; $20MM",CY27&lt;=AGENT!$C$25, "&lt;= $10MM",AND(CY27&lt;=AGENT!$C$24,CY27&gt;AGENT!$B$24),"&lt;= $20MM"), "N/A")</f>
        <v/>
      </c>
      <c r="EJ27" s="1050">
        <f t="array" ref="EJ27">IF(D27="FILO",_xlfn.IFS(DI27&gt;AGENT!$B$29, "&gt; 1.25x",DI27&lt;AGENT!$C$27, "&lt; 0.75x",AND(DI27&lt;=AGENT!$C$28,DI27&gt;=AGENT!$B$28),"&lt;= 1.25x"), "N/A")</f>
        <v/>
      </c>
      <c r="EK27" s="1051">
        <f>V27</f>
        <v/>
      </c>
      <c r="EL27" s="1051">
        <f>'Concentration Limits'!$J$49</f>
        <v/>
      </c>
      <c r="EM27" s="1051">
        <f>IF(OR(D27="Second Lien",AND(D27="FILO",DI27&gt;AGENT!$C$57)), "Yes", "No")</f>
        <v/>
      </c>
      <c r="EN27" s="1051">
        <f>IF(EM27="Yes",SUMIF(EM:EM,"Yes",EK:EK),0)</f>
        <v/>
      </c>
      <c r="EO27" s="1051">
        <f>IF(EN27&gt;EL27,(EN27-EL27)*(EK27/SUMIF(EM:EM,"Yes",EK:EK)),0)</f>
        <v/>
      </c>
      <c r="EP27" s="1051">
        <f>MAX(0,EK27-EO27)</f>
        <v/>
      </c>
      <c r="EQ27" s="1051">
        <f>'Concentration Limits'!$J$50</f>
        <v/>
      </c>
      <c r="ER27" s="1051">
        <f>IF(D27="Second Lien",SUMIF(D:D,D27,EP:EP),0)</f>
        <v/>
      </c>
      <c r="ES27" s="1051">
        <f>MAX(0,(ER27-EQ27)*IFERROR((EP27/SUMIF($D:$D,D27,EP:EP )),0) )</f>
        <v/>
      </c>
      <c r="ET27" s="1051">
        <f>MAX(0,EP27-ES27)</f>
        <v/>
      </c>
      <c r="EU27" s="1051">
        <f>'Concentration Limits'!$J$51</f>
        <v/>
      </c>
      <c r="EV27" s="1051">
        <f>IF(OR(D27="Second Lien", AND(D27="FILO",DI27&gt;AGENT!$C$59)), "Yes", "No")</f>
        <v/>
      </c>
      <c r="EW27" s="1051">
        <f>IF(EV27="Yes",SUMIF(EV:EV,"Yes",ET:ET),0)</f>
        <v/>
      </c>
      <c r="EX27" s="1051">
        <f>IF(EW27&gt;EU27,(EW27-EU27)*(ET27/SUMIF(EV:EV,"Yes",ET:ET)),0)</f>
        <v/>
      </c>
      <c r="EY27" s="1051">
        <f>MAX(0,ET27-EX27)</f>
        <v/>
      </c>
      <c r="EZ27" s="1051">
        <f>'Concentration Limits'!$J$52</f>
        <v/>
      </c>
      <c r="FA27" s="1051">
        <f>IF(CY27&gt;'Concentration Limits'!$E$52, "No", "Yes")</f>
        <v/>
      </c>
      <c r="FB27" s="1051">
        <f>IF(FA27="Yes",SUMIF(FA:FA,"Yes",EY:EY),0)</f>
        <v/>
      </c>
      <c r="FC27" s="1051">
        <f>IF(FB27&gt;EZ27,(FB27-EZ27)*(EY27/SUMIF(FA:FA,"Yes",EY:EY)),0)</f>
        <v/>
      </c>
      <c r="FD27" s="1051">
        <f>MAX(0,EY27-FC27)</f>
        <v/>
      </c>
      <c r="FE27" s="1052">
        <f>'Concentration Limits'!$J$54</f>
        <v/>
      </c>
      <c r="FF27" s="1052">
        <f>'Concentration Limits'!$J$55</f>
        <v/>
      </c>
      <c r="FG27" s="1052">
        <f>'Concentration Limits'!$J$56</f>
        <v/>
      </c>
      <c r="FH27" s="1053">
        <f>'Concentration Limits'!$J$57</f>
        <v/>
      </c>
      <c r="FI27" s="1053">
        <f>SUMIF($B:$B,$B27,$FD:$FD)</f>
        <v/>
      </c>
      <c r="FJ27" s="1053">
        <f>IF(MATCH($B27,$B:$B,0)=ROW(),$FI27,0)</f>
        <v/>
      </c>
      <c r="FK27" s="1053">
        <f>INDEX(FL$8:FL$60,MATCH(B27,B$8:B$60,0))</f>
        <v/>
      </c>
      <c r="FL27" s="1053">
        <f>IF(FJ27&gt;0,RANK(FJ27,$FJ$9:$FJ$60)+COUNTIF($FJ$9:FJ27,FJ27)-1,0)</f>
        <v/>
      </c>
      <c r="FM27" s="1052">
        <f>IF(FK27=1,IF(FI27&gt;FE27,(FI27-FE27)*(V27/SUMIF($B:$B,B27,$FD:$FD)),0),0)</f>
        <v/>
      </c>
      <c r="FN27" s="1052">
        <f>IF(FK27=2,IF(FI27&gt;FF27,(FI27-FF27)*(V27/SUMIF($B:$B,B27,$FD:$FD)),0),0)</f>
        <v/>
      </c>
      <c r="FO27" s="1052">
        <f>IF(FK27=3,IF(FI27&gt;FG27,(FI27-FG27)*(V27/SUMIF($B:$B,B27,$FD:$FD)),0),0)</f>
        <v/>
      </c>
      <c r="FP27" s="1053">
        <f>IF(FK27&gt;0,IF(FI27&gt;FH27,(FI27-FH27)*(FD27/(SUMIF($B:$B,$B27,$FD:$FD))),0),0)</f>
        <v/>
      </c>
      <c r="FQ27" s="1053">
        <f>MAX(0,FD27-FM27-FN27-FO27-FP27)</f>
        <v/>
      </c>
      <c r="FR27" s="1053">
        <f>'Concentration Limits'!$J$58</f>
        <v/>
      </c>
      <c r="FS27" s="1053">
        <f>SUMIF($BR:$BR,$BR27,FQ:FQ)</f>
        <v/>
      </c>
      <c r="FT27" s="1053">
        <f>VLOOKUP(BR27,'Concentration Limits'!$E$81:$H$153,4,FALSE)</f>
        <v/>
      </c>
      <c r="FU27" s="1053">
        <f>IF(FT27=1,MAX(0,(FS27-FR27)*(FQ27/SUMIF($BR:$BR,BR27,FQ:FQ))),0)</f>
        <v/>
      </c>
      <c r="FV27" s="1053">
        <f>MAX(0,FQ27-FU27)</f>
        <v/>
      </c>
      <c r="FW27" s="1053">
        <f>'Concentration Limits'!$J$59</f>
        <v/>
      </c>
      <c r="FX27" s="1053">
        <f>SUMIF($BR:$BR,$BR27,FV:FV)</f>
        <v/>
      </c>
      <c r="FY27" s="1053">
        <f>VLOOKUP(BR27,'Concentration Limits'!$E$81:$H$153,4,FALSE)</f>
        <v/>
      </c>
      <c r="FZ27" s="1053">
        <f>MAX(0,IF(FY27=2,(FX27-FW27)*(FV27/SUMIF($BR:$BR,BR27,FV:FV)),0))</f>
        <v/>
      </c>
      <c r="GA27" s="1053">
        <f>MAX(0,FV27-FZ27)</f>
        <v/>
      </c>
      <c r="GB27" s="1053">
        <f>'Concentration Limits'!$J$61</f>
        <v/>
      </c>
      <c r="GC27" s="1053">
        <f>SUMIF($BR:$BR,$BR27,GA:GA)</f>
        <v/>
      </c>
      <c r="GD27" s="1051">
        <f>VLOOKUP(BR27,'Concentration Limits'!$E$81:$H$153,4,FALSE)</f>
        <v/>
      </c>
      <c r="GE27" s="1053">
        <f>IF(GA27=0,0,MAX(0,IF(GD27&lt;3,0,(GC27-GB27)*($GA27/SUMIF($BR:$BR,BR27,GA:GA)))))</f>
        <v/>
      </c>
      <c r="GF27" s="1053">
        <f>MAX(0,GA27-GE27)</f>
        <v/>
      </c>
      <c r="GG27" s="1053">
        <f>'Concentration Limits'!$J$64</f>
        <v/>
      </c>
      <c r="GH27" s="1053">
        <f>IF(BY27="Yes",SUMIF(BY:BY,BY27,GF:GF),0)</f>
        <v/>
      </c>
      <c r="GI27" s="1053">
        <f>IFERROR(MAX(0,(GH27-GG27)*(GF27/SUMIF($T:$T,T27,GF:GF ))),0)</f>
        <v/>
      </c>
      <c r="GJ27" s="1053">
        <f>MAX(0,GF27-GI27)</f>
        <v/>
      </c>
      <c r="GK27" s="1053">
        <f>'Concentration Limits'!$J$67</f>
        <v/>
      </c>
      <c r="GL27" s="1051">
        <f>IF(OR(BV27="Yes",OR(ISNUMBER(SEARCH("Travel",BR27)),ISNUMBER(SEARCH("Energy",BR27)),ISNUMBER(SEARCH("Leisure",BR27)),ISNUMBER(SEARCH("hotel",BR27)))),"Yes","No")</f>
        <v/>
      </c>
      <c r="GM27" s="1053">
        <f>IF(GL27="Yes",SUMIF(GL:GL,"Yes",GJ:GJ),0)</f>
        <v/>
      </c>
      <c r="GN27" s="1053">
        <f>IF(GM27&gt;GK27,(GM27-GK27)*(GJ27/SUMIF(GL:GL,"Yes",GJ:GJ)),0)</f>
        <v/>
      </c>
      <c r="GO27" s="1053">
        <f>MAX(0,GJ27-GN27)</f>
        <v/>
      </c>
      <c r="GP27" s="1053">
        <f>'Concentration Limits'!$J$68</f>
        <v/>
      </c>
      <c r="GQ27" s="1051">
        <f>IF(BU27="Yes","Yes", "No")</f>
        <v/>
      </c>
      <c r="GR27" s="1053">
        <f>IF(GQ27="Yes",SUMIF(GQ:GQ,"Yes",GO:GO),0)</f>
        <v/>
      </c>
      <c r="GS27" s="1053">
        <f>IF(GR27&gt;GP27,(GR27-GP27)*(GO27/SUMIF(GQ:GQ,"Yes",GO:GO)),0)</f>
        <v/>
      </c>
      <c r="GT27" s="1053">
        <f>MAX(0,GO27-GS27)</f>
        <v/>
      </c>
      <c r="GU27" s="1051">
        <f>'Concentration Limits'!$J$69</f>
        <v/>
      </c>
      <c r="GV27" s="1051">
        <f>IF(BW27="Yes", "Yes", "No")</f>
        <v/>
      </c>
      <c r="GW27" s="1051">
        <f>IF(GV27="Yes",SUMIF(GV:GV,"Yes",GT:GT),0)</f>
        <v/>
      </c>
      <c r="GX27" s="1051">
        <f>IF(GW27&gt;GU27,(GW27-GU27)*(GT27/SUMIF(GV:GV,"Yes",GT:GT)),0)</f>
        <v/>
      </c>
      <c r="GY27" s="1051">
        <f>MAX(0,GT27-GX27)</f>
        <v/>
      </c>
      <c r="GZ27" s="1051">
        <f>'Concentration Limits'!$J$70</f>
        <v/>
      </c>
      <c r="HA27" s="1051">
        <f>IF(BX27="Yes", "Yes", "No")</f>
        <v/>
      </c>
      <c r="HB27" s="1051">
        <f>IF(HA27="Yes",SUMIF(HA:HA,"Yes",GY:GY),0)</f>
        <v/>
      </c>
      <c r="HC27" s="1051">
        <f>IF(HB27&gt;GZ27,(HB27-GZ27)*(GY27/SUMIF(HA:HA,"Yes",GY:GY)),0)</f>
        <v/>
      </c>
      <c r="HD27" s="1051">
        <f>MAX(0,GY27-HC27)</f>
        <v/>
      </c>
      <c r="HE27" s="1053">
        <f>IF(AQ27=0,0,HD27*AQ27/(AQ27+AR27))</f>
        <v/>
      </c>
      <c r="HF27" s="1053">
        <f>IF(AR27=0,0,HD27*AR27/(AQ27+AR27))</f>
        <v/>
      </c>
      <c r="HG27" s="1053">
        <f>IF(AW27=0,0,HD27*AW27/(AW27+AX27))</f>
        <v/>
      </c>
      <c r="HH27" s="1053">
        <f>IF(AX27=0,0,HD27*AX27/(AX27+AW27))</f>
        <v/>
      </c>
      <c r="HI27" s="1053">
        <f>IF(BE27=0,0,#REF!*BE27/(BE27+BG27))</f>
        <v/>
      </c>
      <c r="HJ27" s="1053">
        <f>IF(BG27=0,0,#REF!*BG27/(BG27+BE27))</f>
        <v/>
      </c>
      <c r="HK27" s="1054">
        <f>IF(BF27=0,0,#REF!*BF27/(BF27+BH27))</f>
        <v/>
      </c>
      <c r="HL27" s="1053">
        <f>IF(BH27=0,0,#REF!*BH27/(BH27+BF27))</f>
        <v/>
      </c>
      <c r="HM27" s="1053">
        <f>IF(D27="Second Lien",HD27,0)</f>
        <v/>
      </c>
      <c r="HN27" s="1053">
        <f>SUM(HE27:HM27)=HD27</f>
        <v/>
      </c>
    </row>
    <row r="28" ht="12.75" customFormat="1" customHeight="1" s="469">
      <c r="A28" s="55">
        <f>A27+1</f>
        <v/>
      </c>
      <c r="B28" s="437">
        <f>INDEX('Loan Tape - Settled'!$B$4:$AP$55,MATCH($A28,'Loan Tape - Settled'!$E$4:$E$55,0),MATCH("Obligor Name",'Loan Tape - Settled'!$B$4:$AM$4,0))</f>
        <v/>
      </c>
      <c r="C28" s="437">
        <f>INDEX('Loan Tape - Settled'!$B$4:$AP$55,MATCH($A28,'Loan Tape - Settled'!$E$4:$E$55,0),MATCH("Security",'Loan Tape - Settled'!$B$4:$AM$4,0))</f>
        <v/>
      </c>
      <c r="D28" s="438">
        <f>INDEX('Loan Tape - Settled'!$B$4:$AP$55,MATCH($A28,'Loan Tape - Settled'!$E$4:$E$55,0),MATCH("Loan Type",'Loan Tape - Settled'!$B$4:$AM$4,0))</f>
        <v/>
      </c>
      <c r="E28" s="439">
        <f>IF(ISERROR(MATCH(D28,AGENT!$A$4:$A$10,0))=FALSE, TRUE)</f>
        <v/>
      </c>
      <c r="F28" s="439">
        <f>IF(AND(BZ28="no",CA28="no"),TRUE)</f>
        <v/>
      </c>
      <c r="G28" s="439">
        <f>IF(D28&lt;&gt;"Second Lien",TRUE, IF(CY28&gt;=AGENT!$B$4,TRUE))</f>
        <v/>
      </c>
      <c r="H28" s="439">
        <f>IF(DE28&lt;=AGENT!$D$4,TRUE)</f>
        <v/>
      </c>
      <c r="I28" s="439">
        <f>IF(VLOOKUP(CONCATENATE($A$5,A28),'Loan Tape - Settled'!$A$5:$Q$55,17,FALSE)&gt;=AGENT!$E$4,TRUE)</f>
        <v/>
      </c>
      <c r="J28" s="439">
        <f>IF(INDEX('Loan Tape - Settled'!$B$4:$AP$55,MATCH($A28,'Loan Tape - Settled'!$E$4:$E$55,0),MATCH("Loan Denomination",'Loan Tape - Settled'!$B$4:$AP$4,0))="USD", TRUE)</f>
        <v/>
      </c>
      <c r="K28" s="439">
        <f>IF(INDEX('Loan Tape - Settled'!$B$4:$AP$55,MATCH($A28,'Loan Tape - Settled'!$E$4:$E$55,0),MATCH("Exposure Country",'Loan Tape - Settled'!$B$4:$AP$4,0))="United States", TRUE)</f>
        <v/>
      </c>
      <c r="L28" s="439">
        <f>IF(BS28="NO",TRUE)</f>
        <v/>
      </c>
      <c r="M28" s="439">
        <f>IF(((BM28-BL28)/365)&lt;=AGENT!$F$4,TRUE)</f>
        <v/>
      </c>
      <c r="N28" s="439">
        <f>IF(DX28="Yes",FALSE,TRUE)</f>
        <v/>
      </c>
      <c r="O28" s="493" t="n"/>
      <c r="P28" s="730">
        <f>IF($B28="","",IF(OR(O28=TRUE,COUNTIFS($E28:$N28,TRUE)=10),"Yes","No"))</f>
        <v/>
      </c>
      <c r="Q28" s="730" t="inlineStr">
        <is>
          <t>Yes</t>
        </is>
      </c>
      <c r="R28" s="440">
        <f>IF(P28="Yes",B28,"N/A")</f>
        <v/>
      </c>
      <c r="S28" s="440" t="n"/>
      <c r="T28" s="441">
        <f t="array" ref="T28">_xlfn.IFS(D28="Second Lien",D28,D28="First Lien",CONCATENATE(D28," ",EI28),D28="FILO",CONCATENATE(D28," ",EJ28))</f>
        <v/>
      </c>
      <c r="U28" s="442">
        <f>VLOOKUP(T28,'Concentration Limits'!D:G,4,FALSE)</f>
        <v/>
      </c>
      <c r="V28" s="1020">
        <f>AQ28+AW28+BI28</f>
        <v/>
      </c>
      <c r="W28" s="1021">
        <f>(SUMIFS('Loan Tape - Settled'!$AR$4:$AR$55,'Loan Tape - Settled'!$E$4:$E$55,$A28,'Loan Tape - Settled'!$C$4:$C$55,$A$5))</f>
        <v/>
      </c>
      <c r="X28" s="1022" t="n">
        <v>1</v>
      </c>
      <c r="Y28" s="1023">
        <f>W28*X28</f>
        <v/>
      </c>
      <c r="Z28" s="1022">
        <f>(SUMIFS('Loan Tape - Settled'!$AQ$4:$AQ$55,'Loan Tape - Settled'!$E$4:$E$55,$A28,'Loan Tape - Settled'!$C$4:$C$55,$A$5))</f>
        <v/>
      </c>
      <c r="AA28" s="1023">
        <f>Z28*X28</f>
        <v/>
      </c>
      <c r="AB28" s="1023">
        <f>AA28-Y28</f>
        <v/>
      </c>
      <c r="AC28" s="490">
        <f>VLOOKUP(CONCATENATE($A$5,A28),'Loan Tape - Settled'!$A$5:$Q$55,17,FALSE)</f>
        <v/>
      </c>
      <c r="AD28" s="445" t="n"/>
      <c r="AE28" s="446">
        <f>INDEX('Loan Tape - Settled'!$B$4:$AP$55,MATCH($A28,'Loan Tape - Settled'!$E$4:$E$55,0),MATCH("FMV",'Loan Tape - Settled'!$B$4:$AM$4,0))</f>
        <v/>
      </c>
      <c r="AF28" s="446">
        <f t="array" ref="AF28">_xlfn.IFS(D28="First Lien",
_xlfn.IFS(AND(DL28&gt;0,DL28&lt;Tier_1_1L),Tier_1_ApplicableValue,
AND(DL28&gt;=Tier_1_1L,DL28&lt;Tier_2_1L),((Tier_1_1L/DL28)*Tier_1_ApplicableValue)+((DL28-Tier_1_1L)/DL28*Tier_2_ApplicableValue),
AND(DL28&gt;=Tier_2_1L, DL28&lt;Tier_3_1L),((Tier_1_1L/DL28)*Tier_1_ApplicableValue+(Tier_2_1L-Tier_1_1L)/DL28*Tier_2_ApplicableValue+(DL28-Tier_2_1L)/DL28*Tier_3_ApplicableValue),
AND(DL28&gt;=Tier_3_1L, DL28&lt;=Tier_totalzerovalue),((Tier_1_1L/DL28)*Tier_1_ApplicableValue+(Tier_2_1L-Tier_1_1L)/DL28*Tier_2_ApplicableValue+(Tier_3_1L-Tier_2_1L)/DL28*Tier_3_ApplicableValue+(DL28-Tier_partialzerovalue)/DL28*0%),
DL28&gt;Tier_totalzerovalue,0%),
OR(D28="Second Lien", D28="FILO"),
_xlfn.IFS(AND(DM28&gt;0,DM28&lt;Tier_1_2L),Tier_1_ApplicableValue,
AND(DM28&gt;=Tier_1_2L,DM28&lt;Tier_2_2L),((Tier_1_2L/DM28)*Tier_1_ApplicableValue)+((DM28-Tier_1_2L)/DM28*Tier_2_ApplicableValue),
AND(DM28&gt;=Tier_2_2L, DM28&lt;Tier_3_2L),((Tier_1_2L/DM28)*Tier_1_ApplicableValue+(Tier_2_2L-Tier_1_2L)/DM28*Tier_2_ApplicableValue+(DM28-Tier_2_2L)/DM28*Tier_3_ApplicableValue),
AND(DM28&gt;=Tier_3_2L, DM28&lt;=Tier_totalzerovalue),((Tier_1_2L/DM28)*Tier_1_ApplicableValue+(Tier_2_2L-Tier_1_2L)/DM28*Tier_2_ApplicableValue+(Tier_3_2L-Tier_2_2L)/DM28*Tier_3_ApplicableValue+(DM28-Tier_partialzerovalue)/DM28*0%),
DM28&gt;Tier_totalzerovalue,0%))</f>
        <v/>
      </c>
      <c r="AG28" s="447">
        <f>IF(COUNTIFS(VAE!$C$5:$C$96,B28,VAE!$G$5:$G$96,"&lt;="&amp;Availability!$F$8)&gt;=1,"Yes","-")</f>
        <v/>
      </c>
      <c r="AH28" s="447">
        <f t="array" ref="AH28">IFERROR(IF(AG28="Yes",INDEX(VAE!$D$5:$D$96,MATCH(B28&amp;AJ28,VAE!$C$5:$C$96&amp;VAE!$G$5:$G$96,0)),"-"),0)</f>
        <v/>
      </c>
      <c r="AI28" s="447">
        <f t="array" ref="AI28">IFERROR(IF(AG28="Yes",INDEX(VAE!$F$5:$F$96,MATCH(B28&amp;AJ28,VAE!$C$5:$C$96&amp;VAE!$G$5:$G$96,0)),"-"),0)</f>
        <v/>
      </c>
      <c r="AJ28" s="448">
        <f>IF(AG28="-","-",_xlfn.MAXIFS(VAE!$G$5:$G$96,VAE!$C$5:$C$96,$B28))</f>
        <v/>
      </c>
      <c r="AK28" s="449">
        <f t="array" ref="AK28">IFERROR(IF(AG28="Yes",INDEX(VAE!$P$5:$P$96,MATCH(B28&amp;AJ28,VAE!$C$5:$C$96&amp;VAE!$G$5:$G$96,0)),"-"),0)</f>
        <v/>
      </c>
      <c r="AL28" s="446">
        <f>IF($A28="","",IF(P28="No",0,(IF(AG28="Yes",MIN(AE28,AK28,AF28),MIN(AE28,AF28)))))</f>
        <v/>
      </c>
      <c r="AM28" s="1020" t="n"/>
      <c r="AN28" s="1020" t="n"/>
      <c r="AO28" s="1020">
        <f>IF(AND(D28="First Lien",P28="No"),0,IF(D28&lt;&gt;"First Lien",0,Y28))</f>
        <v/>
      </c>
      <c r="AP28" s="1020">
        <f>IF(AND(D28="First Lien",P28="No"),W28,0)</f>
        <v/>
      </c>
      <c r="AQ28" s="1020">
        <f>AL28*AO28</f>
        <v/>
      </c>
      <c r="AR28" s="1020" t="n"/>
      <c r="AS28" s="1020" t="n"/>
      <c r="AT28" s="1020" t="n"/>
      <c r="AU28" s="1020">
        <f>IF(AND(D28="FILO",P28="No"),0,IF(D28&lt;&gt;"FILO",0,Y28))</f>
        <v/>
      </c>
      <c r="AV28" s="1020">
        <f>IF(AND(D28="FILO",P28="No"),W28,0)</f>
        <v/>
      </c>
      <c r="AW28" s="1020">
        <f>AU28*AL28</f>
        <v/>
      </c>
      <c r="AX28" s="1020" t="n"/>
      <c r="AY28" s="1020" t="n"/>
      <c r="AZ28" s="1020" t="n"/>
      <c r="BA28" s="1020">
        <f>IF(AND(OR(D28="First Lien",D28="FILO"),P28="No"),0,IF(OR(D28="First Lien",D28="FILO"),0,(Y28)))</f>
        <v/>
      </c>
      <c r="BB28" s="1020" t="n"/>
      <c r="BC28" s="1020" t="n"/>
      <c r="BD28" s="1020">
        <f>IF(AND(D28="Second Lien",P28="No"),W28,0)</f>
        <v/>
      </c>
      <c r="BE28" s="1020" t="n"/>
      <c r="BF28" s="1020" t="n"/>
      <c r="BG28" s="1020" t="n"/>
      <c r="BH28" s="1020" t="n"/>
      <c r="BI28" s="1020">
        <f>IF(D28="Second Lien",BA28*AL28,0)</f>
        <v/>
      </c>
      <c r="BJ28" s="1020">
        <f>SUM(AM28:AP28)+SUM(AZ28:BD28)+SUM(AS28:AV28)=Y28</f>
        <v/>
      </c>
      <c r="BK28" s="1026">
        <f>INDEX('Loan Tape - Settled'!$B$4:$AP$55,MATCH($A28,'Loan Tape - Settled'!$E$4:$E$55,0),MATCH("Inception Date",'Loan Tape - Settled'!$B$4:$AP$4,0))</f>
        <v/>
      </c>
      <c r="BL28" s="1026">
        <f>INDEX('Loan Tape - Settled'!$B$4:$AP$55,MATCH($A28,'Loan Tape - Settled'!$E$4:$E$55,0),MATCH("Inclusion Date",'Loan Tape - Settled'!$B$4:$AP$4,0))</f>
        <v/>
      </c>
      <c r="BM28" s="1026">
        <f>INDEX('Loan Tape - Settled'!$B$4:$AP$55,MATCH($A28,'Loan Tape - Settled'!$E$4:$E$55,0),MATCH("Maturity Date",'Loan Tape - Settled'!$B$4:$AP$4,0))</f>
        <v/>
      </c>
      <c r="BN28" s="556" t="n"/>
      <c r="BO28" s="556" t="n"/>
      <c r="BP28" s="1055" t="n"/>
      <c r="BQ28" s="556" t="n"/>
      <c r="BR28" s="554">
        <f>INDEX('Loan Tape - Settled'!$B$4:$AP$55,MATCH($A28,'Loan Tape - Settled'!$E$4:$E$55,0),MATCH("Industry Classification",'Loan Tape - Settled'!$B$4:$AP$4,0))</f>
        <v/>
      </c>
      <c r="BS28" s="556">
        <f>IF(INDEX('Loan Tape - Settled'!$B$4:$AP$55,MATCH($A28,'Loan Tape - Settled'!$E$4:$E$55,0),MATCH("Covenant Lite",'Loan Tape - Settled'!$B$4:$AP$4,0))=-1, "Yes", "No")</f>
        <v/>
      </c>
      <c r="BT28" s="1056">
        <f>INDEX('Loan Tape - Settled'!$B$4:$AP$55,MATCH($A28,'Loan Tape - Settled'!$E$4:$E$55,0),MATCH("Spread / Coupon (%)",'Loan Tape - Settled'!$B$4:$AP$4,0))</f>
        <v/>
      </c>
      <c r="BU28" s="556">
        <f>IF(INDEX('Loan Tape - Settled'!$B$4:$AP$55,MATCH($A28,'Loan Tape - Settled'!$E$4:$E$55,0),MATCH("Security Type",'Loan Tape - Settled'!$B$4:$AP$4,0))="Delayed Draw Term Loan", "Yes", "No")</f>
        <v/>
      </c>
      <c r="BV28" s="557" t="inlineStr">
        <is>
          <t>No</t>
        </is>
      </c>
      <c r="BW28" s="557" t="inlineStr">
        <is>
          <t>No</t>
        </is>
      </c>
      <c r="BX28" s="548" t="inlineStr">
        <is>
          <t>No</t>
        </is>
      </c>
      <c r="BY28" s="556">
        <f>IF(INDEX('Loan Tape - Settled'!$B$4:$AP$55,MATCH($A28,'Loan Tape - Settled'!$E$4:$E$55,0),MATCH("Fixed/Floating",'Loan Tape - Settled'!$B$4:$AP$4,0))="Fixed", "Yes", "No")</f>
        <v/>
      </c>
      <c r="BZ28" s="557" t="inlineStr">
        <is>
          <t>No</t>
        </is>
      </c>
      <c r="CA28" s="557" t="inlineStr">
        <is>
          <t>No</t>
        </is>
      </c>
      <c r="CB28" s="556">
        <f>IF(INDEX('Loan Tape - Settled'!$B$4:$AP$55,MATCH($A28,'Loan Tape - Settled'!$E$4:$E$55,0),MATCH("Loan Denomination",'Loan Tape - Settled'!$B$4:$AP$4,0))="CAD", "Yes", "No")</f>
        <v/>
      </c>
      <c r="CC28" s="556">
        <f>INDEX('Loan Tape - Settled'!$B$4:$AP$55,MATCH($A28,'Loan Tape - Settled'!$E$4:$E$55,0),MATCH("Payment Frequency",'Loan Tape - Settled'!$B$4:$AP$4,0))</f>
        <v/>
      </c>
      <c r="CD28" s="557" t="inlineStr">
        <is>
          <t>No</t>
        </is>
      </c>
      <c r="CE28" s="556">
        <f>INDEX('Loan Tape - Settled'!$B$4:$AP$55,MATCH($A28,'Loan Tape - Settled'!$E$4:$E$55,0),MATCH("S&amp;P Loan Rating (if applicable)",'Loan Tape - Settled'!$B$4:$AP$4,0))</f>
        <v/>
      </c>
      <c r="CF28" s="556">
        <f>INDEX('Loan Tape - Settled'!$B$4:$AP$55,MATCH($A28,'Loan Tape - Settled'!$E$4:$E$55,0),MATCH("Moody's Loan Rating (if applicable)",'Loan Tape - Settled'!$B$4:$AP$4,0))</f>
        <v/>
      </c>
      <c r="CG28" s="556" t="n"/>
      <c r="CH28" s="556" t="n"/>
      <c r="CI28" s="1057" t="n"/>
      <c r="CJ28" s="1030">
        <f>INDEX('Loan Tape - Settled'!$B$4:$BF$55,MATCH($A28,'Loan Tape - Settled'!$E$4:$E$55,0),MATCH("Last Financial Received",'Loan Tape - Settled'!$B$4:$BF$4,0))</f>
        <v/>
      </c>
      <c r="CK28" s="559">
        <f>INDEX('Loan Tape - Settled'!$B$4:$BJ$55,MATCH($A28,'Loan Tape - Settled'!$E$4:$E$55,0),MATCH("Initial Adjusted TTM EBITDA",'Loan Tape - Settled'!$B$4:$BJ$4,0))</f>
        <v/>
      </c>
      <c r="CL28" s="559">
        <f>INDEX('Loan Tape - Settled'!$B$4:$BJ$55,MATCH($A28,'Loan Tape - Settled'!$E$4:$E$55,0),MATCH("Initial TTM Non-adjusted EBITDA",'Loan Tape - Settled'!$B$4:$BJ$4,0))</f>
        <v/>
      </c>
      <c r="CM28" s="1031" t="n"/>
      <c r="CN28" s="451" t="n"/>
      <c r="CO28" s="451" t="n"/>
      <c r="CP28" s="1032" t="n"/>
      <c r="CQ28" s="1033" t="inlineStr">
        <is>
          <t>N</t>
        </is>
      </c>
      <c r="CR28" s="1032" t="n"/>
      <c r="CS28" s="454">
        <f>CK28-CP28+CR28</f>
        <v/>
      </c>
      <c r="CT28" s="455">
        <f>1-CS28/CK28</f>
        <v/>
      </c>
      <c r="CU28" s="559">
        <f>INDEX('Loan Tape - Settled'!$B$4:$BJ$55,MATCH($A28,'Loan Tape - Settled'!$E$4:$E$55,0),MATCH("Current TTM Non-adjusted EBITDA",'Loan Tape - Settled'!$B$4:$BJ$4,0))</f>
        <v/>
      </c>
      <c r="CV28" s="456">
        <f>CT28</f>
        <v/>
      </c>
      <c r="CW28" s="1034" t="inlineStr">
        <is>
          <t>N</t>
        </is>
      </c>
      <c r="CX28" s="1035" t="n"/>
      <c r="CY28" s="1036">
        <f>IF(CW28="N",(1-CV28)*CU28,(1-CX28)*CU28)</f>
        <v/>
      </c>
      <c r="CZ28" s="1037" t="n"/>
      <c r="DA28" s="1038" t="n"/>
      <c r="DB28" s="1039" t="n"/>
      <c r="DC28" s="1040" t="n"/>
      <c r="DD28" s="1040">
        <f>INDEX('Loan Tape - Settled'!$B$4:$BJ$55,MATCH($A28,'Loan Tape - Settled'!$E$4:$E$55,0),MATCH("Initial Senior Net Leverage Senior",'Loan Tape - Settled'!$B$4:$BJ$4,0))</f>
        <v/>
      </c>
      <c r="DE28" s="1041">
        <f>INDEX('Loan Tape - Settled'!$B$4:$BJ$55,MATCH($A28,'Loan Tape - Settled'!$E$4:$E$55,0),MATCH("Initial Total Net Leverage",'Loan Tape - Settled'!$B$4:$BJ$4,0))</f>
        <v/>
      </c>
      <c r="DF28" s="1037" t="n"/>
      <c r="DG28" s="1038" t="n"/>
      <c r="DH28" s="1039" t="n"/>
      <c r="DI28" s="1042">
        <f>INDEX('Loan Tape - Settled'!$B$4:$BJ$55,MATCH($A28,'Loan Tape - Settled'!$E$4:$E$55,0),MATCH("Net Attachment",'Loan Tape - Settled'!$B$4:$BJ$4,0))</f>
        <v/>
      </c>
      <c r="DJ28" s="566">
        <f t="array" ref="DJ28">IF(AG28="Yes",INDEX(VAE!$M$5:$M$53,MATCH($B28&amp;$AJ28,VAE!$C$5:$C$53&amp;VAE!$G$5:$G$53,0)),DD28)</f>
        <v/>
      </c>
      <c r="DK28" s="697">
        <f t="array" ref="DK28">IF(AG28="Yes",INDEX(VAE!$N$5:$N$53,MATCH($B28&amp;$AJ28,VAE!$C$5:$C$53&amp;VAE!$G$5:$G$53,0)),DE28)</f>
        <v/>
      </c>
      <c r="DL28" s="1058">
        <f>INDEX('Loan Tape - Settled'!$B$4:$BJ$55,MATCH($A28,'Loan Tape - Settled'!$E$4:$E$55,0),MATCH("Current Senior Net Leverage Senior",'Loan Tape - Settled'!$B$4:$BJ$4,0))</f>
        <v/>
      </c>
      <c r="DM28" s="1059">
        <f>INDEX('Loan Tape - Settled'!$B$4:$BJ$55,MATCH($A28,'Loan Tape - Settled'!$E$4:$E$55,0),MATCH("Current Total Net Leverage",'Loan Tape - Settled'!$B$4:$BJ$4,0))</f>
        <v/>
      </c>
      <c r="DN28" s="1044" t="n"/>
      <c r="DO28" s="1045">
        <f>INDEX('Loan Tape - Settled'!$B$4:$BJ$55,MATCH($A28,'Loan Tape - Settled'!$E$4:$E$55,0),MATCH("Initial Interest Coverage",'Loan Tape - Settled'!$B$4:$BJ$4,0))</f>
        <v/>
      </c>
      <c r="DP28" s="565">
        <f t="array" ref="DP28">IF(AG28="Yes",INDEX(VAE!$O$5:$O$53,MATCH($B28&amp;$AJ28,VAE!$C$5:$C$53&amp;VAE!$G$5:$G$53,0)),DO28)</f>
        <v/>
      </c>
      <c r="DQ28" s="1046">
        <f>INDEX('Loan Tape - Settled'!$B$4:$BJ$55,MATCH($A28,'Loan Tape - Settled'!$E$4:$E$55,0),MATCH("Current Interest Coverage",'Loan Tape - Settled'!$B$4:$BJ$4,0))</f>
        <v/>
      </c>
      <c r="DR28" s="462">
        <f>IF(OR(DU28="Yes",DU28="N/A",DV28="Yes",DV28="N/A",DW28="Yes",DX28="Yes",DY28="Yes",EF28="Yes",EG28="Yes",EH28="Yes"),"Yes","No")</f>
        <v/>
      </c>
      <c r="DS28" s="1047">
        <f>IF(AG28="Yes",DATEDIF(AJ28,Availability!$F$8,"m"),"")</f>
        <v/>
      </c>
      <c r="DT28" s="1047">
        <f>IF(DS28="","No",IF(DS28&gt;12,"Yes","No"))</f>
        <v/>
      </c>
      <c r="DU28" s="695">
        <f>IFERROR(IF(AND(DQ28/DP28&lt;0.75,DQ28&lt;1.5),"Yes","No"),"N/A")</f>
        <v/>
      </c>
      <c r="DV28" s="696">
        <f>IFERROR(IF(OR(D28="First Lien",D28="FILO"),IF(AND((DL28-DJ28)&gt;0.75,DL28&gt;4),"Yes","No"),"No"),"N/A")</f>
        <v/>
      </c>
      <c r="DW28" s="696">
        <f t="array" ref="DW28">_xlfn.IFS(D28&lt;&gt;"Second Lien","No",D28="Second Lien",IF(AND((DM28-DK28)&gt;0.5,DM28&gt;4.5),"Yes","No"))</f>
        <v/>
      </c>
      <c r="DX28" s="735" t="inlineStr">
        <is>
          <t>No</t>
        </is>
      </c>
      <c r="DY28" s="735" t="inlineStr">
        <is>
          <t>No</t>
        </is>
      </c>
      <c r="DZ28" s="1048" t="inlineStr">
        <is>
          <t>No</t>
        </is>
      </c>
      <c r="EA28" s="1048" t="inlineStr">
        <is>
          <t>No</t>
        </is>
      </c>
      <c r="EB28" s="1048" t="inlineStr">
        <is>
          <t>No</t>
        </is>
      </c>
      <c r="EC28" s="1048" t="inlineStr">
        <is>
          <t>No</t>
        </is>
      </c>
      <c r="ED28" s="1048" t="inlineStr">
        <is>
          <t>No</t>
        </is>
      </c>
      <c r="EE28" s="1048" t="inlineStr">
        <is>
          <t>No</t>
        </is>
      </c>
      <c r="EF28" s="442">
        <f>IF(OR(DZ28="Yes",EA28="Yes",EB28="Yes",EC28="Yes",ED28="Yes",EE28="Yes"),"Yes","No")</f>
        <v/>
      </c>
      <c r="EG28" s="1048" t="inlineStr">
        <is>
          <t>No</t>
        </is>
      </c>
      <c r="EH28" s="1049" t="inlineStr">
        <is>
          <t>No</t>
        </is>
      </c>
      <c r="EI28" s="1050">
        <f t="array" ref="EI28">IF(D28="First Lien",_xlfn.IFS(CY28&gt;AGENT!$B$23, "&gt; $20MM",CY28&lt;=AGENT!$C$25, "&lt;= $10MM",AND(CY28&lt;=AGENT!$C$24,CY28&gt;AGENT!$B$24),"&lt;= $20MM"), "N/A")</f>
        <v/>
      </c>
      <c r="EJ28" s="1050">
        <f t="array" ref="EJ28">IF(D28="FILO",_xlfn.IFS(DI28&gt;AGENT!$B$29, "&gt; 1.25x",DI28&lt;AGENT!$C$27, "&lt; 0.75x",AND(DI28&lt;=AGENT!$C$28,DI28&gt;=AGENT!$B$28),"&lt;= 1.25x"), "N/A")</f>
        <v/>
      </c>
      <c r="EK28" s="1051">
        <f>V28</f>
        <v/>
      </c>
      <c r="EL28" s="1051">
        <f>'Concentration Limits'!$J$49</f>
        <v/>
      </c>
      <c r="EM28" s="1051">
        <f>IF(OR(D28="Second Lien",AND(D28="FILO",DI28&gt;AGENT!$C$57)), "Yes", "No")</f>
        <v/>
      </c>
      <c r="EN28" s="1051">
        <f>IF(EM28="Yes",SUMIF(EM:EM,"Yes",EK:EK),0)</f>
        <v/>
      </c>
      <c r="EO28" s="1051">
        <f>IF(EN28&gt;EL28,(EN28-EL28)*(EK28/SUMIF(EM:EM,"Yes",EK:EK)),0)</f>
        <v/>
      </c>
      <c r="EP28" s="1051">
        <f>MAX(0,EK28-EO28)</f>
        <v/>
      </c>
      <c r="EQ28" s="1051">
        <f>'Concentration Limits'!$J$50</f>
        <v/>
      </c>
      <c r="ER28" s="1051">
        <f>IF(D28="Second Lien",SUMIF(D:D,D28,EP:EP),0)</f>
        <v/>
      </c>
      <c r="ES28" s="1051">
        <f>MAX(0,(ER28-EQ28)*IFERROR((EP28/SUMIF($D:$D,D28,EP:EP )),0) )</f>
        <v/>
      </c>
      <c r="ET28" s="1051">
        <f>MAX(0,EP28-ES28)</f>
        <v/>
      </c>
      <c r="EU28" s="1051">
        <f>'Concentration Limits'!$J$51</f>
        <v/>
      </c>
      <c r="EV28" s="1051">
        <f>IF(OR(D28="Second Lien", AND(D28="FILO",DI28&gt;AGENT!$C$59)), "Yes", "No")</f>
        <v/>
      </c>
      <c r="EW28" s="1051">
        <f>IF(EV28="Yes",SUMIF(EV:EV,"Yes",ET:ET),0)</f>
        <v/>
      </c>
      <c r="EX28" s="1051">
        <f>IF(EW28&gt;EU28,(EW28-EU28)*(ET28/SUMIF(EV:EV,"Yes",ET:ET)),0)</f>
        <v/>
      </c>
      <c r="EY28" s="1051">
        <f>MAX(0,ET28-EX28)</f>
        <v/>
      </c>
      <c r="EZ28" s="1051">
        <f>'Concentration Limits'!$J$52</f>
        <v/>
      </c>
      <c r="FA28" s="1051">
        <f>IF(CY28&gt;'Concentration Limits'!$E$52, "No", "Yes")</f>
        <v/>
      </c>
      <c r="FB28" s="1051">
        <f>IF(FA28="Yes",SUMIF(FA:FA,"Yes",EY:EY),0)</f>
        <v/>
      </c>
      <c r="FC28" s="1051">
        <f>IF(FB28&gt;EZ28,(FB28-EZ28)*(EY28/SUMIF(FA:FA,"Yes",EY:EY)),0)</f>
        <v/>
      </c>
      <c r="FD28" s="1051">
        <f>MAX(0,EY28-FC28)</f>
        <v/>
      </c>
      <c r="FE28" s="1052">
        <f>'Concentration Limits'!$J$54</f>
        <v/>
      </c>
      <c r="FF28" s="1052">
        <f>'Concentration Limits'!$J$55</f>
        <v/>
      </c>
      <c r="FG28" s="1052">
        <f>'Concentration Limits'!$J$56</f>
        <v/>
      </c>
      <c r="FH28" s="1053">
        <f>'Concentration Limits'!$J$57</f>
        <v/>
      </c>
      <c r="FI28" s="1053">
        <f>SUMIF($B:$B,$B28,$FD:$FD)</f>
        <v/>
      </c>
      <c r="FJ28" s="1053">
        <f>IF(MATCH($B28,$B:$B,0)=ROW(),$FI28,0)</f>
        <v/>
      </c>
      <c r="FK28" s="1053">
        <f>INDEX(FL$8:FL$60,MATCH(B28,B$8:B$60,0))</f>
        <v/>
      </c>
      <c r="FL28" s="1053">
        <f>IF(FJ28&gt;0,RANK(FJ28,$FJ$9:$FJ$60)+COUNTIF($FJ$9:FJ28,FJ28)-1,0)</f>
        <v/>
      </c>
      <c r="FM28" s="1052">
        <f>IF(FK28=1,IF(FI28&gt;FE28,(FI28-FE28)*(V28/SUMIF($B:$B,B28,$FD:$FD)),0),0)</f>
        <v/>
      </c>
      <c r="FN28" s="1052">
        <f>IF(FK28=2,IF(FI28&gt;FF28,(FI28-FF28)*(V28/SUMIF($B:$B,B28,$FD:$FD)),0),0)</f>
        <v/>
      </c>
      <c r="FO28" s="1052">
        <f>IF(FK28=3,IF(FI28&gt;FG28,(FI28-FG28)*(V28/SUMIF($B:$B,B28,$FD:$FD)),0),0)</f>
        <v/>
      </c>
      <c r="FP28" s="1053">
        <f>IF(FK28&gt;0,IF(FI28&gt;FH28,(FI28-FH28)*(FD28/(SUMIF($B:$B,$B28,$FD:$FD))),0),0)</f>
        <v/>
      </c>
      <c r="FQ28" s="1053">
        <f>MAX(0,FD28-FM28-FN28-FO28-FP28)</f>
        <v/>
      </c>
      <c r="FR28" s="1053">
        <f>'Concentration Limits'!$J$58</f>
        <v/>
      </c>
      <c r="FS28" s="1053">
        <f>SUMIF($BR:$BR,$BR28,FQ:FQ)</f>
        <v/>
      </c>
      <c r="FT28" s="1053">
        <f>VLOOKUP(BR28,'Concentration Limits'!$E$81:$H$153,4,FALSE)</f>
        <v/>
      </c>
      <c r="FU28" s="1053">
        <f>IF(FT28=1,MAX(0,(FS28-FR28)*(FQ28/SUMIF($BR:$BR,BR28,FQ:FQ))),0)</f>
        <v/>
      </c>
      <c r="FV28" s="1053">
        <f>MAX(0,FQ28-FU28)</f>
        <v/>
      </c>
      <c r="FW28" s="1053">
        <f>'Concentration Limits'!$J$59</f>
        <v/>
      </c>
      <c r="FX28" s="1053">
        <f>SUMIF($BR:$BR,$BR28,FV:FV)</f>
        <v/>
      </c>
      <c r="FY28" s="1053">
        <f>VLOOKUP(BR28,'Concentration Limits'!$E$81:$H$153,4,FALSE)</f>
        <v/>
      </c>
      <c r="FZ28" s="1053">
        <f>MAX(0,IF(FY28=2,(FX28-FW28)*(FV28/SUMIF($BR:$BR,BR28,FV:FV)),0))</f>
        <v/>
      </c>
      <c r="GA28" s="1053">
        <f>MAX(0,FV28-FZ28)</f>
        <v/>
      </c>
      <c r="GB28" s="1053">
        <f>'Concentration Limits'!$J$61</f>
        <v/>
      </c>
      <c r="GC28" s="1053">
        <f>SUMIF($BR:$BR,$BR28,GA:GA)</f>
        <v/>
      </c>
      <c r="GD28" s="1051">
        <f>VLOOKUP(BR28,'Concentration Limits'!$E$81:$H$153,4,FALSE)</f>
        <v/>
      </c>
      <c r="GE28" s="1053">
        <f>IF(GA28=0,0,MAX(0,IF(GD28&lt;3,0,(GC28-GB28)*($GA28/SUMIF($BR:$BR,BR28,GA:GA)))))</f>
        <v/>
      </c>
      <c r="GF28" s="1053">
        <f>MAX(0,GA28-GE28)</f>
        <v/>
      </c>
      <c r="GG28" s="1053">
        <f>'Concentration Limits'!$J$64</f>
        <v/>
      </c>
      <c r="GH28" s="1053">
        <f>IF(BY28="Yes",SUMIF(BY:BY,BY28,GF:GF),0)</f>
        <v/>
      </c>
      <c r="GI28" s="1053">
        <f>IFERROR(MAX(0,(GH28-GG28)*(GF28/SUMIF($T:$T,T28,GF:GF ))),0)</f>
        <v/>
      </c>
      <c r="GJ28" s="1053">
        <f>MAX(0,GF28-GI28)</f>
        <v/>
      </c>
      <c r="GK28" s="1053">
        <f>'Concentration Limits'!$J$67</f>
        <v/>
      </c>
      <c r="GL28" s="1051">
        <f>IF(OR(BV28="Yes",OR(ISNUMBER(SEARCH("Travel",BR28)),ISNUMBER(SEARCH("Energy",BR28)),ISNUMBER(SEARCH("Leisure",BR28)),ISNUMBER(SEARCH("hotel",BR28)))),"Yes","No")</f>
        <v/>
      </c>
      <c r="GM28" s="1053">
        <f>IF(GL28="Yes",SUMIF(GL:GL,"Yes",GJ:GJ),0)</f>
        <v/>
      </c>
      <c r="GN28" s="1053">
        <f>IF(GM28&gt;GK28,(GM28-GK28)*(GJ28/SUMIF(GL:GL,"Yes",GJ:GJ)),0)</f>
        <v/>
      </c>
      <c r="GO28" s="1053">
        <f>MAX(0,GJ28-GN28)</f>
        <v/>
      </c>
      <c r="GP28" s="1053">
        <f>'Concentration Limits'!$J$68</f>
        <v/>
      </c>
      <c r="GQ28" s="1051">
        <f>IF(BU28="Yes","Yes", "No")</f>
        <v/>
      </c>
      <c r="GR28" s="1053">
        <f>IF(GQ28="Yes",SUMIF(GQ:GQ,"Yes",GO:GO),0)</f>
        <v/>
      </c>
      <c r="GS28" s="1053">
        <f>IF(GR28&gt;GP28,(GR28-GP28)*(GO28/SUMIF(GQ:GQ,"Yes",GO:GO)),0)</f>
        <v/>
      </c>
      <c r="GT28" s="1053">
        <f>MAX(0,GO28-GS28)</f>
        <v/>
      </c>
      <c r="GU28" s="1051">
        <f>'Concentration Limits'!$J$69</f>
        <v/>
      </c>
      <c r="GV28" s="1051">
        <f>IF(BW28="Yes", "Yes", "No")</f>
        <v/>
      </c>
      <c r="GW28" s="1051">
        <f>IF(GV28="Yes",SUMIF(GV:GV,"Yes",GT:GT),0)</f>
        <v/>
      </c>
      <c r="GX28" s="1051">
        <f>IF(GW28&gt;GU28,(GW28-GU28)*(GT28/SUMIF(GV:GV,"Yes",GT:GT)),0)</f>
        <v/>
      </c>
      <c r="GY28" s="1051">
        <f>MAX(0,GT28-GX28)</f>
        <v/>
      </c>
      <c r="GZ28" s="1051">
        <f>'Concentration Limits'!$J$70</f>
        <v/>
      </c>
      <c r="HA28" s="1051">
        <f>IF(BX28="Yes", "Yes", "No")</f>
        <v/>
      </c>
      <c r="HB28" s="1051">
        <f>IF(HA28="Yes",SUMIF(HA:HA,"Yes",GY:GY),0)</f>
        <v/>
      </c>
      <c r="HC28" s="1051">
        <f>IF(HB28&gt;GZ28,(HB28-GZ28)*(GY28/SUMIF(HA:HA,"Yes",GY:GY)),0)</f>
        <v/>
      </c>
      <c r="HD28" s="1051">
        <f>MAX(0,GY28-HC28)</f>
        <v/>
      </c>
      <c r="HE28" s="1053">
        <f>IF(AQ28=0,0,HD28*AQ28/(AQ28+AR28))</f>
        <v/>
      </c>
      <c r="HF28" s="1053">
        <f>IF(AR28=0,0,HD28*AR28/(AQ28+AR28))</f>
        <v/>
      </c>
      <c r="HG28" s="1053">
        <f>IF(AW28=0,0,HD28*AW28/(AW28+AX28))</f>
        <v/>
      </c>
      <c r="HH28" s="1053">
        <f>IF(AX28=0,0,HD28*AX28/(AX28+AW28))</f>
        <v/>
      </c>
      <c r="HI28" s="1053">
        <f>IF(BE28=0,0,#REF!*BE28/(BE28+BG28))</f>
        <v/>
      </c>
      <c r="HJ28" s="1053">
        <f>IF(BG28=0,0,#REF!*BG28/(BG28+BE28))</f>
        <v/>
      </c>
      <c r="HK28" s="1054">
        <f>IF(BF28=0,0,#REF!*BF28/(BF28+BH28))</f>
        <v/>
      </c>
      <c r="HL28" s="1053">
        <f>IF(BH28=0,0,#REF!*BH28/(BH28+BF28))</f>
        <v/>
      </c>
      <c r="HM28" s="1053">
        <f>IF(D28="Second Lien",HD28,0)</f>
        <v/>
      </c>
      <c r="HN28" s="1053">
        <f>SUM(HE28:HM28)=HD28</f>
        <v/>
      </c>
    </row>
    <row r="29" ht="12.75" customFormat="1" customHeight="1" s="469">
      <c r="A29" s="55">
        <f>A28+1</f>
        <v/>
      </c>
      <c r="B29" s="437">
        <f>INDEX('Loan Tape - Settled'!$B$4:$AP$55,MATCH($A29,'Loan Tape - Settled'!$E$4:$E$55,0),MATCH("Obligor Name",'Loan Tape - Settled'!$B$4:$AM$4,0))</f>
        <v/>
      </c>
      <c r="C29" s="437">
        <f>INDEX('Loan Tape - Settled'!$B$4:$AP$55,MATCH($A29,'Loan Tape - Settled'!$E$4:$E$55,0),MATCH("Security",'Loan Tape - Settled'!$B$4:$AM$4,0))</f>
        <v/>
      </c>
      <c r="D29" s="438">
        <f>INDEX('Loan Tape - Settled'!$B$4:$AP$55,MATCH($A29,'Loan Tape - Settled'!$E$4:$E$55,0),MATCH("Loan Type",'Loan Tape - Settled'!$B$4:$AM$4,0))</f>
        <v/>
      </c>
      <c r="E29" s="439">
        <f>IF(ISERROR(MATCH(D29,AGENT!$A$4:$A$10,0))=FALSE, TRUE)</f>
        <v/>
      </c>
      <c r="F29" s="439">
        <f>IF(AND(BZ29="no",CA29="no"),TRUE)</f>
        <v/>
      </c>
      <c r="G29" s="439">
        <f>IF(D29&lt;&gt;"Second Lien",TRUE, IF(CY29&gt;=AGENT!$B$4,TRUE))</f>
        <v/>
      </c>
      <c r="H29" s="439">
        <f>IF(DE29&lt;=AGENT!$D$4,TRUE)</f>
        <v/>
      </c>
      <c r="I29" s="439">
        <f>IF(VLOOKUP(CONCATENATE($A$5,A29),'Loan Tape - Settled'!$A$5:$Q$55,17,FALSE)&gt;=AGENT!$E$4,TRUE)</f>
        <v/>
      </c>
      <c r="J29" s="439">
        <f>IF(INDEX('Loan Tape - Settled'!$B$4:$AP$55,MATCH($A29,'Loan Tape - Settled'!$E$4:$E$55,0),MATCH("Loan Denomination",'Loan Tape - Settled'!$B$4:$AP$4,0))="USD", TRUE)</f>
        <v/>
      </c>
      <c r="K29" s="439">
        <f>IF(INDEX('Loan Tape - Settled'!$B$4:$AP$55,MATCH($A29,'Loan Tape - Settled'!$E$4:$E$55,0),MATCH("Exposure Country",'Loan Tape - Settled'!$B$4:$AP$4,0))="United States", TRUE)</f>
        <v/>
      </c>
      <c r="L29" s="439">
        <f>IF(BS29="NO",TRUE)</f>
        <v/>
      </c>
      <c r="M29" s="439">
        <f>IF(((BM29-BL29)/365)&lt;=AGENT!$F$4,TRUE)</f>
        <v/>
      </c>
      <c r="N29" s="439">
        <f>IF(DX29="Yes",FALSE,TRUE)</f>
        <v/>
      </c>
      <c r="O29" s="493" t="n"/>
      <c r="P29" s="764">
        <f>IF($B29="","",IF(OR(O29=TRUE,COUNTIFS($E29:$N29,TRUE)=10),"Yes","No"))</f>
        <v/>
      </c>
      <c r="Q29" s="730" t="inlineStr">
        <is>
          <t>Yes</t>
        </is>
      </c>
      <c r="R29" s="440">
        <f>IF(P29="Yes",B29,"N/A")</f>
        <v/>
      </c>
      <c r="S29" s="440" t="n"/>
      <c r="T29" s="441">
        <f t="array" ref="T29">_xlfn.IFS(D29="Second Lien",D29,D29="First Lien",CONCATENATE(D29," ",EI29),D29="FILO",CONCATENATE(D29," ",EJ29))</f>
        <v/>
      </c>
      <c r="U29" s="442">
        <f>VLOOKUP(T29,'Concentration Limits'!D:G,4,FALSE)</f>
        <v/>
      </c>
      <c r="V29" s="1020">
        <f>AQ29+AW29+BI29</f>
        <v/>
      </c>
      <c r="W29" s="1021">
        <f>(SUMIFS('Loan Tape - Settled'!$AR$4:$AR$55,'Loan Tape - Settled'!$E$4:$E$55,$A29,'Loan Tape - Settled'!$C$4:$C$55,$A$5))</f>
        <v/>
      </c>
      <c r="X29" s="1022" t="n">
        <v>1</v>
      </c>
      <c r="Y29" s="1023">
        <f>W29*X29</f>
        <v/>
      </c>
      <c r="Z29" s="1022">
        <f>(SUMIFS('Loan Tape - Settled'!$AQ$4:$AQ$55,'Loan Tape - Settled'!$E$4:$E$55,$A29,'Loan Tape - Settled'!$C$4:$C$55,$A$5))</f>
        <v/>
      </c>
      <c r="AA29" s="1023">
        <f>Z29*X29</f>
        <v/>
      </c>
      <c r="AB29" s="1023">
        <f>AA29-Y29</f>
        <v/>
      </c>
      <c r="AC29" s="490">
        <f>VLOOKUP(CONCATENATE($A$5,A29),'Loan Tape - Settled'!$A$5:$Q$55,17,FALSE)</f>
        <v/>
      </c>
      <c r="AD29" s="445" t="n"/>
      <c r="AE29" s="446">
        <f>INDEX('Loan Tape - Settled'!$B$4:$AP$55,MATCH($A29,'Loan Tape - Settled'!$E$4:$E$55,0),MATCH("FMV",'Loan Tape - Settled'!$B$4:$AM$4,0))</f>
        <v/>
      </c>
      <c r="AF29" s="446">
        <f t="array" ref="AF29">_xlfn.IFS(D29="First Lien",
_xlfn.IFS(AND(DL29&gt;0,DL29&lt;Tier_1_1L),Tier_1_ApplicableValue,
AND(DL29&gt;=Tier_1_1L,DL29&lt;Tier_2_1L),((Tier_1_1L/DL29)*Tier_1_ApplicableValue)+((DL29-Tier_1_1L)/DL29*Tier_2_ApplicableValue),
AND(DL29&gt;=Tier_2_1L, DL29&lt;Tier_3_1L),((Tier_1_1L/DL29)*Tier_1_ApplicableValue+(Tier_2_1L-Tier_1_1L)/DL29*Tier_2_ApplicableValue+(DL29-Tier_2_1L)/DL29*Tier_3_ApplicableValue),
AND(DL29&gt;=Tier_3_1L, DL29&lt;=Tier_totalzerovalue),((Tier_1_1L/DL29)*Tier_1_ApplicableValue+(Tier_2_1L-Tier_1_1L)/DL29*Tier_2_ApplicableValue+(Tier_3_1L-Tier_2_1L)/DL29*Tier_3_ApplicableValue+(DL29-Tier_partialzerovalue)/DL29*0%),
DL29&gt;Tier_totalzerovalue,0%),
OR(D29="Second Lien", D29="FILO"),
_xlfn.IFS(AND(DM29&gt;0,DM29&lt;Tier_1_2L),Tier_1_ApplicableValue,
AND(DM29&gt;=Tier_1_2L,DM29&lt;Tier_2_2L),((Tier_1_2L/DM29)*Tier_1_ApplicableValue)+((DM29-Tier_1_2L)/DM29*Tier_2_ApplicableValue),
AND(DM29&gt;=Tier_2_2L, DM29&lt;Tier_3_2L),((Tier_1_2L/DM29)*Tier_1_ApplicableValue+(Tier_2_2L-Tier_1_2L)/DM29*Tier_2_ApplicableValue+(DM29-Tier_2_2L)/DM29*Tier_3_ApplicableValue),
AND(DM29&gt;=Tier_3_2L, DM29&lt;=Tier_totalzerovalue),((Tier_1_2L/DM29)*Tier_1_ApplicableValue+(Tier_2_2L-Tier_1_2L)/DM29*Tier_2_ApplicableValue+(Tier_3_2L-Tier_2_2L)/DM29*Tier_3_ApplicableValue+(DM29-Tier_partialzerovalue)/DM29*0%),
DM29&gt;Tier_totalzerovalue,0%))</f>
        <v/>
      </c>
      <c r="AG29" s="447">
        <f>IF(COUNTIFS(VAE!$C$5:$C$96,B29,VAE!$G$5:$G$96,"&lt;="&amp;Availability!$F$8)&gt;=1,"Yes","-")</f>
        <v/>
      </c>
      <c r="AH29" s="447">
        <f t="array" ref="AH29">IFERROR(IF(AG29="Yes",INDEX(VAE!$D$5:$D$96,MATCH(B29&amp;AJ29,VAE!$C$5:$C$96&amp;VAE!$G$5:$G$96,0)),"-"),0)</f>
        <v/>
      </c>
      <c r="AI29" s="447">
        <f t="array" ref="AI29">IFERROR(IF(AG29="Yes",INDEX(VAE!$F$5:$F$96,MATCH(B29&amp;AJ29,VAE!$C$5:$C$96&amp;VAE!$G$5:$G$96,0)),"-"),0)</f>
        <v/>
      </c>
      <c r="AJ29" s="448">
        <f>IF(AG29="-","-",_xlfn.MAXIFS(VAE!$G$5:$G$96,VAE!$C$5:$C$96,$B29))</f>
        <v/>
      </c>
      <c r="AK29" s="449">
        <f t="array" ref="AK29">IFERROR(IF(AG29="Yes",INDEX(VAE!$P$5:$P$96,MATCH(B29&amp;AJ29,VAE!$C$5:$C$96&amp;VAE!$G$5:$G$96,0)),"-"),0)</f>
        <v/>
      </c>
      <c r="AL29" s="446">
        <f>IF($A29="","",IF(P29="No",0,(IF(AG29="Yes",MIN(AE29,AK29,AF29),MIN(AE29,AF29)))))</f>
        <v/>
      </c>
      <c r="AM29" s="1020" t="n"/>
      <c r="AN29" s="1020" t="n"/>
      <c r="AO29" s="1020">
        <f>IF(AND(D29="First Lien",P29="No"),0,IF(D29&lt;&gt;"First Lien",0,Y29))</f>
        <v/>
      </c>
      <c r="AP29" s="1020">
        <f>IF(AND(D29="First Lien",P29="No"),W29,0)</f>
        <v/>
      </c>
      <c r="AQ29" s="1020">
        <f>AL29*AO29</f>
        <v/>
      </c>
      <c r="AR29" s="1020" t="n"/>
      <c r="AS29" s="1020" t="n"/>
      <c r="AT29" s="1020" t="n"/>
      <c r="AU29" s="1020">
        <f>IF(AND(D29="FILO",P29="No"),0,IF(D29&lt;&gt;"FILO",0,Y29))</f>
        <v/>
      </c>
      <c r="AV29" s="1020">
        <f>IF(AND(D29="FILO",P29="No"),W29,0)</f>
        <v/>
      </c>
      <c r="AW29" s="1020">
        <f>AU29*AL29</f>
        <v/>
      </c>
      <c r="AX29" s="1020" t="n"/>
      <c r="AY29" s="1020" t="n"/>
      <c r="AZ29" s="1020" t="n"/>
      <c r="BA29" s="1020">
        <f>IF(AND(OR(D29="First Lien",D29="FILO"),P29="No"),0,IF(OR(D29="First Lien",D29="FILO"),0,(Y29)))</f>
        <v/>
      </c>
      <c r="BB29" s="1020" t="n"/>
      <c r="BC29" s="1020" t="n"/>
      <c r="BD29" s="1020">
        <f>IF(AND(D29="Second Lien",P29="No"),W29,0)</f>
        <v/>
      </c>
      <c r="BE29" s="1020" t="n"/>
      <c r="BF29" s="1020" t="n"/>
      <c r="BG29" s="1020" t="n"/>
      <c r="BH29" s="1020" t="n"/>
      <c r="BI29" s="1020">
        <f>IF(D29="Second Lien",BA29*AL29,0)</f>
        <v/>
      </c>
      <c r="BJ29" s="1020">
        <f>SUM(AM29:AP29)+SUM(AZ29:BD29)+SUM(AS29:AV29)=Y29</f>
        <v/>
      </c>
      <c r="BK29" s="1026">
        <f>INDEX('Loan Tape - Settled'!$B$4:$AP$55,MATCH($A29,'Loan Tape - Settled'!$E$4:$E$55,0),MATCH("Inception Date",'Loan Tape - Settled'!$B$4:$AP$4,0))</f>
        <v/>
      </c>
      <c r="BL29" s="1026">
        <f>INDEX('Loan Tape - Settled'!$B$4:$AP$55,MATCH($A29,'Loan Tape - Settled'!$E$4:$E$55,0),MATCH("Inclusion Date",'Loan Tape - Settled'!$B$4:$AP$4,0))</f>
        <v/>
      </c>
      <c r="BM29" s="1026">
        <f>INDEX('Loan Tape - Settled'!$B$4:$AP$55,MATCH($A29,'Loan Tape - Settled'!$E$4:$E$55,0),MATCH("Maturity Date",'Loan Tape - Settled'!$B$4:$AP$4,0))</f>
        <v/>
      </c>
      <c r="BN29" s="556" t="n"/>
      <c r="BO29" s="556" t="n"/>
      <c r="BP29" s="1055" t="n"/>
      <c r="BQ29" s="556" t="n"/>
      <c r="BR29" s="554">
        <f>INDEX('Loan Tape - Settled'!$B$4:$AP$55,MATCH($A29,'Loan Tape - Settled'!$E$4:$E$55,0),MATCH("Industry Classification",'Loan Tape - Settled'!$B$4:$AP$4,0))</f>
        <v/>
      </c>
      <c r="BS29" s="556">
        <f>IF(INDEX('Loan Tape - Settled'!$B$4:$AP$55,MATCH($A29,'Loan Tape - Settled'!$E$4:$E$55,0),MATCH("Covenant Lite",'Loan Tape - Settled'!$B$4:$AP$4,0))=-1, "Yes", "No")</f>
        <v/>
      </c>
      <c r="BT29" s="1056">
        <f>INDEX('Loan Tape - Settled'!$B$4:$AP$55,MATCH($A29,'Loan Tape - Settled'!$E$4:$E$55,0),MATCH("Spread / Coupon (%)",'Loan Tape - Settled'!$B$4:$AP$4,0))</f>
        <v/>
      </c>
      <c r="BU29" s="556">
        <f>IF(INDEX('Loan Tape - Settled'!$B$4:$AP$55,MATCH($A29,'Loan Tape - Settled'!$E$4:$E$55,0),MATCH("Security Type",'Loan Tape - Settled'!$B$4:$AP$4,0))="Delayed Draw Term Loan", "Yes", "No")</f>
        <v/>
      </c>
      <c r="BV29" s="557" t="inlineStr">
        <is>
          <t>No</t>
        </is>
      </c>
      <c r="BW29" s="557" t="inlineStr">
        <is>
          <t>No</t>
        </is>
      </c>
      <c r="BX29" s="548" t="inlineStr">
        <is>
          <t>No</t>
        </is>
      </c>
      <c r="BY29" s="556">
        <f>IF(INDEX('Loan Tape - Settled'!$B$4:$AP$55,MATCH($A29,'Loan Tape - Settled'!$E$4:$E$55,0),MATCH("Fixed/Floating",'Loan Tape - Settled'!$B$4:$AP$4,0))="Fixed", "Yes", "No")</f>
        <v/>
      </c>
      <c r="BZ29" s="557" t="inlineStr">
        <is>
          <t>No</t>
        </is>
      </c>
      <c r="CA29" s="557" t="inlineStr">
        <is>
          <t>No</t>
        </is>
      </c>
      <c r="CB29" s="556">
        <f>IF(INDEX('Loan Tape - Settled'!$B$4:$AP$55,MATCH($A29,'Loan Tape - Settled'!$E$4:$E$55,0),MATCH("Loan Denomination",'Loan Tape - Settled'!$B$4:$AP$4,0))="CAD", "Yes", "No")</f>
        <v/>
      </c>
      <c r="CC29" s="556">
        <f>INDEX('Loan Tape - Settled'!$B$4:$AP$55,MATCH($A29,'Loan Tape - Settled'!$E$4:$E$55,0),MATCH("Payment Frequency",'Loan Tape - Settled'!$B$4:$AP$4,0))</f>
        <v/>
      </c>
      <c r="CD29" s="557" t="inlineStr">
        <is>
          <t>No</t>
        </is>
      </c>
      <c r="CE29" s="556">
        <f>INDEX('Loan Tape - Settled'!$B$4:$AP$55,MATCH($A29,'Loan Tape - Settled'!$E$4:$E$55,0),MATCH("S&amp;P Loan Rating (if applicable)",'Loan Tape - Settled'!$B$4:$AP$4,0))</f>
        <v/>
      </c>
      <c r="CF29" s="556">
        <f>INDEX('Loan Tape - Settled'!$B$4:$AP$55,MATCH($A29,'Loan Tape - Settled'!$E$4:$E$55,0),MATCH("Moody's Loan Rating (if applicable)",'Loan Tape - Settled'!$B$4:$AP$4,0))</f>
        <v/>
      </c>
      <c r="CG29" s="556" t="n"/>
      <c r="CH29" s="556" t="n"/>
      <c r="CI29" s="1057" t="n"/>
      <c r="CJ29" s="1030">
        <f>INDEX('Loan Tape - Settled'!$B$4:$BF$55,MATCH($A29,'Loan Tape - Settled'!$E$4:$E$55,0),MATCH("Last Financial Received",'Loan Tape - Settled'!$B$4:$BF$4,0))</f>
        <v/>
      </c>
      <c r="CK29" s="559">
        <f>INDEX('Loan Tape - Settled'!$B$4:$BJ$55,MATCH($A29,'Loan Tape - Settled'!$E$4:$E$55,0),MATCH("Initial Adjusted TTM EBITDA",'Loan Tape - Settled'!$B$4:$BJ$4,0))</f>
        <v/>
      </c>
      <c r="CL29" s="559">
        <f>INDEX('Loan Tape - Settled'!$B$4:$BJ$55,MATCH($A29,'Loan Tape - Settled'!$E$4:$E$55,0),MATCH("Initial TTM Non-adjusted EBITDA",'Loan Tape - Settled'!$B$4:$BJ$4,0))</f>
        <v/>
      </c>
      <c r="CM29" s="1031" t="n"/>
      <c r="CN29" s="451" t="n"/>
      <c r="CO29" s="451" t="n"/>
      <c r="CP29" s="1032" t="n"/>
      <c r="CQ29" s="1033" t="inlineStr">
        <is>
          <t>N</t>
        </is>
      </c>
      <c r="CR29" s="1032" t="n"/>
      <c r="CS29" s="454">
        <f>CK29-CP29+CR29</f>
        <v/>
      </c>
      <c r="CT29" s="455">
        <f>1-CS29/CK29</f>
        <v/>
      </c>
      <c r="CU29" s="559">
        <f>INDEX('Loan Tape - Settled'!$B$4:$BJ$55,MATCH($A29,'Loan Tape - Settled'!$E$4:$E$55,0),MATCH("Current TTM Non-adjusted EBITDA",'Loan Tape - Settled'!$B$4:$BJ$4,0))</f>
        <v/>
      </c>
      <c r="CV29" s="456">
        <f>CT29</f>
        <v/>
      </c>
      <c r="CW29" s="1034" t="inlineStr">
        <is>
          <t>N</t>
        </is>
      </c>
      <c r="CX29" s="1035" t="n"/>
      <c r="CY29" s="1036">
        <f>IF(CW29="N",(1-CV29)*CU29,(1-CX29)*CU29)</f>
        <v/>
      </c>
      <c r="CZ29" s="1037" t="n"/>
      <c r="DA29" s="1038" t="n"/>
      <c r="DB29" s="1039" t="n"/>
      <c r="DC29" s="1040" t="n"/>
      <c r="DD29" s="1040">
        <f>INDEX('Loan Tape - Settled'!$B$4:$BJ$55,MATCH($A29,'Loan Tape - Settled'!$E$4:$E$55,0),MATCH("Initial Senior Net Leverage Senior",'Loan Tape - Settled'!$B$4:$BJ$4,0))</f>
        <v/>
      </c>
      <c r="DE29" s="1041">
        <f>INDEX('Loan Tape - Settled'!$B$4:$BJ$55,MATCH($A29,'Loan Tape - Settled'!$E$4:$E$55,0),MATCH("Initial Total Net Leverage",'Loan Tape - Settled'!$B$4:$BJ$4,0))</f>
        <v/>
      </c>
      <c r="DF29" s="1037" t="n"/>
      <c r="DG29" s="1038" t="n"/>
      <c r="DH29" s="1039" t="n"/>
      <c r="DI29" s="1042">
        <f>INDEX('Loan Tape - Settled'!$B$4:$BJ$55,MATCH($A29,'Loan Tape - Settled'!$E$4:$E$55,0),MATCH("Net Attachment",'Loan Tape - Settled'!$B$4:$BJ$4,0))</f>
        <v/>
      </c>
      <c r="DJ29" s="566">
        <f t="array" ref="DJ29">IF(AG29="Yes",INDEX(VAE!$M$5:$M$53,MATCH($B29&amp;$AJ29,VAE!$C$5:$C$53&amp;VAE!$G$5:$G$53,0)),DD29)</f>
        <v/>
      </c>
      <c r="DK29" s="697">
        <f t="array" ref="DK29">IF(AG29="Yes",INDEX(VAE!$N$5:$N$53,MATCH($B29&amp;$AJ29,VAE!$C$5:$C$53&amp;VAE!$G$5:$G$53,0)),DE29)</f>
        <v/>
      </c>
      <c r="DL29" s="1058">
        <f>INDEX('Loan Tape - Settled'!$B$4:$BJ$55,MATCH($A29,'Loan Tape - Settled'!$E$4:$E$55,0),MATCH("Current Senior Net Leverage Senior",'Loan Tape - Settled'!$B$4:$BJ$4,0))</f>
        <v/>
      </c>
      <c r="DM29" s="1059">
        <f>INDEX('Loan Tape - Settled'!$B$4:$BJ$55,MATCH($A29,'Loan Tape - Settled'!$E$4:$E$55,0),MATCH("Current Total Net Leverage",'Loan Tape - Settled'!$B$4:$BJ$4,0))</f>
        <v/>
      </c>
      <c r="DN29" s="1044" t="n"/>
      <c r="DO29" s="1045">
        <f>INDEX('Loan Tape - Settled'!$B$4:$BJ$55,MATCH($A29,'Loan Tape - Settled'!$E$4:$E$55,0),MATCH("Initial Interest Coverage",'Loan Tape - Settled'!$B$4:$BJ$4,0))</f>
        <v/>
      </c>
      <c r="DP29" s="565">
        <f t="array" ref="DP29">IF(AG29="Yes",INDEX(VAE!$O$5:$O$53,MATCH($B29&amp;$AJ29,VAE!$C$5:$C$53&amp;VAE!$G$5:$G$53,0)),DO29)</f>
        <v/>
      </c>
      <c r="DQ29" s="1046">
        <f>INDEX('Loan Tape - Settled'!$B$4:$BJ$55,MATCH($A29,'Loan Tape - Settled'!$E$4:$E$55,0),MATCH("Current Interest Coverage",'Loan Tape - Settled'!$B$4:$BJ$4,0))</f>
        <v/>
      </c>
      <c r="DR29" s="462">
        <f>IF(OR(DU29="Yes",DU29="N/A",DV29="Yes",DV29="N/A",DW29="Yes",DX29="Yes",DY29="Yes",EF29="Yes",EG29="Yes",EH29="Yes"),"Yes","No")</f>
        <v/>
      </c>
      <c r="DS29" s="1047">
        <f>IF(AG29="Yes",DATEDIF(AJ29,Availability!$F$8,"m"),"")</f>
        <v/>
      </c>
      <c r="DT29" s="1047">
        <f>IF(DS29="","No",IF(DS29&gt;12,"Yes","No"))</f>
        <v/>
      </c>
      <c r="DU29" s="695">
        <f>IFERROR(IF(AND(DQ29/DP29&lt;0.75,DQ29&lt;1.5),"Yes","No"),"N/A")</f>
        <v/>
      </c>
      <c r="DV29" s="696">
        <f>IFERROR(IF(OR(D29="First Lien",D29="FILO"),IF(AND((DL29-DJ29)&gt;0.75,DL29&gt;4),"Yes","No"),"No"),"N/A")</f>
        <v/>
      </c>
      <c r="DW29" s="696">
        <f t="array" ref="DW29">_xlfn.IFS(D29&lt;&gt;"Second Lien","No",D29="Second Lien",IF(AND((DM29-DK29)&gt;0.5,DM29&gt;4.5),"Yes","No"))</f>
        <v/>
      </c>
      <c r="DX29" s="735" t="inlineStr">
        <is>
          <t>Yes</t>
        </is>
      </c>
      <c r="DY29" s="735" t="inlineStr">
        <is>
          <t>No</t>
        </is>
      </c>
      <c r="DZ29" s="1048" t="inlineStr">
        <is>
          <t>No</t>
        </is>
      </c>
      <c r="EA29" s="1048" t="inlineStr">
        <is>
          <t>No</t>
        </is>
      </c>
      <c r="EB29" s="1048" t="inlineStr">
        <is>
          <t>No</t>
        </is>
      </c>
      <c r="EC29" s="1048" t="inlineStr">
        <is>
          <t>No</t>
        </is>
      </c>
      <c r="ED29" s="1048" t="inlineStr">
        <is>
          <t>No</t>
        </is>
      </c>
      <c r="EE29" s="1048" t="inlineStr">
        <is>
          <t>No</t>
        </is>
      </c>
      <c r="EF29" s="442">
        <f>IF(OR(DZ29="Yes",EA29="Yes",EB29="Yes",EC29="Yes",ED29="Yes",EE29="Yes"),"Yes","No")</f>
        <v/>
      </c>
      <c r="EG29" s="1048" t="inlineStr">
        <is>
          <t>No</t>
        </is>
      </c>
      <c r="EH29" s="1049" t="inlineStr">
        <is>
          <t>No</t>
        </is>
      </c>
      <c r="EI29" s="1050">
        <f t="array" ref="EI29">IF(D29="First Lien",_xlfn.IFS(CY29&gt;AGENT!$B$23, "&gt; $20MM",CY29&lt;=AGENT!$C$25, "&lt;= $10MM",AND(CY29&lt;=AGENT!$C$24,CY29&gt;AGENT!$B$24),"&lt;= $20MM"), "N/A")</f>
        <v/>
      </c>
      <c r="EJ29" s="1050">
        <f t="array" ref="EJ29">IF(D29="FILO",_xlfn.IFS(DI29&gt;AGENT!$B$29, "&gt; 1.25x",DI29&lt;AGENT!$C$27, "&lt; 0.75x",AND(DI29&lt;=AGENT!$C$28,DI29&gt;=AGENT!$B$28),"&lt;= 1.25x"), "N/A")</f>
        <v/>
      </c>
      <c r="EK29" s="1051">
        <f>V29</f>
        <v/>
      </c>
      <c r="EL29" s="1051">
        <f>'Concentration Limits'!$J$49</f>
        <v/>
      </c>
      <c r="EM29" s="1051">
        <f>IF(OR(D29="Second Lien",AND(D29="FILO",DI29&gt;AGENT!$C$57)), "Yes", "No")</f>
        <v/>
      </c>
      <c r="EN29" s="1051">
        <f>IF(EM29="Yes",SUMIF(EM:EM,"Yes",EK:EK),0)</f>
        <v/>
      </c>
      <c r="EO29" s="1051">
        <f>IF(EN29&gt;EL29,(EN29-EL29)*(EK29/SUMIF(EM:EM,"Yes",EK:EK)),0)</f>
        <v/>
      </c>
      <c r="EP29" s="1051">
        <f>MAX(0,EK29-EO29)</f>
        <v/>
      </c>
      <c r="EQ29" s="1051">
        <f>'Concentration Limits'!$J$50</f>
        <v/>
      </c>
      <c r="ER29" s="1051">
        <f>IF(D29="Second Lien",SUMIF(D:D,D29,EP:EP),0)</f>
        <v/>
      </c>
      <c r="ES29" s="1051">
        <f>MAX(0,(ER29-EQ29)*IFERROR((EP29/SUMIF($D:$D,D29,EP:EP )),0) )</f>
        <v/>
      </c>
      <c r="ET29" s="1051">
        <f>MAX(0,EP29-ES29)</f>
        <v/>
      </c>
      <c r="EU29" s="1051">
        <f>'Concentration Limits'!$J$51</f>
        <v/>
      </c>
      <c r="EV29" s="1051">
        <f>IF(OR(D29="Second Lien", AND(D29="FILO",DI29&gt;AGENT!$C$59)), "Yes", "No")</f>
        <v/>
      </c>
      <c r="EW29" s="1051">
        <f>IF(EV29="Yes",SUMIF(EV:EV,"Yes",ET:ET),0)</f>
        <v/>
      </c>
      <c r="EX29" s="1051">
        <f>IF(EW29&gt;EU29,(EW29-EU29)*(ET29/SUMIF(EV:EV,"Yes",ET:ET)),0)</f>
        <v/>
      </c>
      <c r="EY29" s="1051">
        <f>MAX(0,ET29-EX29)</f>
        <v/>
      </c>
      <c r="EZ29" s="1051">
        <f>'Concentration Limits'!$J$52</f>
        <v/>
      </c>
      <c r="FA29" s="1051">
        <f>IF(CY29&gt;'Concentration Limits'!$E$52, "No", "Yes")</f>
        <v/>
      </c>
      <c r="FB29" s="1051">
        <f>IF(FA29="Yes",SUMIF(FA:FA,"Yes",EY:EY),0)</f>
        <v/>
      </c>
      <c r="FC29" s="1051">
        <f>IF(FB29&gt;EZ29,(FB29-EZ29)*(EY29/SUMIF(FA:FA,"Yes",EY:EY)),0)</f>
        <v/>
      </c>
      <c r="FD29" s="1051">
        <f>MAX(0,EY29-FC29)</f>
        <v/>
      </c>
      <c r="FE29" s="1052">
        <f>'Concentration Limits'!$J$54</f>
        <v/>
      </c>
      <c r="FF29" s="1052">
        <f>'Concentration Limits'!$J$55</f>
        <v/>
      </c>
      <c r="FG29" s="1052">
        <f>'Concentration Limits'!$J$56</f>
        <v/>
      </c>
      <c r="FH29" s="1053">
        <f>'Concentration Limits'!$J$57</f>
        <v/>
      </c>
      <c r="FI29" s="1053">
        <f>SUMIF($B:$B,$B29,$FD:$FD)</f>
        <v/>
      </c>
      <c r="FJ29" s="1053">
        <f>IF(MATCH($B29,$B:$B,0)=ROW(),$FI29,0)</f>
        <v/>
      </c>
      <c r="FK29" s="1053">
        <f>INDEX(FL$8:FL$60,MATCH(B29,B$8:B$60,0))</f>
        <v/>
      </c>
      <c r="FL29" s="1053">
        <f>IF(FJ29&gt;0,RANK(FJ29,$FJ$9:$FJ$60)+COUNTIF($FJ$9:FJ29,FJ29)-1,0)</f>
        <v/>
      </c>
      <c r="FM29" s="1052">
        <f>IF(FK29=1,IF(FI29&gt;FE29,(FI29-FE29)*(V29/SUMIF($B:$B,B29,$FD:$FD)),0),0)</f>
        <v/>
      </c>
      <c r="FN29" s="1052">
        <f>IF(FK29=2,IF(FI29&gt;FF29,(FI29-FF29)*(V29/SUMIF($B:$B,B29,$FD:$FD)),0),0)</f>
        <v/>
      </c>
      <c r="FO29" s="1052">
        <f>IF(FK29=3,IF(FI29&gt;FG29,(FI29-FG29)*(V29/SUMIF($B:$B,B29,$FD:$FD)),0),0)</f>
        <v/>
      </c>
      <c r="FP29" s="1053">
        <f>IF(FK29&gt;0,IF(FI29&gt;FH29,(FI29-FH29)*(FD29/(SUMIF($B:$B,$B29,$FD:$FD))),0),0)</f>
        <v/>
      </c>
      <c r="FQ29" s="1053">
        <f>MAX(0,FD29-FM29-FN29-FO29-FP29)</f>
        <v/>
      </c>
      <c r="FR29" s="1053">
        <f>'Concentration Limits'!$J$58</f>
        <v/>
      </c>
      <c r="FS29" s="1053">
        <f>SUMIF($BR:$BR,$BR29,FQ:FQ)</f>
        <v/>
      </c>
      <c r="FT29" s="1053">
        <f>VLOOKUP(BR29,'Concentration Limits'!$E$81:$H$153,4,FALSE)</f>
        <v/>
      </c>
      <c r="FU29" s="1053">
        <f>IF(FT29=1,MAX(0,(FS29-FR29)*(FQ29/SUMIF($BR:$BR,BR29,FQ:FQ))),0)</f>
        <v/>
      </c>
      <c r="FV29" s="1053">
        <f>MAX(0,FQ29-FU29)</f>
        <v/>
      </c>
      <c r="FW29" s="1053">
        <f>'Concentration Limits'!$J$59</f>
        <v/>
      </c>
      <c r="FX29" s="1053">
        <f>SUMIF($BR:$BR,$BR29,FV:FV)</f>
        <v/>
      </c>
      <c r="FY29" s="1053">
        <f>VLOOKUP(BR29,'Concentration Limits'!$E$81:$H$153,4,FALSE)</f>
        <v/>
      </c>
      <c r="FZ29" s="1053">
        <f>MAX(0,IF(FY29=2,(FX29-FW29)*(FV29/SUMIF($BR:$BR,BR29,FV:FV)),0))</f>
        <v/>
      </c>
      <c r="GA29" s="1053">
        <f>MAX(0,FV29-FZ29)</f>
        <v/>
      </c>
      <c r="GB29" s="1053">
        <f>'Concentration Limits'!$J$61</f>
        <v/>
      </c>
      <c r="GC29" s="1053">
        <f>SUMIF($BR:$BR,$BR29,GA:GA)</f>
        <v/>
      </c>
      <c r="GD29" s="1051">
        <f>VLOOKUP(BR29,'Concentration Limits'!$E$81:$H$153,4,FALSE)</f>
        <v/>
      </c>
      <c r="GE29" s="1053">
        <f>IF(GA29=0,0,MAX(0,IF(GD29&lt;3,0,(GC29-GB29)*($GA29/SUMIF($BR:$BR,BR29,GA:GA)))))</f>
        <v/>
      </c>
      <c r="GF29" s="1053">
        <f>MAX(0,GA29-GE29)</f>
        <v/>
      </c>
      <c r="GG29" s="1053">
        <f>'Concentration Limits'!$J$64</f>
        <v/>
      </c>
      <c r="GH29" s="1053">
        <f>IF(BY29="Yes",SUMIF(BY:BY,BY29,GF:GF),0)</f>
        <v/>
      </c>
      <c r="GI29" s="1053">
        <f>IFERROR(MAX(0,(GH29-GG29)*(GF29/SUMIF($T:$T,T29,GF:GF ))),0)</f>
        <v/>
      </c>
      <c r="GJ29" s="1053">
        <f>MAX(0,GF29-GI29)</f>
        <v/>
      </c>
      <c r="GK29" s="1053">
        <f>'Concentration Limits'!$J$67</f>
        <v/>
      </c>
      <c r="GL29" s="1051">
        <f>IF(OR(BV29="Yes",OR(ISNUMBER(SEARCH("Travel",BR29)),ISNUMBER(SEARCH("Energy",BR29)),ISNUMBER(SEARCH("Leisure",BR29)),ISNUMBER(SEARCH("hotel",BR29)))),"Yes","No")</f>
        <v/>
      </c>
      <c r="GM29" s="1053">
        <f>IF(GL29="Yes",SUMIF(GL:GL,"Yes",GJ:GJ),0)</f>
        <v/>
      </c>
      <c r="GN29" s="1053">
        <f>IF(GM29&gt;GK29,(GM29-GK29)*(GJ29/SUMIF(GL:GL,"Yes",GJ:GJ)),0)</f>
        <v/>
      </c>
      <c r="GO29" s="1053">
        <f>MAX(0,GJ29-GN29)</f>
        <v/>
      </c>
      <c r="GP29" s="1053">
        <f>'Concentration Limits'!$J$68</f>
        <v/>
      </c>
      <c r="GQ29" s="1051">
        <f>IF(BU29="Yes","Yes", "No")</f>
        <v/>
      </c>
      <c r="GR29" s="1053">
        <f>IF(GQ29="Yes",SUMIF(GQ:GQ,"Yes",GO:GO),0)</f>
        <v/>
      </c>
      <c r="GS29" s="1053">
        <f>IF(GR29&gt;GP29,(GR29-GP29)*(GO29/SUMIF(GQ:GQ,"Yes",GO:GO)),0)</f>
        <v/>
      </c>
      <c r="GT29" s="1053">
        <f>MAX(0,GO29-GS29)</f>
        <v/>
      </c>
      <c r="GU29" s="1051">
        <f>'Concentration Limits'!$J$69</f>
        <v/>
      </c>
      <c r="GV29" s="1051">
        <f>IF(BW29="Yes", "Yes", "No")</f>
        <v/>
      </c>
      <c r="GW29" s="1051">
        <f>IF(GV29="Yes",SUMIF(GV:GV,"Yes",GT:GT),0)</f>
        <v/>
      </c>
      <c r="GX29" s="1051">
        <f>IF(GW29&gt;GU29,(GW29-GU29)*(GT29/SUMIF(GV:GV,"Yes",GT:GT)),0)</f>
        <v/>
      </c>
      <c r="GY29" s="1051">
        <f>MAX(0,GT29-GX29)</f>
        <v/>
      </c>
      <c r="GZ29" s="1051">
        <f>'Concentration Limits'!$J$70</f>
        <v/>
      </c>
      <c r="HA29" s="1051">
        <f>IF(BX29="Yes", "Yes", "No")</f>
        <v/>
      </c>
      <c r="HB29" s="1051">
        <f>IF(HA29="Yes",SUMIF(HA:HA,"Yes",GY:GY),0)</f>
        <v/>
      </c>
      <c r="HC29" s="1051">
        <f>IF(HB29&gt;GZ29,(HB29-GZ29)*(GY29/SUMIF(HA:HA,"Yes",GY:GY)),0)</f>
        <v/>
      </c>
      <c r="HD29" s="1051">
        <f>MAX(0,GY29-HC29)</f>
        <v/>
      </c>
      <c r="HE29" s="1053">
        <f>IF(AQ29=0,0,HD29*AQ29/(AQ29+AR29))</f>
        <v/>
      </c>
      <c r="HF29" s="1053">
        <f>IF(AR29=0,0,HD29*AR29/(AQ29+AR29))</f>
        <v/>
      </c>
      <c r="HG29" s="1053">
        <f>IF(AW29=0,0,HD29*AW29/(AW29+AX29))</f>
        <v/>
      </c>
      <c r="HH29" s="1053">
        <f>IF(AX29=0,0,HD29*AX29/(AX29+AW29))</f>
        <v/>
      </c>
      <c r="HI29" s="1053">
        <f>IF(BE29=0,0,#REF!*BE29/(BE29+BG29))</f>
        <v/>
      </c>
      <c r="HJ29" s="1053">
        <f>IF(BG29=0,0,#REF!*BG29/(BG29+BE29))</f>
        <v/>
      </c>
      <c r="HK29" s="1054">
        <f>IF(BF29=0,0,#REF!*BF29/(BF29+BH29))</f>
        <v/>
      </c>
      <c r="HL29" s="1053">
        <f>IF(BH29=0,0,#REF!*BH29/(BH29+BF29))</f>
        <v/>
      </c>
      <c r="HM29" s="1053">
        <f>IF(D29="Second Lien",HD29,0)</f>
        <v/>
      </c>
      <c r="HN29" s="1053">
        <f>SUM(HE29:HM29)=HD29</f>
        <v/>
      </c>
    </row>
    <row r="30" ht="12.75" customFormat="1" customHeight="1" s="469">
      <c r="A30" s="55">
        <f>A29+1</f>
        <v/>
      </c>
      <c r="B30" s="437">
        <f>INDEX('Loan Tape - Settled'!$B$4:$AP$55,MATCH($A30,'Loan Tape - Settled'!$E$4:$E$55,0),MATCH("Obligor Name",'Loan Tape - Settled'!$B$4:$AM$4,0))</f>
        <v/>
      </c>
      <c r="C30" s="437">
        <f>INDEX('Loan Tape - Settled'!$B$4:$AP$55,MATCH($A30,'Loan Tape - Settled'!$E$4:$E$55,0),MATCH("Security",'Loan Tape - Settled'!$B$4:$AM$4,0))</f>
        <v/>
      </c>
      <c r="D30" s="438">
        <f>INDEX('Loan Tape - Settled'!$B$4:$AP$55,MATCH($A30,'Loan Tape - Settled'!$E$4:$E$55,0),MATCH("Loan Type",'Loan Tape - Settled'!$B$4:$AM$4,0))</f>
        <v/>
      </c>
      <c r="E30" s="439">
        <f>IF(ISERROR(MATCH(D30,AGENT!$A$4:$A$10,0))=FALSE, TRUE)</f>
        <v/>
      </c>
      <c r="F30" s="439">
        <f>IF(AND(BZ30="no",CA30="no"),TRUE)</f>
        <v/>
      </c>
      <c r="G30" s="439">
        <f>IF(D30&lt;&gt;"Second Lien",TRUE, IF(CY30&gt;=AGENT!$B$4,TRUE))</f>
        <v/>
      </c>
      <c r="H30" s="439">
        <f>IF(DE30&lt;=AGENT!$D$4,TRUE)</f>
        <v/>
      </c>
      <c r="I30" s="439">
        <f>IF(VLOOKUP(CONCATENATE($A$5,A30),'Loan Tape - Settled'!$A$5:$Q$55,17,FALSE)&gt;=AGENT!$E$4,TRUE)</f>
        <v/>
      </c>
      <c r="J30" s="439">
        <f>IF(INDEX('Loan Tape - Settled'!$B$4:$AP$55,MATCH($A30,'Loan Tape - Settled'!$E$4:$E$55,0),MATCH("Loan Denomination",'Loan Tape - Settled'!$B$4:$AP$4,0))="USD", TRUE)</f>
        <v/>
      </c>
      <c r="K30" s="439">
        <f>IF(INDEX('Loan Tape - Settled'!$B$4:$AP$55,MATCH($A30,'Loan Tape - Settled'!$E$4:$E$55,0),MATCH("Exposure Country",'Loan Tape - Settled'!$B$4:$AP$4,0))="United States", TRUE)</f>
        <v/>
      </c>
      <c r="L30" s="439">
        <f>IF(BS30="NO",TRUE)</f>
        <v/>
      </c>
      <c r="M30" s="439">
        <f>IF(((BM30-BL30)/365)&lt;=AGENT!$F$4,TRUE)</f>
        <v/>
      </c>
      <c r="N30" s="439">
        <f>IF(DX30="Yes",FALSE,TRUE)</f>
        <v/>
      </c>
      <c r="O30" s="493" t="n"/>
      <c r="P30" s="764">
        <f>IF($B30="","",IF(OR(O30=TRUE,COUNTIFS($E30:$N30,TRUE)=10),"Yes","No"))</f>
        <v/>
      </c>
      <c r="Q30" s="730" t="inlineStr">
        <is>
          <t>Yes</t>
        </is>
      </c>
      <c r="R30" s="440">
        <f>IF(P30="Yes",B30,"N/A")</f>
        <v/>
      </c>
      <c r="S30" s="440" t="n"/>
      <c r="T30" s="441">
        <f t="array" ref="T30">_xlfn.IFS(D30="Second Lien",D30,D30="First Lien",CONCATENATE(D30," ",EI30),D30="FILO",CONCATENATE(D30," ",EJ30))</f>
        <v/>
      </c>
      <c r="U30" s="442">
        <f>VLOOKUP(T30,'Concentration Limits'!D:G,4,FALSE)</f>
        <v/>
      </c>
      <c r="V30" s="1020">
        <f>AQ30+AW30+BI30</f>
        <v/>
      </c>
      <c r="W30" s="1021">
        <f>(SUMIFS('Loan Tape - Settled'!$AR$4:$AR$55,'Loan Tape - Settled'!$E$4:$E$55,$A30,'Loan Tape - Settled'!$C$4:$C$55,$A$5))</f>
        <v/>
      </c>
      <c r="X30" s="1022" t="n">
        <v>1</v>
      </c>
      <c r="Y30" s="1023">
        <f>W30*X30</f>
        <v/>
      </c>
      <c r="Z30" s="1022">
        <f>(SUMIFS('Loan Tape - Settled'!$AQ$4:$AQ$55,'Loan Tape - Settled'!$E$4:$E$55,$A30,'Loan Tape - Settled'!$C$4:$C$55,$A$5))</f>
        <v/>
      </c>
      <c r="AA30" s="1023">
        <f>Z30*X30</f>
        <v/>
      </c>
      <c r="AB30" s="1023">
        <f>AA30-Y30</f>
        <v/>
      </c>
      <c r="AC30" s="490">
        <f>VLOOKUP(CONCATENATE($A$5,A30),'Loan Tape - Settled'!$A$5:$Q$55,17,FALSE)</f>
        <v/>
      </c>
      <c r="AD30" s="445" t="n"/>
      <c r="AE30" s="446">
        <f>INDEX('Loan Tape - Settled'!$B$4:$AP$55,MATCH($A30,'Loan Tape - Settled'!$E$4:$E$55,0),MATCH("FMV",'Loan Tape - Settled'!$B$4:$AM$4,0))</f>
        <v/>
      </c>
      <c r="AF30" s="446">
        <f t="array" ref="AF30">_xlfn.IFS(D30="First Lien",
_xlfn.IFS(AND(DL30&gt;0,DL30&lt;Tier_1_1L),Tier_1_ApplicableValue,
AND(DL30&gt;=Tier_1_1L,DL30&lt;Tier_2_1L),((Tier_1_1L/DL30)*Tier_1_ApplicableValue)+((DL30-Tier_1_1L)/DL30*Tier_2_ApplicableValue),
AND(DL30&gt;=Tier_2_1L, DL30&lt;Tier_3_1L),((Tier_1_1L/DL30)*Tier_1_ApplicableValue+(Tier_2_1L-Tier_1_1L)/DL30*Tier_2_ApplicableValue+(DL30-Tier_2_1L)/DL30*Tier_3_ApplicableValue),
AND(DL30&gt;=Tier_3_1L, DL30&lt;=Tier_totalzerovalue),((Tier_1_1L/DL30)*Tier_1_ApplicableValue+(Tier_2_1L-Tier_1_1L)/DL30*Tier_2_ApplicableValue+(Tier_3_1L-Tier_2_1L)/DL30*Tier_3_ApplicableValue+(DL30-Tier_partialzerovalue)/DL30*0%),
DL30&gt;Tier_totalzerovalue,0%),
OR(D30="Second Lien", D30="FILO"),
_xlfn.IFS(AND(DM30&gt;0,DM30&lt;Tier_1_2L),Tier_1_ApplicableValue,
AND(DM30&gt;=Tier_1_2L,DM30&lt;Tier_2_2L),((Tier_1_2L/DM30)*Tier_1_ApplicableValue)+((DM30-Tier_1_2L)/DM30*Tier_2_ApplicableValue),
AND(DM30&gt;=Tier_2_2L, DM30&lt;Tier_3_2L),((Tier_1_2L/DM30)*Tier_1_ApplicableValue+(Tier_2_2L-Tier_1_2L)/DM30*Tier_2_ApplicableValue+(DM30-Tier_2_2L)/DM30*Tier_3_ApplicableValue),
AND(DM30&gt;=Tier_3_2L, DM30&lt;=Tier_totalzerovalue),((Tier_1_2L/DM30)*Tier_1_ApplicableValue+(Tier_2_2L-Tier_1_2L)/DM30*Tier_2_ApplicableValue+(Tier_3_2L-Tier_2_2L)/DM30*Tier_3_ApplicableValue+(DM30-Tier_partialzerovalue)/DM30*0%),
DM30&gt;Tier_totalzerovalue,0%))</f>
        <v/>
      </c>
      <c r="AG30" s="447">
        <f>IF(COUNTIFS(VAE!$C$5:$C$96,B30,VAE!$G$5:$G$96,"&lt;="&amp;Availability!$F$8)&gt;=1,"Yes","-")</f>
        <v/>
      </c>
      <c r="AH30" s="447">
        <f t="array" ref="AH30">IFERROR(IF(AG30="Yes",INDEX(VAE!$D$5:$D$96,MATCH(B30&amp;AJ30,VAE!$C$5:$C$96&amp;VAE!$G$5:$G$96,0)),"-"),0)</f>
        <v/>
      </c>
      <c r="AI30" s="447">
        <f t="array" ref="AI30">IFERROR(IF(AG30="Yes",INDEX(VAE!$F$5:$F$96,MATCH(B30&amp;AJ30,VAE!$C$5:$C$96&amp;VAE!$G$5:$G$96,0)),"-"),0)</f>
        <v/>
      </c>
      <c r="AJ30" s="448">
        <f>IF(AG30="-","-",_xlfn.MAXIFS(VAE!$G$5:$G$96,VAE!$C$5:$C$96,$B30))</f>
        <v/>
      </c>
      <c r="AK30" s="449">
        <f t="array" ref="AK30">IFERROR(IF(AG30="Yes",INDEX(VAE!$P$5:$P$96,MATCH(B30&amp;AJ30,VAE!$C$5:$C$96&amp;VAE!$G$5:$G$96,0)),"-"),0)</f>
        <v/>
      </c>
      <c r="AL30" s="446">
        <f>IF($A30="","",IF(P30="No",0,(IF(AG30="Yes",MIN(AE30,AK30,AF30),MIN(AE30,AF30)))))</f>
        <v/>
      </c>
      <c r="AM30" s="1020" t="n"/>
      <c r="AN30" s="1020" t="n"/>
      <c r="AO30" s="1020">
        <f>IF(AND(D30="First Lien",P30="No"),0,IF(D30&lt;&gt;"First Lien",0,Y30))</f>
        <v/>
      </c>
      <c r="AP30" s="1020">
        <f>IF(AND(D30="First Lien",P30="No"),W30,0)</f>
        <v/>
      </c>
      <c r="AQ30" s="1020">
        <f>AL30*AO30</f>
        <v/>
      </c>
      <c r="AR30" s="1020" t="n"/>
      <c r="AS30" s="1020" t="n"/>
      <c r="AT30" s="1020" t="n"/>
      <c r="AU30" s="1020">
        <f>IF(AND(D30="FILO",P30="No"),0,IF(D30&lt;&gt;"FILO",0,Y30))</f>
        <v/>
      </c>
      <c r="AV30" s="1020">
        <f>IF(AND(D30="FILO",P30="No"),W30,0)</f>
        <v/>
      </c>
      <c r="AW30" s="1020">
        <f>AU30*AL30</f>
        <v/>
      </c>
      <c r="AX30" s="1020" t="n"/>
      <c r="AY30" s="1020" t="n"/>
      <c r="AZ30" s="1020" t="n"/>
      <c r="BA30" s="1020">
        <f>IF(AND(OR(D30="First Lien",D30="FILO"),P30="No"),0,IF(OR(D30="First Lien",D30="FILO"),0,(Y30)))</f>
        <v/>
      </c>
      <c r="BB30" s="1020" t="n"/>
      <c r="BC30" s="1020" t="n"/>
      <c r="BD30" s="1020">
        <f>IF(AND(D30="Second Lien",P30="No"),W30,0)</f>
        <v/>
      </c>
      <c r="BE30" s="1020" t="n"/>
      <c r="BF30" s="1020" t="n"/>
      <c r="BG30" s="1020" t="n"/>
      <c r="BH30" s="1020" t="n"/>
      <c r="BI30" s="1020">
        <f>IF(D30="Second Lien",BA30*AL30,0)</f>
        <v/>
      </c>
      <c r="BJ30" s="1020">
        <f>SUM(AM30:AP30)+SUM(AZ30:BD30)+SUM(AS30:AV30)=Y30</f>
        <v/>
      </c>
      <c r="BK30" s="1026">
        <f>INDEX('Loan Tape - Settled'!$B$4:$AP$55,MATCH($A30,'Loan Tape - Settled'!$E$4:$E$55,0),MATCH("Inception Date",'Loan Tape - Settled'!$B$4:$AP$4,0))</f>
        <v/>
      </c>
      <c r="BL30" s="1026">
        <f>INDEX('Loan Tape - Settled'!$B$4:$AP$55,MATCH($A30,'Loan Tape - Settled'!$E$4:$E$55,0),MATCH("Inclusion Date",'Loan Tape - Settled'!$B$4:$AP$4,0))</f>
        <v/>
      </c>
      <c r="BM30" s="1026">
        <f>INDEX('Loan Tape - Settled'!$B$4:$AP$55,MATCH($A30,'Loan Tape - Settled'!$E$4:$E$55,0),MATCH("Maturity Date",'Loan Tape - Settled'!$B$4:$AP$4,0))</f>
        <v/>
      </c>
      <c r="BN30" s="556" t="n"/>
      <c r="BO30" s="556" t="n"/>
      <c r="BP30" s="1055" t="n"/>
      <c r="BQ30" s="556" t="n"/>
      <c r="BR30" s="554">
        <f>INDEX('Loan Tape - Settled'!$B$4:$AP$55,MATCH($A30,'Loan Tape - Settled'!$E$4:$E$55,0),MATCH("Industry Classification",'Loan Tape - Settled'!$B$4:$AP$4,0))</f>
        <v/>
      </c>
      <c r="BS30" s="556">
        <f>IF(INDEX('Loan Tape - Settled'!$B$4:$AP$55,MATCH($A30,'Loan Tape - Settled'!$E$4:$E$55,0),MATCH("Covenant Lite",'Loan Tape - Settled'!$B$4:$AP$4,0))=-1, "Yes", "No")</f>
        <v/>
      </c>
      <c r="BT30" s="1056">
        <f>INDEX('Loan Tape - Settled'!$B$4:$AP$55,MATCH($A30,'Loan Tape - Settled'!$E$4:$E$55,0),MATCH("Spread / Coupon (%)",'Loan Tape - Settled'!$B$4:$AP$4,0))</f>
        <v/>
      </c>
      <c r="BU30" s="556">
        <f>IF(INDEX('Loan Tape - Settled'!$B$4:$AP$55,MATCH($A30,'Loan Tape - Settled'!$E$4:$E$55,0),MATCH("Security Type",'Loan Tape - Settled'!$B$4:$AP$4,0))="Delayed Draw Term Loan", "Yes", "No")</f>
        <v/>
      </c>
      <c r="BV30" s="557" t="inlineStr">
        <is>
          <t>No</t>
        </is>
      </c>
      <c r="BW30" s="557" t="inlineStr">
        <is>
          <t>No</t>
        </is>
      </c>
      <c r="BX30" s="548" t="inlineStr">
        <is>
          <t>No</t>
        </is>
      </c>
      <c r="BY30" s="556">
        <f>IF(INDEX('Loan Tape - Settled'!$B$4:$AP$55,MATCH($A30,'Loan Tape - Settled'!$E$4:$E$55,0),MATCH("Fixed/Floating",'Loan Tape - Settled'!$B$4:$AP$4,0))="Fixed", "Yes", "No")</f>
        <v/>
      </c>
      <c r="BZ30" s="557" t="inlineStr">
        <is>
          <t>No</t>
        </is>
      </c>
      <c r="CA30" s="557" t="inlineStr">
        <is>
          <t>No</t>
        </is>
      </c>
      <c r="CB30" s="556">
        <f>IF(INDEX('Loan Tape - Settled'!$B$4:$AP$55,MATCH($A30,'Loan Tape - Settled'!$E$4:$E$55,0),MATCH("Loan Denomination",'Loan Tape - Settled'!$B$4:$AP$4,0))="CAD", "Yes", "No")</f>
        <v/>
      </c>
      <c r="CC30" s="556">
        <f>INDEX('Loan Tape - Settled'!$B$4:$AP$55,MATCH($A30,'Loan Tape - Settled'!$E$4:$E$55,0),MATCH("Payment Frequency",'Loan Tape - Settled'!$B$4:$AP$4,0))</f>
        <v/>
      </c>
      <c r="CD30" s="557" t="inlineStr">
        <is>
          <t>No</t>
        </is>
      </c>
      <c r="CE30" s="556">
        <f>INDEX('Loan Tape - Settled'!$B$4:$AP$55,MATCH($A30,'Loan Tape - Settled'!$E$4:$E$55,0),MATCH("S&amp;P Loan Rating (if applicable)",'Loan Tape - Settled'!$B$4:$AP$4,0))</f>
        <v/>
      </c>
      <c r="CF30" s="556">
        <f>INDEX('Loan Tape - Settled'!$B$4:$AP$55,MATCH($A30,'Loan Tape - Settled'!$E$4:$E$55,0),MATCH("Moody's Loan Rating (if applicable)",'Loan Tape - Settled'!$B$4:$AP$4,0))</f>
        <v/>
      </c>
      <c r="CG30" s="556" t="n"/>
      <c r="CH30" s="556" t="n"/>
      <c r="CI30" s="1057" t="n"/>
      <c r="CJ30" s="1030">
        <f>INDEX('Loan Tape - Settled'!$B$4:$BF$55,MATCH($A30,'Loan Tape - Settled'!$E$4:$E$55,0),MATCH("Last Financial Received",'Loan Tape - Settled'!$B$4:$BF$4,0))</f>
        <v/>
      </c>
      <c r="CK30" s="559">
        <f>INDEX('Loan Tape - Settled'!$B$4:$BJ$55,MATCH($A30,'Loan Tape - Settled'!$E$4:$E$55,0),MATCH("Initial Adjusted TTM EBITDA",'Loan Tape - Settled'!$B$4:$BJ$4,0))</f>
        <v/>
      </c>
      <c r="CL30" s="559">
        <f>INDEX('Loan Tape - Settled'!$B$4:$BJ$55,MATCH($A30,'Loan Tape - Settled'!$E$4:$E$55,0),MATCH("Initial TTM Non-adjusted EBITDA",'Loan Tape - Settled'!$B$4:$BJ$4,0))</f>
        <v/>
      </c>
      <c r="CM30" s="1031" t="n"/>
      <c r="CN30" s="451" t="n"/>
      <c r="CO30" s="451" t="n"/>
      <c r="CP30" s="1032" t="n"/>
      <c r="CQ30" s="1033" t="inlineStr">
        <is>
          <t>N</t>
        </is>
      </c>
      <c r="CR30" s="1032" t="n"/>
      <c r="CS30" s="454">
        <f>CK30-CP30+CR30</f>
        <v/>
      </c>
      <c r="CT30" s="455">
        <f>1-CS30/CK30</f>
        <v/>
      </c>
      <c r="CU30" s="559">
        <f>INDEX('Loan Tape - Settled'!$B$4:$BJ$55,MATCH($A30,'Loan Tape - Settled'!$E$4:$E$55,0),MATCH("Current TTM Non-adjusted EBITDA",'Loan Tape - Settled'!$B$4:$BJ$4,0))</f>
        <v/>
      </c>
      <c r="CV30" s="456">
        <f>CT30</f>
        <v/>
      </c>
      <c r="CW30" s="1034" t="inlineStr">
        <is>
          <t>N</t>
        </is>
      </c>
      <c r="CX30" s="1035" t="n"/>
      <c r="CY30" s="1036">
        <f>IF(CW30="N",(1-CV30)*CU30,(1-CX30)*CU30)</f>
        <v/>
      </c>
      <c r="CZ30" s="1037" t="n"/>
      <c r="DA30" s="1038" t="n"/>
      <c r="DB30" s="1039" t="n"/>
      <c r="DC30" s="1040" t="n"/>
      <c r="DD30" s="1040">
        <f>INDEX('Loan Tape - Settled'!$B$4:$BJ$55,MATCH($A30,'Loan Tape - Settled'!$E$4:$E$55,0),MATCH("Initial Senior Net Leverage Senior",'Loan Tape - Settled'!$B$4:$BJ$4,0))</f>
        <v/>
      </c>
      <c r="DE30" s="1041">
        <f>INDEX('Loan Tape - Settled'!$B$4:$BJ$55,MATCH($A30,'Loan Tape - Settled'!$E$4:$E$55,0),MATCH("Initial Total Net Leverage",'Loan Tape - Settled'!$B$4:$BJ$4,0))</f>
        <v/>
      </c>
      <c r="DF30" s="1037" t="n"/>
      <c r="DG30" s="1038" t="n"/>
      <c r="DH30" s="1039" t="n"/>
      <c r="DI30" s="1042">
        <f>INDEX('Loan Tape - Settled'!$B$4:$BJ$55,MATCH($A30,'Loan Tape - Settled'!$E$4:$E$55,0),MATCH("Net Attachment",'Loan Tape - Settled'!$B$4:$BJ$4,0))</f>
        <v/>
      </c>
      <c r="DJ30" s="566">
        <f t="array" ref="DJ30">IF(AG30="Yes",INDEX(VAE!$M$5:$M$53,MATCH($B30&amp;$AJ30,VAE!$C$5:$C$53&amp;VAE!$G$5:$G$53,0)),DD30)</f>
        <v/>
      </c>
      <c r="DK30" s="697">
        <f t="array" ref="DK30">IF(AG30="Yes",INDEX(VAE!$N$5:$N$53,MATCH($B30&amp;$AJ30,VAE!$C$5:$C$53&amp;VAE!$G$5:$G$53,0)),DE30)</f>
        <v/>
      </c>
      <c r="DL30" s="1058">
        <f>INDEX('Loan Tape - Settled'!$B$4:$BJ$55,MATCH($A30,'Loan Tape - Settled'!$E$4:$E$55,0),MATCH("Current Senior Net Leverage Senior",'Loan Tape - Settled'!$B$4:$BJ$4,0))</f>
        <v/>
      </c>
      <c r="DM30" s="1059">
        <f>INDEX('Loan Tape - Settled'!$B$4:$BJ$55,MATCH($A30,'Loan Tape - Settled'!$E$4:$E$55,0),MATCH("Current Total Net Leverage",'Loan Tape - Settled'!$B$4:$BJ$4,0))</f>
        <v/>
      </c>
      <c r="DN30" s="1044" t="n"/>
      <c r="DO30" s="1045">
        <f>INDEX('Loan Tape - Settled'!$B$4:$BJ$55,MATCH($A30,'Loan Tape - Settled'!$E$4:$E$55,0),MATCH("Initial Interest Coverage",'Loan Tape - Settled'!$B$4:$BJ$4,0))</f>
        <v/>
      </c>
      <c r="DP30" s="565">
        <f t="array" ref="DP30">IF(AG30="Yes",INDEX(VAE!$O$5:$O$53,MATCH($B30&amp;$AJ30,VAE!$C$5:$C$53&amp;VAE!$G$5:$G$53,0)),DO30)</f>
        <v/>
      </c>
      <c r="DQ30" s="1046">
        <f>INDEX('Loan Tape - Settled'!$B$4:$BJ$55,MATCH($A30,'Loan Tape - Settled'!$E$4:$E$55,0),MATCH("Current Interest Coverage",'Loan Tape - Settled'!$B$4:$BJ$4,0))</f>
        <v/>
      </c>
      <c r="DR30" s="462">
        <f>IF(OR(DU30="Yes",DU30="N/A",DV30="Yes",DV30="N/A",DW30="Yes",DX30="Yes",DY30="Yes",EF30="Yes",EG30="Yes",EH30="Yes"),"Yes","No")</f>
        <v/>
      </c>
      <c r="DS30" s="1047">
        <f>IF(AG30="Yes",DATEDIF(AJ30,Availability!$F$8,"m"),"")</f>
        <v/>
      </c>
      <c r="DT30" s="1047">
        <f>IF(DS30="","No",IF(DS30&gt;12,"Yes","No"))</f>
        <v/>
      </c>
      <c r="DU30" s="695">
        <f>IFERROR(IF(AND(DQ30/DP30&lt;0.75,DQ30&lt;1.5),"Yes","No"),"N/A")</f>
        <v/>
      </c>
      <c r="DV30" s="696">
        <f>IFERROR(IF(OR(D30="First Lien",D30="FILO"),IF(AND((DL30-DJ30)&gt;0.75,DL30&gt;4),"Yes","No"),"No"),"N/A")</f>
        <v/>
      </c>
      <c r="DW30" s="696">
        <f t="array" ref="DW30">_xlfn.IFS(D30&lt;&gt;"Second Lien","No",D30="Second Lien",IF(AND((DM30-DK30)&gt;0.5,DM30&gt;4.5),"Yes","No"))</f>
        <v/>
      </c>
      <c r="DX30" s="735" t="inlineStr">
        <is>
          <t>No</t>
        </is>
      </c>
      <c r="DY30" s="735" t="inlineStr">
        <is>
          <t>No</t>
        </is>
      </c>
      <c r="DZ30" s="1048" t="inlineStr">
        <is>
          <t>No</t>
        </is>
      </c>
      <c r="EA30" s="1048" t="inlineStr">
        <is>
          <t>No</t>
        </is>
      </c>
      <c r="EB30" s="1048" t="inlineStr">
        <is>
          <t>No</t>
        </is>
      </c>
      <c r="EC30" s="1048" t="inlineStr">
        <is>
          <t>No</t>
        </is>
      </c>
      <c r="ED30" s="1048" t="inlineStr">
        <is>
          <t>No</t>
        </is>
      </c>
      <c r="EE30" s="1048" t="inlineStr">
        <is>
          <t>No</t>
        </is>
      </c>
      <c r="EF30" s="442">
        <f>IF(OR(DZ30="Yes",EA30="Yes",EB30="Yes",EC30="Yes",ED30="Yes",EE30="Yes"),"Yes","No")</f>
        <v/>
      </c>
      <c r="EG30" s="1048" t="inlineStr">
        <is>
          <t>No</t>
        </is>
      </c>
      <c r="EH30" s="1049" t="inlineStr">
        <is>
          <t>No</t>
        </is>
      </c>
      <c r="EI30" s="1050">
        <f t="array" ref="EI30">IF(D30="First Lien",_xlfn.IFS(CY30&gt;AGENT!$B$23, "&gt; $20MM",CY30&lt;=AGENT!$C$25, "&lt;= $10MM",AND(CY30&lt;=AGENT!$C$24,CY30&gt;AGENT!$B$24),"&lt;= $20MM"), "N/A")</f>
        <v/>
      </c>
      <c r="EJ30" s="1050">
        <f t="array" ref="EJ30">IF(D30="FILO",_xlfn.IFS(DI30&gt;AGENT!$B$29, "&gt; 1.25x",DI30&lt;AGENT!$C$27, "&lt; 0.75x",AND(DI30&lt;=AGENT!$C$28,DI30&gt;=AGENT!$B$28),"&lt;= 1.25x"), "N/A")</f>
        <v/>
      </c>
      <c r="EK30" s="1051">
        <f>V30</f>
        <v/>
      </c>
      <c r="EL30" s="1051">
        <f>'Concentration Limits'!$J$49</f>
        <v/>
      </c>
      <c r="EM30" s="1051">
        <f>IF(OR(D30="Second Lien",AND(D30="FILO",DI30&gt;AGENT!$C$57)), "Yes", "No")</f>
        <v/>
      </c>
      <c r="EN30" s="1051">
        <f>IF(EM30="Yes",SUMIF(EM:EM,"Yes",EK:EK),0)</f>
        <v/>
      </c>
      <c r="EO30" s="1051">
        <f>IF(EN30&gt;EL30,(EN30-EL30)*(EK30/SUMIF(EM:EM,"Yes",EK:EK)),0)</f>
        <v/>
      </c>
      <c r="EP30" s="1051">
        <f>MAX(0,EK30-EO30)</f>
        <v/>
      </c>
      <c r="EQ30" s="1051">
        <f>'Concentration Limits'!$J$50</f>
        <v/>
      </c>
      <c r="ER30" s="1051">
        <f>IF(D30="Second Lien",SUMIF(D:D,D30,EP:EP),0)</f>
        <v/>
      </c>
      <c r="ES30" s="1051">
        <f>MAX(0,(ER30-EQ30)*IFERROR((EP30/SUMIF($D:$D,D30,EP:EP )),0) )</f>
        <v/>
      </c>
      <c r="ET30" s="1051">
        <f>MAX(0,EP30-ES30)</f>
        <v/>
      </c>
      <c r="EU30" s="1051">
        <f>'Concentration Limits'!$J$51</f>
        <v/>
      </c>
      <c r="EV30" s="1051">
        <f>IF(OR(D30="Second Lien", AND(D30="FILO",DI30&gt;AGENT!$C$59)), "Yes", "No")</f>
        <v/>
      </c>
      <c r="EW30" s="1051">
        <f>IF(EV30="Yes",SUMIF(EV:EV,"Yes",ET:ET),0)</f>
        <v/>
      </c>
      <c r="EX30" s="1051">
        <f>IF(EW30&gt;EU30,(EW30-EU30)*(ET30/SUMIF(EV:EV,"Yes",ET:ET)),0)</f>
        <v/>
      </c>
      <c r="EY30" s="1051">
        <f>MAX(0,ET30-EX30)</f>
        <v/>
      </c>
      <c r="EZ30" s="1051">
        <f>'Concentration Limits'!$J$52</f>
        <v/>
      </c>
      <c r="FA30" s="1051">
        <f>IF(CY30&gt;'Concentration Limits'!$E$52, "No", "Yes")</f>
        <v/>
      </c>
      <c r="FB30" s="1051">
        <f>IF(FA30="Yes",SUMIF(FA:FA,"Yes",EY:EY),0)</f>
        <v/>
      </c>
      <c r="FC30" s="1051">
        <f>IF(FB30&gt;EZ30,(FB30-EZ30)*(EY30/SUMIF(FA:FA,"Yes",EY:EY)),0)</f>
        <v/>
      </c>
      <c r="FD30" s="1051">
        <f>MAX(0,EY30-FC30)</f>
        <v/>
      </c>
      <c r="FE30" s="1052">
        <f>'Concentration Limits'!$J$54</f>
        <v/>
      </c>
      <c r="FF30" s="1052">
        <f>'Concentration Limits'!$J$55</f>
        <v/>
      </c>
      <c r="FG30" s="1052">
        <f>'Concentration Limits'!$J$56</f>
        <v/>
      </c>
      <c r="FH30" s="1053">
        <f>'Concentration Limits'!$J$57</f>
        <v/>
      </c>
      <c r="FI30" s="1053">
        <f>SUMIF($B:$B,$B30,$FD:$FD)</f>
        <v/>
      </c>
      <c r="FJ30" s="1053">
        <f>IF(MATCH($B30,$B:$B,0)=ROW(),$FI30,0)</f>
        <v/>
      </c>
      <c r="FK30" s="1053">
        <f>INDEX(FL$8:FL$60,MATCH(B30,B$8:B$60,0))</f>
        <v/>
      </c>
      <c r="FL30" s="1053">
        <f>IF(FJ30&gt;0,RANK(FJ30,$FJ$9:$FJ$60)+COUNTIF($FJ$9:FJ30,FJ30)-1,0)</f>
        <v/>
      </c>
      <c r="FM30" s="1052">
        <f>IF(FK30=1,IF(FI30&gt;FE30,(FI30-FE30)*(V30/SUMIF($B:$B,B30,$FD:$FD)),0),0)</f>
        <v/>
      </c>
      <c r="FN30" s="1052">
        <f>IF(FK30=2,IF(FI30&gt;FF30,(FI30-FF30)*(V30/SUMIF($B:$B,B30,$FD:$FD)),0),0)</f>
        <v/>
      </c>
      <c r="FO30" s="1052">
        <f>IF(FK30=3,IF(FI30&gt;FG30,(FI30-FG30)*(V30/SUMIF($B:$B,B30,$FD:$FD)),0),0)</f>
        <v/>
      </c>
      <c r="FP30" s="1053">
        <f>IF(FK30&gt;0,IF(FI30&gt;FH30,(FI30-FH30)*(FD30/(SUMIF($B:$B,$B30,$FD:$FD))),0),0)</f>
        <v/>
      </c>
      <c r="FQ30" s="1053">
        <f>MAX(0,FD30-FM30-FN30-FO30-FP30)</f>
        <v/>
      </c>
      <c r="FR30" s="1053">
        <f>'Concentration Limits'!$J$58</f>
        <v/>
      </c>
      <c r="FS30" s="1053">
        <f>SUMIF($BR:$BR,$BR30,FQ:FQ)</f>
        <v/>
      </c>
      <c r="FT30" s="1053">
        <f>VLOOKUP(BR30,'Concentration Limits'!$E$81:$H$153,4,FALSE)</f>
        <v/>
      </c>
      <c r="FU30" s="1053">
        <f>IF(FT30=1,MAX(0,(FS30-FR30)*(FQ30/SUMIF($BR:$BR,BR30,FQ:FQ))),0)</f>
        <v/>
      </c>
      <c r="FV30" s="1053">
        <f>MAX(0,FQ30-FU30)</f>
        <v/>
      </c>
      <c r="FW30" s="1053">
        <f>'Concentration Limits'!$J$59</f>
        <v/>
      </c>
      <c r="FX30" s="1053">
        <f>SUMIF($BR:$BR,$BR30,FV:FV)</f>
        <v/>
      </c>
      <c r="FY30" s="1053">
        <f>VLOOKUP(BR30,'Concentration Limits'!$E$81:$H$153,4,FALSE)</f>
        <v/>
      </c>
      <c r="FZ30" s="1053">
        <f>MAX(0,IF(FY30=2,(FX30-FW30)*(FV30/SUMIF($BR:$BR,BR30,FV:FV)),0))</f>
        <v/>
      </c>
      <c r="GA30" s="1053">
        <f>MAX(0,FV30-FZ30)</f>
        <v/>
      </c>
      <c r="GB30" s="1053">
        <f>'Concentration Limits'!$J$61</f>
        <v/>
      </c>
      <c r="GC30" s="1053">
        <f>SUMIF($BR:$BR,$BR30,GA:GA)</f>
        <v/>
      </c>
      <c r="GD30" s="1051">
        <f>VLOOKUP(BR30,'Concentration Limits'!$E$81:$H$153,4,FALSE)</f>
        <v/>
      </c>
      <c r="GE30" s="1053">
        <f>IF(GA30=0,0,MAX(0,IF(GD30&lt;3,0,(GC30-GB30)*($GA30/SUMIF($BR:$BR,BR30,GA:GA)))))</f>
        <v/>
      </c>
      <c r="GF30" s="1053">
        <f>MAX(0,GA30-GE30)</f>
        <v/>
      </c>
      <c r="GG30" s="1053">
        <f>'Concentration Limits'!$J$64</f>
        <v/>
      </c>
      <c r="GH30" s="1053">
        <f>IF(BY30="Yes",SUMIF(BY:BY,BY30,GF:GF),0)</f>
        <v/>
      </c>
      <c r="GI30" s="1053">
        <f>IFERROR(MAX(0,(GH30-GG30)*(GF30/SUMIF($T:$T,T30,GF:GF ))),0)</f>
        <v/>
      </c>
      <c r="GJ30" s="1053">
        <f>MAX(0,GF30-GI30)</f>
        <v/>
      </c>
      <c r="GK30" s="1053">
        <f>'Concentration Limits'!$J$67</f>
        <v/>
      </c>
      <c r="GL30" s="1051">
        <f>IF(OR(BV30="Yes",OR(ISNUMBER(SEARCH("Travel",BR30)),ISNUMBER(SEARCH("Energy",BR30)),ISNUMBER(SEARCH("Leisure",BR30)),ISNUMBER(SEARCH("hotel",BR30)))),"Yes","No")</f>
        <v/>
      </c>
      <c r="GM30" s="1053">
        <f>IF(GL30="Yes",SUMIF(GL:GL,"Yes",GJ:GJ),0)</f>
        <v/>
      </c>
      <c r="GN30" s="1053">
        <f>IF(GM30&gt;GK30,(GM30-GK30)*(GJ30/SUMIF(GL:GL,"Yes",GJ:GJ)),0)</f>
        <v/>
      </c>
      <c r="GO30" s="1053">
        <f>MAX(0,GJ30-GN30)</f>
        <v/>
      </c>
      <c r="GP30" s="1053">
        <f>'Concentration Limits'!$J$68</f>
        <v/>
      </c>
      <c r="GQ30" s="1051">
        <f>IF(BU30="Yes","Yes", "No")</f>
        <v/>
      </c>
      <c r="GR30" s="1053">
        <f>IF(GQ30="Yes",SUMIF(GQ:GQ,"Yes",GO:GO),0)</f>
        <v/>
      </c>
      <c r="GS30" s="1053">
        <f>IF(GR30&gt;GP30,(GR30-GP30)*(GO30/SUMIF(GQ:GQ,"Yes",GO:GO)),0)</f>
        <v/>
      </c>
      <c r="GT30" s="1053">
        <f>MAX(0,GO30-GS30)</f>
        <v/>
      </c>
      <c r="GU30" s="1051">
        <f>'Concentration Limits'!$J$69</f>
        <v/>
      </c>
      <c r="GV30" s="1051">
        <f>IF(BW30="Yes", "Yes", "No")</f>
        <v/>
      </c>
      <c r="GW30" s="1051">
        <f>IF(GV30="Yes",SUMIF(GV:GV,"Yes",GT:GT),0)</f>
        <v/>
      </c>
      <c r="GX30" s="1051">
        <f>IF(GW30&gt;GU30,(GW30-GU30)*(GT30/SUMIF(GV:GV,"Yes",GT:GT)),0)</f>
        <v/>
      </c>
      <c r="GY30" s="1051">
        <f>MAX(0,GT30-GX30)</f>
        <v/>
      </c>
      <c r="GZ30" s="1051">
        <f>'Concentration Limits'!$J$70</f>
        <v/>
      </c>
      <c r="HA30" s="1051">
        <f>IF(BX30="Yes", "Yes", "No")</f>
        <v/>
      </c>
      <c r="HB30" s="1051">
        <f>IF(HA30="Yes",SUMIF(HA:HA,"Yes",GY:GY),0)</f>
        <v/>
      </c>
      <c r="HC30" s="1051">
        <f>IF(HB30&gt;GZ30,(HB30-GZ30)*(GY30/SUMIF(HA:HA,"Yes",GY:GY)),0)</f>
        <v/>
      </c>
      <c r="HD30" s="1051">
        <f>MAX(0,GY30-HC30)</f>
        <v/>
      </c>
      <c r="HE30" s="1053">
        <f>IF(AQ30=0,0,HD30*AQ30/(AQ30+AR30))</f>
        <v/>
      </c>
      <c r="HF30" s="1053">
        <f>IF(AR30=0,0,HD30*AR30/(AQ30+AR30))</f>
        <v/>
      </c>
      <c r="HG30" s="1053">
        <f>IF(AW30=0,0,HD30*AW30/(AW30+AX30))</f>
        <v/>
      </c>
      <c r="HH30" s="1053">
        <f>IF(AX30=0,0,HD30*AX30/(AX30+AW30))</f>
        <v/>
      </c>
      <c r="HI30" s="1053">
        <f>IF(BE30=0,0,#REF!*BE30/(BE30+BG30))</f>
        <v/>
      </c>
      <c r="HJ30" s="1053">
        <f>IF(BG30=0,0,#REF!*BG30/(BG30+BE30))</f>
        <v/>
      </c>
      <c r="HK30" s="1054">
        <f>IF(BF30=0,0,#REF!*BF30/(BF30+BH30))</f>
        <v/>
      </c>
      <c r="HL30" s="1053">
        <f>IF(BH30=0,0,#REF!*BH30/(BH30+BF30))</f>
        <v/>
      </c>
      <c r="HM30" s="1053">
        <f>IF(D30="Second Lien",HD30,0)</f>
        <v/>
      </c>
      <c r="HN30" s="1053">
        <f>SUM(HE30:HM30)=HD30</f>
        <v/>
      </c>
    </row>
    <row r="31" ht="12.75" customFormat="1" customHeight="1" s="469">
      <c r="A31" s="55">
        <f>A30+1</f>
        <v/>
      </c>
      <c r="B31" s="437">
        <f>INDEX('Loan Tape - Settled'!$B$4:$AP$55,MATCH($A31,'Loan Tape - Settled'!$E$4:$E$55,0),MATCH("Obligor Name",'Loan Tape - Settled'!$B$4:$AM$4,0))</f>
        <v/>
      </c>
      <c r="C31" s="437">
        <f>INDEX('Loan Tape - Settled'!$B$4:$AP$55,MATCH($A31,'Loan Tape - Settled'!$E$4:$E$55,0),MATCH("Security",'Loan Tape - Settled'!$B$4:$AM$4,0))</f>
        <v/>
      </c>
      <c r="D31" s="438">
        <f>INDEX('Loan Tape - Settled'!$B$4:$AP$55,MATCH($A31,'Loan Tape - Settled'!$E$4:$E$55,0),MATCH("Loan Type",'Loan Tape - Settled'!$B$4:$AM$4,0))</f>
        <v/>
      </c>
      <c r="E31" s="439">
        <f>IF(ISERROR(MATCH(D31,AGENT!$A$4:$A$10,0))=FALSE, TRUE)</f>
        <v/>
      </c>
      <c r="F31" s="439">
        <f>IF(AND(BZ31="no",CA31="no"),TRUE)</f>
        <v/>
      </c>
      <c r="G31" s="439">
        <f>IF(D31&lt;&gt;"Second Lien",TRUE, IF(CY31&gt;=AGENT!$B$4,TRUE))</f>
        <v/>
      </c>
      <c r="H31" s="439">
        <f>IF(DE31&lt;=AGENT!$D$4,TRUE)</f>
        <v/>
      </c>
      <c r="I31" s="439">
        <f>IF(VLOOKUP(CONCATENATE($A$5,A31),'Loan Tape - Settled'!$A$5:$Q$55,17,FALSE)&gt;=AGENT!$E$4,TRUE)</f>
        <v/>
      </c>
      <c r="J31" s="439">
        <f>IF(INDEX('Loan Tape - Settled'!$B$4:$AP$55,MATCH($A31,'Loan Tape - Settled'!$E$4:$E$55,0),MATCH("Loan Denomination",'Loan Tape - Settled'!$B$4:$AP$4,0))="USD", TRUE)</f>
        <v/>
      </c>
      <c r="K31" s="439">
        <f>IF(INDEX('Loan Tape - Settled'!$B$4:$AP$55,MATCH($A31,'Loan Tape - Settled'!$E$4:$E$55,0),MATCH("Exposure Country",'Loan Tape - Settled'!$B$4:$AP$4,0))="United States", TRUE)</f>
        <v/>
      </c>
      <c r="L31" s="439">
        <f>IF(BS31="NO",TRUE)</f>
        <v/>
      </c>
      <c r="M31" s="439">
        <f>IF(((BM31-BL31)/365)&lt;=AGENT!$F$4,TRUE)</f>
        <v/>
      </c>
      <c r="N31" s="439">
        <f>IF(DX31="Yes",FALSE,TRUE)</f>
        <v/>
      </c>
      <c r="O31" s="493" t="n"/>
      <c r="P31" s="764">
        <f>IF($B31="","",IF(OR(O31=TRUE,COUNTIFS($E31:$N31,TRUE)=10),"Yes","No"))</f>
        <v/>
      </c>
      <c r="Q31" s="730" t="inlineStr">
        <is>
          <t>Yes</t>
        </is>
      </c>
      <c r="R31" s="440">
        <f>IF(P31="Yes",B31,"N/A")</f>
        <v/>
      </c>
      <c r="S31" s="440" t="n"/>
      <c r="T31" s="441">
        <f t="array" ref="T31">_xlfn.IFS(D31="Second Lien",D31,D31="First Lien",CONCATENATE(D31," ",EI31),D31="FILO",CONCATENATE(D31," ",EJ31))</f>
        <v/>
      </c>
      <c r="U31" s="442">
        <f>VLOOKUP(T31,'Concentration Limits'!D:G,4,FALSE)</f>
        <v/>
      </c>
      <c r="V31" s="1020">
        <f>AQ31+AW31+BI31</f>
        <v/>
      </c>
      <c r="W31" s="1021">
        <f>(SUMIFS('Loan Tape - Settled'!$AR$4:$AR$55,'Loan Tape - Settled'!$E$4:$E$55,$A31,'Loan Tape - Settled'!$C$4:$C$55,$A$5))</f>
        <v/>
      </c>
      <c r="X31" s="1022" t="n">
        <v>1</v>
      </c>
      <c r="Y31" s="1023">
        <f>W31*X31</f>
        <v/>
      </c>
      <c r="Z31" s="1022">
        <f>(SUMIFS('Loan Tape - Settled'!$AQ$4:$AQ$55,'Loan Tape - Settled'!$E$4:$E$55,$A31,'Loan Tape - Settled'!$C$4:$C$55,$A$5))</f>
        <v/>
      </c>
      <c r="AA31" s="1023">
        <f>Z31*X31</f>
        <v/>
      </c>
      <c r="AB31" s="1023">
        <f>AA31-Y31</f>
        <v/>
      </c>
      <c r="AC31" s="490">
        <f>VLOOKUP(CONCATENATE($A$5,A31),'Loan Tape - Settled'!$A$5:$Q$55,17,FALSE)</f>
        <v/>
      </c>
      <c r="AD31" s="445" t="n"/>
      <c r="AE31" s="446">
        <f>INDEX('Loan Tape - Settled'!$B$4:$AP$55,MATCH($A31,'Loan Tape - Settled'!$E$4:$E$55,0),MATCH("FMV",'Loan Tape - Settled'!$B$4:$AM$4,0))</f>
        <v/>
      </c>
      <c r="AF31" s="446">
        <f t="array" ref="AF31">_xlfn.IFS(D31="First Lien",
_xlfn.IFS(AND(DL31&gt;0,DL31&lt;Tier_1_1L),Tier_1_ApplicableValue,
AND(DL31&gt;=Tier_1_1L,DL31&lt;Tier_2_1L),((Tier_1_1L/DL31)*Tier_1_ApplicableValue)+((DL31-Tier_1_1L)/DL31*Tier_2_ApplicableValue),
AND(DL31&gt;=Tier_2_1L, DL31&lt;Tier_3_1L),((Tier_1_1L/DL31)*Tier_1_ApplicableValue+(Tier_2_1L-Tier_1_1L)/DL31*Tier_2_ApplicableValue+(DL31-Tier_2_1L)/DL31*Tier_3_ApplicableValue),
AND(DL31&gt;=Tier_3_1L, DL31&lt;=Tier_totalzerovalue),((Tier_1_1L/DL31)*Tier_1_ApplicableValue+(Tier_2_1L-Tier_1_1L)/DL31*Tier_2_ApplicableValue+(Tier_3_1L-Tier_2_1L)/DL31*Tier_3_ApplicableValue+(DL31-Tier_partialzerovalue)/DL31*0%),
DL31&gt;Tier_totalzerovalue,0%),
OR(D31="Second Lien", D31="FILO"),
_xlfn.IFS(AND(DM31&gt;0,DM31&lt;Tier_1_2L),Tier_1_ApplicableValue,
AND(DM31&gt;=Tier_1_2L,DM31&lt;Tier_2_2L),((Tier_1_2L/DM31)*Tier_1_ApplicableValue)+((DM31-Tier_1_2L)/DM31*Tier_2_ApplicableValue),
AND(DM31&gt;=Tier_2_2L, DM31&lt;Tier_3_2L),((Tier_1_2L/DM31)*Tier_1_ApplicableValue+(Tier_2_2L-Tier_1_2L)/DM31*Tier_2_ApplicableValue+(DM31-Tier_2_2L)/DM31*Tier_3_ApplicableValue),
AND(DM31&gt;=Tier_3_2L, DM31&lt;=Tier_totalzerovalue),((Tier_1_2L/DM31)*Tier_1_ApplicableValue+(Tier_2_2L-Tier_1_2L)/DM31*Tier_2_ApplicableValue+(Tier_3_2L-Tier_2_2L)/DM31*Tier_3_ApplicableValue+(DM31-Tier_partialzerovalue)/DM31*0%),
DM31&gt;Tier_totalzerovalue,0%))</f>
        <v/>
      </c>
      <c r="AG31" s="447">
        <f>IF(COUNTIFS(VAE!$C$5:$C$96,B31,VAE!$G$5:$G$96,"&lt;="&amp;Availability!$F$8)&gt;=1,"Yes","-")</f>
        <v/>
      </c>
      <c r="AH31" s="447">
        <f t="array" ref="AH31">IFERROR(IF(AG31="Yes",INDEX(VAE!$D$5:$D$96,MATCH(B31&amp;AJ31,VAE!$C$5:$C$96&amp;VAE!$G$5:$G$96,0)),"-"),0)</f>
        <v/>
      </c>
      <c r="AI31" s="447">
        <f t="array" ref="AI31">IFERROR(IF(AG31="Yes",INDEX(VAE!$F$5:$F$96,MATCH(B31&amp;AJ31,VAE!$C$5:$C$96&amp;VAE!$G$5:$G$96,0)),"-"),0)</f>
        <v/>
      </c>
      <c r="AJ31" s="448">
        <f>IF(AG31="-","-",_xlfn.MAXIFS(VAE!$G$5:$G$96,VAE!$C$5:$C$96,$B31))</f>
        <v/>
      </c>
      <c r="AK31" s="449">
        <f t="array" ref="AK31">IFERROR(IF(AG31="Yes",INDEX(VAE!$P$5:$P$96,MATCH(B31&amp;AJ31,VAE!$C$5:$C$96&amp;VAE!$G$5:$G$96,0)),"-"),0)</f>
        <v/>
      </c>
      <c r="AL31" s="446">
        <f>IF($A31="","",IF(P31="No",0,(IF(AG31="Yes",MIN(AE31,AK31,AF31),MIN(AE31,AF31)))))</f>
        <v/>
      </c>
      <c r="AM31" s="1020" t="n"/>
      <c r="AN31" s="1020" t="n"/>
      <c r="AO31" s="1020">
        <f>IF(AND(D31="First Lien",P31="No"),0,IF(D31&lt;&gt;"First Lien",0,Y31))</f>
        <v/>
      </c>
      <c r="AP31" s="1020">
        <f>IF(AND(D31="First Lien",P31="No"),W31,0)</f>
        <v/>
      </c>
      <c r="AQ31" s="1020">
        <f>AL31*AO31</f>
        <v/>
      </c>
      <c r="AR31" s="1020" t="n"/>
      <c r="AS31" s="1020" t="n"/>
      <c r="AT31" s="1020" t="n"/>
      <c r="AU31" s="1020">
        <f>IF(AND(D31="FILO",P31="No"),0,IF(D31&lt;&gt;"FILO",0,Y31))</f>
        <v/>
      </c>
      <c r="AV31" s="1020">
        <f>IF(AND(D31="FILO",P31="No"),W31,0)</f>
        <v/>
      </c>
      <c r="AW31" s="1020">
        <f>AU31*AL31</f>
        <v/>
      </c>
      <c r="AX31" s="1020" t="n"/>
      <c r="AY31" s="1020" t="n"/>
      <c r="AZ31" s="1020" t="n"/>
      <c r="BA31" s="1020">
        <f>IF(AND(OR(D31="First Lien",D31="FILO"),P31="No"),0,IF(OR(D31="First Lien",D31="FILO"),0,(Y31)))</f>
        <v/>
      </c>
      <c r="BB31" s="1020" t="n"/>
      <c r="BC31" s="1020" t="n"/>
      <c r="BD31" s="1020">
        <f>IF(AND(D31="Second Lien",P31="No"),W31,0)</f>
        <v/>
      </c>
      <c r="BE31" s="1020" t="n"/>
      <c r="BF31" s="1020" t="n"/>
      <c r="BG31" s="1020" t="n"/>
      <c r="BH31" s="1020" t="n"/>
      <c r="BI31" s="1020">
        <f>IF(D31="Second Lien",BA31*AL31,0)</f>
        <v/>
      </c>
      <c r="BJ31" s="1020">
        <f>SUM(AM31:AP31)+SUM(AZ31:BD31)+SUM(AS31:AV31)=Y31</f>
        <v/>
      </c>
      <c r="BK31" s="1026">
        <f>INDEX('Loan Tape - Settled'!$B$4:$AP$55,MATCH($A31,'Loan Tape - Settled'!$E$4:$E$55,0),MATCH("Inception Date",'Loan Tape - Settled'!$B$4:$AP$4,0))</f>
        <v/>
      </c>
      <c r="BL31" s="1026">
        <f>INDEX('Loan Tape - Settled'!$B$4:$AP$55,MATCH($A31,'Loan Tape - Settled'!$E$4:$E$55,0),MATCH("Inclusion Date",'Loan Tape - Settled'!$B$4:$AP$4,0))</f>
        <v/>
      </c>
      <c r="BM31" s="1026">
        <f>INDEX('Loan Tape - Settled'!$B$4:$AP$55,MATCH($A31,'Loan Tape - Settled'!$E$4:$E$55,0),MATCH("Maturity Date",'Loan Tape - Settled'!$B$4:$AP$4,0))</f>
        <v/>
      </c>
      <c r="BN31" s="556" t="n"/>
      <c r="BO31" s="556" t="n"/>
      <c r="BP31" s="1055" t="n"/>
      <c r="BQ31" s="556" t="n"/>
      <c r="BR31" s="554">
        <f>INDEX('Loan Tape - Settled'!$B$4:$AP$55,MATCH($A31,'Loan Tape - Settled'!$E$4:$E$55,0),MATCH("Industry Classification",'Loan Tape - Settled'!$B$4:$AP$4,0))</f>
        <v/>
      </c>
      <c r="BS31" s="556">
        <f>IF(INDEX('Loan Tape - Settled'!$B$4:$AP$55,MATCH($A31,'Loan Tape - Settled'!$E$4:$E$55,0),MATCH("Covenant Lite",'Loan Tape - Settled'!$B$4:$AP$4,0))=-1, "Yes", "No")</f>
        <v/>
      </c>
      <c r="BT31" s="1056">
        <f>INDEX('Loan Tape - Settled'!$B$4:$AP$55,MATCH($A31,'Loan Tape - Settled'!$E$4:$E$55,0),MATCH("Spread / Coupon (%)",'Loan Tape - Settled'!$B$4:$AP$4,0))</f>
        <v/>
      </c>
      <c r="BU31" s="556">
        <f>IF(INDEX('Loan Tape - Settled'!$B$4:$AP$55,MATCH($A31,'Loan Tape - Settled'!$E$4:$E$55,0),MATCH("Security Type",'Loan Tape - Settled'!$B$4:$AP$4,0))="Delayed Draw Term Loan", "Yes", "No")</f>
        <v/>
      </c>
      <c r="BV31" s="557" t="inlineStr">
        <is>
          <t>No</t>
        </is>
      </c>
      <c r="BW31" s="557" t="inlineStr">
        <is>
          <t>No</t>
        </is>
      </c>
      <c r="BX31" s="548" t="inlineStr">
        <is>
          <t>No</t>
        </is>
      </c>
      <c r="BY31" s="556">
        <f>IF(INDEX('Loan Tape - Settled'!$B$4:$AP$55,MATCH($A31,'Loan Tape - Settled'!$E$4:$E$55,0),MATCH("Fixed/Floating",'Loan Tape - Settled'!$B$4:$AP$4,0))="Fixed", "Yes", "No")</f>
        <v/>
      </c>
      <c r="BZ31" s="557" t="inlineStr">
        <is>
          <t>No</t>
        </is>
      </c>
      <c r="CA31" s="557" t="inlineStr">
        <is>
          <t>No</t>
        </is>
      </c>
      <c r="CB31" s="556">
        <f>IF(INDEX('Loan Tape - Settled'!$B$4:$AP$55,MATCH($A31,'Loan Tape - Settled'!$E$4:$E$55,0),MATCH("Loan Denomination",'Loan Tape - Settled'!$B$4:$AP$4,0))="CAD", "Yes", "No")</f>
        <v/>
      </c>
      <c r="CC31" s="556">
        <f>INDEX('Loan Tape - Settled'!$B$4:$AP$55,MATCH($A31,'Loan Tape - Settled'!$E$4:$E$55,0),MATCH("Payment Frequency",'Loan Tape - Settled'!$B$4:$AP$4,0))</f>
        <v/>
      </c>
      <c r="CD31" s="557" t="inlineStr">
        <is>
          <t>No</t>
        </is>
      </c>
      <c r="CE31" s="556">
        <f>INDEX('Loan Tape - Settled'!$B$4:$AP$55,MATCH($A31,'Loan Tape - Settled'!$E$4:$E$55,0),MATCH("S&amp;P Loan Rating (if applicable)",'Loan Tape - Settled'!$B$4:$AP$4,0))</f>
        <v/>
      </c>
      <c r="CF31" s="556">
        <f>INDEX('Loan Tape - Settled'!$B$4:$AP$55,MATCH($A31,'Loan Tape - Settled'!$E$4:$E$55,0),MATCH("Moody's Loan Rating (if applicable)",'Loan Tape - Settled'!$B$4:$AP$4,0))</f>
        <v/>
      </c>
      <c r="CG31" s="556" t="n"/>
      <c r="CH31" s="556" t="n"/>
      <c r="CI31" s="1057" t="n"/>
      <c r="CJ31" s="1030">
        <f>INDEX('Loan Tape - Settled'!$B$4:$BF$55,MATCH($A31,'Loan Tape - Settled'!$E$4:$E$55,0),MATCH("Last Financial Received",'Loan Tape - Settled'!$B$4:$BF$4,0))</f>
        <v/>
      </c>
      <c r="CK31" s="559">
        <f>INDEX('Loan Tape - Settled'!$B$4:$BJ$55,MATCH($A31,'Loan Tape - Settled'!$E$4:$E$55,0),MATCH("Initial Adjusted TTM EBITDA",'Loan Tape - Settled'!$B$4:$BJ$4,0))</f>
        <v/>
      </c>
      <c r="CL31" s="559">
        <f>INDEX('Loan Tape - Settled'!$B$4:$BJ$55,MATCH($A31,'Loan Tape - Settled'!$E$4:$E$55,0),MATCH("Initial TTM Non-adjusted EBITDA",'Loan Tape - Settled'!$B$4:$BJ$4,0))</f>
        <v/>
      </c>
      <c r="CM31" s="1031" t="n"/>
      <c r="CN31" s="451" t="n"/>
      <c r="CO31" s="451" t="n"/>
      <c r="CP31" s="1032" t="n"/>
      <c r="CQ31" s="1033" t="inlineStr">
        <is>
          <t>N</t>
        </is>
      </c>
      <c r="CR31" s="1032" t="n"/>
      <c r="CS31" s="454">
        <f>CK31-CP31+CR31</f>
        <v/>
      </c>
      <c r="CT31" s="455">
        <f>1-CS31/CK31</f>
        <v/>
      </c>
      <c r="CU31" s="559">
        <f>INDEX('Loan Tape - Settled'!$B$4:$BJ$55,MATCH($A31,'Loan Tape - Settled'!$E$4:$E$55,0),MATCH("Current TTM Non-adjusted EBITDA",'Loan Tape - Settled'!$B$4:$BJ$4,0))</f>
        <v/>
      </c>
      <c r="CV31" s="456">
        <f>CT31</f>
        <v/>
      </c>
      <c r="CW31" s="1034" t="inlineStr">
        <is>
          <t>N</t>
        </is>
      </c>
      <c r="CX31" s="1035" t="n"/>
      <c r="CY31" s="1036">
        <f>IF(CW31="N",(1-CV31)*CU31,(1-CX31)*CU31)</f>
        <v/>
      </c>
      <c r="CZ31" s="1037" t="n"/>
      <c r="DA31" s="1038" t="n"/>
      <c r="DB31" s="1039" t="n"/>
      <c r="DC31" s="1040" t="n"/>
      <c r="DD31" s="1040">
        <f>INDEX('Loan Tape - Settled'!$B$4:$BJ$55,MATCH($A31,'Loan Tape - Settled'!$E$4:$E$55,0),MATCH("Initial Senior Net Leverage Senior",'Loan Tape - Settled'!$B$4:$BJ$4,0))</f>
        <v/>
      </c>
      <c r="DE31" s="1041">
        <f>INDEX('Loan Tape - Settled'!$B$4:$BJ$55,MATCH($A31,'Loan Tape - Settled'!$E$4:$E$55,0),MATCH("Initial Total Net Leverage",'Loan Tape - Settled'!$B$4:$BJ$4,0))</f>
        <v/>
      </c>
      <c r="DF31" s="1037" t="n"/>
      <c r="DG31" s="1038" t="n"/>
      <c r="DH31" s="1039" t="n"/>
      <c r="DI31" s="1042">
        <f>INDEX('Loan Tape - Settled'!$B$4:$BJ$55,MATCH($A31,'Loan Tape - Settled'!$E$4:$E$55,0),MATCH("Net Attachment",'Loan Tape - Settled'!$B$4:$BJ$4,0))</f>
        <v/>
      </c>
      <c r="DJ31" s="566">
        <f t="array" ref="DJ31">IF(AG31="Yes",INDEX(VAE!$M$5:$M$53,MATCH($B31&amp;$AJ31,VAE!$C$5:$C$53&amp;VAE!$G$5:$G$53,0)),DD31)</f>
        <v/>
      </c>
      <c r="DK31" s="697">
        <f t="array" ref="DK31">IF(AG31="Yes",INDEX(VAE!$N$5:$N$53,MATCH($B31&amp;$AJ31,VAE!$C$5:$C$53&amp;VAE!$G$5:$G$53,0)),DE31)</f>
        <v/>
      </c>
      <c r="DL31" s="1058">
        <f>INDEX('Loan Tape - Settled'!$B$4:$BJ$55,MATCH($A31,'Loan Tape - Settled'!$E$4:$E$55,0),MATCH("Current Senior Net Leverage Senior",'Loan Tape - Settled'!$B$4:$BJ$4,0))</f>
        <v/>
      </c>
      <c r="DM31" s="1059">
        <f>INDEX('Loan Tape - Settled'!$B$4:$BJ$55,MATCH($A31,'Loan Tape - Settled'!$E$4:$E$55,0),MATCH("Current Total Net Leverage",'Loan Tape - Settled'!$B$4:$BJ$4,0))</f>
        <v/>
      </c>
      <c r="DN31" s="1044" t="n"/>
      <c r="DO31" s="1045">
        <f>INDEX('Loan Tape - Settled'!$B$4:$BJ$55,MATCH($A31,'Loan Tape - Settled'!$E$4:$E$55,0),MATCH("Initial Interest Coverage",'Loan Tape - Settled'!$B$4:$BJ$4,0))</f>
        <v/>
      </c>
      <c r="DP31" s="565">
        <f t="array" ref="DP31">IF(AG31="Yes",INDEX(VAE!$O$5:$O$53,MATCH($B31&amp;$AJ31,VAE!$C$5:$C$53&amp;VAE!$G$5:$G$53,0)),DO31)</f>
        <v/>
      </c>
      <c r="DQ31" s="1046">
        <f>INDEX('Loan Tape - Settled'!$B$4:$BJ$55,MATCH($A31,'Loan Tape - Settled'!$E$4:$E$55,0),MATCH("Current Interest Coverage",'Loan Tape - Settled'!$B$4:$BJ$4,0))</f>
        <v/>
      </c>
      <c r="DR31" s="462">
        <f>IF(OR(DU31="Yes",DU31="N/A",DV31="Yes",DV31="N/A",DW31="Yes",DX31="Yes",DY31="Yes",EF31="Yes",EG31="Yes",EH31="Yes"),"Yes","No")</f>
        <v/>
      </c>
      <c r="DS31" s="1047">
        <f>IF(AG31="Yes",DATEDIF(AJ31,Availability!$F$8,"m"),"")</f>
        <v/>
      </c>
      <c r="DT31" s="1047">
        <f>IF(DS31="","No",IF(DS31&gt;12,"Yes","No"))</f>
        <v/>
      </c>
      <c r="DU31" s="695">
        <f>IFERROR(IF(AND(DQ31/DP31&lt;0.75,DQ31&lt;1.5),"Yes","No"),"N/A")</f>
        <v/>
      </c>
      <c r="DV31" s="696">
        <f>IFERROR(IF(OR(D31="First Lien",D31="FILO"),IF(AND((DL31-DJ31)&gt;0.75,DL31&gt;4),"Yes","No"),"No"),"N/A")</f>
        <v/>
      </c>
      <c r="DW31" s="696">
        <f t="array" ref="DW31">_xlfn.IFS(D31&lt;&gt;"Second Lien","No",D31="Second Lien",IF(AND((DM31-DK31)&gt;0.5,DM31&gt;4.5),"Yes","No"))</f>
        <v/>
      </c>
      <c r="DX31" s="735" t="inlineStr">
        <is>
          <t>No</t>
        </is>
      </c>
      <c r="DY31" s="735" t="inlineStr">
        <is>
          <t>No</t>
        </is>
      </c>
      <c r="DZ31" s="1048" t="inlineStr">
        <is>
          <t>No</t>
        </is>
      </c>
      <c r="EA31" s="1048" t="inlineStr">
        <is>
          <t>No</t>
        </is>
      </c>
      <c r="EB31" s="1048" t="inlineStr">
        <is>
          <t>No</t>
        </is>
      </c>
      <c r="EC31" s="1048" t="inlineStr">
        <is>
          <t>No</t>
        </is>
      </c>
      <c r="ED31" s="1048" t="inlineStr">
        <is>
          <t>No</t>
        </is>
      </c>
      <c r="EE31" s="1048" t="inlineStr">
        <is>
          <t>No</t>
        </is>
      </c>
      <c r="EF31" s="442">
        <f>IF(OR(DZ31="Yes",EA31="Yes",EB31="Yes",EC31="Yes",ED31="Yes",EE31="Yes"),"Yes","No")</f>
        <v/>
      </c>
      <c r="EG31" s="1048" t="inlineStr">
        <is>
          <t>No</t>
        </is>
      </c>
      <c r="EH31" s="1049" t="inlineStr">
        <is>
          <t>No</t>
        </is>
      </c>
      <c r="EI31" s="1050">
        <f t="array" ref="EI31">IF(D31="First Lien",_xlfn.IFS(CY31&gt;AGENT!$B$23, "&gt; $20MM",CY31&lt;=AGENT!$C$25, "&lt;= $10MM",AND(CY31&lt;=AGENT!$C$24,CY31&gt;AGENT!$B$24),"&lt;= $20MM"), "N/A")</f>
        <v/>
      </c>
      <c r="EJ31" s="1050">
        <f t="array" ref="EJ31">IF(D31="FILO",_xlfn.IFS(DI31&gt;AGENT!$B$29, "&gt; 1.25x",DI31&lt;AGENT!$C$27, "&lt; 0.75x",AND(DI31&lt;=AGENT!$C$28,DI31&gt;=AGENT!$B$28),"&lt;= 1.25x"), "N/A")</f>
        <v/>
      </c>
      <c r="EK31" s="1051">
        <f>V31</f>
        <v/>
      </c>
      <c r="EL31" s="1051">
        <f>'Concentration Limits'!$J$49</f>
        <v/>
      </c>
      <c r="EM31" s="1051">
        <f>IF(OR(D31="Second Lien",AND(D31="FILO",DI31&gt;AGENT!$C$57)), "Yes", "No")</f>
        <v/>
      </c>
      <c r="EN31" s="1051">
        <f>IF(EM31="Yes",SUMIF(EM:EM,"Yes",EK:EK),0)</f>
        <v/>
      </c>
      <c r="EO31" s="1051">
        <f>IF(EN31&gt;EL31,(EN31-EL31)*(EK31/SUMIF(EM:EM,"Yes",EK:EK)),0)</f>
        <v/>
      </c>
      <c r="EP31" s="1051">
        <f>MAX(0,EK31-EO31)</f>
        <v/>
      </c>
      <c r="EQ31" s="1051">
        <f>'Concentration Limits'!$J$50</f>
        <v/>
      </c>
      <c r="ER31" s="1051">
        <f>IF(D31="Second Lien",SUMIF(D:D,D31,EP:EP),0)</f>
        <v/>
      </c>
      <c r="ES31" s="1051">
        <f>MAX(0,(ER31-EQ31)*IFERROR((EP31/SUMIF($D:$D,D31,EP:EP )),0) )</f>
        <v/>
      </c>
      <c r="ET31" s="1051">
        <f>MAX(0,EP31-ES31)</f>
        <v/>
      </c>
      <c r="EU31" s="1051">
        <f>'Concentration Limits'!$J$51</f>
        <v/>
      </c>
      <c r="EV31" s="1051">
        <f>IF(OR(D31="Second Lien", AND(D31="FILO",DI31&gt;AGENT!$C$59)), "Yes", "No")</f>
        <v/>
      </c>
      <c r="EW31" s="1051">
        <f>IF(EV31="Yes",SUMIF(EV:EV,"Yes",ET:ET),0)</f>
        <v/>
      </c>
      <c r="EX31" s="1051">
        <f>IF(EW31&gt;EU31,(EW31-EU31)*(ET31/SUMIF(EV:EV,"Yes",ET:ET)),0)</f>
        <v/>
      </c>
      <c r="EY31" s="1051">
        <f>MAX(0,ET31-EX31)</f>
        <v/>
      </c>
      <c r="EZ31" s="1051">
        <f>'Concentration Limits'!$J$52</f>
        <v/>
      </c>
      <c r="FA31" s="1051">
        <f>IF(CY31&gt;'Concentration Limits'!$E$52, "No", "Yes")</f>
        <v/>
      </c>
      <c r="FB31" s="1051">
        <f>IF(FA31="Yes",SUMIF(FA:FA,"Yes",EY:EY),0)</f>
        <v/>
      </c>
      <c r="FC31" s="1051">
        <f>IF(FB31&gt;EZ31,(FB31-EZ31)*(EY31/SUMIF(FA:FA,"Yes",EY:EY)),0)</f>
        <v/>
      </c>
      <c r="FD31" s="1051">
        <f>MAX(0,EY31-FC31)</f>
        <v/>
      </c>
      <c r="FE31" s="1052">
        <f>'Concentration Limits'!$J$54</f>
        <v/>
      </c>
      <c r="FF31" s="1052">
        <f>'Concentration Limits'!$J$55</f>
        <v/>
      </c>
      <c r="FG31" s="1052">
        <f>'Concentration Limits'!$J$56</f>
        <v/>
      </c>
      <c r="FH31" s="1053">
        <f>'Concentration Limits'!$J$57</f>
        <v/>
      </c>
      <c r="FI31" s="1053">
        <f>SUMIF($B:$B,$B31,$FD:$FD)</f>
        <v/>
      </c>
      <c r="FJ31" s="1053">
        <f>IF(MATCH($B31,$B:$B,0)=ROW(),$FI31,0)</f>
        <v/>
      </c>
      <c r="FK31" s="1053">
        <f>INDEX(FL$8:FL$60,MATCH(B31,B$8:B$60,0))</f>
        <v/>
      </c>
      <c r="FL31" s="1053">
        <f>IF(FJ31&gt;0,RANK(FJ31,$FJ$9:$FJ$60)+COUNTIF($FJ$9:FJ31,FJ31)-1,0)</f>
        <v/>
      </c>
      <c r="FM31" s="1052">
        <f>IF(FK31=1,IF(FI31&gt;FE31,(FI31-FE31)*(V31/SUMIF($B:$B,B31,$FD:$FD)),0),0)</f>
        <v/>
      </c>
      <c r="FN31" s="1052">
        <f>IF(FK31=2,IF(FI31&gt;FF31,(FI31-FF31)*(V31/SUMIF($B:$B,B31,$FD:$FD)),0),0)</f>
        <v/>
      </c>
      <c r="FO31" s="1052">
        <f>IF(FK31=3,IF(FI31&gt;FG31,(FI31-FG31)*(V31/SUMIF($B:$B,B31,$FD:$FD)),0),0)</f>
        <v/>
      </c>
      <c r="FP31" s="1053">
        <f>IF(FK31&gt;0,IF(FI31&gt;FH31,(FI31-FH31)*(FD31/(SUMIF($B:$B,$B31,$FD:$FD))),0),0)</f>
        <v/>
      </c>
      <c r="FQ31" s="1053">
        <f>MAX(0,FD31-FM31-FN31-FO31-FP31)</f>
        <v/>
      </c>
      <c r="FR31" s="1053">
        <f>'Concentration Limits'!$J$58</f>
        <v/>
      </c>
      <c r="FS31" s="1053">
        <f>SUMIF($BR:$BR,$BR31,FQ:FQ)</f>
        <v/>
      </c>
      <c r="FT31" s="1053">
        <f>VLOOKUP(BR31,'Concentration Limits'!$E$81:$H$153,4,FALSE)</f>
        <v/>
      </c>
      <c r="FU31" s="1053">
        <f>IF(FT31=1,MAX(0,(FS31-FR31)*(FQ31/SUMIF($BR:$BR,BR31,FQ:FQ))),0)</f>
        <v/>
      </c>
      <c r="FV31" s="1053">
        <f>MAX(0,FQ31-FU31)</f>
        <v/>
      </c>
      <c r="FW31" s="1053">
        <f>'Concentration Limits'!$J$59</f>
        <v/>
      </c>
      <c r="FX31" s="1053">
        <f>SUMIF($BR:$BR,$BR31,FV:FV)</f>
        <v/>
      </c>
      <c r="FY31" s="1053">
        <f>VLOOKUP(BR31,'Concentration Limits'!$E$81:$H$153,4,FALSE)</f>
        <v/>
      </c>
      <c r="FZ31" s="1053">
        <f>MAX(0,IF(FY31=2,(FX31-FW31)*(FV31/SUMIF($BR:$BR,BR31,FV:FV)),0))</f>
        <v/>
      </c>
      <c r="GA31" s="1053">
        <f>MAX(0,FV31-FZ31)</f>
        <v/>
      </c>
      <c r="GB31" s="1053">
        <f>'Concentration Limits'!$J$61</f>
        <v/>
      </c>
      <c r="GC31" s="1053">
        <f>SUMIF($BR:$BR,$BR31,GA:GA)</f>
        <v/>
      </c>
      <c r="GD31" s="1051">
        <f>VLOOKUP(BR31,'Concentration Limits'!$E$81:$H$153,4,FALSE)</f>
        <v/>
      </c>
      <c r="GE31" s="1053">
        <f>IF(GA31=0,0,MAX(0,IF(GD31&lt;3,0,(GC31-GB31)*($GA31/SUMIF($BR:$BR,BR31,GA:GA)))))</f>
        <v/>
      </c>
      <c r="GF31" s="1053">
        <f>MAX(0,GA31-GE31)</f>
        <v/>
      </c>
      <c r="GG31" s="1053">
        <f>'Concentration Limits'!$J$64</f>
        <v/>
      </c>
      <c r="GH31" s="1053">
        <f>IF(BY31="Yes",SUMIF(BY:BY,BY31,GF:GF),0)</f>
        <v/>
      </c>
      <c r="GI31" s="1053">
        <f>IFERROR(MAX(0,(GH31-GG31)*(GF31/SUMIF($T:$T,T31,GF:GF ))),0)</f>
        <v/>
      </c>
      <c r="GJ31" s="1053">
        <f>MAX(0,GF31-GI31)</f>
        <v/>
      </c>
      <c r="GK31" s="1053">
        <f>'Concentration Limits'!$J$67</f>
        <v/>
      </c>
      <c r="GL31" s="1051">
        <f>IF(OR(BV31="Yes",OR(ISNUMBER(SEARCH("Travel",BR31)),ISNUMBER(SEARCH("Energy",BR31)),ISNUMBER(SEARCH("Leisure",BR31)),ISNUMBER(SEARCH("hotel",BR31)))),"Yes","No")</f>
        <v/>
      </c>
      <c r="GM31" s="1053">
        <f>IF(GL31="Yes",SUMIF(GL:GL,"Yes",GJ:GJ),0)</f>
        <v/>
      </c>
      <c r="GN31" s="1053">
        <f>IF(GM31&gt;GK31,(GM31-GK31)*(GJ31/SUMIF(GL:GL,"Yes",GJ:GJ)),0)</f>
        <v/>
      </c>
      <c r="GO31" s="1053">
        <f>MAX(0,GJ31-GN31)</f>
        <v/>
      </c>
      <c r="GP31" s="1053">
        <f>'Concentration Limits'!$J$68</f>
        <v/>
      </c>
      <c r="GQ31" s="1051">
        <f>IF(BU31="Yes","Yes", "No")</f>
        <v/>
      </c>
      <c r="GR31" s="1053">
        <f>IF(GQ31="Yes",SUMIF(GQ:GQ,"Yes",GO:GO),0)</f>
        <v/>
      </c>
      <c r="GS31" s="1053">
        <f>IF(GR31&gt;GP31,(GR31-GP31)*(GO31/SUMIF(GQ:GQ,"Yes",GO:GO)),0)</f>
        <v/>
      </c>
      <c r="GT31" s="1053">
        <f>MAX(0,GO31-GS31)</f>
        <v/>
      </c>
      <c r="GU31" s="1051">
        <f>'Concentration Limits'!$J$69</f>
        <v/>
      </c>
      <c r="GV31" s="1051">
        <f>IF(BW31="Yes", "Yes", "No")</f>
        <v/>
      </c>
      <c r="GW31" s="1051">
        <f>IF(GV31="Yes",SUMIF(GV:GV,"Yes",GT:GT),0)</f>
        <v/>
      </c>
      <c r="GX31" s="1051">
        <f>IF(GW31&gt;GU31,(GW31-GU31)*(GT31/SUMIF(GV:GV,"Yes",GT:GT)),0)</f>
        <v/>
      </c>
      <c r="GY31" s="1051">
        <f>MAX(0,GT31-GX31)</f>
        <v/>
      </c>
      <c r="GZ31" s="1051">
        <f>'Concentration Limits'!$J$70</f>
        <v/>
      </c>
      <c r="HA31" s="1051">
        <f>IF(BX31="Yes", "Yes", "No")</f>
        <v/>
      </c>
      <c r="HB31" s="1051">
        <f>IF(HA31="Yes",SUMIF(HA:HA,"Yes",GY:GY),0)</f>
        <v/>
      </c>
      <c r="HC31" s="1051">
        <f>IF(HB31&gt;GZ31,(HB31-GZ31)*(GY31/SUMIF(HA:HA,"Yes",GY:GY)),0)</f>
        <v/>
      </c>
      <c r="HD31" s="1051">
        <f>MAX(0,GY31-HC31)</f>
        <v/>
      </c>
      <c r="HE31" s="1053">
        <f>IF(AQ31=0,0,HD31*AQ31/(AQ31+AR31))</f>
        <v/>
      </c>
      <c r="HF31" s="1053">
        <f>IF(AR31=0,0,HD31*AR31/(AQ31+AR31))</f>
        <v/>
      </c>
      <c r="HG31" s="1053">
        <f>IF(AW31=0,0,HD31*AW31/(AW31+AX31))</f>
        <v/>
      </c>
      <c r="HH31" s="1053">
        <f>IF(AX31=0,0,HD31*AX31/(AX31+AW31))</f>
        <v/>
      </c>
      <c r="HI31" s="1053">
        <f>IF(BE31=0,0,#REF!*BE31/(BE31+BG31))</f>
        <v/>
      </c>
      <c r="HJ31" s="1053">
        <f>IF(BG31=0,0,#REF!*BG31/(BG31+BE31))</f>
        <v/>
      </c>
      <c r="HK31" s="1054">
        <f>IF(BF31=0,0,#REF!*BF31/(BF31+BH31))</f>
        <v/>
      </c>
      <c r="HL31" s="1053">
        <f>IF(BH31=0,0,#REF!*BH31/(BH31+BF31))</f>
        <v/>
      </c>
      <c r="HM31" s="1053">
        <f>IF(D31="Second Lien",HD31,0)</f>
        <v/>
      </c>
      <c r="HN31" s="1053">
        <f>SUM(HE31:HM31)=HD31</f>
        <v/>
      </c>
    </row>
    <row r="32" ht="12.75" customFormat="1" customHeight="1" s="469">
      <c r="A32" s="55">
        <f>A31+1</f>
        <v/>
      </c>
      <c r="B32" s="437">
        <f>INDEX('Loan Tape - Settled'!$B$4:$AP$55,MATCH($A32,'Loan Tape - Settled'!$E$4:$E$55,0),MATCH("Obligor Name",'Loan Tape - Settled'!$B$4:$AM$4,0))</f>
        <v/>
      </c>
      <c r="C32" s="437">
        <f>INDEX('Loan Tape - Settled'!$B$4:$AP$55,MATCH($A32,'Loan Tape - Settled'!$E$4:$E$55,0),MATCH("Security",'Loan Tape - Settled'!$B$4:$AM$4,0))</f>
        <v/>
      </c>
      <c r="D32" s="438">
        <f>INDEX('Loan Tape - Settled'!$B$4:$AP$55,MATCH($A32,'Loan Tape - Settled'!$E$4:$E$55,0),MATCH("Loan Type",'Loan Tape - Settled'!$B$4:$AM$4,0))</f>
        <v/>
      </c>
      <c r="E32" s="439">
        <f>IF(ISERROR(MATCH(D32,AGENT!$A$4:$A$10,0))=FALSE, TRUE)</f>
        <v/>
      </c>
      <c r="F32" s="439">
        <f>IF(AND(BZ32="no",CA32="no"),TRUE)</f>
        <v/>
      </c>
      <c r="G32" s="439">
        <f>IF(D32&lt;&gt;"Second Lien",TRUE, IF(CY32&gt;=AGENT!$B$4,TRUE))</f>
        <v/>
      </c>
      <c r="H32" s="439">
        <f>IF(DE32&lt;=AGENT!$D$4,TRUE)</f>
        <v/>
      </c>
      <c r="I32" s="439">
        <f>IF(VLOOKUP(CONCATENATE($A$5,A32),'Loan Tape - Settled'!$A$5:$Q$55,17,FALSE)&gt;=AGENT!$E$4,TRUE)</f>
        <v/>
      </c>
      <c r="J32" s="439">
        <f>IF(INDEX('Loan Tape - Settled'!$B$4:$AP$55,MATCH($A32,'Loan Tape - Settled'!$E$4:$E$55,0),MATCH("Loan Denomination",'Loan Tape - Settled'!$B$4:$AP$4,0))="USD", TRUE)</f>
        <v/>
      </c>
      <c r="K32" s="439">
        <f>IF(INDEX('Loan Tape - Settled'!$B$4:$AP$55,MATCH($A32,'Loan Tape - Settled'!$E$4:$E$55,0),MATCH("Exposure Country",'Loan Tape - Settled'!$B$4:$AP$4,0))="United States", TRUE)</f>
        <v/>
      </c>
      <c r="L32" s="439">
        <f>IF(BS32="NO",TRUE)</f>
        <v/>
      </c>
      <c r="M32" s="439">
        <f>IF(((BM32-BL32)/365)&lt;=AGENT!$F$4,TRUE)</f>
        <v/>
      </c>
      <c r="N32" s="439">
        <f>IF(DX32="Yes",FALSE,TRUE)</f>
        <v/>
      </c>
      <c r="O32" s="493" t="n"/>
      <c r="P32" s="764">
        <f>IF($B32="","",IF(OR(O32=TRUE,COUNTIFS($E32:$N32,TRUE)=10),"Yes","No"))</f>
        <v/>
      </c>
      <c r="Q32" s="730" t="inlineStr">
        <is>
          <t>Yes</t>
        </is>
      </c>
      <c r="R32" s="440">
        <f>IF(P32="Yes",B32,"N/A")</f>
        <v/>
      </c>
      <c r="S32" s="440" t="n"/>
      <c r="T32" s="441">
        <f t="array" ref="T32">_xlfn.IFS(D32="Second Lien",D32,D32="First Lien",CONCATENATE(D32," ",EI32),D32="FILO",CONCATENATE(D32," ",EJ32))</f>
        <v/>
      </c>
      <c r="U32" s="442">
        <f>VLOOKUP(T32,'Concentration Limits'!D:G,4,FALSE)</f>
        <v/>
      </c>
      <c r="V32" s="1020">
        <f>AQ32+AW32+BI32</f>
        <v/>
      </c>
      <c r="W32" s="1021">
        <f>(SUMIFS('Loan Tape - Settled'!$AR$4:$AR$55,'Loan Tape - Settled'!$E$4:$E$55,$A32,'Loan Tape - Settled'!$C$4:$C$55,$A$5))</f>
        <v/>
      </c>
      <c r="X32" s="1022" t="n">
        <v>1</v>
      </c>
      <c r="Y32" s="1023">
        <f>W32*X32</f>
        <v/>
      </c>
      <c r="Z32" s="1022">
        <f>(SUMIFS('Loan Tape - Settled'!$AQ$4:$AQ$55,'Loan Tape - Settled'!$E$4:$E$55,$A32,'Loan Tape - Settled'!$C$4:$C$55,$A$5))</f>
        <v/>
      </c>
      <c r="AA32" s="1023">
        <f>Z32*X32</f>
        <v/>
      </c>
      <c r="AB32" s="1023">
        <f>AA32-Y32</f>
        <v/>
      </c>
      <c r="AC32" s="490">
        <f>VLOOKUP(CONCATENATE($A$5,A32),'Loan Tape - Settled'!$A$5:$Q$55,17,FALSE)</f>
        <v/>
      </c>
      <c r="AD32" s="445" t="n"/>
      <c r="AE32" s="446">
        <f>INDEX('Loan Tape - Settled'!$B$4:$AP$55,MATCH($A32,'Loan Tape - Settled'!$E$4:$E$55,0),MATCH("FMV",'Loan Tape - Settled'!$B$4:$AM$4,0))</f>
        <v/>
      </c>
      <c r="AF32" s="446">
        <f t="array" ref="AF32">_xlfn.IFS(D32="First Lien",
_xlfn.IFS(AND(DL32&gt;0,DL32&lt;Tier_1_1L),Tier_1_ApplicableValue,
AND(DL32&gt;=Tier_1_1L,DL32&lt;Tier_2_1L),((Tier_1_1L/DL32)*Tier_1_ApplicableValue)+((DL32-Tier_1_1L)/DL32*Tier_2_ApplicableValue),
AND(DL32&gt;=Tier_2_1L, DL32&lt;Tier_3_1L),((Tier_1_1L/DL32)*Tier_1_ApplicableValue+(Tier_2_1L-Tier_1_1L)/DL32*Tier_2_ApplicableValue+(DL32-Tier_2_1L)/DL32*Tier_3_ApplicableValue),
AND(DL32&gt;=Tier_3_1L, DL32&lt;=Tier_totalzerovalue),((Tier_1_1L/DL32)*Tier_1_ApplicableValue+(Tier_2_1L-Tier_1_1L)/DL32*Tier_2_ApplicableValue+(Tier_3_1L-Tier_2_1L)/DL32*Tier_3_ApplicableValue+(DL32-Tier_partialzerovalue)/DL32*0%),
DL32&gt;Tier_totalzerovalue,0%),
OR(D32="Second Lien", D32="FILO"),
_xlfn.IFS(AND(DM32&gt;0,DM32&lt;Tier_1_2L),Tier_1_ApplicableValue,
AND(DM32&gt;=Tier_1_2L,DM32&lt;Tier_2_2L),((Tier_1_2L/DM32)*Tier_1_ApplicableValue)+((DM32-Tier_1_2L)/DM32*Tier_2_ApplicableValue),
AND(DM32&gt;=Tier_2_2L, DM32&lt;Tier_3_2L),((Tier_1_2L/DM32)*Tier_1_ApplicableValue+(Tier_2_2L-Tier_1_2L)/DM32*Tier_2_ApplicableValue+(DM32-Tier_2_2L)/DM32*Tier_3_ApplicableValue),
AND(DM32&gt;=Tier_3_2L, DM32&lt;=Tier_totalzerovalue),((Tier_1_2L/DM32)*Tier_1_ApplicableValue+(Tier_2_2L-Tier_1_2L)/DM32*Tier_2_ApplicableValue+(Tier_3_2L-Tier_2_2L)/DM32*Tier_3_ApplicableValue+(DM32-Tier_partialzerovalue)/DM32*0%),
DM32&gt;Tier_totalzerovalue,0%))</f>
        <v/>
      </c>
      <c r="AG32" s="447">
        <f>IF(COUNTIFS(VAE!$C$5:$C$96,B32,VAE!$G$5:$G$96,"&lt;="&amp;Availability!$F$8)&gt;=1,"Yes","-")</f>
        <v/>
      </c>
      <c r="AH32" s="447">
        <f t="array" ref="AH32">IFERROR(IF(AG32="Yes",INDEX(VAE!$D$5:$D$96,MATCH(B32&amp;AJ32,VAE!$C$5:$C$96&amp;VAE!$G$5:$G$96,0)),"-"),0)</f>
        <v/>
      </c>
      <c r="AI32" s="447">
        <f t="array" ref="AI32">IFERROR(IF(AG32="Yes",INDEX(VAE!$F$5:$F$96,MATCH(B32&amp;AJ32,VAE!$C$5:$C$96&amp;VAE!$G$5:$G$96,0)),"-"),0)</f>
        <v/>
      </c>
      <c r="AJ32" s="448">
        <f>IF(AG32="-","-",_xlfn.MAXIFS(VAE!$G$5:$G$96,VAE!$C$5:$C$96,$B32))</f>
        <v/>
      </c>
      <c r="AK32" s="766">
        <f t="array" ref="AK32">IFERROR(IF(AG32="Yes",INDEX(VAE!$P$5:$P$96,MATCH(B32&amp;AJ32,VAE!$C$5:$C$96&amp;VAE!$G$5:$G$96,0)),"-"),0)</f>
        <v/>
      </c>
      <c r="AL32" s="446">
        <f>IF($A32="","",IF(P32="No",0,(IF(AG32="Yes",MIN(AE32,AK32,AF32),MIN(AE32,AF32)))))</f>
        <v/>
      </c>
      <c r="AM32" s="1020" t="n"/>
      <c r="AN32" s="1020" t="n"/>
      <c r="AO32" s="1020">
        <f>IF(AND(D32="First Lien",P32="No"),0,IF(D32&lt;&gt;"First Lien",0,Y32))</f>
        <v/>
      </c>
      <c r="AP32" s="1020">
        <f>IF(AND(D32="First Lien",P32="No"),W32,0)</f>
        <v/>
      </c>
      <c r="AQ32" s="1020">
        <f>AL32*AO32</f>
        <v/>
      </c>
      <c r="AR32" s="1020" t="n"/>
      <c r="AS32" s="1020" t="n"/>
      <c r="AT32" s="1020" t="n"/>
      <c r="AU32" s="1020">
        <f>IF(AND(D32="FILO",P32="No"),0,IF(D32&lt;&gt;"FILO",0,Y32))</f>
        <v/>
      </c>
      <c r="AV32" s="1020">
        <f>IF(AND(D32="FILO",P32="No"),W32,0)</f>
        <v/>
      </c>
      <c r="AW32" s="1020">
        <f>AU32*AL32</f>
        <v/>
      </c>
      <c r="AX32" s="1020" t="n"/>
      <c r="AY32" s="1020" t="n"/>
      <c r="AZ32" s="1020" t="n"/>
      <c r="BA32" s="1020">
        <f>IF(AND(OR(D32="First Lien",D32="FILO"),P32="No"),0,IF(OR(D32="First Lien",D32="FILO"),0,(Y32)))</f>
        <v/>
      </c>
      <c r="BB32" s="1020" t="n"/>
      <c r="BC32" s="1020" t="n"/>
      <c r="BD32" s="1020">
        <f>IF(AND(D32="Second Lien",P32="No"),W32,0)</f>
        <v/>
      </c>
      <c r="BE32" s="1020" t="n"/>
      <c r="BF32" s="1020" t="n"/>
      <c r="BG32" s="1020" t="n"/>
      <c r="BH32" s="1020" t="n"/>
      <c r="BI32" s="1020">
        <f>IF(D32="Second Lien",BA32*AL32,0)</f>
        <v/>
      </c>
      <c r="BJ32" s="1020">
        <f>SUM(AM32:AP32)+SUM(AZ32:BD32)+SUM(AS32:AV32)=Y32</f>
        <v/>
      </c>
      <c r="BK32" s="1026">
        <f>INDEX('Loan Tape - Settled'!$B$4:$AP$55,MATCH($A32,'Loan Tape - Settled'!$E$4:$E$55,0),MATCH("Inception Date",'Loan Tape - Settled'!$B$4:$AP$4,0))</f>
        <v/>
      </c>
      <c r="BL32" s="1026">
        <f>INDEX('Loan Tape - Settled'!$B$4:$AP$55,MATCH($A32,'Loan Tape - Settled'!$E$4:$E$55,0),MATCH("Inclusion Date",'Loan Tape - Settled'!$B$4:$AP$4,0))</f>
        <v/>
      </c>
      <c r="BM32" s="1026">
        <f>INDEX('Loan Tape - Settled'!$B$4:$AP$55,MATCH($A32,'Loan Tape - Settled'!$E$4:$E$55,0),MATCH("Maturity Date",'Loan Tape - Settled'!$B$4:$AP$4,0))</f>
        <v/>
      </c>
      <c r="BN32" s="556" t="n"/>
      <c r="BO32" s="556" t="n"/>
      <c r="BP32" s="1055" t="n"/>
      <c r="BQ32" s="556" t="n"/>
      <c r="BR32" s="554">
        <f>INDEX('Loan Tape - Settled'!$B$4:$AP$55,MATCH($A32,'Loan Tape - Settled'!$E$4:$E$55,0),MATCH("Industry Classification",'Loan Tape - Settled'!$B$4:$AP$4,0))</f>
        <v/>
      </c>
      <c r="BS32" s="556">
        <f>IF(INDEX('Loan Tape - Settled'!$B$4:$AP$55,MATCH($A32,'Loan Tape - Settled'!$E$4:$E$55,0),MATCH("Covenant Lite",'Loan Tape - Settled'!$B$4:$AP$4,0))=-1, "Yes", "No")</f>
        <v/>
      </c>
      <c r="BT32" s="1056">
        <f>INDEX('Loan Tape - Settled'!$B$4:$AP$55,MATCH($A32,'Loan Tape - Settled'!$E$4:$E$55,0),MATCH("Spread / Coupon (%)",'Loan Tape - Settled'!$B$4:$AP$4,0))</f>
        <v/>
      </c>
      <c r="BU32" s="556">
        <f>IF(INDEX('Loan Tape - Settled'!$B$4:$AP$55,MATCH($A32,'Loan Tape - Settled'!$E$4:$E$55,0),MATCH("Security Type",'Loan Tape - Settled'!$B$4:$AP$4,0))="Delayed Draw Term Loan", "Yes", "No")</f>
        <v/>
      </c>
      <c r="BV32" s="557" t="inlineStr">
        <is>
          <t>No</t>
        </is>
      </c>
      <c r="BW32" s="557" t="inlineStr">
        <is>
          <t>No</t>
        </is>
      </c>
      <c r="BX32" s="548" t="inlineStr">
        <is>
          <t>No</t>
        </is>
      </c>
      <c r="BY32" s="556">
        <f>IF(INDEX('Loan Tape - Settled'!$B$4:$AP$55,MATCH($A32,'Loan Tape - Settled'!$E$4:$E$55,0),MATCH("Fixed/Floating",'Loan Tape - Settled'!$B$4:$AP$4,0))="Fixed", "Yes", "No")</f>
        <v/>
      </c>
      <c r="BZ32" s="557" t="inlineStr">
        <is>
          <t>No</t>
        </is>
      </c>
      <c r="CA32" s="557" t="inlineStr">
        <is>
          <t>No</t>
        </is>
      </c>
      <c r="CB32" s="556">
        <f>IF(INDEX('Loan Tape - Settled'!$B$4:$AP$55,MATCH($A32,'Loan Tape - Settled'!$E$4:$E$55,0),MATCH("Loan Denomination",'Loan Tape - Settled'!$B$4:$AP$4,0))="CAD", "Yes", "No")</f>
        <v/>
      </c>
      <c r="CC32" s="556">
        <f>INDEX('Loan Tape - Settled'!$B$4:$AP$55,MATCH($A32,'Loan Tape - Settled'!$E$4:$E$55,0),MATCH("Payment Frequency",'Loan Tape - Settled'!$B$4:$AP$4,0))</f>
        <v/>
      </c>
      <c r="CD32" s="557" t="inlineStr">
        <is>
          <t>No</t>
        </is>
      </c>
      <c r="CE32" s="556">
        <f>INDEX('Loan Tape - Settled'!$B$4:$AP$55,MATCH($A32,'Loan Tape - Settled'!$E$4:$E$55,0),MATCH("S&amp;P Loan Rating (if applicable)",'Loan Tape - Settled'!$B$4:$AP$4,0))</f>
        <v/>
      </c>
      <c r="CF32" s="556">
        <f>INDEX('Loan Tape - Settled'!$B$4:$AP$55,MATCH($A32,'Loan Tape - Settled'!$E$4:$E$55,0),MATCH("Moody's Loan Rating (if applicable)",'Loan Tape - Settled'!$B$4:$AP$4,0))</f>
        <v/>
      </c>
      <c r="CG32" s="556" t="n"/>
      <c r="CH32" s="556" t="n"/>
      <c r="CI32" s="1057" t="n"/>
      <c r="CJ32" s="1030">
        <f>INDEX('Loan Tape - Settled'!$B$4:$BF$55,MATCH($A32,'Loan Tape - Settled'!$E$4:$E$55,0),MATCH("Last Financial Received",'Loan Tape - Settled'!$B$4:$BF$4,0))</f>
        <v/>
      </c>
      <c r="CK32" s="559">
        <f>INDEX('Loan Tape - Settled'!$B$4:$BJ$55,MATCH($A32,'Loan Tape - Settled'!$E$4:$E$55,0),MATCH("Initial Adjusted TTM EBITDA",'Loan Tape - Settled'!$B$4:$BJ$4,0))</f>
        <v/>
      </c>
      <c r="CL32" s="559">
        <f>INDEX('Loan Tape - Settled'!$B$4:$BJ$55,MATCH($A32,'Loan Tape - Settled'!$E$4:$E$55,0),MATCH("Initial TTM Non-adjusted EBITDA",'Loan Tape - Settled'!$B$4:$BJ$4,0))</f>
        <v/>
      </c>
      <c r="CM32" s="1031" t="n"/>
      <c r="CN32" s="451" t="n"/>
      <c r="CO32" s="451" t="n"/>
      <c r="CP32" s="1032" t="n"/>
      <c r="CQ32" s="1033" t="inlineStr">
        <is>
          <t>N</t>
        </is>
      </c>
      <c r="CR32" s="1032" t="n"/>
      <c r="CS32" s="454">
        <f>CK32-CP32+CR32</f>
        <v/>
      </c>
      <c r="CT32" s="455">
        <f>1-CS32/CK32</f>
        <v/>
      </c>
      <c r="CU32" s="559">
        <f>INDEX('Loan Tape - Settled'!$B$4:$BJ$55,MATCH($A32,'Loan Tape - Settled'!$E$4:$E$55,0),MATCH("Current TTM Non-adjusted EBITDA",'Loan Tape - Settled'!$B$4:$BJ$4,0))</f>
        <v/>
      </c>
      <c r="CV32" s="456">
        <f>CT32</f>
        <v/>
      </c>
      <c r="CW32" s="1034" t="inlineStr">
        <is>
          <t>N</t>
        </is>
      </c>
      <c r="CX32" s="1035" t="n"/>
      <c r="CY32" s="1036">
        <f>IF(CW32="N",(1-CV32)*CU32,(1-CX32)*CU32)</f>
        <v/>
      </c>
      <c r="CZ32" s="1037" t="n"/>
      <c r="DA32" s="1038" t="n"/>
      <c r="DB32" s="1039" t="n"/>
      <c r="DC32" s="1040" t="n"/>
      <c r="DD32" s="1040">
        <f>INDEX('Loan Tape - Settled'!$B$4:$BJ$55,MATCH($A32,'Loan Tape - Settled'!$E$4:$E$55,0),MATCH("Initial Senior Net Leverage Senior",'Loan Tape - Settled'!$B$4:$BJ$4,0))</f>
        <v/>
      </c>
      <c r="DE32" s="1041">
        <f>INDEX('Loan Tape - Settled'!$B$4:$BJ$55,MATCH($A32,'Loan Tape - Settled'!$E$4:$E$55,0),MATCH("Initial Total Net Leverage",'Loan Tape - Settled'!$B$4:$BJ$4,0))</f>
        <v/>
      </c>
      <c r="DF32" s="1037" t="n"/>
      <c r="DG32" s="1038" t="n"/>
      <c r="DH32" s="1039" t="n"/>
      <c r="DI32" s="1042">
        <f>INDEX('Loan Tape - Settled'!$B$4:$BJ$55,MATCH($A32,'Loan Tape - Settled'!$E$4:$E$55,0),MATCH("Net Attachment",'Loan Tape - Settled'!$B$4:$BJ$4,0))</f>
        <v/>
      </c>
      <c r="DJ32" s="566">
        <f t="array" ref="DJ32">IF(AG32="Yes",INDEX(VAE!$M$5:$M$53,MATCH($B32&amp;$AJ32,VAE!$C$5:$C$53&amp;VAE!$G$5:$G$53,0)),DD32)</f>
        <v/>
      </c>
      <c r="DK32" s="697">
        <f t="array" ref="DK32">IF(AG32="Yes",INDEX(VAE!$N$5:$N$53,MATCH($B32&amp;$AJ32,VAE!$C$5:$C$53&amp;VAE!$G$5:$G$53,0)),DE32)</f>
        <v/>
      </c>
      <c r="DL32" s="1058">
        <f>INDEX('Loan Tape - Settled'!$B$4:$BJ$55,MATCH($A32,'Loan Tape - Settled'!$E$4:$E$55,0),MATCH("Current Senior Net Leverage Senior",'Loan Tape - Settled'!$B$4:$BJ$4,0))</f>
        <v/>
      </c>
      <c r="DM32" s="1059">
        <f>INDEX('Loan Tape - Settled'!$B$4:$BJ$55,MATCH($A32,'Loan Tape - Settled'!$E$4:$E$55,0),MATCH("Current Total Net Leverage",'Loan Tape - Settled'!$B$4:$BJ$4,0))</f>
        <v/>
      </c>
      <c r="DN32" s="1044" t="n"/>
      <c r="DO32" s="1045">
        <f>INDEX('Loan Tape - Settled'!$B$4:$BJ$55,MATCH($A32,'Loan Tape - Settled'!$E$4:$E$55,0),MATCH("Initial Interest Coverage",'Loan Tape - Settled'!$B$4:$BJ$4,0))</f>
        <v/>
      </c>
      <c r="DP32" s="565">
        <f t="array" ref="DP32">IF(AG32="Yes",INDEX(VAE!$O$5:$O$53,MATCH($B32&amp;$AJ32,VAE!$C$5:$C$53&amp;VAE!$G$5:$G$53,0)),DO32)</f>
        <v/>
      </c>
      <c r="DQ32" s="1046">
        <f>INDEX('Loan Tape - Settled'!$B$4:$BJ$55,MATCH($A32,'Loan Tape - Settled'!$E$4:$E$55,0),MATCH("Current Interest Coverage",'Loan Tape - Settled'!$B$4:$BJ$4,0))</f>
        <v/>
      </c>
      <c r="DR32" s="462">
        <f>IF(OR(DU32="Yes",DU32="N/A",DV32="Yes",DV32="N/A",DW32="Yes",DX32="Yes",DY32="Yes",EF32="Yes",EG32="Yes",EH32="Yes"),"Yes","No")</f>
        <v/>
      </c>
      <c r="DS32" s="1047">
        <f>IF(AG32="Yes",DATEDIF(AJ32,Availability!$F$8,"m"),"")</f>
        <v/>
      </c>
      <c r="DT32" s="1047">
        <f>IF(DS32="","No",IF(DS32&gt;12,"Yes","No"))</f>
        <v/>
      </c>
      <c r="DU32" s="695">
        <f>IFERROR(IF(AND(DQ32/DP32&lt;0.75,DQ32&lt;1.5),"Yes","No"),"N/A")</f>
        <v/>
      </c>
      <c r="DV32" s="696">
        <f>IFERROR(IF(OR(D32="First Lien",D32="FILO"),IF(AND((DL32-DJ32)&gt;0.75,DL32&gt;4),"Yes","No"),"No"),"N/A")</f>
        <v/>
      </c>
      <c r="DW32" s="696">
        <f t="array" ref="DW32">_xlfn.IFS(D32&lt;&gt;"Second Lien","No",D32="Second Lien",IF(AND((DM32-DK32)&gt;0.5,DM32&gt;4.5),"Yes","No"))</f>
        <v/>
      </c>
      <c r="DX32" s="735" t="inlineStr">
        <is>
          <t>No</t>
        </is>
      </c>
      <c r="DY32" s="735" t="inlineStr">
        <is>
          <t>No</t>
        </is>
      </c>
      <c r="DZ32" s="1048" t="inlineStr">
        <is>
          <t>No</t>
        </is>
      </c>
      <c r="EA32" s="1048" t="inlineStr">
        <is>
          <t>No</t>
        </is>
      </c>
      <c r="EB32" s="1048" t="inlineStr">
        <is>
          <t>No</t>
        </is>
      </c>
      <c r="EC32" s="1048" t="inlineStr">
        <is>
          <t>No</t>
        </is>
      </c>
      <c r="ED32" s="1048" t="inlineStr">
        <is>
          <t>No</t>
        </is>
      </c>
      <c r="EE32" s="1048" t="inlineStr">
        <is>
          <t>No</t>
        </is>
      </c>
      <c r="EF32" s="442">
        <f>IF(OR(DZ32="Yes",EA32="Yes",EB32="Yes",EC32="Yes",ED32="Yes",EE32="Yes"),"Yes","No")</f>
        <v/>
      </c>
      <c r="EG32" s="1048" t="inlineStr">
        <is>
          <t>No</t>
        </is>
      </c>
      <c r="EH32" s="1049" t="inlineStr">
        <is>
          <t>No</t>
        </is>
      </c>
      <c r="EI32" s="1050">
        <f t="array" ref="EI32">IF(D32="First Lien",_xlfn.IFS(CY32&gt;AGENT!$B$23, "&gt; $20MM",CY32&lt;=AGENT!$C$25, "&lt;= $10MM",AND(CY32&lt;=AGENT!$C$24,CY32&gt;AGENT!$B$24),"&lt;= $20MM"), "N/A")</f>
        <v/>
      </c>
      <c r="EJ32" s="1050">
        <f t="array" ref="EJ32">IF(D32="FILO",_xlfn.IFS(DI32&gt;AGENT!$B$29, "&gt; 1.25x",DI32&lt;AGENT!$C$27, "&lt; 0.75x",AND(DI32&lt;=AGENT!$C$28,DI32&gt;=AGENT!$B$28),"&lt;= 1.25x"), "N/A")</f>
        <v/>
      </c>
      <c r="EK32" s="1051">
        <f>V32</f>
        <v/>
      </c>
      <c r="EL32" s="1051">
        <f>'Concentration Limits'!$J$49</f>
        <v/>
      </c>
      <c r="EM32" s="1051">
        <f>IF(OR(D32="Second Lien",AND(D32="FILO",DI32&gt;AGENT!$C$57)), "Yes", "No")</f>
        <v/>
      </c>
      <c r="EN32" s="1051">
        <f>IF(EM32="Yes",SUMIF(EM:EM,"Yes",EK:EK),0)</f>
        <v/>
      </c>
      <c r="EO32" s="1051">
        <f>IF(EN32&gt;EL32,(EN32-EL32)*(EK32/SUMIF(EM:EM,"Yes",EK:EK)),0)</f>
        <v/>
      </c>
      <c r="EP32" s="1051">
        <f>MAX(0,EK32-EO32)</f>
        <v/>
      </c>
      <c r="EQ32" s="1051">
        <f>'Concentration Limits'!$J$50</f>
        <v/>
      </c>
      <c r="ER32" s="1051">
        <f>IF(D32="Second Lien",SUMIF(D:D,D32,EP:EP),0)</f>
        <v/>
      </c>
      <c r="ES32" s="1051">
        <f>MAX(0,(ER32-EQ32)*IFERROR((EP32/SUMIF($D:$D,D32,EP:EP )),0) )</f>
        <v/>
      </c>
      <c r="ET32" s="1051">
        <f>MAX(0,EP32-ES32)</f>
        <v/>
      </c>
      <c r="EU32" s="1051">
        <f>'Concentration Limits'!$J$51</f>
        <v/>
      </c>
      <c r="EV32" s="1051">
        <f>IF(OR(D32="Second Lien", AND(D32="FILO",DI32&gt;AGENT!$C$59)), "Yes", "No")</f>
        <v/>
      </c>
      <c r="EW32" s="1051">
        <f>IF(EV32="Yes",SUMIF(EV:EV,"Yes",ET:ET),0)</f>
        <v/>
      </c>
      <c r="EX32" s="1051">
        <f>IF(EW32&gt;EU32,(EW32-EU32)*(ET32/SUMIF(EV:EV,"Yes",ET:ET)),0)</f>
        <v/>
      </c>
      <c r="EY32" s="1051">
        <f>MAX(0,ET32-EX32)</f>
        <v/>
      </c>
      <c r="EZ32" s="1051">
        <f>'Concentration Limits'!$J$52</f>
        <v/>
      </c>
      <c r="FA32" s="1051">
        <f>IF(CY32&gt;'Concentration Limits'!$E$52, "No", "Yes")</f>
        <v/>
      </c>
      <c r="FB32" s="1051">
        <f>IF(FA32="Yes",SUMIF(FA:FA,"Yes",EY:EY),0)</f>
        <v/>
      </c>
      <c r="FC32" s="1051">
        <f>IF(FB32&gt;EZ32,(FB32-EZ32)*(EY32/SUMIF(FA:FA,"Yes",EY:EY)),0)</f>
        <v/>
      </c>
      <c r="FD32" s="1051">
        <f>MAX(0,EY32-FC32)</f>
        <v/>
      </c>
      <c r="FE32" s="1052">
        <f>'Concentration Limits'!$J$54</f>
        <v/>
      </c>
      <c r="FF32" s="1052">
        <f>'Concentration Limits'!$J$55</f>
        <v/>
      </c>
      <c r="FG32" s="1052">
        <f>'Concentration Limits'!$J$56</f>
        <v/>
      </c>
      <c r="FH32" s="1053">
        <f>'Concentration Limits'!$J$57</f>
        <v/>
      </c>
      <c r="FI32" s="1053">
        <f>SUMIF($B:$B,$B32,$FD:$FD)</f>
        <v/>
      </c>
      <c r="FJ32" s="1053">
        <f>IF(MATCH($B32,$B:$B,0)=ROW(),$FI32,0)</f>
        <v/>
      </c>
      <c r="FK32" s="1053">
        <f>INDEX(FL$8:FL$60,MATCH(B32,B$8:B$60,0))</f>
        <v/>
      </c>
      <c r="FL32" s="1053">
        <f>IF(FJ32&gt;0,RANK(FJ32,$FJ$9:$FJ$60)+COUNTIF($FJ$9:FJ32,FJ32)-1,0)</f>
        <v/>
      </c>
      <c r="FM32" s="1052">
        <f>IF(FK32=1,IF(FI32&gt;FE32,(FI32-FE32)*(V32/SUMIF($B:$B,B32,$FD:$FD)),0),0)</f>
        <v/>
      </c>
      <c r="FN32" s="1052">
        <f>IF(FK32=2,IF(FI32&gt;FF32,(FI32-FF32)*(V32/SUMIF($B:$B,B32,$FD:$FD)),0),0)</f>
        <v/>
      </c>
      <c r="FO32" s="1052">
        <f>IF(FK32=3,IF(FI32&gt;FG32,(FI32-FG32)*(V32/SUMIF($B:$B,B32,$FD:$FD)),0),0)</f>
        <v/>
      </c>
      <c r="FP32" s="1053">
        <f>IF(FK32&gt;0,IF(FI32&gt;FH32,(FI32-FH32)*(FD32/(SUMIF($B:$B,$B32,$FD:$FD))),0),0)</f>
        <v/>
      </c>
      <c r="FQ32" s="1053">
        <f>MAX(0,FD32-FM32-FN32-FO32-FP32)</f>
        <v/>
      </c>
      <c r="FR32" s="1053">
        <f>'Concentration Limits'!$J$58</f>
        <v/>
      </c>
      <c r="FS32" s="1053">
        <f>SUMIF($BR:$BR,$BR32,FQ:FQ)</f>
        <v/>
      </c>
      <c r="FT32" s="1053">
        <f>VLOOKUP(BR32,'Concentration Limits'!$E$81:$H$153,4,FALSE)</f>
        <v/>
      </c>
      <c r="FU32" s="1053">
        <f>IF(FT32=1,MAX(0,(FS32-FR32)*(FQ32/SUMIF($BR:$BR,BR32,FQ:FQ))),0)</f>
        <v/>
      </c>
      <c r="FV32" s="1053">
        <f>MAX(0,FQ32-FU32)</f>
        <v/>
      </c>
      <c r="FW32" s="1053">
        <f>'Concentration Limits'!$J$59</f>
        <v/>
      </c>
      <c r="FX32" s="1053">
        <f>SUMIF($BR:$BR,$BR32,FV:FV)</f>
        <v/>
      </c>
      <c r="FY32" s="1053">
        <f>VLOOKUP(BR32,'Concentration Limits'!$E$81:$H$153,4,FALSE)</f>
        <v/>
      </c>
      <c r="FZ32" s="1053">
        <f>MAX(0,IF(FY32=2,(FX32-FW32)*(FV32/SUMIF($BR:$BR,BR32,FV:FV)),0))</f>
        <v/>
      </c>
      <c r="GA32" s="1053">
        <f>MAX(0,FV32-FZ32)</f>
        <v/>
      </c>
      <c r="GB32" s="1053">
        <f>'Concentration Limits'!$J$61</f>
        <v/>
      </c>
      <c r="GC32" s="1053">
        <f>SUMIF($BR:$BR,$BR32,GA:GA)</f>
        <v/>
      </c>
      <c r="GD32" s="1051">
        <f>VLOOKUP(BR32,'Concentration Limits'!$E$81:$H$153,4,FALSE)</f>
        <v/>
      </c>
      <c r="GE32" s="1053">
        <f>IF(GA32=0,0,MAX(0,IF(GD32&lt;3,0,(GC32-GB32)*($GA32/SUMIF($BR:$BR,BR32,GA:GA)))))</f>
        <v/>
      </c>
      <c r="GF32" s="1053">
        <f>MAX(0,GA32-GE32)</f>
        <v/>
      </c>
      <c r="GG32" s="1053">
        <f>'Concentration Limits'!$J$64</f>
        <v/>
      </c>
      <c r="GH32" s="1053">
        <f>IF(BY32="Yes",SUMIF(BY:BY,BY32,GF:GF),0)</f>
        <v/>
      </c>
      <c r="GI32" s="1053">
        <f>IFERROR(MAX(0,(GH32-GG32)*(GF32/SUMIF($T:$T,T32,GF:GF ))),0)</f>
        <v/>
      </c>
      <c r="GJ32" s="1053">
        <f>MAX(0,GF32-GI32)</f>
        <v/>
      </c>
      <c r="GK32" s="1053">
        <f>'Concentration Limits'!$J$67</f>
        <v/>
      </c>
      <c r="GL32" s="1051">
        <f>IF(OR(BV32="Yes",OR(ISNUMBER(SEARCH("Travel",BR32)),ISNUMBER(SEARCH("Energy",BR32)),ISNUMBER(SEARCH("Leisure",BR32)),ISNUMBER(SEARCH("hotel",BR32)))),"Yes","No")</f>
        <v/>
      </c>
      <c r="GM32" s="1053">
        <f>IF(GL32="Yes",SUMIF(GL:GL,"Yes",GJ:GJ),0)</f>
        <v/>
      </c>
      <c r="GN32" s="1053">
        <f>IF(GM32&gt;GK32,(GM32-GK32)*(GJ32/SUMIF(GL:GL,"Yes",GJ:GJ)),0)</f>
        <v/>
      </c>
      <c r="GO32" s="1053">
        <f>MAX(0,GJ32-GN32)</f>
        <v/>
      </c>
      <c r="GP32" s="1053">
        <f>'Concentration Limits'!$J$68</f>
        <v/>
      </c>
      <c r="GQ32" s="1051">
        <f>IF(BU32="Yes","Yes", "No")</f>
        <v/>
      </c>
      <c r="GR32" s="1053">
        <f>IF(GQ32="Yes",SUMIF(GQ:GQ,"Yes",GO:GO),0)</f>
        <v/>
      </c>
      <c r="GS32" s="1053">
        <f>IF(GR32&gt;GP32,(GR32-GP32)*(GO32/SUMIF(GQ:GQ,"Yes",GO:GO)),0)</f>
        <v/>
      </c>
      <c r="GT32" s="1053">
        <f>MAX(0,GO32-GS32)</f>
        <v/>
      </c>
      <c r="GU32" s="1051">
        <f>'Concentration Limits'!$J$69</f>
        <v/>
      </c>
      <c r="GV32" s="1051">
        <f>IF(BW32="Yes", "Yes", "No")</f>
        <v/>
      </c>
      <c r="GW32" s="1051">
        <f>IF(GV32="Yes",SUMIF(GV:GV,"Yes",GT:GT),0)</f>
        <v/>
      </c>
      <c r="GX32" s="1051">
        <f>IF(GW32&gt;GU32,(GW32-GU32)*(GT32/SUMIF(GV:GV,"Yes",GT:GT)),0)</f>
        <v/>
      </c>
      <c r="GY32" s="1051">
        <f>MAX(0,GT32-GX32)</f>
        <v/>
      </c>
      <c r="GZ32" s="1051">
        <f>'Concentration Limits'!$J$70</f>
        <v/>
      </c>
      <c r="HA32" s="1051">
        <f>IF(BX32="Yes", "Yes", "No")</f>
        <v/>
      </c>
      <c r="HB32" s="1051">
        <f>IF(HA32="Yes",SUMIF(HA:HA,"Yes",GY:GY),0)</f>
        <v/>
      </c>
      <c r="HC32" s="1051">
        <f>IF(HB32&gt;GZ32,(HB32-GZ32)*(GY32/SUMIF(HA:HA,"Yes",GY:GY)),0)</f>
        <v/>
      </c>
      <c r="HD32" s="1051">
        <f>MAX(0,GY32-HC32)</f>
        <v/>
      </c>
      <c r="HE32" s="1053">
        <f>IF(AQ32=0,0,HD32*AQ32/(AQ32+AR32))</f>
        <v/>
      </c>
      <c r="HF32" s="1053">
        <f>IF(AR32=0,0,HD32*AR32/(AQ32+AR32))</f>
        <v/>
      </c>
      <c r="HG32" s="1053">
        <f>IF(AW32=0,0,HD32*AW32/(AW32+AX32))</f>
        <v/>
      </c>
      <c r="HH32" s="1053">
        <f>IF(AX32=0,0,HD32*AX32/(AX32+AW32))</f>
        <v/>
      </c>
      <c r="HI32" s="1053">
        <f>IF(BE32=0,0,#REF!*BE32/(BE32+BG32))</f>
        <v/>
      </c>
      <c r="HJ32" s="1053">
        <f>IF(BG32=0,0,#REF!*BG32/(BG32+BE32))</f>
        <v/>
      </c>
      <c r="HK32" s="1054">
        <f>IF(BF32=0,0,#REF!*BF32/(BF32+BH32))</f>
        <v/>
      </c>
      <c r="HL32" s="1053">
        <f>IF(BH32=0,0,#REF!*BH32/(BH32+BF32))</f>
        <v/>
      </c>
      <c r="HM32" s="1053">
        <f>IF(D32="Second Lien",HD32,0)</f>
        <v/>
      </c>
      <c r="HN32" s="1053">
        <f>SUM(HE32:HM32)=HD32</f>
        <v/>
      </c>
    </row>
    <row r="33" ht="12.75" customFormat="1" customHeight="1" s="469">
      <c r="A33" s="55">
        <f>A32+1</f>
        <v/>
      </c>
      <c r="B33" s="437">
        <f>INDEX('Loan Tape - Settled'!$B$4:$AP$55,MATCH($A33,'Loan Tape - Settled'!$E$4:$E$55,0),MATCH("Obligor Name",'Loan Tape - Settled'!$B$4:$AM$4,0))</f>
        <v/>
      </c>
      <c r="C33" s="437">
        <f>INDEX('Loan Tape - Settled'!$B$4:$AP$55,MATCH($A33,'Loan Tape - Settled'!$E$4:$E$55,0),MATCH("Security",'Loan Tape - Settled'!$B$4:$AM$4,0))</f>
        <v/>
      </c>
      <c r="D33" s="438">
        <f>INDEX('Loan Tape - Settled'!$B$4:$AP$55,MATCH($A33,'Loan Tape - Settled'!$E$4:$E$55,0),MATCH("Loan Type",'Loan Tape - Settled'!$B$4:$AM$4,0))</f>
        <v/>
      </c>
      <c r="E33" s="439">
        <f>IF(ISERROR(MATCH(D33,AGENT!$A$4:$A$10,0))=FALSE, TRUE)</f>
        <v/>
      </c>
      <c r="F33" s="439">
        <f>IF(AND(BZ33="no",CA33="no"),TRUE)</f>
        <v/>
      </c>
      <c r="G33" s="439">
        <f>IF(D33&lt;&gt;"Second Lien",TRUE, IF(CY33&gt;=AGENT!$B$4,TRUE))</f>
        <v/>
      </c>
      <c r="H33" s="439">
        <f>IF(DE33&lt;=AGENT!$D$4,TRUE)</f>
        <v/>
      </c>
      <c r="I33" s="439">
        <f>IF(VLOOKUP(CONCATENATE($A$5,A33),'Loan Tape - Settled'!$A$5:$Q$55,17,FALSE)&gt;=AGENT!$E$4,TRUE)</f>
        <v/>
      </c>
      <c r="J33" s="439">
        <f>IF(INDEX('Loan Tape - Settled'!$B$4:$AP$55,MATCH($A33,'Loan Tape - Settled'!$E$4:$E$55,0),MATCH("Loan Denomination",'Loan Tape - Settled'!$B$4:$AP$4,0))="USD", TRUE)</f>
        <v/>
      </c>
      <c r="K33" s="439">
        <f>IF(INDEX('Loan Tape - Settled'!$B$4:$AP$55,MATCH($A33,'Loan Tape - Settled'!$E$4:$E$55,0),MATCH("Exposure Country",'Loan Tape - Settled'!$B$4:$AP$4,0))="United States", TRUE)</f>
        <v/>
      </c>
      <c r="L33" s="439">
        <f>IF(BS33="NO",TRUE)</f>
        <v/>
      </c>
      <c r="M33" s="439">
        <f>IF(((BM33-BL33)/365)&lt;=AGENT!$F$4,TRUE)</f>
        <v/>
      </c>
      <c r="N33" s="439">
        <f>IF(DX33="Yes",FALSE,TRUE)</f>
        <v/>
      </c>
      <c r="O33" s="493" t="n"/>
      <c r="P33" s="764">
        <f>IF($B33="","",IF(OR(O33=TRUE,COUNTIFS($E33:$N33,TRUE)=10),"Yes","No"))</f>
        <v/>
      </c>
      <c r="Q33" s="730" t="inlineStr">
        <is>
          <t>Yes</t>
        </is>
      </c>
      <c r="R33" s="440">
        <f>IF(P33="Yes",B33,"N/A")</f>
        <v/>
      </c>
      <c r="S33" s="440" t="n"/>
      <c r="T33" s="441">
        <f t="array" ref="T33">_xlfn.IFS(D33="Second Lien",D33,D33="First Lien",CONCATENATE(D33," ",EI33),D33="FILO",CONCATENATE(D33," ",EJ33))</f>
        <v/>
      </c>
      <c r="U33" s="442">
        <f>VLOOKUP(T33,'Concentration Limits'!D:G,4,FALSE)</f>
        <v/>
      </c>
      <c r="V33" s="1020">
        <f>AQ33+AW33+BI33</f>
        <v/>
      </c>
      <c r="W33" s="1021">
        <f>(SUMIFS('Loan Tape - Settled'!$AR$4:$AR$55,'Loan Tape - Settled'!$E$4:$E$55,$A33,'Loan Tape - Settled'!$C$4:$C$55,$A$5))</f>
        <v/>
      </c>
      <c r="X33" s="1022" t="n">
        <v>1</v>
      </c>
      <c r="Y33" s="1023">
        <f>W33*X33</f>
        <v/>
      </c>
      <c r="Z33" s="1022">
        <f>(SUMIFS('Loan Tape - Settled'!$AQ$4:$AQ$55,'Loan Tape - Settled'!$E$4:$E$55,$A33,'Loan Tape - Settled'!$C$4:$C$55,$A$5))</f>
        <v/>
      </c>
      <c r="AA33" s="1023">
        <f>Z33*X33</f>
        <v/>
      </c>
      <c r="AB33" s="1023">
        <f>AA33-Y33</f>
        <v/>
      </c>
      <c r="AC33" s="490">
        <f>VLOOKUP(CONCATENATE($A$5,A33),'Loan Tape - Settled'!$A$5:$Q$55,17,FALSE)</f>
        <v/>
      </c>
      <c r="AD33" s="445" t="n"/>
      <c r="AE33" s="446">
        <f>INDEX('Loan Tape - Settled'!$B$4:$AP$55,MATCH($A33,'Loan Tape - Settled'!$E$4:$E$55,0),MATCH("FMV",'Loan Tape - Settled'!$B$4:$AM$4,0))</f>
        <v/>
      </c>
      <c r="AF33" s="446">
        <f t="array" ref="AF33">_xlfn.IFS(D33="First Lien",
_xlfn.IFS(AND(DL33&gt;0,DL33&lt;Tier_1_1L),Tier_1_ApplicableValue,
AND(DL33&gt;=Tier_1_1L,DL33&lt;Tier_2_1L),((Tier_1_1L/DL33)*Tier_1_ApplicableValue)+((DL33-Tier_1_1L)/DL33*Tier_2_ApplicableValue),
AND(DL33&gt;=Tier_2_1L, DL33&lt;Tier_3_1L),((Tier_1_1L/DL33)*Tier_1_ApplicableValue+(Tier_2_1L-Tier_1_1L)/DL33*Tier_2_ApplicableValue+(DL33-Tier_2_1L)/DL33*Tier_3_ApplicableValue),
AND(DL33&gt;=Tier_3_1L, DL33&lt;=Tier_totalzerovalue),((Tier_1_1L/DL33)*Tier_1_ApplicableValue+(Tier_2_1L-Tier_1_1L)/DL33*Tier_2_ApplicableValue+(Tier_3_1L-Tier_2_1L)/DL33*Tier_3_ApplicableValue+(DL33-Tier_partialzerovalue)/DL33*0%),
DL33&gt;Tier_totalzerovalue,0%),
OR(D33="Second Lien", D33="FILO"),
_xlfn.IFS(AND(DM33&gt;0,DM33&lt;Tier_1_2L),Tier_1_ApplicableValue,
AND(DM33&gt;=Tier_1_2L,DM33&lt;Tier_2_2L),((Tier_1_2L/DM33)*Tier_1_ApplicableValue)+((DM33-Tier_1_2L)/DM33*Tier_2_ApplicableValue),
AND(DM33&gt;=Tier_2_2L, DM33&lt;Tier_3_2L),((Tier_1_2L/DM33)*Tier_1_ApplicableValue+(Tier_2_2L-Tier_1_2L)/DM33*Tier_2_ApplicableValue+(DM33-Tier_2_2L)/DM33*Tier_3_ApplicableValue),
AND(DM33&gt;=Tier_3_2L, DM33&lt;=Tier_totalzerovalue),((Tier_1_2L/DM33)*Tier_1_ApplicableValue+(Tier_2_2L-Tier_1_2L)/DM33*Tier_2_ApplicableValue+(Tier_3_2L-Tier_2_2L)/DM33*Tier_3_ApplicableValue+(DM33-Tier_partialzerovalue)/DM33*0%),
DM33&gt;Tier_totalzerovalue,0%))</f>
        <v/>
      </c>
      <c r="AG33" s="447">
        <f>IF(COUNTIFS(VAE!$C$5:$C$96,B33,VAE!$G$5:$G$96,"&lt;="&amp;Availability!$F$8)&gt;=1,"Yes","-")</f>
        <v/>
      </c>
      <c r="AH33" s="447">
        <f t="array" ref="AH33">IFERROR(IF(AG33="Yes",INDEX(VAE!$D$5:$D$96,MATCH(B33&amp;AJ33,VAE!$C$5:$C$96&amp;VAE!$G$5:$G$96,0)),"-"),0)</f>
        <v/>
      </c>
      <c r="AI33" s="447">
        <f t="array" ref="AI33">IFERROR(IF(AG33="Yes",INDEX(VAE!$F$5:$F$96,MATCH(B33&amp;AJ33,VAE!$C$5:$C$96&amp;VAE!$G$5:$G$96,0)),"-"),0)</f>
        <v/>
      </c>
      <c r="AJ33" s="448">
        <f>IF(AG33="-","-",_xlfn.MAXIFS(VAE!$G$5:$G$96,VAE!$C$5:$C$96,$B33))</f>
        <v/>
      </c>
      <c r="AK33" s="449">
        <f t="array" ref="AK33">IFERROR(IF(AG33="Yes",INDEX(VAE!$P$5:$P$96,MATCH(B33&amp;AJ33,VAE!$C$5:$C$96&amp;VAE!$G$5:$G$96,0)),"-"),0)</f>
        <v/>
      </c>
      <c r="AL33" s="446">
        <f>IF($A33="","",IF(P33="No",0,(IF(AG33="Yes",MIN(AE33,AK33,AF33),MIN(AE33,AF33)))))</f>
        <v/>
      </c>
      <c r="AM33" s="1020" t="n"/>
      <c r="AN33" s="1020" t="n"/>
      <c r="AO33" s="1020">
        <f>IF(AND(D33="First Lien",P33="No"),0,IF(D33&lt;&gt;"First Lien",0,Y33))</f>
        <v/>
      </c>
      <c r="AP33" s="1020">
        <f>IF(AND(D33="First Lien",P33="No"),W33,0)</f>
        <v/>
      </c>
      <c r="AQ33" s="1020">
        <f>AL33*AO33</f>
        <v/>
      </c>
      <c r="AR33" s="1020" t="n"/>
      <c r="AS33" s="1020" t="n"/>
      <c r="AT33" s="1020" t="n"/>
      <c r="AU33" s="1020">
        <f>IF(AND(D33="FILO",P33="No"),0,IF(D33&lt;&gt;"FILO",0,Y33))</f>
        <v/>
      </c>
      <c r="AV33" s="1020">
        <f>IF(AND(D33="FILO",P33="No"),W33,0)</f>
        <v/>
      </c>
      <c r="AW33" s="1020">
        <f>AU33*AL33</f>
        <v/>
      </c>
      <c r="AX33" s="1020" t="n"/>
      <c r="AY33" s="1020" t="n"/>
      <c r="AZ33" s="1020" t="n"/>
      <c r="BA33" s="1020">
        <f>IF(AND(OR(D33="First Lien",D33="FILO"),P33="No"),0,IF(OR(D33="First Lien",D33="FILO"),0,(Y33)))</f>
        <v/>
      </c>
      <c r="BB33" s="1020" t="n"/>
      <c r="BC33" s="1020" t="n"/>
      <c r="BD33" s="1020">
        <f>IF(AND(D33="Second Lien",P33="No"),W33,0)</f>
        <v/>
      </c>
      <c r="BE33" s="1020" t="n"/>
      <c r="BF33" s="1020" t="n"/>
      <c r="BG33" s="1020" t="n"/>
      <c r="BH33" s="1020" t="n"/>
      <c r="BI33" s="1020">
        <f>IF(D33="Second Lien",BA33*AL33,0)</f>
        <v/>
      </c>
      <c r="BJ33" s="1020">
        <f>SUM(AM33:AP33)+SUM(AZ33:BD33)+SUM(AS33:AV33)=Y33</f>
        <v/>
      </c>
      <c r="BK33" s="1026">
        <f>INDEX('Loan Tape - Settled'!$B$4:$AP$55,MATCH($A33,'Loan Tape - Settled'!$E$4:$E$55,0),MATCH("Inception Date",'Loan Tape - Settled'!$B$4:$AP$4,0))</f>
        <v/>
      </c>
      <c r="BL33" s="1026">
        <f>INDEX('Loan Tape - Settled'!$B$4:$AP$55,MATCH($A33,'Loan Tape - Settled'!$E$4:$E$55,0),MATCH("Inclusion Date",'Loan Tape - Settled'!$B$4:$AP$4,0))</f>
        <v/>
      </c>
      <c r="BM33" s="1026">
        <f>INDEX('Loan Tape - Settled'!$B$4:$AP$55,MATCH($A33,'Loan Tape - Settled'!$E$4:$E$55,0),MATCH("Maturity Date",'Loan Tape - Settled'!$B$4:$AP$4,0))</f>
        <v/>
      </c>
      <c r="BN33" s="556" t="n"/>
      <c r="BO33" s="556" t="n"/>
      <c r="BP33" s="1055" t="n"/>
      <c r="BQ33" s="556" t="n"/>
      <c r="BR33" s="554">
        <f>INDEX('Loan Tape - Settled'!$B$4:$AP$55,MATCH($A33,'Loan Tape - Settled'!$E$4:$E$55,0),MATCH("Industry Classification",'Loan Tape - Settled'!$B$4:$AP$4,0))</f>
        <v/>
      </c>
      <c r="BS33" s="556">
        <f>IF(INDEX('Loan Tape - Settled'!$B$4:$AP$55,MATCH($A33,'Loan Tape - Settled'!$E$4:$E$55,0),MATCH("Covenant Lite",'Loan Tape - Settled'!$B$4:$AP$4,0))=-1, "Yes", "No")</f>
        <v/>
      </c>
      <c r="BT33" s="1056">
        <f>INDEX('Loan Tape - Settled'!$B$4:$AP$55,MATCH($A33,'Loan Tape - Settled'!$E$4:$E$55,0),MATCH("Spread / Coupon (%)",'Loan Tape - Settled'!$B$4:$AP$4,0))</f>
        <v/>
      </c>
      <c r="BU33" s="556">
        <f>IF(INDEX('Loan Tape - Settled'!$B$4:$AP$55,MATCH($A33,'Loan Tape - Settled'!$E$4:$E$55,0),MATCH("Security Type",'Loan Tape - Settled'!$B$4:$AP$4,0))="Delayed Draw Term Loan", "Yes", "No")</f>
        <v/>
      </c>
      <c r="BV33" s="557" t="inlineStr">
        <is>
          <t>No</t>
        </is>
      </c>
      <c r="BW33" s="557" t="inlineStr">
        <is>
          <t>No</t>
        </is>
      </c>
      <c r="BX33" s="548" t="inlineStr">
        <is>
          <t>No</t>
        </is>
      </c>
      <c r="BY33" s="556">
        <f>IF(INDEX('Loan Tape - Settled'!$B$4:$AP$55,MATCH($A33,'Loan Tape - Settled'!$E$4:$E$55,0),MATCH("Fixed/Floating",'Loan Tape - Settled'!$B$4:$AP$4,0))="Fixed", "Yes", "No")</f>
        <v/>
      </c>
      <c r="BZ33" s="557" t="inlineStr">
        <is>
          <t>No</t>
        </is>
      </c>
      <c r="CA33" s="557" t="inlineStr">
        <is>
          <t>No</t>
        </is>
      </c>
      <c r="CB33" s="556">
        <f>IF(INDEX('Loan Tape - Settled'!$B$4:$AP$55,MATCH($A33,'Loan Tape - Settled'!$E$4:$E$55,0),MATCH("Loan Denomination",'Loan Tape - Settled'!$B$4:$AP$4,0))="CAD", "Yes", "No")</f>
        <v/>
      </c>
      <c r="CC33" s="556">
        <f>INDEX('Loan Tape - Settled'!$B$4:$AP$55,MATCH($A33,'Loan Tape - Settled'!$E$4:$E$55,0),MATCH("Payment Frequency",'Loan Tape - Settled'!$B$4:$AP$4,0))</f>
        <v/>
      </c>
      <c r="CD33" s="557" t="inlineStr">
        <is>
          <t>No</t>
        </is>
      </c>
      <c r="CE33" s="556">
        <f>INDEX('Loan Tape - Settled'!$B$4:$AP$55,MATCH($A33,'Loan Tape - Settled'!$E$4:$E$55,0),MATCH("S&amp;P Loan Rating (if applicable)",'Loan Tape - Settled'!$B$4:$AP$4,0))</f>
        <v/>
      </c>
      <c r="CF33" s="556">
        <f>INDEX('Loan Tape - Settled'!$B$4:$AP$55,MATCH($A33,'Loan Tape - Settled'!$E$4:$E$55,0),MATCH("Moody's Loan Rating (if applicable)",'Loan Tape - Settled'!$B$4:$AP$4,0))</f>
        <v/>
      </c>
      <c r="CG33" s="556" t="n"/>
      <c r="CH33" s="556" t="n"/>
      <c r="CI33" s="1057" t="n"/>
      <c r="CJ33" s="1030">
        <f>INDEX('Loan Tape - Settled'!$B$4:$BF$55,MATCH($A33,'Loan Tape - Settled'!$E$4:$E$55,0),MATCH("Last Financial Received",'Loan Tape - Settled'!$B$4:$BF$4,0))</f>
        <v/>
      </c>
      <c r="CK33" s="559">
        <f>INDEX('Loan Tape - Settled'!$B$4:$BJ$55,MATCH($A33,'Loan Tape - Settled'!$E$4:$E$55,0),MATCH("Initial Adjusted TTM EBITDA",'Loan Tape - Settled'!$B$4:$BJ$4,0))</f>
        <v/>
      </c>
      <c r="CL33" s="559">
        <f>INDEX('Loan Tape - Settled'!$B$4:$BJ$55,MATCH($A33,'Loan Tape - Settled'!$E$4:$E$55,0),MATCH("Initial TTM Non-adjusted EBITDA",'Loan Tape - Settled'!$B$4:$BJ$4,0))</f>
        <v/>
      </c>
      <c r="CM33" s="1031" t="n"/>
      <c r="CN33" s="451" t="n"/>
      <c r="CO33" s="451" t="n"/>
      <c r="CP33" s="1032" t="n"/>
      <c r="CQ33" s="1033" t="inlineStr">
        <is>
          <t>N</t>
        </is>
      </c>
      <c r="CR33" s="1032" t="n"/>
      <c r="CS33" s="454">
        <f>CK33-CP33+CR33</f>
        <v/>
      </c>
      <c r="CT33" s="455">
        <f>1-CS33/CK33</f>
        <v/>
      </c>
      <c r="CU33" s="559">
        <f>INDEX('Loan Tape - Settled'!$B$4:$BJ$55,MATCH($A33,'Loan Tape - Settled'!$E$4:$E$55,0),MATCH("Current TTM Non-adjusted EBITDA",'Loan Tape - Settled'!$B$4:$BJ$4,0))</f>
        <v/>
      </c>
      <c r="CV33" s="456">
        <f>CT33</f>
        <v/>
      </c>
      <c r="CW33" s="1034" t="inlineStr">
        <is>
          <t>N</t>
        </is>
      </c>
      <c r="CX33" s="1035" t="n"/>
      <c r="CY33" s="1036">
        <f>IF(CW33="N",(1-CV33)*CU33,(1-CX33)*CU33)</f>
        <v/>
      </c>
      <c r="CZ33" s="1037" t="n"/>
      <c r="DA33" s="1038" t="n"/>
      <c r="DB33" s="1039" t="n"/>
      <c r="DC33" s="1040" t="n"/>
      <c r="DD33" s="1040">
        <f>INDEX('Loan Tape - Settled'!$B$4:$BJ$55,MATCH($A33,'Loan Tape - Settled'!$E$4:$E$55,0),MATCH("Initial Senior Net Leverage Senior",'Loan Tape - Settled'!$B$4:$BJ$4,0))</f>
        <v/>
      </c>
      <c r="DE33" s="1041">
        <f>INDEX('Loan Tape - Settled'!$B$4:$BJ$55,MATCH($A33,'Loan Tape - Settled'!$E$4:$E$55,0),MATCH("Initial Total Net Leverage",'Loan Tape - Settled'!$B$4:$BJ$4,0))</f>
        <v/>
      </c>
      <c r="DF33" s="1037" t="n"/>
      <c r="DG33" s="1038" t="n"/>
      <c r="DH33" s="1039" t="n"/>
      <c r="DI33" s="1042">
        <f>INDEX('Loan Tape - Settled'!$B$4:$BJ$55,MATCH($A33,'Loan Tape - Settled'!$E$4:$E$55,0),MATCH("Net Attachment",'Loan Tape - Settled'!$B$4:$BJ$4,0))</f>
        <v/>
      </c>
      <c r="DJ33" s="566">
        <f t="array" ref="DJ33">IF(AG33="Yes",INDEX(VAE!$M$5:$M$53,MATCH($B33&amp;$AJ33,VAE!$C$5:$C$53&amp;VAE!$G$5:$G$53,0)),DD33)</f>
        <v/>
      </c>
      <c r="DK33" s="697">
        <f t="array" ref="DK33">IF(AG33="Yes",INDEX(VAE!$N$5:$N$53,MATCH($B33&amp;$AJ33,VAE!$C$5:$C$53&amp;VAE!$G$5:$G$53,0)),DE33)</f>
        <v/>
      </c>
      <c r="DL33" s="1058">
        <f>INDEX('Loan Tape - Settled'!$B$4:$BJ$55,MATCH($A33,'Loan Tape - Settled'!$E$4:$E$55,0),MATCH("Current Senior Net Leverage Senior",'Loan Tape - Settled'!$B$4:$BJ$4,0))</f>
        <v/>
      </c>
      <c r="DM33" s="1059">
        <f>INDEX('Loan Tape - Settled'!$B$4:$BJ$55,MATCH($A33,'Loan Tape - Settled'!$E$4:$E$55,0),MATCH("Current Total Net Leverage",'Loan Tape - Settled'!$B$4:$BJ$4,0))</f>
        <v/>
      </c>
      <c r="DN33" s="1044" t="n"/>
      <c r="DO33" s="1045">
        <f>INDEX('Loan Tape - Settled'!$B$4:$BJ$55,MATCH($A33,'Loan Tape - Settled'!$E$4:$E$55,0),MATCH("Initial Interest Coverage",'Loan Tape - Settled'!$B$4:$BJ$4,0))</f>
        <v/>
      </c>
      <c r="DP33" s="565">
        <f t="array" ref="DP33">IF(AG33="Yes",INDEX(VAE!$O$5:$O$53,MATCH($B33&amp;$AJ33,VAE!$C$5:$C$53&amp;VAE!$G$5:$G$53,0)),DO33)</f>
        <v/>
      </c>
      <c r="DQ33" s="1046">
        <f>INDEX('Loan Tape - Settled'!$B$4:$BJ$55,MATCH($A33,'Loan Tape - Settled'!$E$4:$E$55,0),MATCH("Current Interest Coverage",'Loan Tape - Settled'!$B$4:$BJ$4,0))</f>
        <v/>
      </c>
      <c r="DR33" s="462">
        <f>IF(OR(DU33="Yes",DU33="N/A",DV33="Yes",DV33="N/A",DW33="Yes",DX33="Yes",DY33="Yes",EF33="Yes",EG33="Yes",EH33="Yes"),"Yes","No")</f>
        <v/>
      </c>
      <c r="DS33" s="1047">
        <f>IF(AG33="Yes",DATEDIF(AJ33,Availability!$F$8,"m"),"")</f>
        <v/>
      </c>
      <c r="DT33" s="1047">
        <f>IF(DS33="","No",IF(DS33&gt;12,"Yes","No"))</f>
        <v/>
      </c>
      <c r="DU33" s="695">
        <f>IFERROR(IF(AND(DQ33/DP33&lt;0.75,DQ33&lt;1.5),"Yes","No"),"N/A")</f>
        <v/>
      </c>
      <c r="DV33" s="696">
        <f>IFERROR(IF(OR(D33="First Lien",D33="FILO"),IF(AND((DL33-DJ33)&gt;0.75,DL33&gt;4),"Yes","No"),"No"),"N/A")</f>
        <v/>
      </c>
      <c r="DW33" s="696">
        <f t="array" ref="DW33">_xlfn.IFS(D33&lt;&gt;"Second Lien","No",D33="Second Lien",IF(AND((DM33-DK33)&gt;0.5,DM33&gt;4.5),"Yes","No"))</f>
        <v/>
      </c>
      <c r="DX33" s="735" t="inlineStr">
        <is>
          <t>No</t>
        </is>
      </c>
      <c r="DY33" s="735" t="inlineStr">
        <is>
          <t>No</t>
        </is>
      </c>
      <c r="DZ33" s="1048" t="inlineStr">
        <is>
          <t>No</t>
        </is>
      </c>
      <c r="EA33" s="1048" t="inlineStr">
        <is>
          <t>No</t>
        </is>
      </c>
      <c r="EB33" s="1048" t="inlineStr">
        <is>
          <t>No</t>
        </is>
      </c>
      <c r="EC33" s="1048" t="inlineStr">
        <is>
          <t>No</t>
        </is>
      </c>
      <c r="ED33" s="1048" t="inlineStr">
        <is>
          <t>No</t>
        </is>
      </c>
      <c r="EE33" s="1048" t="inlineStr">
        <is>
          <t>No</t>
        </is>
      </c>
      <c r="EF33" s="442">
        <f>IF(OR(DZ33="Yes",EA33="Yes",EB33="Yes",EC33="Yes",ED33="Yes",EE33="Yes"),"Yes","No")</f>
        <v/>
      </c>
      <c r="EG33" s="1048" t="inlineStr">
        <is>
          <t>No</t>
        </is>
      </c>
      <c r="EH33" s="1049" t="inlineStr">
        <is>
          <t>No</t>
        </is>
      </c>
      <c r="EI33" s="1050">
        <f t="array" ref="EI33">IF(D33="First Lien",_xlfn.IFS(CY33&gt;AGENT!$B$23, "&gt; $20MM",CY33&lt;=AGENT!$C$25, "&lt;= $10MM",AND(CY33&lt;=AGENT!$C$24,CY33&gt;AGENT!$B$24),"&lt;= $20MM"), "N/A")</f>
        <v/>
      </c>
      <c r="EJ33" s="1050">
        <f t="array" ref="EJ33">IF(D33="FILO",_xlfn.IFS(DI33&gt;AGENT!$B$29, "&gt; 1.25x",DI33&lt;AGENT!$C$27, "&lt; 0.75x",AND(DI33&lt;=AGENT!$C$28,DI33&gt;=AGENT!$B$28),"&lt;= 1.25x"), "N/A")</f>
        <v/>
      </c>
      <c r="EK33" s="1051">
        <f>V33</f>
        <v/>
      </c>
      <c r="EL33" s="1051">
        <f>'Concentration Limits'!$J$49</f>
        <v/>
      </c>
      <c r="EM33" s="1051">
        <f>IF(OR(D33="Second Lien",AND(D33="FILO",DI33&gt;AGENT!$C$57)), "Yes", "No")</f>
        <v/>
      </c>
      <c r="EN33" s="1051">
        <f>IF(EM33="Yes",SUMIF(EM:EM,"Yes",EK:EK),0)</f>
        <v/>
      </c>
      <c r="EO33" s="1051">
        <f>IF(EN33&gt;EL33,(EN33-EL33)*(EK33/SUMIF(EM:EM,"Yes",EK:EK)),0)</f>
        <v/>
      </c>
      <c r="EP33" s="1051">
        <f>MAX(0,EK33-EO33)</f>
        <v/>
      </c>
      <c r="EQ33" s="1051">
        <f>'Concentration Limits'!$J$50</f>
        <v/>
      </c>
      <c r="ER33" s="1051">
        <f>IF(D33="Second Lien",SUMIF(D:D,D33,EP:EP),0)</f>
        <v/>
      </c>
      <c r="ES33" s="1051">
        <f>MAX(0,(ER33-EQ33)*IFERROR((EP33/SUMIF($D:$D,D33,EP:EP )),0) )</f>
        <v/>
      </c>
      <c r="ET33" s="1051">
        <f>MAX(0,EP33-ES33)</f>
        <v/>
      </c>
      <c r="EU33" s="1051">
        <f>'Concentration Limits'!$J$51</f>
        <v/>
      </c>
      <c r="EV33" s="1051">
        <f>IF(OR(D33="Second Lien", AND(D33="FILO",DI33&gt;AGENT!$C$59)), "Yes", "No")</f>
        <v/>
      </c>
      <c r="EW33" s="1051">
        <f>IF(EV33="Yes",SUMIF(EV:EV,"Yes",ET:ET),0)</f>
        <v/>
      </c>
      <c r="EX33" s="1051">
        <f>IF(EW33&gt;EU33,(EW33-EU33)*(ET33/SUMIF(EV:EV,"Yes",ET:ET)),0)</f>
        <v/>
      </c>
      <c r="EY33" s="1051">
        <f>MAX(0,ET33-EX33)</f>
        <v/>
      </c>
      <c r="EZ33" s="1051">
        <f>'Concentration Limits'!$J$52</f>
        <v/>
      </c>
      <c r="FA33" s="1051">
        <f>IF(CY33&gt;'Concentration Limits'!$E$52, "No", "Yes")</f>
        <v/>
      </c>
      <c r="FB33" s="1051">
        <f>IF(FA33="Yes",SUMIF(FA:FA,"Yes",EY:EY),0)</f>
        <v/>
      </c>
      <c r="FC33" s="1051">
        <f>IF(FB33&gt;EZ33,(FB33-EZ33)*(EY33/SUMIF(FA:FA,"Yes",EY:EY)),0)</f>
        <v/>
      </c>
      <c r="FD33" s="1051">
        <f>MAX(0,EY33-FC33)</f>
        <v/>
      </c>
      <c r="FE33" s="1052">
        <f>'Concentration Limits'!$J$54</f>
        <v/>
      </c>
      <c r="FF33" s="1052">
        <f>'Concentration Limits'!$J$55</f>
        <v/>
      </c>
      <c r="FG33" s="1052">
        <f>'Concentration Limits'!$J$56</f>
        <v/>
      </c>
      <c r="FH33" s="1053">
        <f>'Concentration Limits'!$J$57</f>
        <v/>
      </c>
      <c r="FI33" s="1053">
        <f>SUMIF($B:$B,$B33,$FD:$FD)</f>
        <v/>
      </c>
      <c r="FJ33" s="1053">
        <f>IF(MATCH($B33,$B:$B,0)=ROW(),$FI33,0)</f>
        <v/>
      </c>
      <c r="FK33" s="1053">
        <f>INDEX(FL$8:FL$60,MATCH(B33,B$8:B$60,0))</f>
        <v/>
      </c>
      <c r="FL33" s="1053">
        <f>IF(FJ33&gt;0,RANK(FJ33,$FJ$9:$FJ$60)+COUNTIF($FJ$9:FJ33,FJ33)-1,0)</f>
        <v/>
      </c>
      <c r="FM33" s="1052">
        <f>IF(FK33=1,IF(FI33&gt;FE33,(FI33-FE33)*(V33/SUMIF($B:$B,B33,$FD:$FD)),0),0)</f>
        <v/>
      </c>
      <c r="FN33" s="1052">
        <f>IF(FK33=2,IF(FI33&gt;FF33,(FI33-FF33)*(V33/SUMIF($B:$B,B33,$FD:$FD)),0),0)</f>
        <v/>
      </c>
      <c r="FO33" s="1052">
        <f>IF(FK33=3,IF(FI33&gt;FG33,(FI33-FG33)*(V33/SUMIF($B:$B,B33,$FD:$FD)),0),0)</f>
        <v/>
      </c>
      <c r="FP33" s="1053">
        <f>IF(FK33&gt;0,IF(FI33&gt;FH33,(FI33-FH33)*(FD33/(SUMIF($B:$B,$B33,$FD:$FD))),0),0)</f>
        <v/>
      </c>
      <c r="FQ33" s="1053">
        <f>MAX(0,FD33-FM33-FN33-FO33-FP33)</f>
        <v/>
      </c>
      <c r="FR33" s="1053">
        <f>'Concentration Limits'!$J$58</f>
        <v/>
      </c>
      <c r="FS33" s="1053">
        <f>SUMIF($BR:$BR,$BR33,FQ:FQ)</f>
        <v/>
      </c>
      <c r="FT33" s="1053">
        <f>VLOOKUP(BR33,'Concentration Limits'!$E$81:$H$153,4,FALSE)</f>
        <v/>
      </c>
      <c r="FU33" s="1053">
        <f>IF(FT33=1,MAX(0,(FS33-FR33)*(FQ33/SUMIF($BR:$BR,BR33,FQ:FQ))),0)</f>
        <v/>
      </c>
      <c r="FV33" s="1053">
        <f>MAX(0,FQ33-FU33)</f>
        <v/>
      </c>
      <c r="FW33" s="1053">
        <f>'Concentration Limits'!$J$59</f>
        <v/>
      </c>
      <c r="FX33" s="1053">
        <f>SUMIF($BR:$BR,$BR33,FV:FV)</f>
        <v/>
      </c>
      <c r="FY33" s="1053">
        <f>VLOOKUP(BR33,'Concentration Limits'!$E$81:$H$153,4,FALSE)</f>
        <v/>
      </c>
      <c r="FZ33" s="1053">
        <f>MAX(0,IF(FY33=2,(FX33-FW33)*(FV33/SUMIF($BR:$BR,BR33,FV:FV)),0))</f>
        <v/>
      </c>
      <c r="GA33" s="1053">
        <f>MAX(0,FV33-FZ33)</f>
        <v/>
      </c>
      <c r="GB33" s="1053">
        <f>'Concentration Limits'!$J$61</f>
        <v/>
      </c>
      <c r="GC33" s="1053">
        <f>SUMIF($BR:$BR,$BR33,GA:GA)</f>
        <v/>
      </c>
      <c r="GD33" s="1051">
        <f>VLOOKUP(BR33,'Concentration Limits'!$E$81:$H$153,4,FALSE)</f>
        <v/>
      </c>
      <c r="GE33" s="1053">
        <f>IF(GA33=0,0,MAX(0,IF(GD33&lt;3,0,(GC33-GB33)*($GA33/SUMIF($BR:$BR,BR33,GA:GA)))))</f>
        <v/>
      </c>
      <c r="GF33" s="1053">
        <f>MAX(0,GA33-GE33)</f>
        <v/>
      </c>
      <c r="GG33" s="1053">
        <f>'Concentration Limits'!$J$64</f>
        <v/>
      </c>
      <c r="GH33" s="1053">
        <f>IF(BY33="Yes",SUMIF(BY:BY,BY33,GF:GF),0)</f>
        <v/>
      </c>
      <c r="GI33" s="1053">
        <f>IFERROR(MAX(0,(GH33-GG33)*(GF33/SUMIF($T:$T,T33,GF:GF ))),0)</f>
        <v/>
      </c>
      <c r="GJ33" s="1053">
        <f>MAX(0,GF33-GI33)</f>
        <v/>
      </c>
      <c r="GK33" s="1053">
        <f>'Concentration Limits'!$J$67</f>
        <v/>
      </c>
      <c r="GL33" s="1051">
        <f>IF(OR(BV33="Yes",OR(ISNUMBER(SEARCH("Travel",BR33)),ISNUMBER(SEARCH("Energy",BR33)),ISNUMBER(SEARCH("Leisure",BR33)),ISNUMBER(SEARCH("hotel",BR33)))),"Yes","No")</f>
        <v/>
      </c>
      <c r="GM33" s="1053">
        <f>IF(GL33="Yes",SUMIF(GL:GL,"Yes",GJ:GJ),0)</f>
        <v/>
      </c>
      <c r="GN33" s="1053">
        <f>IF(GM33&gt;GK33,(GM33-GK33)*(GJ33/SUMIF(GL:GL,"Yes",GJ:GJ)),0)</f>
        <v/>
      </c>
      <c r="GO33" s="1053">
        <f>MAX(0,GJ33-GN33)</f>
        <v/>
      </c>
      <c r="GP33" s="1053">
        <f>'Concentration Limits'!$J$68</f>
        <v/>
      </c>
      <c r="GQ33" s="1051">
        <f>IF(BU33="Yes","Yes", "No")</f>
        <v/>
      </c>
      <c r="GR33" s="1053">
        <f>IF(GQ33="Yes",SUMIF(GQ:GQ,"Yes",GO:GO),0)</f>
        <v/>
      </c>
      <c r="GS33" s="1053">
        <f>IF(GR33&gt;GP33,(GR33-GP33)*(GO33/SUMIF(GQ:GQ,"Yes",GO:GO)),0)</f>
        <v/>
      </c>
      <c r="GT33" s="1053">
        <f>MAX(0,GO33-GS33)</f>
        <v/>
      </c>
      <c r="GU33" s="1051">
        <f>'Concentration Limits'!$J$69</f>
        <v/>
      </c>
      <c r="GV33" s="1051">
        <f>IF(BW33="Yes", "Yes", "No")</f>
        <v/>
      </c>
      <c r="GW33" s="1051">
        <f>IF(GV33="Yes",SUMIF(GV:GV,"Yes",GT:GT),0)</f>
        <v/>
      </c>
      <c r="GX33" s="1051">
        <f>IF(GW33&gt;GU33,(GW33-GU33)*(GT33/SUMIF(GV:GV,"Yes",GT:GT)),0)</f>
        <v/>
      </c>
      <c r="GY33" s="1051">
        <f>MAX(0,GT33-GX33)</f>
        <v/>
      </c>
      <c r="GZ33" s="1051">
        <f>'Concentration Limits'!$J$70</f>
        <v/>
      </c>
      <c r="HA33" s="1051">
        <f>IF(BX33="Yes", "Yes", "No")</f>
        <v/>
      </c>
      <c r="HB33" s="1051">
        <f>IF(HA33="Yes",SUMIF(HA:HA,"Yes",GY:GY),0)</f>
        <v/>
      </c>
      <c r="HC33" s="1051">
        <f>IF(HB33&gt;GZ33,(HB33-GZ33)*(GY33/SUMIF(HA:HA,"Yes",GY:GY)),0)</f>
        <v/>
      </c>
      <c r="HD33" s="1051">
        <f>MAX(0,GY33-HC33)</f>
        <v/>
      </c>
      <c r="HE33" s="1053">
        <f>IF(AQ33=0,0,HD33*AQ33/(AQ33+AR33))</f>
        <v/>
      </c>
      <c r="HF33" s="1053">
        <f>IF(AR33=0,0,HD33*AR33/(AQ33+AR33))</f>
        <v/>
      </c>
      <c r="HG33" s="1053">
        <f>IF(AW33=0,0,HD33*AW33/(AW33+AX33))</f>
        <v/>
      </c>
      <c r="HH33" s="1053">
        <f>IF(AX33=0,0,HD33*AX33/(AX33+AW33))</f>
        <v/>
      </c>
      <c r="HI33" s="1053">
        <f>IF(BE33=0,0,#REF!*BE33/(BE33+BG33))</f>
        <v/>
      </c>
      <c r="HJ33" s="1053">
        <f>IF(BG33=0,0,#REF!*BG33/(BG33+BE33))</f>
        <v/>
      </c>
      <c r="HK33" s="1054">
        <f>IF(BF33=0,0,#REF!*BF33/(BF33+BH33))</f>
        <v/>
      </c>
      <c r="HL33" s="1053">
        <f>IF(BH33=0,0,#REF!*BH33/(BH33+BF33))</f>
        <v/>
      </c>
      <c r="HM33" s="1053">
        <f>IF(D33="Second Lien",HD33,0)</f>
        <v/>
      </c>
      <c r="HN33" s="1053">
        <f>SUM(HE33:HM33)=HD33</f>
        <v/>
      </c>
    </row>
    <row r="34" ht="12.75" customFormat="1" customHeight="1" s="469">
      <c r="A34" s="55">
        <f>A33+1</f>
        <v/>
      </c>
      <c r="B34" s="437">
        <f>INDEX('Loan Tape - Settled'!$B$4:$AP$55,MATCH($A34,'Loan Tape - Settled'!$E$4:$E$55,0),MATCH("Obligor Name",'Loan Tape - Settled'!$B$4:$AM$4,0))</f>
        <v/>
      </c>
      <c r="C34" s="437">
        <f>INDEX('Loan Tape - Settled'!$B$4:$AP$55,MATCH($A34,'Loan Tape - Settled'!$E$4:$E$55,0),MATCH("Security",'Loan Tape - Settled'!$B$4:$AM$4,0))</f>
        <v/>
      </c>
      <c r="D34" s="438">
        <f>INDEX('Loan Tape - Settled'!$B$4:$AP$55,MATCH($A34,'Loan Tape - Settled'!$E$4:$E$55,0),MATCH("Loan Type",'Loan Tape - Settled'!$B$4:$AM$4,0))</f>
        <v/>
      </c>
      <c r="E34" s="439">
        <f>IF(ISERROR(MATCH(D34,AGENT!$A$4:$A$10,0))=FALSE, TRUE)</f>
        <v/>
      </c>
      <c r="F34" s="439">
        <f>IF(AND(BZ34="no",CA34="no"),TRUE)</f>
        <v/>
      </c>
      <c r="G34" s="439">
        <f>IF(D34&lt;&gt;"Second Lien",TRUE, IF(CY34&gt;=AGENT!$B$4,TRUE))</f>
        <v/>
      </c>
      <c r="H34" s="439">
        <f>IF(DE34&lt;=AGENT!$D$4,TRUE)</f>
        <v/>
      </c>
      <c r="I34" s="439">
        <f>IF(VLOOKUP(CONCATENATE($A$5,A34),'Loan Tape - Settled'!$A$5:$Q$55,17,FALSE)&gt;=AGENT!$E$4,TRUE)</f>
        <v/>
      </c>
      <c r="J34" s="439">
        <f>IF(INDEX('Loan Tape - Settled'!$B$4:$AP$55,MATCH($A34,'Loan Tape - Settled'!$E$4:$E$55,0),MATCH("Loan Denomination",'Loan Tape - Settled'!$B$4:$AP$4,0))="USD", TRUE)</f>
        <v/>
      </c>
      <c r="K34" s="439">
        <f>IF(INDEX('Loan Tape - Settled'!$B$4:$AP$55,MATCH($A34,'Loan Tape - Settled'!$E$4:$E$55,0),MATCH("Exposure Country",'Loan Tape - Settled'!$B$4:$AP$4,0))="United States", TRUE)</f>
        <v/>
      </c>
      <c r="L34" s="439">
        <f>IF(BS34="NO",TRUE)</f>
        <v/>
      </c>
      <c r="M34" s="439">
        <f>IF(((BM34-BL34)/365)&lt;=AGENT!$F$4,TRUE)</f>
        <v/>
      </c>
      <c r="N34" s="439">
        <f>IF(DX34="Yes",FALSE,TRUE)</f>
        <v/>
      </c>
      <c r="O34" s="493" t="n"/>
      <c r="P34" s="730">
        <f>IF($B34="","",IF(OR(O34=TRUE,COUNTIFS($E34:$N34,TRUE)=10),"Yes","No"))</f>
        <v/>
      </c>
      <c r="Q34" s="730" t="inlineStr">
        <is>
          <t>Yes</t>
        </is>
      </c>
      <c r="R34" s="440">
        <f>IF(P34="Yes",B34,"N/A")</f>
        <v/>
      </c>
      <c r="S34" s="440" t="n"/>
      <c r="T34" s="441">
        <f t="array" ref="T34">_xlfn.IFS(D34="Second Lien",D34,D34="First Lien",CONCATENATE(D34," ",EI34),D34="FILO",CONCATENATE(D34," ",EJ34))</f>
        <v/>
      </c>
      <c r="U34" s="442">
        <f>VLOOKUP(T34,'Concentration Limits'!D:G,4,FALSE)</f>
        <v/>
      </c>
      <c r="V34" s="1020">
        <f>AQ34+AW34+BI34</f>
        <v/>
      </c>
      <c r="W34" s="1021">
        <f>(SUMIFS('Loan Tape - Settled'!$AR$4:$AR$55,'Loan Tape - Settled'!$E$4:$E$55,$A34,'Loan Tape - Settled'!$C$4:$C$55,$A$5))</f>
        <v/>
      </c>
      <c r="X34" s="1022" t="n">
        <v>1</v>
      </c>
      <c r="Y34" s="1023">
        <f>W34*X34</f>
        <v/>
      </c>
      <c r="Z34" s="1022">
        <f>(SUMIFS('Loan Tape - Settled'!$AQ$4:$AQ$55,'Loan Tape - Settled'!$E$4:$E$55,$A34,'Loan Tape - Settled'!$C$4:$C$55,$A$5))</f>
        <v/>
      </c>
      <c r="AA34" s="1023">
        <f>Z34*X34</f>
        <v/>
      </c>
      <c r="AB34" s="1023">
        <f>AA34-Y34</f>
        <v/>
      </c>
      <c r="AC34" s="490">
        <f>VLOOKUP(CONCATENATE($A$5,A34),'Loan Tape - Settled'!$A$5:$Q$55,17,FALSE)</f>
        <v/>
      </c>
      <c r="AD34" s="445" t="n"/>
      <c r="AE34" s="446">
        <f>INDEX('Loan Tape - Settled'!$B$4:$AP$55,MATCH($A34,'Loan Tape - Settled'!$E$4:$E$55,0),MATCH("FMV",'Loan Tape - Settled'!$B$4:$AM$4,0))</f>
        <v/>
      </c>
      <c r="AF34" s="446">
        <f t="array" ref="AF34">_xlfn.IFS(D34="First Lien",
_xlfn.IFS(AND(DL34&gt;0,DL34&lt;Tier_1_1L),Tier_1_ApplicableValue,
AND(DL34&gt;=Tier_1_1L,DL34&lt;Tier_2_1L),((Tier_1_1L/DL34)*Tier_1_ApplicableValue)+((DL34-Tier_1_1L)/DL34*Tier_2_ApplicableValue),
AND(DL34&gt;=Tier_2_1L, DL34&lt;Tier_3_1L),((Tier_1_1L/DL34)*Tier_1_ApplicableValue+(Tier_2_1L-Tier_1_1L)/DL34*Tier_2_ApplicableValue+(DL34-Tier_2_1L)/DL34*Tier_3_ApplicableValue),
AND(DL34&gt;=Tier_3_1L, DL34&lt;=Tier_totalzerovalue),((Tier_1_1L/DL34)*Tier_1_ApplicableValue+(Tier_2_1L-Tier_1_1L)/DL34*Tier_2_ApplicableValue+(Tier_3_1L-Tier_2_1L)/DL34*Tier_3_ApplicableValue+(DL34-Tier_partialzerovalue)/DL34*0%),
DL34&gt;Tier_totalzerovalue,0%),
OR(D34="Second Lien", D34="FILO"),
_xlfn.IFS(AND(DM34&gt;0,DM34&lt;Tier_1_2L),Tier_1_ApplicableValue,
AND(DM34&gt;=Tier_1_2L,DM34&lt;Tier_2_2L),((Tier_1_2L/DM34)*Tier_1_ApplicableValue)+((DM34-Tier_1_2L)/DM34*Tier_2_ApplicableValue),
AND(DM34&gt;=Tier_2_2L, DM34&lt;Tier_3_2L),((Tier_1_2L/DM34)*Tier_1_ApplicableValue+(Tier_2_2L-Tier_1_2L)/DM34*Tier_2_ApplicableValue+(DM34-Tier_2_2L)/DM34*Tier_3_ApplicableValue),
AND(DM34&gt;=Tier_3_2L, DM34&lt;=Tier_totalzerovalue),((Tier_1_2L/DM34)*Tier_1_ApplicableValue+(Tier_2_2L-Tier_1_2L)/DM34*Tier_2_ApplicableValue+(Tier_3_2L-Tier_2_2L)/DM34*Tier_3_ApplicableValue+(DM34-Tier_partialzerovalue)/DM34*0%),
DM34&gt;Tier_totalzerovalue,0%))</f>
        <v/>
      </c>
      <c r="AG34" s="447">
        <f>IF(COUNTIFS(VAE!$C$5:$C$96,B34,VAE!$G$5:$G$96,"&lt;="&amp;Availability!$F$8)&gt;=1,"Yes","-")</f>
        <v/>
      </c>
      <c r="AH34" s="447">
        <f t="array" ref="AH34">IFERROR(IF(AG34="Yes",INDEX(VAE!$D$5:$D$96,MATCH(B34&amp;AJ34,VAE!$C$5:$C$96&amp;VAE!$G$5:$G$96,0)),"-"),0)</f>
        <v/>
      </c>
      <c r="AI34" s="447">
        <f t="array" ref="AI34">IFERROR(IF(AG34="Yes",INDEX(VAE!$F$5:$F$96,MATCH(B34&amp;AJ34,VAE!$C$5:$C$96&amp;VAE!$G$5:$G$96,0)),"-"),0)</f>
        <v/>
      </c>
      <c r="AJ34" s="448">
        <f>IF(AG34="-","-",_xlfn.MAXIFS(VAE!$G$5:$G$96,VAE!$C$5:$C$96,$B34))</f>
        <v/>
      </c>
      <c r="AK34" s="449">
        <f t="array" ref="AK34">IFERROR(IF(AG34="Yes",INDEX(VAE!$P$5:$P$96,MATCH(B34&amp;AJ34,VAE!$C$5:$C$96&amp;VAE!$G$5:$G$96,0)),"-"),0)</f>
        <v/>
      </c>
      <c r="AL34" s="446">
        <f>IF($A34="","",IF(P34="No",0,(IF(AG34="Yes",MIN(AE34,AK34,AF34),MIN(AE34,AF34)))))</f>
        <v/>
      </c>
      <c r="AM34" s="1020" t="n"/>
      <c r="AN34" s="1020" t="n"/>
      <c r="AO34" s="1020">
        <f>IF(AND(D34="First Lien",P34="No"),0,IF(D34&lt;&gt;"First Lien",0,Y34))</f>
        <v/>
      </c>
      <c r="AP34" s="1020">
        <f>IF(AND(D34="First Lien",P34="No"),W34,0)</f>
        <v/>
      </c>
      <c r="AQ34" s="1020">
        <f>AL34*AO34</f>
        <v/>
      </c>
      <c r="AR34" s="1020" t="n"/>
      <c r="AS34" s="1020" t="n"/>
      <c r="AT34" s="1020" t="n"/>
      <c r="AU34" s="1020">
        <f>IF(AND(D34="FILO",P34="No"),0,IF(D34&lt;&gt;"FILO",0,Y34))</f>
        <v/>
      </c>
      <c r="AV34" s="1020">
        <f>IF(AND(D34="FILO",P34="No"),W34,0)</f>
        <v/>
      </c>
      <c r="AW34" s="1020">
        <f>AU34*AL34</f>
        <v/>
      </c>
      <c r="AX34" s="1020" t="n"/>
      <c r="AY34" s="1020" t="n"/>
      <c r="AZ34" s="1020" t="n"/>
      <c r="BA34" s="1020">
        <f>IF(AND(OR(D34="First Lien",D34="FILO"),P34="No"),0,IF(OR(D34="First Lien",D34="FILO"),0,(Y34)))</f>
        <v/>
      </c>
      <c r="BB34" s="1020" t="n"/>
      <c r="BC34" s="1020" t="n"/>
      <c r="BD34" s="1020">
        <f>IF(AND(D34="Second Lien",P34="No"),W34,0)</f>
        <v/>
      </c>
      <c r="BE34" s="1020" t="n"/>
      <c r="BF34" s="1020" t="n"/>
      <c r="BG34" s="1020" t="n"/>
      <c r="BH34" s="1020" t="n"/>
      <c r="BI34" s="1020">
        <f>IF(D34="Second Lien",BA34*AL34,0)</f>
        <v/>
      </c>
      <c r="BJ34" s="1020">
        <f>SUM(AM34:AP34)+SUM(AZ34:BD34)+SUM(AS34:AV34)=Y34</f>
        <v/>
      </c>
      <c r="BK34" s="1026">
        <f>INDEX('Loan Tape - Settled'!$B$4:$AP$55,MATCH($A34,'Loan Tape - Settled'!$E$4:$E$55,0),MATCH("Inception Date",'Loan Tape - Settled'!$B$4:$AP$4,0))</f>
        <v/>
      </c>
      <c r="BL34" s="1026">
        <f>INDEX('Loan Tape - Settled'!$B$4:$AP$55,MATCH($A34,'Loan Tape - Settled'!$E$4:$E$55,0),MATCH("Inclusion Date",'Loan Tape - Settled'!$B$4:$AP$4,0))</f>
        <v/>
      </c>
      <c r="BM34" s="1026">
        <f>INDEX('Loan Tape - Settled'!$B$4:$AP$55,MATCH($A34,'Loan Tape - Settled'!$E$4:$E$55,0),MATCH("Maturity Date",'Loan Tape - Settled'!$B$4:$AP$4,0))</f>
        <v/>
      </c>
      <c r="BN34" s="556" t="n"/>
      <c r="BO34" s="556" t="n"/>
      <c r="BP34" s="1055" t="n"/>
      <c r="BQ34" s="556" t="n"/>
      <c r="BR34" s="554">
        <f>INDEX('Loan Tape - Settled'!$B$4:$AP$55,MATCH($A34,'Loan Tape - Settled'!$E$4:$E$55,0),MATCH("Industry Classification",'Loan Tape - Settled'!$B$4:$AP$4,0))</f>
        <v/>
      </c>
      <c r="BS34" s="556">
        <f>IF(INDEX('Loan Tape - Settled'!$B$4:$AP$55,MATCH($A34,'Loan Tape - Settled'!$E$4:$E$55,0),MATCH("Covenant Lite",'Loan Tape - Settled'!$B$4:$AP$4,0))=-1, "Yes", "No")</f>
        <v/>
      </c>
      <c r="BT34" s="1056">
        <f>INDEX('Loan Tape - Settled'!$B$4:$AP$55,MATCH($A34,'Loan Tape - Settled'!$E$4:$E$55,0),MATCH("Spread / Coupon (%)",'Loan Tape - Settled'!$B$4:$AP$4,0))</f>
        <v/>
      </c>
      <c r="BU34" s="556">
        <f>IF(INDEX('Loan Tape - Settled'!$B$4:$AP$55,MATCH($A34,'Loan Tape - Settled'!$E$4:$E$55,0),MATCH("Security Type",'Loan Tape - Settled'!$B$4:$AP$4,0))="Delayed Draw Term Loan", "Yes", "No")</f>
        <v/>
      </c>
      <c r="BV34" s="557" t="inlineStr">
        <is>
          <t>No</t>
        </is>
      </c>
      <c r="BW34" s="557" t="inlineStr">
        <is>
          <t>No</t>
        </is>
      </c>
      <c r="BX34" s="548" t="inlineStr">
        <is>
          <t>No</t>
        </is>
      </c>
      <c r="BY34" s="556">
        <f>IF(INDEX('Loan Tape - Settled'!$B$4:$AP$55,MATCH($A34,'Loan Tape - Settled'!$E$4:$E$55,0),MATCH("Fixed/Floating",'Loan Tape - Settled'!$B$4:$AP$4,0))="Fixed", "Yes", "No")</f>
        <v/>
      </c>
      <c r="BZ34" s="557" t="inlineStr">
        <is>
          <t>No</t>
        </is>
      </c>
      <c r="CA34" s="557" t="inlineStr">
        <is>
          <t>No</t>
        </is>
      </c>
      <c r="CB34" s="556">
        <f>IF(INDEX('Loan Tape - Settled'!$B$4:$AP$55,MATCH($A34,'Loan Tape - Settled'!$E$4:$E$55,0),MATCH("Loan Denomination",'Loan Tape - Settled'!$B$4:$AP$4,0))="CAD", "Yes", "No")</f>
        <v/>
      </c>
      <c r="CC34" s="556">
        <f>INDEX('Loan Tape - Settled'!$B$4:$AP$55,MATCH($A34,'Loan Tape - Settled'!$E$4:$E$55,0),MATCH("Payment Frequency",'Loan Tape - Settled'!$B$4:$AP$4,0))</f>
        <v/>
      </c>
      <c r="CD34" s="557" t="inlineStr">
        <is>
          <t>No</t>
        </is>
      </c>
      <c r="CE34" s="556">
        <f>INDEX('Loan Tape - Settled'!$B$4:$AP$55,MATCH($A34,'Loan Tape - Settled'!$E$4:$E$55,0),MATCH("S&amp;P Loan Rating (if applicable)",'Loan Tape - Settled'!$B$4:$AP$4,0))</f>
        <v/>
      </c>
      <c r="CF34" s="556">
        <f>INDEX('Loan Tape - Settled'!$B$4:$AP$55,MATCH($A34,'Loan Tape - Settled'!$E$4:$E$55,0),MATCH("Moody's Loan Rating (if applicable)",'Loan Tape - Settled'!$B$4:$AP$4,0))</f>
        <v/>
      </c>
      <c r="CG34" s="556" t="n"/>
      <c r="CH34" s="556" t="n"/>
      <c r="CI34" s="1057" t="n"/>
      <c r="CJ34" s="1030">
        <f>INDEX('Loan Tape - Settled'!$B$4:$BF$55,MATCH($A34,'Loan Tape - Settled'!$E$4:$E$55,0),MATCH("Last Financial Received",'Loan Tape - Settled'!$B$4:$BF$4,0))</f>
        <v/>
      </c>
      <c r="CK34" s="559">
        <f>INDEX('Loan Tape - Settled'!$B$4:$BJ$55,MATCH($A34,'Loan Tape - Settled'!$E$4:$E$55,0),MATCH("Initial Adjusted TTM EBITDA",'Loan Tape - Settled'!$B$4:$BJ$4,0))</f>
        <v/>
      </c>
      <c r="CL34" s="559">
        <f>INDEX('Loan Tape - Settled'!$B$4:$BJ$55,MATCH($A34,'Loan Tape - Settled'!$E$4:$E$55,0),MATCH("Initial TTM Non-adjusted EBITDA",'Loan Tape - Settled'!$B$4:$BJ$4,0))</f>
        <v/>
      </c>
      <c r="CM34" s="1031" t="n"/>
      <c r="CN34" s="451" t="n"/>
      <c r="CO34" s="451" t="n"/>
      <c r="CP34" s="1032" t="n"/>
      <c r="CQ34" s="1033" t="inlineStr">
        <is>
          <t>N</t>
        </is>
      </c>
      <c r="CR34" s="1032" t="n"/>
      <c r="CS34" s="454">
        <f>CK34-CP34+CR34</f>
        <v/>
      </c>
      <c r="CT34" s="455">
        <f>1-CS34/CK34</f>
        <v/>
      </c>
      <c r="CU34" s="559">
        <f>INDEX('Loan Tape - Settled'!$B$4:$BJ$55,MATCH($A34,'Loan Tape - Settled'!$E$4:$E$55,0),MATCH("Current TTM Non-adjusted EBITDA",'Loan Tape - Settled'!$B$4:$BJ$4,0))</f>
        <v/>
      </c>
      <c r="CV34" s="456">
        <f>CT34</f>
        <v/>
      </c>
      <c r="CW34" s="1034" t="inlineStr">
        <is>
          <t>N</t>
        </is>
      </c>
      <c r="CX34" s="1035" t="n"/>
      <c r="CY34" s="1036">
        <f>IF(CW34="N",(1-CV34)*CU34,(1-CX34)*CU34)</f>
        <v/>
      </c>
      <c r="CZ34" s="1037" t="n"/>
      <c r="DA34" s="1038" t="n"/>
      <c r="DB34" s="1039" t="n"/>
      <c r="DC34" s="1040" t="n"/>
      <c r="DD34" s="1040">
        <f>INDEX('Loan Tape - Settled'!$B$4:$BJ$55,MATCH($A34,'Loan Tape - Settled'!$E$4:$E$55,0),MATCH("Initial Senior Net Leverage Senior",'Loan Tape - Settled'!$B$4:$BJ$4,0))</f>
        <v/>
      </c>
      <c r="DE34" s="1041">
        <f>INDEX('Loan Tape - Settled'!$B$4:$BJ$55,MATCH($A34,'Loan Tape - Settled'!$E$4:$E$55,0),MATCH("Initial Total Net Leverage",'Loan Tape - Settled'!$B$4:$BJ$4,0))</f>
        <v/>
      </c>
      <c r="DF34" s="1037" t="n"/>
      <c r="DG34" s="1038" t="n"/>
      <c r="DH34" s="1039" t="n"/>
      <c r="DI34" s="1042">
        <f>INDEX('Loan Tape - Settled'!$B$4:$BJ$55,MATCH($A34,'Loan Tape - Settled'!$E$4:$E$55,0),MATCH("Net Attachment",'Loan Tape - Settled'!$B$4:$BJ$4,0))</f>
        <v/>
      </c>
      <c r="DJ34" s="566">
        <f t="array" ref="DJ34">IF(AG34="Yes",INDEX(VAE!$M$5:$M$53,MATCH($B34&amp;$AJ34,VAE!$C$5:$C$53&amp;VAE!$G$5:$G$53,0)),DD34)</f>
        <v/>
      </c>
      <c r="DK34" s="697">
        <f t="array" ref="DK34">IF(AG34="Yes",INDEX(VAE!$N$5:$N$53,MATCH($B34&amp;$AJ34,VAE!$C$5:$C$53&amp;VAE!$G$5:$G$53,0)),DE34)</f>
        <v/>
      </c>
      <c r="DL34" s="1058">
        <f>INDEX('Loan Tape - Settled'!$B$4:$BJ$55,MATCH($A34,'Loan Tape - Settled'!$E$4:$E$55,0),MATCH("Current Senior Net Leverage Senior",'Loan Tape - Settled'!$B$4:$BJ$4,0))</f>
        <v/>
      </c>
      <c r="DM34" s="1059">
        <f>INDEX('Loan Tape - Settled'!$B$4:$BJ$55,MATCH($A34,'Loan Tape - Settled'!$E$4:$E$55,0),MATCH("Current Total Net Leverage",'Loan Tape - Settled'!$B$4:$BJ$4,0))</f>
        <v/>
      </c>
      <c r="DN34" s="1044" t="n"/>
      <c r="DO34" s="1045">
        <f>INDEX('Loan Tape - Settled'!$B$4:$BJ$55,MATCH($A34,'Loan Tape - Settled'!$E$4:$E$55,0),MATCH("Initial Interest Coverage",'Loan Tape - Settled'!$B$4:$BJ$4,0))</f>
        <v/>
      </c>
      <c r="DP34" s="565">
        <f t="array" ref="DP34">IF(AG34="Yes",INDEX(VAE!$O$5:$O$53,MATCH($B34&amp;$AJ34,VAE!$C$5:$C$53&amp;VAE!$G$5:$G$53,0)),DO34)</f>
        <v/>
      </c>
      <c r="DQ34" s="1046">
        <f>INDEX('Loan Tape - Settled'!$B$4:$BJ$55,MATCH($A34,'Loan Tape - Settled'!$E$4:$E$55,0),MATCH("Current Interest Coverage",'Loan Tape - Settled'!$B$4:$BJ$4,0))</f>
        <v/>
      </c>
      <c r="DR34" s="462">
        <f>IF(OR(DU34="Yes",DU34="N/A",DV34="Yes",DV34="N/A",DW34="Yes",DX34="Yes",DY34="Yes",EF34="Yes",EG34="Yes",EH34="Yes"),"Yes","No")</f>
        <v/>
      </c>
      <c r="DS34" s="1047">
        <f>IF(AG34="Yes",DATEDIF(AJ34,Availability!$F$8,"m"),"")</f>
        <v/>
      </c>
      <c r="DT34" s="1047">
        <f>IF(DS34="","No",IF(DS34&gt;12,"Yes","No"))</f>
        <v/>
      </c>
      <c r="DU34" s="695">
        <f>IFERROR(IF(AND(DQ34/DP34&lt;0.75,DQ34&lt;1.5),"Yes","No"),"N/A")</f>
        <v/>
      </c>
      <c r="DV34" s="696">
        <f>IFERROR(IF(OR(D34="First Lien",D34="FILO"),IF(AND((DL34-DJ34)&gt;0.75,DL34&gt;4),"Yes","No"),"No"),"N/A")</f>
        <v/>
      </c>
      <c r="DW34" s="696">
        <f t="array" ref="DW34">_xlfn.IFS(D34&lt;&gt;"Second Lien","No",D34="Second Lien",IF(AND((DM34-DK34)&gt;0.5,DM34&gt;4.5),"Yes","No"))</f>
        <v/>
      </c>
      <c r="DX34" s="735" t="inlineStr">
        <is>
          <t>No</t>
        </is>
      </c>
      <c r="DY34" s="735" t="inlineStr">
        <is>
          <t>No</t>
        </is>
      </c>
      <c r="DZ34" s="1048" t="inlineStr">
        <is>
          <t>No</t>
        </is>
      </c>
      <c r="EA34" s="1048" t="inlineStr">
        <is>
          <t>No</t>
        </is>
      </c>
      <c r="EB34" s="1048" t="inlineStr">
        <is>
          <t>No</t>
        </is>
      </c>
      <c r="EC34" s="1048" t="inlineStr">
        <is>
          <t>No</t>
        </is>
      </c>
      <c r="ED34" s="1048" t="inlineStr">
        <is>
          <t>No</t>
        </is>
      </c>
      <c r="EE34" s="1048" t="inlineStr">
        <is>
          <t>No</t>
        </is>
      </c>
      <c r="EF34" s="442">
        <f>IF(OR(DZ34="Yes",EA34="Yes",EB34="Yes",EC34="Yes",ED34="Yes",EE34="Yes"),"Yes","No")</f>
        <v/>
      </c>
      <c r="EG34" s="1048" t="inlineStr">
        <is>
          <t>No</t>
        </is>
      </c>
      <c r="EH34" s="1049" t="inlineStr">
        <is>
          <t>No</t>
        </is>
      </c>
      <c r="EI34" s="1050">
        <f t="array" ref="EI34">IF(D34="First Lien",_xlfn.IFS(CY34&gt;AGENT!$B$23, "&gt; $20MM",CY34&lt;=AGENT!$C$25, "&lt;= $10MM",AND(CY34&lt;=AGENT!$C$24,CY34&gt;AGENT!$B$24),"&lt;= $20MM"), "N/A")</f>
        <v/>
      </c>
      <c r="EJ34" s="1050">
        <f t="array" ref="EJ34">IF(D34="FILO",_xlfn.IFS(DI34&gt;AGENT!$B$29, "&gt; 1.25x",DI34&lt;AGENT!$C$27, "&lt; 0.75x",AND(DI34&lt;=AGENT!$C$28,DI34&gt;=AGENT!$B$28),"&lt;= 1.25x"), "N/A")</f>
        <v/>
      </c>
      <c r="EK34" s="1051">
        <f>V34</f>
        <v/>
      </c>
      <c r="EL34" s="1051">
        <f>'Concentration Limits'!$J$49</f>
        <v/>
      </c>
      <c r="EM34" s="1051">
        <f>IF(OR(D34="Second Lien",AND(D34="FILO",DI34&gt;AGENT!$C$57)), "Yes", "No")</f>
        <v/>
      </c>
      <c r="EN34" s="1051">
        <f>IF(EM34="Yes",SUMIF(EM:EM,"Yes",EK:EK),0)</f>
        <v/>
      </c>
      <c r="EO34" s="1051">
        <f>IF(EN34&gt;EL34,(EN34-EL34)*(EK34/SUMIF(EM:EM,"Yes",EK:EK)),0)</f>
        <v/>
      </c>
      <c r="EP34" s="1051">
        <f>MAX(0,EK34-EO34)</f>
        <v/>
      </c>
      <c r="EQ34" s="1051">
        <f>'Concentration Limits'!$J$50</f>
        <v/>
      </c>
      <c r="ER34" s="1051">
        <f>IF(D34="Second Lien",SUMIF(D:D,D34,EP:EP),0)</f>
        <v/>
      </c>
      <c r="ES34" s="1051">
        <f>MAX(0,(ER34-EQ34)*IFERROR((EP34/SUMIF($D:$D,D34,EP:EP )),0) )</f>
        <v/>
      </c>
      <c r="ET34" s="1051">
        <f>MAX(0,EP34-ES34)</f>
        <v/>
      </c>
      <c r="EU34" s="1051">
        <f>'Concentration Limits'!$J$51</f>
        <v/>
      </c>
      <c r="EV34" s="1051">
        <f>IF(OR(D34="Second Lien", AND(D34="FILO",DI34&gt;AGENT!$C$59)), "Yes", "No")</f>
        <v/>
      </c>
      <c r="EW34" s="1051">
        <f>IF(EV34="Yes",SUMIF(EV:EV,"Yes",ET:ET),0)</f>
        <v/>
      </c>
      <c r="EX34" s="1051">
        <f>IF(EW34&gt;EU34,(EW34-EU34)*(ET34/SUMIF(EV:EV,"Yes",ET:ET)),0)</f>
        <v/>
      </c>
      <c r="EY34" s="1051">
        <f>MAX(0,ET34-EX34)</f>
        <v/>
      </c>
      <c r="EZ34" s="1051">
        <f>'Concentration Limits'!$J$52</f>
        <v/>
      </c>
      <c r="FA34" s="1051">
        <f>IF(CY34&gt;'Concentration Limits'!$E$52, "No", "Yes")</f>
        <v/>
      </c>
      <c r="FB34" s="1051">
        <f>IF(FA34="Yes",SUMIF(FA:FA,"Yes",EY:EY),0)</f>
        <v/>
      </c>
      <c r="FC34" s="1051">
        <f>IF(FB34&gt;EZ34,(FB34-EZ34)*(EY34/SUMIF(FA:FA,"Yes",EY:EY)),0)</f>
        <v/>
      </c>
      <c r="FD34" s="1051">
        <f>MAX(0,EY34-FC34)</f>
        <v/>
      </c>
      <c r="FE34" s="1052">
        <f>'Concentration Limits'!$J$54</f>
        <v/>
      </c>
      <c r="FF34" s="1052">
        <f>'Concentration Limits'!$J$55</f>
        <v/>
      </c>
      <c r="FG34" s="1052">
        <f>'Concentration Limits'!$J$56</f>
        <v/>
      </c>
      <c r="FH34" s="1053">
        <f>'Concentration Limits'!$J$57</f>
        <v/>
      </c>
      <c r="FI34" s="1053">
        <f>SUMIF($B:$B,$B34,$FD:$FD)</f>
        <v/>
      </c>
      <c r="FJ34" s="1053">
        <f>IF(MATCH($B34,$B:$B,0)=ROW(),$FI34,0)</f>
        <v/>
      </c>
      <c r="FK34" s="1053">
        <f>INDEX(FL$8:FL$60,MATCH(B34,B$8:B$60,0))</f>
        <v/>
      </c>
      <c r="FL34" s="1053">
        <f>IF(FJ34&gt;0,RANK(FJ34,$FJ$9:$FJ$60)+COUNTIF($FJ$9:FJ34,FJ34)-1,0)</f>
        <v/>
      </c>
      <c r="FM34" s="1052">
        <f>IF(FK34=1,IF(FI34&gt;FE34,(FI34-FE34)*(V34/SUMIF($B:$B,B34,$FD:$FD)),0),0)</f>
        <v/>
      </c>
      <c r="FN34" s="1052">
        <f>IF(FK34=2,IF(FI34&gt;FF34,(FI34-FF34)*(V34/SUMIF($B:$B,B34,$FD:$FD)),0),0)</f>
        <v/>
      </c>
      <c r="FO34" s="1052">
        <f>IF(FK34=3,IF(FI34&gt;FG34,(FI34-FG34)*(V34/SUMIF($B:$B,B34,$FD:$FD)),0),0)</f>
        <v/>
      </c>
      <c r="FP34" s="1053">
        <f>IF(FK34&gt;0,IF(FI34&gt;FH34,(FI34-FH34)*(FD34/(SUMIF($B:$B,$B34,$FD:$FD))),0),0)</f>
        <v/>
      </c>
      <c r="FQ34" s="1053">
        <f>MAX(0,FD34-FM34-FN34-FO34-FP34)</f>
        <v/>
      </c>
      <c r="FR34" s="1053">
        <f>'Concentration Limits'!$J$58</f>
        <v/>
      </c>
      <c r="FS34" s="1053">
        <f>SUMIF($BR:$BR,$BR34,FQ:FQ)</f>
        <v/>
      </c>
      <c r="FT34" s="1053">
        <f>VLOOKUP(BR34,'Concentration Limits'!$E$81:$H$153,4,FALSE)</f>
        <v/>
      </c>
      <c r="FU34" s="1053">
        <f>IF(FT34=1,MAX(0,(FS34-FR34)*(FQ34/SUMIF($BR:$BR,BR34,FQ:FQ))),0)</f>
        <v/>
      </c>
      <c r="FV34" s="1053">
        <f>MAX(0,FQ34-FU34)</f>
        <v/>
      </c>
      <c r="FW34" s="1053">
        <f>'Concentration Limits'!$J$59</f>
        <v/>
      </c>
      <c r="FX34" s="1053">
        <f>SUMIF($BR:$BR,$BR34,FV:FV)</f>
        <v/>
      </c>
      <c r="FY34" s="1053">
        <f>VLOOKUP(BR34,'Concentration Limits'!$E$81:$H$153,4,FALSE)</f>
        <v/>
      </c>
      <c r="FZ34" s="1053">
        <f>MAX(0,IF(FY34=2,(FX34-FW34)*(FV34/SUMIF($BR:$BR,BR34,FV:FV)),0))</f>
        <v/>
      </c>
      <c r="GA34" s="1053">
        <f>MAX(0,FV34-FZ34)</f>
        <v/>
      </c>
      <c r="GB34" s="1053">
        <f>'Concentration Limits'!$J$61</f>
        <v/>
      </c>
      <c r="GC34" s="1053">
        <f>SUMIF($BR:$BR,$BR34,GA:GA)</f>
        <v/>
      </c>
      <c r="GD34" s="1051">
        <f>VLOOKUP(BR34,'Concentration Limits'!$E$81:$H$153,4,FALSE)</f>
        <v/>
      </c>
      <c r="GE34" s="1053">
        <f>IF(GA34=0,0,MAX(0,IF(GD34&lt;3,0,(GC34-GB34)*($GA34/SUMIF($BR:$BR,BR34,GA:GA)))))</f>
        <v/>
      </c>
      <c r="GF34" s="1053">
        <f>MAX(0,GA34-GE34)</f>
        <v/>
      </c>
      <c r="GG34" s="1053">
        <f>'Concentration Limits'!$J$64</f>
        <v/>
      </c>
      <c r="GH34" s="1053">
        <f>IF(BY34="Yes",SUMIF(BY:BY,BY34,GF:GF),0)</f>
        <v/>
      </c>
      <c r="GI34" s="1053">
        <f>IFERROR(MAX(0,(GH34-GG34)*(GF34/SUMIF($T:$T,T34,GF:GF ))),0)</f>
        <v/>
      </c>
      <c r="GJ34" s="1053">
        <f>MAX(0,GF34-GI34)</f>
        <v/>
      </c>
      <c r="GK34" s="1053">
        <f>'Concentration Limits'!$J$67</f>
        <v/>
      </c>
      <c r="GL34" s="1051">
        <f>IF(OR(BV34="Yes",OR(ISNUMBER(SEARCH("Travel",BR34)),ISNUMBER(SEARCH("Energy",BR34)),ISNUMBER(SEARCH("Leisure",BR34)),ISNUMBER(SEARCH("hotel",BR34)))),"Yes","No")</f>
        <v/>
      </c>
      <c r="GM34" s="1053">
        <f>IF(GL34="Yes",SUMIF(GL:GL,"Yes",GJ:GJ),0)</f>
        <v/>
      </c>
      <c r="GN34" s="1053">
        <f>IF(GM34&gt;GK34,(GM34-GK34)*(GJ34/SUMIF(GL:GL,"Yes",GJ:GJ)),0)</f>
        <v/>
      </c>
      <c r="GO34" s="1053">
        <f>MAX(0,GJ34-GN34)</f>
        <v/>
      </c>
      <c r="GP34" s="1053">
        <f>'Concentration Limits'!$J$68</f>
        <v/>
      </c>
      <c r="GQ34" s="1051">
        <f>IF(BU34="Yes","Yes", "No")</f>
        <v/>
      </c>
      <c r="GR34" s="1053">
        <f>IF(GQ34="Yes",SUMIF(GQ:GQ,"Yes",GO:GO),0)</f>
        <v/>
      </c>
      <c r="GS34" s="1053">
        <f>IF(GR34&gt;GP34,(GR34-GP34)*(GO34/SUMIF(GQ:GQ,"Yes",GO:GO)),0)</f>
        <v/>
      </c>
      <c r="GT34" s="1053">
        <f>MAX(0,GO34-GS34)</f>
        <v/>
      </c>
      <c r="GU34" s="1051">
        <f>'Concentration Limits'!$J$69</f>
        <v/>
      </c>
      <c r="GV34" s="1051">
        <f>IF(BW34="Yes", "Yes", "No")</f>
        <v/>
      </c>
      <c r="GW34" s="1051">
        <f>IF(GV34="Yes",SUMIF(GV:GV,"Yes",GT:GT),0)</f>
        <v/>
      </c>
      <c r="GX34" s="1051">
        <f>IF(GW34&gt;GU34,(GW34-GU34)*(GT34/SUMIF(GV:GV,"Yes",GT:GT)),0)</f>
        <v/>
      </c>
      <c r="GY34" s="1051">
        <f>MAX(0,GT34-GX34)</f>
        <v/>
      </c>
      <c r="GZ34" s="1051">
        <f>'Concentration Limits'!$J$70</f>
        <v/>
      </c>
      <c r="HA34" s="1051">
        <f>IF(BX34="Yes", "Yes", "No")</f>
        <v/>
      </c>
      <c r="HB34" s="1051">
        <f>IF(HA34="Yes",SUMIF(HA:HA,"Yes",GY:GY),0)</f>
        <v/>
      </c>
      <c r="HC34" s="1051">
        <f>IF(HB34&gt;GZ34,(HB34-GZ34)*(GY34/SUMIF(HA:HA,"Yes",GY:GY)),0)</f>
        <v/>
      </c>
      <c r="HD34" s="1051">
        <f>MAX(0,GY34-HC34)</f>
        <v/>
      </c>
      <c r="HE34" s="1053">
        <f>IF(AQ34=0,0,HD34*AQ34/(AQ34+AR34))</f>
        <v/>
      </c>
      <c r="HF34" s="1053">
        <f>IF(AR34=0,0,HD34*AR34/(AQ34+AR34))</f>
        <v/>
      </c>
      <c r="HG34" s="1053">
        <f>IF(AW34=0,0,HD34*AW34/(AW34+AX34))</f>
        <v/>
      </c>
      <c r="HH34" s="1053">
        <f>IF(AX34=0,0,HD34*AX34/(AX34+AW34))</f>
        <v/>
      </c>
      <c r="HI34" s="1053">
        <f>IF(BE34=0,0,#REF!*BE34/(BE34+BG34))</f>
        <v/>
      </c>
      <c r="HJ34" s="1053">
        <f>IF(BG34=0,0,#REF!*BG34/(BG34+BE34))</f>
        <v/>
      </c>
      <c r="HK34" s="1054">
        <f>IF(BF34=0,0,#REF!*BF34/(BF34+BH34))</f>
        <v/>
      </c>
      <c r="HL34" s="1053">
        <f>IF(BH34=0,0,#REF!*BH34/(BH34+BF34))</f>
        <v/>
      </c>
      <c r="HM34" s="1053">
        <f>IF(D34="Second Lien",HD34,0)</f>
        <v/>
      </c>
      <c r="HN34" s="1053">
        <f>SUM(HE34:HM34)=HD34</f>
        <v/>
      </c>
    </row>
    <row r="35" ht="12.75" customFormat="1" customHeight="1" s="469">
      <c r="A35" s="55">
        <f>A34+1</f>
        <v/>
      </c>
      <c r="B35" s="437">
        <f>INDEX('Loan Tape - Settled'!$B$4:$AP$55,MATCH($A35,'Loan Tape - Settled'!$E$4:$E$55,0),MATCH("Obligor Name",'Loan Tape - Settled'!$B$4:$AM$4,0))</f>
        <v/>
      </c>
      <c r="C35" s="437">
        <f>INDEX('Loan Tape - Settled'!$B$4:$AP$55,MATCH($A35,'Loan Tape - Settled'!$E$4:$E$55,0),MATCH("Security",'Loan Tape - Settled'!$B$4:$AM$4,0))</f>
        <v/>
      </c>
      <c r="D35" s="438">
        <f>INDEX('Loan Tape - Settled'!$B$4:$AP$55,MATCH($A35,'Loan Tape - Settled'!$E$4:$E$55,0),MATCH("Loan Type",'Loan Tape - Settled'!$B$4:$AM$4,0))</f>
        <v/>
      </c>
      <c r="E35" s="439">
        <f>IF(ISERROR(MATCH(D35,AGENT!$A$4:$A$10,0))=FALSE, TRUE)</f>
        <v/>
      </c>
      <c r="F35" s="439">
        <f>IF(AND(BZ35="no",CA35="no"),TRUE)</f>
        <v/>
      </c>
      <c r="G35" s="439">
        <f>IF(D35&lt;&gt;"Second Lien",TRUE, IF(CY35&gt;=AGENT!$B$4,TRUE))</f>
        <v/>
      </c>
      <c r="H35" s="439">
        <f>IF(DE35&lt;=AGENT!$D$4,TRUE)</f>
        <v/>
      </c>
      <c r="I35" s="439">
        <f>IF(VLOOKUP(CONCATENATE($A$5,A35),'Loan Tape - Settled'!$A$5:$Q$55,17,FALSE)&gt;=AGENT!$E$4,TRUE)</f>
        <v/>
      </c>
      <c r="J35" s="439">
        <f>IF(INDEX('Loan Tape - Settled'!$B$4:$AP$55,MATCH($A35,'Loan Tape - Settled'!$E$4:$E$55,0),MATCH("Loan Denomination",'Loan Tape - Settled'!$B$4:$AP$4,0))="USD", TRUE)</f>
        <v/>
      </c>
      <c r="K35" s="439">
        <f>IF(INDEX('Loan Tape - Settled'!$B$4:$AP$55,MATCH($A35,'Loan Tape - Settled'!$E$4:$E$55,0),MATCH("Exposure Country",'Loan Tape - Settled'!$B$4:$AP$4,0))="United States", TRUE)</f>
        <v/>
      </c>
      <c r="L35" s="439">
        <f>IF(BS35="NO",TRUE)</f>
        <v/>
      </c>
      <c r="M35" s="439">
        <f>IF(((BM35-BL35)/365)&lt;=AGENT!$F$4,TRUE)</f>
        <v/>
      </c>
      <c r="N35" s="439">
        <f>IF(DX35="Yes",FALSE,TRUE)</f>
        <v/>
      </c>
      <c r="O35" s="493" t="n"/>
      <c r="P35" s="730">
        <f>IF($B35="","",IF(OR(O35=TRUE,COUNTIFS($E35:$N35,TRUE)=10),"Yes","No"))</f>
        <v/>
      </c>
      <c r="Q35" s="730" t="inlineStr">
        <is>
          <t>Yes</t>
        </is>
      </c>
      <c r="R35" s="440">
        <f>IF(P35="Yes",B35,"N/A")</f>
        <v/>
      </c>
      <c r="S35" s="440" t="n"/>
      <c r="T35" s="441">
        <f t="array" ref="T35">_xlfn.IFS(D35="Second Lien",D35,D35="First Lien",CONCATENATE(D35," ",EI35),D35="FILO",CONCATENATE(D35," ",EJ35))</f>
        <v/>
      </c>
      <c r="U35" s="442">
        <f>VLOOKUP(T35,'Concentration Limits'!D:G,4,FALSE)</f>
        <v/>
      </c>
      <c r="V35" s="1020">
        <f>AQ35+AW35+BI35</f>
        <v/>
      </c>
      <c r="W35" s="1021">
        <f>(SUMIFS('Loan Tape - Settled'!$AR$4:$AR$55,'Loan Tape - Settled'!$E$4:$E$55,$A35,'Loan Tape - Settled'!$C$4:$C$55,$A$5))</f>
        <v/>
      </c>
      <c r="X35" s="1022" t="n">
        <v>1</v>
      </c>
      <c r="Y35" s="1023">
        <f>W35*X35</f>
        <v/>
      </c>
      <c r="Z35" s="1022">
        <f>(SUMIFS('Loan Tape - Settled'!$AQ$4:$AQ$55,'Loan Tape - Settled'!$E$4:$E$55,$A35,'Loan Tape - Settled'!$C$4:$C$55,$A$5))</f>
        <v/>
      </c>
      <c r="AA35" s="1023">
        <f>Z35*X35</f>
        <v/>
      </c>
      <c r="AB35" s="1023">
        <f>AA35-Y35</f>
        <v/>
      </c>
      <c r="AC35" s="490">
        <f>VLOOKUP(CONCATENATE($A$5,A35),'Loan Tape - Settled'!$A$5:$Q$55,17,FALSE)</f>
        <v/>
      </c>
      <c r="AD35" s="445" t="n"/>
      <c r="AE35" s="446">
        <f>INDEX('Loan Tape - Settled'!$B$4:$AP$55,MATCH($A35,'Loan Tape - Settled'!$E$4:$E$55,0),MATCH("FMV",'Loan Tape - Settled'!$B$4:$AM$4,0))</f>
        <v/>
      </c>
      <c r="AF35" s="446">
        <f t="array" ref="AF35">_xlfn.IFS(D35="First Lien",
_xlfn.IFS(AND(DL35&gt;0,DL35&lt;Tier_1_1L),Tier_1_ApplicableValue,
AND(DL35&gt;=Tier_1_1L,DL35&lt;Tier_2_1L),((Tier_1_1L/DL35)*Tier_1_ApplicableValue)+((DL35-Tier_1_1L)/DL35*Tier_2_ApplicableValue),
AND(DL35&gt;=Tier_2_1L, DL35&lt;Tier_3_1L),((Tier_1_1L/DL35)*Tier_1_ApplicableValue+(Tier_2_1L-Tier_1_1L)/DL35*Tier_2_ApplicableValue+(DL35-Tier_2_1L)/DL35*Tier_3_ApplicableValue),
AND(DL35&gt;=Tier_3_1L, DL35&lt;=Tier_totalzerovalue),((Tier_1_1L/DL35)*Tier_1_ApplicableValue+(Tier_2_1L-Tier_1_1L)/DL35*Tier_2_ApplicableValue+(Tier_3_1L-Tier_2_1L)/DL35*Tier_3_ApplicableValue+(DL35-Tier_partialzerovalue)/DL35*0%),
DL35&gt;Tier_totalzerovalue,0%),
OR(D35="Second Lien", D35="FILO"),
_xlfn.IFS(AND(DM35&gt;0,DM35&lt;Tier_1_2L),Tier_1_ApplicableValue,
AND(DM35&gt;=Tier_1_2L,DM35&lt;Tier_2_2L),((Tier_1_2L/DM35)*Tier_1_ApplicableValue)+((DM35-Tier_1_2L)/DM35*Tier_2_ApplicableValue),
AND(DM35&gt;=Tier_2_2L, DM35&lt;Tier_3_2L),((Tier_1_2L/DM35)*Tier_1_ApplicableValue+(Tier_2_2L-Tier_1_2L)/DM35*Tier_2_ApplicableValue+(DM35-Tier_2_2L)/DM35*Tier_3_ApplicableValue),
AND(DM35&gt;=Tier_3_2L, DM35&lt;=Tier_totalzerovalue),((Tier_1_2L/DM35)*Tier_1_ApplicableValue+(Tier_2_2L-Tier_1_2L)/DM35*Tier_2_ApplicableValue+(Tier_3_2L-Tier_2_2L)/DM35*Tier_3_ApplicableValue+(DM35-Tier_partialzerovalue)/DM35*0%),
DM35&gt;Tier_totalzerovalue,0%))</f>
        <v/>
      </c>
      <c r="AG35" s="447">
        <f>IF(COUNTIFS(VAE!$C$5:$C$96,B35,VAE!$G$5:$G$96,"&lt;="&amp;Availability!$F$8)&gt;=1,"Yes","-")</f>
        <v/>
      </c>
      <c r="AH35" s="447">
        <f t="array" ref="AH35">IFERROR(IF(AG35="Yes",INDEX(VAE!$D$5:$D$96,MATCH(B35&amp;AJ35,VAE!$C$5:$C$96&amp;VAE!$G$5:$G$96,0)),"-"),0)</f>
        <v/>
      </c>
      <c r="AI35" s="447">
        <f t="array" ref="AI35">IFERROR(IF(AG35="Yes",INDEX(VAE!$F$5:$F$96,MATCH(B35&amp;AJ35,VAE!$C$5:$C$96&amp;VAE!$G$5:$G$96,0)),"-"),0)</f>
        <v/>
      </c>
      <c r="AJ35" s="448">
        <f>IF(AG35="-","-",_xlfn.MAXIFS(VAE!$G$5:$G$96,VAE!$C$5:$C$96,$B35))</f>
        <v/>
      </c>
      <c r="AK35" s="449">
        <f t="array" ref="AK35">IFERROR(IF(AG35="Yes",INDEX(VAE!$P$5:$P$96,MATCH(B35&amp;AJ35,VAE!$C$5:$C$96&amp;VAE!$G$5:$G$96,0)),"-"),0)</f>
        <v/>
      </c>
      <c r="AL35" s="446">
        <f>IF($A35="","",IF(P35="No",0,(IF(AG35="Yes",MIN(AE35,AK35,AF35),MIN(AE35,AF35)))))</f>
        <v/>
      </c>
      <c r="AM35" s="1020" t="n"/>
      <c r="AN35" s="1020" t="n"/>
      <c r="AO35" s="1020">
        <f>IF(AND(D35="First Lien",P35="No"),0,IF(D35&lt;&gt;"First Lien",0,Y35))</f>
        <v/>
      </c>
      <c r="AP35" s="1020">
        <f>IF(AND(D35="First Lien",P35="No"),W35,0)</f>
        <v/>
      </c>
      <c r="AQ35" s="1020">
        <f>AL35*AO35</f>
        <v/>
      </c>
      <c r="AR35" s="1020" t="n"/>
      <c r="AS35" s="1020" t="n"/>
      <c r="AT35" s="1020" t="n"/>
      <c r="AU35" s="1020">
        <f>IF(AND(D35="FILO",P35="No"),0,IF(D35&lt;&gt;"FILO",0,Y35))</f>
        <v/>
      </c>
      <c r="AV35" s="1020">
        <f>IF(AND(D35="FILO",P35="No"),W35,0)</f>
        <v/>
      </c>
      <c r="AW35" s="1020">
        <f>AU35*AL35</f>
        <v/>
      </c>
      <c r="AX35" s="1020" t="n"/>
      <c r="AY35" s="1020" t="n"/>
      <c r="AZ35" s="1020" t="n"/>
      <c r="BA35" s="1020">
        <f>IF(AND(OR(D35="First Lien",D35="FILO"),P35="No"),0,IF(OR(D35="First Lien",D35="FILO"),0,(Y35)))</f>
        <v/>
      </c>
      <c r="BB35" s="1020" t="n"/>
      <c r="BC35" s="1020" t="n"/>
      <c r="BD35" s="1020">
        <f>IF(AND(D35="Second Lien",P35="No"),W35,0)</f>
        <v/>
      </c>
      <c r="BE35" s="1020" t="n"/>
      <c r="BF35" s="1020" t="n"/>
      <c r="BG35" s="1020" t="n"/>
      <c r="BH35" s="1020" t="n"/>
      <c r="BI35" s="1020">
        <f>IF(D35="Second Lien",BA35*AL35,0)</f>
        <v/>
      </c>
      <c r="BJ35" s="1020">
        <f>SUM(AM35:AP35)+SUM(AZ35:BD35)+SUM(AS35:AV35)=Y35</f>
        <v/>
      </c>
      <c r="BK35" s="1026">
        <f>INDEX('Loan Tape - Settled'!$B$4:$AP$55,MATCH($A35,'Loan Tape - Settled'!$E$4:$E$55,0),MATCH("Inception Date",'Loan Tape - Settled'!$B$4:$AP$4,0))</f>
        <v/>
      </c>
      <c r="BL35" s="1026">
        <f>INDEX('Loan Tape - Settled'!$B$4:$AP$55,MATCH($A35,'Loan Tape - Settled'!$E$4:$E$55,0),MATCH("Inclusion Date",'Loan Tape - Settled'!$B$4:$AP$4,0))</f>
        <v/>
      </c>
      <c r="BM35" s="1026">
        <f>INDEX('Loan Tape - Settled'!$B$4:$AP$55,MATCH($A35,'Loan Tape - Settled'!$E$4:$E$55,0),MATCH("Maturity Date",'Loan Tape - Settled'!$B$4:$AP$4,0))</f>
        <v/>
      </c>
      <c r="BN35" s="556" t="n"/>
      <c r="BO35" s="556" t="n"/>
      <c r="BP35" s="1055" t="n"/>
      <c r="BQ35" s="556" t="n"/>
      <c r="BR35" s="554">
        <f>INDEX('Loan Tape - Settled'!$B$4:$AP$55,MATCH($A35,'Loan Tape - Settled'!$E$4:$E$55,0),MATCH("Industry Classification",'Loan Tape - Settled'!$B$4:$AP$4,0))</f>
        <v/>
      </c>
      <c r="BS35" s="556">
        <f>IF(INDEX('Loan Tape - Settled'!$B$4:$AP$55,MATCH($A35,'Loan Tape - Settled'!$E$4:$E$55,0),MATCH("Covenant Lite",'Loan Tape - Settled'!$B$4:$AP$4,0))=-1, "Yes", "No")</f>
        <v/>
      </c>
      <c r="BT35" s="1056">
        <f>INDEX('Loan Tape - Settled'!$B$4:$AP$55,MATCH($A35,'Loan Tape - Settled'!$E$4:$E$55,0),MATCH("Spread / Coupon (%)",'Loan Tape - Settled'!$B$4:$AP$4,0))</f>
        <v/>
      </c>
      <c r="BU35" s="556">
        <f>IF(INDEX('Loan Tape - Settled'!$B$4:$AP$55,MATCH($A35,'Loan Tape - Settled'!$E$4:$E$55,0),MATCH("Security Type",'Loan Tape - Settled'!$B$4:$AP$4,0))="Delayed Draw Term Loan", "Yes", "No")</f>
        <v/>
      </c>
      <c r="BV35" s="557" t="inlineStr">
        <is>
          <t>No</t>
        </is>
      </c>
      <c r="BW35" s="557" t="inlineStr">
        <is>
          <t>No</t>
        </is>
      </c>
      <c r="BX35" s="548" t="inlineStr">
        <is>
          <t>No</t>
        </is>
      </c>
      <c r="BY35" s="556">
        <f>IF(INDEX('Loan Tape - Settled'!$B$4:$AP$55,MATCH($A35,'Loan Tape - Settled'!$E$4:$E$55,0),MATCH("Fixed/Floating",'Loan Tape - Settled'!$B$4:$AP$4,0))="Fixed", "Yes", "No")</f>
        <v/>
      </c>
      <c r="BZ35" s="557" t="inlineStr">
        <is>
          <t>No</t>
        </is>
      </c>
      <c r="CA35" s="557" t="inlineStr">
        <is>
          <t>No</t>
        </is>
      </c>
      <c r="CB35" s="556">
        <f>IF(INDEX('Loan Tape - Settled'!$B$4:$AP$55,MATCH($A35,'Loan Tape - Settled'!$E$4:$E$55,0),MATCH("Loan Denomination",'Loan Tape - Settled'!$B$4:$AP$4,0))="CAD", "Yes", "No")</f>
        <v/>
      </c>
      <c r="CC35" s="556">
        <f>INDEX('Loan Tape - Settled'!$B$4:$AP$55,MATCH($A35,'Loan Tape - Settled'!$E$4:$E$55,0),MATCH("Payment Frequency",'Loan Tape - Settled'!$B$4:$AP$4,0))</f>
        <v/>
      </c>
      <c r="CD35" s="557" t="inlineStr">
        <is>
          <t>No</t>
        </is>
      </c>
      <c r="CE35" s="556">
        <f>INDEX('Loan Tape - Settled'!$B$4:$AP$55,MATCH($A35,'Loan Tape - Settled'!$E$4:$E$55,0),MATCH("S&amp;P Loan Rating (if applicable)",'Loan Tape - Settled'!$B$4:$AP$4,0))</f>
        <v/>
      </c>
      <c r="CF35" s="556">
        <f>INDEX('Loan Tape - Settled'!$B$4:$AP$55,MATCH($A35,'Loan Tape - Settled'!$E$4:$E$55,0),MATCH("Moody's Loan Rating (if applicable)",'Loan Tape - Settled'!$B$4:$AP$4,0))</f>
        <v/>
      </c>
      <c r="CG35" s="556" t="n"/>
      <c r="CH35" s="556" t="n"/>
      <c r="CI35" s="1057" t="n"/>
      <c r="CJ35" s="1030">
        <f>INDEX('Loan Tape - Settled'!$B$4:$BF$55,MATCH($A35,'Loan Tape - Settled'!$E$4:$E$55,0),MATCH("Last Financial Received",'Loan Tape - Settled'!$B$4:$BF$4,0))</f>
        <v/>
      </c>
      <c r="CK35" s="559">
        <f>INDEX('Loan Tape - Settled'!$B$4:$BJ$55,MATCH($A35,'Loan Tape - Settled'!$E$4:$E$55,0),MATCH("Initial Adjusted TTM EBITDA",'Loan Tape - Settled'!$B$4:$BJ$4,0))</f>
        <v/>
      </c>
      <c r="CL35" s="559">
        <f>INDEX('Loan Tape - Settled'!$B$4:$BJ$55,MATCH($A35,'Loan Tape - Settled'!$E$4:$E$55,0),MATCH("Initial TTM Non-adjusted EBITDA",'Loan Tape - Settled'!$B$4:$BJ$4,0))</f>
        <v/>
      </c>
      <c r="CM35" s="1031" t="n"/>
      <c r="CN35" s="451" t="n"/>
      <c r="CO35" s="451" t="n"/>
      <c r="CP35" s="1032" t="n"/>
      <c r="CQ35" s="1033" t="inlineStr">
        <is>
          <t>N</t>
        </is>
      </c>
      <c r="CR35" s="1032" t="n"/>
      <c r="CS35" s="454">
        <f>CK35-CP35+CR35</f>
        <v/>
      </c>
      <c r="CT35" s="455">
        <f>1-CS35/CK35</f>
        <v/>
      </c>
      <c r="CU35" s="559">
        <f>INDEX('Loan Tape - Settled'!$B$4:$BJ$55,MATCH($A35,'Loan Tape - Settled'!$E$4:$E$55,0),MATCH("Current TTM Non-adjusted EBITDA",'Loan Tape - Settled'!$B$4:$BJ$4,0))</f>
        <v/>
      </c>
      <c r="CV35" s="456">
        <f>CT35</f>
        <v/>
      </c>
      <c r="CW35" s="1034" t="inlineStr">
        <is>
          <t>N</t>
        </is>
      </c>
      <c r="CX35" s="1035" t="n"/>
      <c r="CY35" s="1036">
        <f>IF(CW35="N",(1-CV35)*CU35,(1-CX35)*CU35)</f>
        <v/>
      </c>
      <c r="CZ35" s="1037" t="n"/>
      <c r="DA35" s="1038" t="n"/>
      <c r="DB35" s="1039" t="n"/>
      <c r="DC35" s="1040" t="n"/>
      <c r="DD35" s="1040">
        <f>INDEX('Loan Tape - Settled'!$B$4:$BJ$55,MATCH($A35,'Loan Tape - Settled'!$E$4:$E$55,0),MATCH("Initial Senior Net Leverage Senior",'Loan Tape - Settled'!$B$4:$BJ$4,0))</f>
        <v/>
      </c>
      <c r="DE35" s="1041">
        <f>INDEX('Loan Tape - Settled'!$B$4:$BJ$55,MATCH($A35,'Loan Tape - Settled'!$E$4:$E$55,0),MATCH("Initial Total Net Leverage",'Loan Tape - Settled'!$B$4:$BJ$4,0))</f>
        <v/>
      </c>
      <c r="DF35" s="1037" t="n"/>
      <c r="DG35" s="1038" t="n"/>
      <c r="DH35" s="1039" t="n"/>
      <c r="DI35" s="1042">
        <f>INDEX('Loan Tape - Settled'!$B$4:$BJ$55,MATCH($A35,'Loan Tape - Settled'!$E$4:$E$55,0),MATCH("Net Attachment",'Loan Tape - Settled'!$B$4:$BJ$4,0))</f>
        <v/>
      </c>
      <c r="DJ35" s="566">
        <f t="array" ref="DJ35">IF(AG35="Yes",INDEX(VAE!$M$5:$M$53,MATCH($B35&amp;$AJ35,VAE!$C$5:$C$53&amp;VAE!$G$5:$G$53,0)),DD35)</f>
        <v/>
      </c>
      <c r="DK35" s="697">
        <f t="array" ref="DK35">IF(AG35="Yes",INDEX(VAE!$N$5:$N$53,MATCH($B35&amp;$AJ35,VAE!$C$5:$C$53&amp;VAE!$G$5:$G$53,0)),DE35)</f>
        <v/>
      </c>
      <c r="DL35" s="1058">
        <f>INDEX('Loan Tape - Settled'!$B$4:$BJ$55,MATCH($A35,'Loan Tape - Settled'!$E$4:$E$55,0),MATCH("Current Senior Net Leverage Senior",'Loan Tape - Settled'!$B$4:$BJ$4,0))</f>
        <v/>
      </c>
      <c r="DM35" s="1059">
        <f>INDEX('Loan Tape - Settled'!$B$4:$BJ$55,MATCH($A35,'Loan Tape - Settled'!$E$4:$E$55,0),MATCH("Current Total Net Leverage",'Loan Tape - Settled'!$B$4:$BJ$4,0))</f>
        <v/>
      </c>
      <c r="DN35" s="1044" t="n"/>
      <c r="DO35" s="1045">
        <f>INDEX('Loan Tape - Settled'!$B$4:$BJ$55,MATCH($A35,'Loan Tape - Settled'!$E$4:$E$55,0),MATCH("Initial Interest Coverage",'Loan Tape - Settled'!$B$4:$BJ$4,0))</f>
        <v/>
      </c>
      <c r="DP35" s="565">
        <f t="array" ref="DP35">IF(AG35="Yes",INDEX(VAE!$O$5:$O$53,MATCH($B35&amp;$AJ35,VAE!$C$5:$C$53&amp;VAE!$G$5:$G$53,0)),DO35)</f>
        <v/>
      </c>
      <c r="DQ35" s="1046">
        <f>INDEX('Loan Tape - Settled'!$B$4:$BJ$55,MATCH($A35,'Loan Tape - Settled'!$E$4:$E$55,0),MATCH("Current Interest Coverage",'Loan Tape - Settled'!$B$4:$BJ$4,0))</f>
        <v/>
      </c>
      <c r="DR35" s="462">
        <f>IF(OR(DU35="Yes",DU35="N/A",DV35="Yes",DV35="N/A",DW35="Yes",DX35="Yes",DY35="Yes",EF35="Yes",EG35="Yes",EH35="Yes"),"Yes","No")</f>
        <v/>
      </c>
      <c r="DS35" s="1047">
        <f>IF(AG35="Yes",DATEDIF(AJ35,Availability!$F$8,"m"),"")</f>
        <v/>
      </c>
      <c r="DT35" s="1047">
        <f>IF(DS35="","No",IF(DS35&gt;12,"Yes","No"))</f>
        <v/>
      </c>
      <c r="DU35" s="695">
        <f>IFERROR(IF(AND(DQ35/DP35&lt;0.75,DQ35&lt;1.5),"Yes","No"),"N/A")</f>
        <v/>
      </c>
      <c r="DV35" s="696">
        <f>IFERROR(IF(OR(D35="First Lien",D35="FILO"),IF(AND((DL35-DJ35)&gt;0.75,DL35&gt;4),"Yes","No"),"No"),"N/A")</f>
        <v/>
      </c>
      <c r="DW35" s="696">
        <f t="array" ref="DW35">_xlfn.IFS(D35&lt;&gt;"Second Lien","No",D35="Second Lien",IF(AND((DM35-DK35)&gt;0.5,DM35&gt;4.5),"Yes","No"))</f>
        <v/>
      </c>
      <c r="DX35" s="735" t="inlineStr">
        <is>
          <t>No</t>
        </is>
      </c>
      <c r="DY35" s="735" t="inlineStr">
        <is>
          <t>No</t>
        </is>
      </c>
      <c r="DZ35" s="1048" t="inlineStr">
        <is>
          <t>No</t>
        </is>
      </c>
      <c r="EA35" s="1048" t="inlineStr">
        <is>
          <t>No</t>
        </is>
      </c>
      <c r="EB35" s="1048" t="inlineStr">
        <is>
          <t>No</t>
        </is>
      </c>
      <c r="EC35" s="1048" t="inlineStr">
        <is>
          <t>No</t>
        </is>
      </c>
      <c r="ED35" s="1048" t="inlineStr">
        <is>
          <t>No</t>
        </is>
      </c>
      <c r="EE35" s="1048" t="inlineStr">
        <is>
          <t>No</t>
        </is>
      </c>
      <c r="EF35" s="442">
        <f>IF(OR(DZ35="Yes",EA35="Yes",EB35="Yes",EC35="Yes",ED35="Yes",EE35="Yes"),"Yes","No")</f>
        <v/>
      </c>
      <c r="EG35" s="1048" t="inlineStr">
        <is>
          <t>No</t>
        </is>
      </c>
      <c r="EH35" s="1049" t="inlineStr">
        <is>
          <t>No</t>
        </is>
      </c>
      <c r="EI35" s="1050">
        <f t="array" ref="EI35">IF(D35="First Lien",_xlfn.IFS(CY35&gt;AGENT!$B$23, "&gt; $20MM",CY35&lt;=AGENT!$C$25, "&lt;= $10MM",AND(CY35&lt;=AGENT!$C$24,CY35&gt;AGENT!$B$24),"&lt;= $20MM"), "N/A")</f>
        <v/>
      </c>
      <c r="EJ35" s="1050">
        <f t="array" ref="EJ35">IF(D35="FILO",_xlfn.IFS(DI35&gt;AGENT!$B$29, "&gt; 1.25x",DI35&lt;AGENT!$C$27, "&lt; 0.75x",AND(DI35&lt;=AGENT!$C$28,DI35&gt;=AGENT!$B$28),"&lt;= 1.25x"), "N/A")</f>
        <v/>
      </c>
      <c r="EK35" s="1051">
        <f>V35</f>
        <v/>
      </c>
      <c r="EL35" s="1051">
        <f>'Concentration Limits'!$J$49</f>
        <v/>
      </c>
      <c r="EM35" s="1051">
        <f>IF(OR(D35="Second Lien",AND(D35="FILO",DI35&gt;AGENT!$C$57)), "Yes", "No")</f>
        <v/>
      </c>
      <c r="EN35" s="1051">
        <f>IF(EM35="Yes",SUMIF(EM:EM,"Yes",EK:EK),0)</f>
        <v/>
      </c>
      <c r="EO35" s="1051">
        <f>IF(EN35&gt;EL35,(EN35-EL35)*(EK35/SUMIF(EM:EM,"Yes",EK:EK)),0)</f>
        <v/>
      </c>
      <c r="EP35" s="1051">
        <f>MAX(0,EK35-EO35)</f>
        <v/>
      </c>
      <c r="EQ35" s="1051">
        <f>'Concentration Limits'!$J$50</f>
        <v/>
      </c>
      <c r="ER35" s="1051">
        <f>IF(D35="Second Lien",SUMIF(D:D,D35,EP:EP),0)</f>
        <v/>
      </c>
      <c r="ES35" s="1051">
        <f>MAX(0,(ER35-EQ35)*IFERROR((EP35/SUMIF($D:$D,D35,EP:EP )),0) )</f>
        <v/>
      </c>
      <c r="ET35" s="1051">
        <f>MAX(0,EP35-ES35)</f>
        <v/>
      </c>
      <c r="EU35" s="1051">
        <f>'Concentration Limits'!$J$51</f>
        <v/>
      </c>
      <c r="EV35" s="1051">
        <f>IF(OR(D35="Second Lien", AND(D35="FILO",DI35&gt;AGENT!$C$59)), "Yes", "No")</f>
        <v/>
      </c>
      <c r="EW35" s="1051">
        <f>IF(EV35="Yes",SUMIF(EV:EV,"Yes",ET:ET),0)</f>
        <v/>
      </c>
      <c r="EX35" s="1051">
        <f>IF(EW35&gt;EU35,(EW35-EU35)*(ET35/SUMIF(EV:EV,"Yes",ET:ET)),0)</f>
        <v/>
      </c>
      <c r="EY35" s="1051">
        <f>MAX(0,ET35-EX35)</f>
        <v/>
      </c>
      <c r="EZ35" s="1051">
        <f>'Concentration Limits'!$J$52</f>
        <v/>
      </c>
      <c r="FA35" s="1051">
        <f>IF(CY35&gt;'Concentration Limits'!$E$52, "No", "Yes")</f>
        <v/>
      </c>
      <c r="FB35" s="1051">
        <f>IF(FA35="Yes",SUMIF(FA:FA,"Yes",EY:EY),0)</f>
        <v/>
      </c>
      <c r="FC35" s="1051">
        <f>IF(FB35&gt;EZ35,(FB35-EZ35)*(EY35/SUMIF(FA:FA,"Yes",EY:EY)),0)</f>
        <v/>
      </c>
      <c r="FD35" s="1051">
        <f>MAX(0,EY35-FC35)</f>
        <v/>
      </c>
      <c r="FE35" s="1052">
        <f>'Concentration Limits'!$J$54</f>
        <v/>
      </c>
      <c r="FF35" s="1052">
        <f>'Concentration Limits'!$J$55</f>
        <v/>
      </c>
      <c r="FG35" s="1052">
        <f>'Concentration Limits'!$J$56</f>
        <v/>
      </c>
      <c r="FH35" s="1053">
        <f>'Concentration Limits'!$J$57</f>
        <v/>
      </c>
      <c r="FI35" s="1053">
        <f>SUMIF($B:$B,$B35,$FD:$FD)</f>
        <v/>
      </c>
      <c r="FJ35" s="1053">
        <f>IF(MATCH($B35,$B:$B,0)=ROW(),$FI35,0)</f>
        <v/>
      </c>
      <c r="FK35" s="1053">
        <f>INDEX(FL$8:FL$60,MATCH(B35,B$8:B$60,0))</f>
        <v/>
      </c>
      <c r="FL35" s="1053">
        <f>IF(FJ35&gt;0,RANK(FJ35,$FJ$9:$FJ$60)+COUNTIF($FJ$9:FJ35,FJ35)-1,0)</f>
        <v/>
      </c>
      <c r="FM35" s="1052">
        <f>IF(FK35=1,IF(FI35&gt;FE35,(FI35-FE35)*(V35/SUMIF($B:$B,B35,$FD:$FD)),0),0)</f>
        <v/>
      </c>
      <c r="FN35" s="1052">
        <f>IF(FK35=2,IF(FI35&gt;FF35,(FI35-FF35)*(V35/SUMIF($B:$B,B35,$FD:$FD)),0),0)</f>
        <v/>
      </c>
      <c r="FO35" s="1052">
        <f>IF(FK35=3,IF(FI35&gt;FG35,(FI35-FG35)*(V35/SUMIF($B:$B,B35,$FD:$FD)),0),0)</f>
        <v/>
      </c>
      <c r="FP35" s="1053">
        <f>IF(FK35&gt;0,IF(FI35&gt;FH35,(FI35-FH35)*(FD35/(SUMIF($B:$B,$B35,$FD:$FD))),0),0)</f>
        <v/>
      </c>
      <c r="FQ35" s="1053">
        <f>MAX(0,FD35-FM35-FN35-FO35-FP35)</f>
        <v/>
      </c>
      <c r="FR35" s="1053">
        <f>'Concentration Limits'!$J$58</f>
        <v/>
      </c>
      <c r="FS35" s="1053">
        <f>SUMIF($BR:$BR,$BR35,FQ:FQ)</f>
        <v/>
      </c>
      <c r="FT35" s="1053">
        <f>VLOOKUP(BR35,'Concentration Limits'!$E$81:$H$153,4,FALSE)</f>
        <v/>
      </c>
      <c r="FU35" s="1053">
        <f>IF(FT35=1,MAX(0,(FS35-FR35)*(FQ35/SUMIF($BR:$BR,BR35,FQ:FQ))),0)</f>
        <v/>
      </c>
      <c r="FV35" s="1053">
        <f>MAX(0,FQ35-FU35)</f>
        <v/>
      </c>
      <c r="FW35" s="1053">
        <f>'Concentration Limits'!$J$59</f>
        <v/>
      </c>
      <c r="FX35" s="1053">
        <f>SUMIF($BR:$BR,$BR35,FV:FV)</f>
        <v/>
      </c>
      <c r="FY35" s="1053">
        <f>VLOOKUP(BR35,'Concentration Limits'!$E$81:$H$153,4,FALSE)</f>
        <v/>
      </c>
      <c r="FZ35" s="1053">
        <f>MAX(0,IF(FY35=2,(FX35-FW35)*(FV35/SUMIF($BR:$BR,BR35,FV:FV)),0))</f>
        <v/>
      </c>
      <c r="GA35" s="1053">
        <f>MAX(0,FV35-FZ35)</f>
        <v/>
      </c>
      <c r="GB35" s="1053">
        <f>'Concentration Limits'!$J$61</f>
        <v/>
      </c>
      <c r="GC35" s="1053">
        <f>SUMIF($BR:$BR,$BR35,GA:GA)</f>
        <v/>
      </c>
      <c r="GD35" s="1051">
        <f>VLOOKUP(BR35,'Concentration Limits'!$E$81:$H$153,4,FALSE)</f>
        <v/>
      </c>
      <c r="GE35" s="1053">
        <f>IF(GA35=0,0,MAX(0,IF(GD35&lt;3,0,(GC35-GB35)*($GA35/SUMIF($BR:$BR,BR35,GA:GA)))))</f>
        <v/>
      </c>
      <c r="GF35" s="1053">
        <f>MAX(0,GA35-GE35)</f>
        <v/>
      </c>
      <c r="GG35" s="1053">
        <f>'Concentration Limits'!$J$64</f>
        <v/>
      </c>
      <c r="GH35" s="1053">
        <f>IF(BY35="Yes",SUMIF(BY:BY,BY35,GF:GF),0)</f>
        <v/>
      </c>
      <c r="GI35" s="1053">
        <f>IFERROR(MAX(0,(GH35-GG35)*(GF35/SUMIF($T:$T,T35,GF:GF ))),0)</f>
        <v/>
      </c>
      <c r="GJ35" s="1053">
        <f>MAX(0,GF35-GI35)</f>
        <v/>
      </c>
      <c r="GK35" s="1053">
        <f>'Concentration Limits'!$J$67</f>
        <v/>
      </c>
      <c r="GL35" s="1051">
        <f>IF(OR(BV35="Yes",OR(ISNUMBER(SEARCH("Travel",BR35)),ISNUMBER(SEARCH("Energy",BR35)),ISNUMBER(SEARCH("Leisure",BR35)),ISNUMBER(SEARCH("hotel",BR35)))),"Yes","No")</f>
        <v/>
      </c>
      <c r="GM35" s="1053">
        <f>IF(GL35="Yes",SUMIF(GL:GL,"Yes",GJ:GJ),0)</f>
        <v/>
      </c>
      <c r="GN35" s="1053">
        <f>IF(GM35&gt;GK35,(GM35-GK35)*(GJ35/SUMIF(GL:GL,"Yes",GJ:GJ)),0)</f>
        <v/>
      </c>
      <c r="GO35" s="1053">
        <f>MAX(0,GJ35-GN35)</f>
        <v/>
      </c>
      <c r="GP35" s="1053">
        <f>'Concentration Limits'!$J$68</f>
        <v/>
      </c>
      <c r="GQ35" s="1051">
        <f>IF(BU35="Yes","Yes", "No")</f>
        <v/>
      </c>
      <c r="GR35" s="1053">
        <f>IF(GQ35="Yes",SUMIF(GQ:GQ,"Yes",GO:GO),0)</f>
        <v/>
      </c>
      <c r="GS35" s="1053">
        <f>IF(GR35&gt;GP35,(GR35-GP35)*(GO35/SUMIF(GQ:GQ,"Yes",GO:GO)),0)</f>
        <v/>
      </c>
      <c r="GT35" s="1053">
        <f>MAX(0,GO35-GS35)</f>
        <v/>
      </c>
      <c r="GU35" s="1051">
        <f>'Concentration Limits'!$J$69</f>
        <v/>
      </c>
      <c r="GV35" s="1051">
        <f>IF(BW35="Yes", "Yes", "No")</f>
        <v/>
      </c>
      <c r="GW35" s="1051">
        <f>IF(GV35="Yes",SUMIF(GV:GV,"Yes",GT:GT),0)</f>
        <v/>
      </c>
      <c r="GX35" s="1051">
        <f>IF(GW35&gt;GU35,(GW35-GU35)*(GT35/SUMIF(GV:GV,"Yes",GT:GT)),0)</f>
        <v/>
      </c>
      <c r="GY35" s="1051">
        <f>MAX(0,GT35-GX35)</f>
        <v/>
      </c>
      <c r="GZ35" s="1051">
        <f>'Concentration Limits'!$J$70</f>
        <v/>
      </c>
      <c r="HA35" s="1051">
        <f>IF(BX35="Yes", "Yes", "No")</f>
        <v/>
      </c>
      <c r="HB35" s="1051">
        <f>IF(HA35="Yes",SUMIF(HA:HA,"Yes",GY:GY),0)</f>
        <v/>
      </c>
      <c r="HC35" s="1051">
        <f>IF(HB35&gt;GZ35,(HB35-GZ35)*(GY35/SUMIF(HA:HA,"Yes",GY:GY)),0)</f>
        <v/>
      </c>
      <c r="HD35" s="1051">
        <f>MAX(0,GY35-HC35)</f>
        <v/>
      </c>
      <c r="HE35" s="1053">
        <f>IF(AQ35=0,0,HD35*AQ35/(AQ35+AR35))</f>
        <v/>
      </c>
      <c r="HF35" s="1053">
        <f>IF(AR35=0,0,HD35*AR35/(AQ35+AR35))</f>
        <v/>
      </c>
      <c r="HG35" s="1053">
        <f>IF(AW35=0,0,HD35*AW35/(AW35+AX35))</f>
        <v/>
      </c>
      <c r="HH35" s="1053">
        <f>IF(AX35=0,0,HD35*AX35/(AX35+AW35))</f>
        <v/>
      </c>
      <c r="HI35" s="1053">
        <f>IF(BE35=0,0,#REF!*BE35/(BE35+BG35))</f>
        <v/>
      </c>
      <c r="HJ35" s="1053">
        <f>IF(BG35=0,0,#REF!*BG35/(BG35+BE35))</f>
        <v/>
      </c>
      <c r="HK35" s="1054">
        <f>IF(BF35=0,0,#REF!*BF35/(BF35+BH35))</f>
        <v/>
      </c>
      <c r="HL35" s="1053">
        <f>IF(BH35=0,0,#REF!*BH35/(BH35+BF35))</f>
        <v/>
      </c>
      <c r="HM35" s="1053">
        <f>IF(D35="Second Lien",HD35,0)</f>
        <v/>
      </c>
      <c r="HN35" s="1053">
        <f>SUM(HE35:HM35)=HD35</f>
        <v/>
      </c>
    </row>
    <row r="36" ht="12.75" customFormat="1" customHeight="1" s="469">
      <c r="A36" s="55">
        <f>A35+1</f>
        <v/>
      </c>
      <c r="B36" s="437">
        <f>INDEX('Loan Tape - Settled'!$B$4:$AP$55,MATCH($A36,'Loan Tape - Settled'!$E$4:$E$55,0),MATCH("Obligor Name",'Loan Tape - Settled'!$B$4:$AM$4,0))</f>
        <v/>
      </c>
      <c r="C36" s="437">
        <f>INDEX('Loan Tape - Settled'!$B$4:$AP$55,MATCH($A36,'Loan Tape - Settled'!$E$4:$E$55,0),MATCH("Security",'Loan Tape - Settled'!$B$4:$AM$4,0))</f>
        <v/>
      </c>
      <c r="D36" s="438">
        <f>INDEX('Loan Tape - Settled'!$B$4:$AP$55,MATCH($A36,'Loan Tape - Settled'!$E$4:$E$55,0),MATCH("Loan Type",'Loan Tape - Settled'!$B$4:$AM$4,0))</f>
        <v/>
      </c>
      <c r="E36" s="439">
        <f>IF(ISERROR(MATCH(D36,AGENT!$A$4:$A$10,0))=FALSE, TRUE)</f>
        <v/>
      </c>
      <c r="F36" s="439">
        <f>IF(AND(BZ36="no",CA36="no"),TRUE)</f>
        <v/>
      </c>
      <c r="G36" s="439">
        <f>IF(D36&lt;&gt;"Second Lien",TRUE, IF(CY36&gt;=AGENT!$B$4,TRUE))</f>
        <v/>
      </c>
      <c r="H36" s="439">
        <f>IF(DE36&lt;=AGENT!$D$4,TRUE)</f>
        <v/>
      </c>
      <c r="I36" s="439">
        <f>IF(VLOOKUP(CONCATENATE($A$5,A36),'Loan Tape - Settled'!$A$5:$Q$55,17,FALSE)&gt;=AGENT!$E$4,TRUE)</f>
        <v/>
      </c>
      <c r="J36" s="439">
        <f>IF(INDEX('Loan Tape - Settled'!$B$4:$AP$55,MATCH($A36,'Loan Tape - Settled'!$E$4:$E$55,0),MATCH("Loan Denomination",'Loan Tape - Settled'!$B$4:$AP$4,0))="USD", TRUE)</f>
        <v/>
      </c>
      <c r="K36" s="439">
        <f>IF(INDEX('Loan Tape - Settled'!$B$4:$AP$55,MATCH($A36,'Loan Tape - Settled'!$E$4:$E$55,0),MATCH("Exposure Country",'Loan Tape - Settled'!$B$4:$AP$4,0))="United States", TRUE)</f>
        <v/>
      </c>
      <c r="L36" s="439">
        <f>IF(BS36="NO",TRUE)</f>
        <v/>
      </c>
      <c r="M36" s="439">
        <f>IF(((BM36-BL36)/365)&lt;=AGENT!$F$4,TRUE)</f>
        <v/>
      </c>
      <c r="N36" s="439">
        <f>IF(DX36="Yes",FALSE,TRUE)</f>
        <v/>
      </c>
      <c r="O36" s="493" t="n"/>
      <c r="P36" s="730">
        <f>IF($B36="","",IF(OR(O36=TRUE,COUNTIFS($E36:$N36,TRUE)=10),"Yes","No"))</f>
        <v/>
      </c>
      <c r="Q36" s="730" t="inlineStr">
        <is>
          <t>Yes</t>
        </is>
      </c>
      <c r="R36" s="440">
        <f>IF(P36="Yes",B36,"N/A")</f>
        <v/>
      </c>
      <c r="S36" s="440" t="n"/>
      <c r="T36" s="441">
        <f t="array" ref="T36">_xlfn.IFS(D36="Second Lien",D36,D36="First Lien",CONCATENATE(D36," ",EI36),D36="FILO",CONCATENATE(D36," ",EJ36))</f>
        <v/>
      </c>
      <c r="U36" s="442">
        <f>VLOOKUP(T36,'Concentration Limits'!D:G,4,FALSE)</f>
        <v/>
      </c>
      <c r="V36" s="1020">
        <f>AQ36+AW36+BI36</f>
        <v/>
      </c>
      <c r="W36" s="1021">
        <f>(SUMIFS('Loan Tape - Settled'!$AR$4:$AR$55,'Loan Tape - Settled'!$E$4:$E$55,$A36,'Loan Tape - Settled'!$C$4:$C$55,$A$5))</f>
        <v/>
      </c>
      <c r="X36" s="1022" t="n">
        <v>1</v>
      </c>
      <c r="Y36" s="1023">
        <f>W36*X36</f>
        <v/>
      </c>
      <c r="Z36" s="1022">
        <f>(SUMIFS('Loan Tape - Settled'!$AQ$4:$AQ$55,'Loan Tape - Settled'!$E$4:$E$55,$A36,'Loan Tape - Settled'!$C$4:$C$55,$A$5))</f>
        <v/>
      </c>
      <c r="AA36" s="1023">
        <f>Z36*X36</f>
        <v/>
      </c>
      <c r="AB36" s="1023">
        <f>AA36-Y36</f>
        <v/>
      </c>
      <c r="AC36" s="490">
        <f>VLOOKUP(CONCATENATE($A$5,A36),'Loan Tape - Settled'!$A$5:$Q$55,17,FALSE)</f>
        <v/>
      </c>
      <c r="AD36" s="445" t="n"/>
      <c r="AE36" s="446">
        <f>INDEX('Loan Tape - Settled'!$B$4:$AP$55,MATCH($A36,'Loan Tape - Settled'!$E$4:$E$55,0),MATCH("FMV",'Loan Tape - Settled'!$B$4:$AM$4,0))</f>
        <v/>
      </c>
      <c r="AF36" s="446">
        <f t="array" ref="AF36">_xlfn.IFS(D36="First Lien",
_xlfn.IFS(AND(DL36&gt;0,DL36&lt;Tier_1_1L),Tier_1_ApplicableValue,
AND(DL36&gt;=Tier_1_1L,DL36&lt;Tier_2_1L),((Tier_1_1L/DL36)*Tier_1_ApplicableValue)+((DL36-Tier_1_1L)/DL36*Tier_2_ApplicableValue),
AND(DL36&gt;=Tier_2_1L, DL36&lt;Tier_3_1L),((Tier_1_1L/DL36)*Tier_1_ApplicableValue+(Tier_2_1L-Tier_1_1L)/DL36*Tier_2_ApplicableValue+(DL36-Tier_2_1L)/DL36*Tier_3_ApplicableValue),
AND(DL36&gt;=Tier_3_1L, DL36&lt;=Tier_totalzerovalue),((Tier_1_1L/DL36)*Tier_1_ApplicableValue+(Tier_2_1L-Tier_1_1L)/DL36*Tier_2_ApplicableValue+(Tier_3_1L-Tier_2_1L)/DL36*Tier_3_ApplicableValue+(DL36-Tier_partialzerovalue)/DL36*0%),
DL36&gt;Tier_totalzerovalue,0%),
OR(D36="Second Lien", D36="FILO"),
_xlfn.IFS(AND(DM36&gt;0,DM36&lt;Tier_1_2L),Tier_1_ApplicableValue,
AND(DM36&gt;=Tier_1_2L,DM36&lt;Tier_2_2L),((Tier_1_2L/DM36)*Tier_1_ApplicableValue)+((DM36-Tier_1_2L)/DM36*Tier_2_ApplicableValue),
AND(DM36&gt;=Tier_2_2L, DM36&lt;Tier_3_2L),((Tier_1_2L/DM36)*Tier_1_ApplicableValue+(Tier_2_2L-Tier_1_2L)/DM36*Tier_2_ApplicableValue+(DM36-Tier_2_2L)/DM36*Tier_3_ApplicableValue),
AND(DM36&gt;=Tier_3_2L, DM36&lt;=Tier_totalzerovalue),((Tier_1_2L/DM36)*Tier_1_ApplicableValue+(Tier_2_2L-Tier_1_2L)/DM36*Tier_2_ApplicableValue+(Tier_3_2L-Tier_2_2L)/DM36*Tier_3_ApplicableValue+(DM36-Tier_partialzerovalue)/DM36*0%),
DM36&gt;Tier_totalzerovalue,0%))</f>
        <v/>
      </c>
      <c r="AG36" s="447">
        <f>IF(COUNTIFS(VAE!$C$5:$C$96,B36,VAE!$G$5:$G$96,"&lt;="&amp;Availability!$F$8)&gt;=1,"Yes","-")</f>
        <v/>
      </c>
      <c r="AH36" s="447">
        <f t="array" ref="AH36">IFERROR(IF(AG36="Yes",INDEX(VAE!$D$5:$D$96,MATCH(B36&amp;AJ36,VAE!$C$5:$C$96&amp;VAE!$G$5:$G$96,0)),"-"),0)</f>
        <v/>
      </c>
      <c r="AI36" s="447">
        <f t="array" ref="AI36">IFERROR(IF(AG36="Yes",INDEX(VAE!$F$5:$F$96,MATCH(B36&amp;AJ36,VAE!$C$5:$C$96&amp;VAE!$G$5:$G$96,0)),"-"),0)</f>
        <v/>
      </c>
      <c r="AJ36" s="448">
        <f>IF(AG36="-","-",_xlfn.MAXIFS(VAE!$G$5:$G$96,VAE!$C$5:$C$96,$B36))</f>
        <v/>
      </c>
      <c r="AK36" s="449">
        <f t="array" ref="AK36">IFERROR(IF(AG36="Yes",INDEX(VAE!$P$5:$P$96,MATCH(B36&amp;AJ36,VAE!$C$5:$C$96&amp;VAE!$G$5:$G$96,0)),"-"),0)</f>
        <v/>
      </c>
      <c r="AL36" s="446">
        <f>IF($A36="","",IF(P36="No",0,(IF(AG36="Yes",MIN(AE36,AK36,AF36),MIN(AE36,AF36)))))</f>
        <v/>
      </c>
      <c r="AM36" s="1020" t="n"/>
      <c r="AN36" s="1020" t="n"/>
      <c r="AO36" s="1020">
        <f>IF(AND(D36="First Lien",P36="No"),0,IF(D36&lt;&gt;"First Lien",0,Y36))</f>
        <v/>
      </c>
      <c r="AP36" s="1020">
        <f>IF(AND(D36="First Lien",P36="No"),W36,0)</f>
        <v/>
      </c>
      <c r="AQ36" s="1020">
        <f>AL36*AO36</f>
        <v/>
      </c>
      <c r="AR36" s="1020" t="n"/>
      <c r="AS36" s="1020" t="n"/>
      <c r="AT36" s="1020" t="n"/>
      <c r="AU36" s="1020">
        <f>IF(AND(D36="FILO",P36="No"),0,IF(D36&lt;&gt;"FILO",0,Y36))</f>
        <v/>
      </c>
      <c r="AV36" s="1020">
        <f>IF(AND(D36="FILO",P36="No"),W36,0)</f>
        <v/>
      </c>
      <c r="AW36" s="1020">
        <f>AU36*AL36</f>
        <v/>
      </c>
      <c r="AX36" s="1020" t="n"/>
      <c r="AY36" s="1020" t="n"/>
      <c r="AZ36" s="1020" t="n"/>
      <c r="BA36" s="1020">
        <f>IF(AND(OR(D36="First Lien",D36="FILO"),P36="No"),0,IF(OR(D36="First Lien",D36="FILO"),0,(Y36)))</f>
        <v/>
      </c>
      <c r="BB36" s="1020" t="n"/>
      <c r="BC36" s="1020" t="n"/>
      <c r="BD36" s="1020">
        <f>IF(AND(D36="Second Lien",P36="No"),W36,0)</f>
        <v/>
      </c>
      <c r="BE36" s="1020" t="n"/>
      <c r="BF36" s="1020" t="n"/>
      <c r="BG36" s="1020" t="n"/>
      <c r="BH36" s="1020" t="n"/>
      <c r="BI36" s="1020">
        <f>IF(D36="Second Lien",BA36*AL36,0)</f>
        <v/>
      </c>
      <c r="BJ36" s="1020">
        <f>SUM(AM36:AP36)+SUM(AZ36:BD36)+SUM(AS36:AV36)=Y36</f>
        <v/>
      </c>
      <c r="BK36" s="1026">
        <f>INDEX('Loan Tape - Settled'!$B$4:$AP$55,MATCH($A36,'Loan Tape - Settled'!$E$4:$E$55,0),MATCH("Inception Date",'Loan Tape - Settled'!$B$4:$AP$4,0))</f>
        <v/>
      </c>
      <c r="BL36" s="1026">
        <f>INDEX('Loan Tape - Settled'!$B$4:$AP$55,MATCH($A36,'Loan Tape - Settled'!$E$4:$E$55,0),MATCH("Inclusion Date",'Loan Tape - Settled'!$B$4:$AP$4,0))</f>
        <v/>
      </c>
      <c r="BM36" s="1026">
        <f>INDEX('Loan Tape - Settled'!$B$4:$AP$55,MATCH($A36,'Loan Tape - Settled'!$E$4:$E$55,0),MATCH("Maturity Date",'Loan Tape - Settled'!$B$4:$AP$4,0))</f>
        <v/>
      </c>
      <c r="BN36" s="556" t="n"/>
      <c r="BO36" s="556" t="n"/>
      <c r="BP36" s="1055" t="n"/>
      <c r="BQ36" s="556" t="n"/>
      <c r="BR36" s="554">
        <f>INDEX('Loan Tape - Settled'!$B$4:$AP$55,MATCH($A36,'Loan Tape - Settled'!$E$4:$E$55,0),MATCH("Industry Classification",'Loan Tape - Settled'!$B$4:$AP$4,0))</f>
        <v/>
      </c>
      <c r="BS36" s="556">
        <f>IF(INDEX('Loan Tape - Settled'!$B$4:$AP$55,MATCH($A36,'Loan Tape - Settled'!$E$4:$E$55,0),MATCH("Covenant Lite",'Loan Tape - Settled'!$B$4:$AP$4,0))=-1, "Yes", "No")</f>
        <v/>
      </c>
      <c r="BT36" s="1056">
        <f>INDEX('Loan Tape - Settled'!$B$4:$AP$55,MATCH($A36,'Loan Tape - Settled'!$E$4:$E$55,0),MATCH("Spread / Coupon (%)",'Loan Tape - Settled'!$B$4:$AP$4,0))</f>
        <v/>
      </c>
      <c r="BU36" s="556">
        <f>IF(INDEX('Loan Tape - Settled'!$B$4:$AP$55,MATCH($A36,'Loan Tape - Settled'!$E$4:$E$55,0),MATCH("Security Type",'Loan Tape - Settled'!$B$4:$AP$4,0))="Delayed Draw Term Loan", "Yes", "No")</f>
        <v/>
      </c>
      <c r="BV36" s="557" t="inlineStr">
        <is>
          <t>No</t>
        </is>
      </c>
      <c r="BW36" s="557" t="inlineStr">
        <is>
          <t>Yes</t>
        </is>
      </c>
      <c r="BX36" s="548" t="inlineStr">
        <is>
          <t>No</t>
        </is>
      </c>
      <c r="BY36" s="556">
        <f>IF(INDEX('Loan Tape - Settled'!$B$4:$AP$55,MATCH($A36,'Loan Tape - Settled'!$E$4:$E$55,0),MATCH("Fixed/Floating",'Loan Tape - Settled'!$B$4:$AP$4,0))="Fixed", "Yes", "No")</f>
        <v/>
      </c>
      <c r="BZ36" s="557" t="inlineStr">
        <is>
          <t>No</t>
        </is>
      </c>
      <c r="CA36" s="557" t="inlineStr">
        <is>
          <t>No</t>
        </is>
      </c>
      <c r="CB36" s="556">
        <f>IF(INDEX('Loan Tape - Settled'!$B$4:$AP$55,MATCH($A36,'Loan Tape - Settled'!$E$4:$E$55,0),MATCH("Loan Denomination",'Loan Tape - Settled'!$B$4:$AP$4,0))="CAD", "Yes", "No")</f>
        <v/>
      </c>
      <c r="CC36" s="556">
        <f>INDEX('Loan Tape - Settled'!$B$4:$AP$55,MATCH($A36,'Loan Tape - Settled'!$E$4:$E$55,0),MATCH("Payment Frequency",'Loan Tape - Settled'!$B$4:$AP$4,0))</f>
        <v/>
      </c>
      <c r="CD36" s="557" t="inlineStr">
        <is>
          <t>No</t>
        </is>
      </c>
      <c r="CE36" s="556">
        <f>INDEX('Loan Tape - Settled'!$B$4:$AP$55,MATCH($A36,'Loan Tape - Settled'!$E$4:$E$55,0),MATCH("S&amp;P Loan Rating (if applicable)",'Loan Tape - Settled'!$B$4:$AP$4,0))</f>
        <v/>
      </c>
      <c r="CF36" s="556">
        <f>INDEX('Loan Tape - Settled'!$B$4:$AP$55,MATCH($A36,'Loan Tape - Settled'!$E$4:$E$55,0),MATCH("Moody's Loan Rating (if applicable)",'Loan Tape - Settled'!$B$4:$AP$4,0))</f>
        <v/>
      </c>
      <c r="CG36" s="556" t="n"/>
      <c r="CH36" s="556" t="n"/>
      <c r="CI36" s="1057" t="n"/>
      <c r="CJ36" s="1030">
        <f>INDEX('Loan Tape - Settled'!$B$4:$BF$55,MATCH($A36,'Loan Tape - Settled'!$E$4:$E$55,0),MATCH("Last Financial Received",'Loan Tape - Settled'!$B$4:$BF$4,0))</f>
        <v/>
      </c>
      <c r="CK36" s="559">
        <f>INDEX('Loan Tape - Settled'!$B$4:$BJ$55,MATCH($A36,'Loan Tape - Settled'!$E$4:$E$55,0),MATCH("Initial Adjusted TTM EBITDA",'Loan Tape - Settled'!$B$4:$BJ$4,0))</f>
        <v/>
      </c>
      <c r="CL36" s="559">
        <f>INDEX('Loan Tape - Settled'!$B$4:$BJ$55,MATCH($A36,'Loan Tape - Settled'!$E$4:$E$55,0),MATCH("Initial TTM Non-adjusted EBITDA",'Loan Tape - Settled'!$B$4:$BJ$4,0))</f>
        <v/>
      </c>
      <c r="CM36" s="1031" t="n"/>
      <c r="CN36" s="451" t="n"/>
      <c r="CO36" s="451" t="n"/>
      <c r="CP36" s="1032" t="n"/>
      <c r="CQ36" s="1033" t="inlineStr">
        <is>
          <t>N</t>
        </is>
      </c>
      <c r="CR36" s="1032" t="n"/>
      <c r="CS36" s="454">
        <f>CK36-CP36+CR36</f>
        <v/>
      </c>
      <c r="CT36" s="455">
        <f>1-CS36/CK36</f>
        <v/>
      </c>
      <c r="CU36" s="559">
        <f>INDEX('Loan Tape - Settled'!$B$4:$BJ$55,MATCH($A36,'Loan Tape - Settled'!$E$4:$E$55,0),MATCH("Current TTM Non-adjusted EBITDA",'Loan Tape - Settled'!$B$4:$BJ$4,0))</f>
        <v/>
      </c>
      <c r="CV36" s="456">
        <f>CT36</f>
        <v/>
      </c>
      <c r="CW36" s="1034" t="inlineStr">
        <is>
          <t>N</t>
        </is>
      </c>
      <c r="CX36" s="1035" t="n"/>
      <c r="CY36" s="1036">
        <f>IF(CW36="N",(1-CV36)*CU36,(1-CX36)*CU36)</f>
        <v/>
      </c>
      <c r="CZ36" s="1037" t="n"/>
      <c r="DA36" s="1038" t="n"/>
      <c r="DB36" s="1039" t="n"/>
      <c r="DC36" s="1040" t="n"/>
      <c r="DD36" s="1040">
        <f>INDEX('Loan Tape - Settled'!$B$4:$BJ$55,MATCH($A36,'Loan Tape - Settled'!$E$4:$E$55,0),MATCH("Initial Senior Net Leverage Senior",'Loan Tape - Settled'!$B$4:$BJ$4,0))</f>
        <v/>
      </c>
      <c r="DE36" s="1041">
        <f>INDEX('Loan Tape - Settled'!$B$4:$BJ$55,MATCH($A36,'Loan Tape - Settled'!$E$4:$E$55,0),MATCH("Initial Total Net Leverage",'Loan Tape - Settled'!$B$4:$BJ$4,0))</f>
        <v/>
      </c>
      <c r="DF36" s="1037" t="n"/>
      <c r="DG36" s="1038" t="n"/>
      <c r="DH36" s="1039" t="n"/>
      <c r="DI36" s="1042">
        <f>INDEX('Loan Tape - Settled'!$B$4:$BJ$55,MATCH($A36,'Loan Tape - Settled'!$E$4:$E$55,0),MATCH("Net Attachment",'Loan Tape - Settled'!$B$4:$BJ$4,0))</f>
        <v/>
      </c>
      <c r="DJ36" s="566">
        <f t="array" ref="DJ36">IF(AG36="Yes",INDEX(VAE!$M$5:$M$53,MATCH($B36&amp;$AJ36,VAE!$C$5:$C$53&amp;VAE!$G$5:$G$53,0)),DD36)</f>
        <v/>
      </c>
      <c r="DK36" s="697">
        <f t="array" ref="DK36">IF(AG36="Yes",INDEX(VAE!$N$5:$N$53,MATCH($B36&amp;$AJ36,VAE!$C$5:$C$53&amp;VAE!$G$5:$G$53,0)),DE36)</f>
        <v/>
      </c>
      <c r="DL36" s="1058">
        <f>INDEX('Loan Tape - Settled'!$B$4:$BJ$55,MATCH($A36,'Loan Tape - Settled'!$E$4:$E$55,0),MATCH("Current Senior Net Leverage Senior",'Loan Tape - Settled'!$B$4:$BJ$4,0))</f>
        <v/>
      </c>
      <c r="DM36" s="1059">
        <f>INDEX('Loan Tape - Settled'!$B$4:$BJ$55,MATCH($A36,'Loan Tape - Settled'!$E$4:$E$55,0),MATCH("Current Total Net Leverage",'Loan Tape - Settled'!$B$4:$BJ$4,0))</f>
        <v/>
      </c>
      <c r="DN36" s="1044" t="n"/>
      <c r="DO36" s="1045">
        <f>INDEX('Loan Tape - Settled'!$B$4:$BJ$55,MATCH($A36,'Loan Tape - Settled'!$E$4:$E$55,0),MATCH("Initial Interest Coverage",'Loan Tape - Settled'!$B$4:$BJ$4,0))</f>
        <v/>
      </c>
      <c r="DP36" s="565">
        <f t="array" ref="DP36">IF(AG36="Yes",INDEX(VAE!$O$5:$O$53,MATCH($B36&amp;$AJ36,VAE!$C$5:$C$53&amp;VAE!$G$5:$G$53,0)),DO36)</f>
        <v/>
      </c>
      <c r="DQ36" s="1046">
        <f>INDEX('Loan Tape - Settled'!$B$4:$BJ$55,MATCH($A36,'Loan Tape - Settled'!$E$4:$E$55,0),MATCH("Current Interest Coverage",'Loan Tape - Settled'!$B$4:$BJ$4,0))</f>
        <v/>
      </c>
      <c r="DR36" s="462">
        <f>IF(OR(DU36="Yes",DU36="N/A",DV36="Yes",DV36="N/A",DW36="Yes",DX36="Yes",DY36="Yes",EF36="Yes",EG36="Yes",EH36="Yes"),"Yes","No")</f>
        <v/>
      </c>
      <c r="DS36" s="1047">
        <f>IF(AG36="Yes",DATEDIF(AJ36,Availability!$F$8,"m"),"")</f>
        <v/>
      </c>
      <c r="DT36" s="1047">
        <f>IF(DS36="","No",IF(DS36&gt;12,"Yes","No"))</f>
        <v/>
      </c>
      <c r="DU36" s="695">
        <f>IFERROR(IF(AND(DQ36/DP36&lt;0.75,DQ36&lt;1.5),"Yes","No"),"N/A")</f>
        <v/>
      </c>
      <c r="DV36" s="696">
        <f>IFERROR(IF(OR(D36="First Lien",D36="FILO"),IF(AND((DL36-DJ36)&gt;0.75,DL36&gt;4),"Yes","No"),"No"),"N/A")</f>
        <v/>
      </c>
      <c r="DW36" s="696">
        <f t="array" ref="DW36">_xlfn.IFS(D36&lt;&gt;"Second Lien","No",D36="Second Lien",IF(AND((DM36-DK36)&gt;0.5,DM36&gt;4.5),"Yes","No"))</f>
        <v/>
      </c>
      <c r="DX36" s="735" t="inlineStr">
        <is>
          <t>No</t>
        </is>
      </c>
      <c r="DY36" s="735" t="inlineStr">
        <is>
          <t>No</t>
        </is>
      </c>
      <c r="DZ36" s="1048" t="inlineStr">
        <is>
          <t>No</t>
        </is>
      </c>
      <c r="EA36" s="1048" t="inlineStr">
        <is>
          <t>No</t>
        </is>
      </c>
      <c r="EB36" s="1048" t="inlineStr">
        <is>
          <t>No</t>
        </is>
      </c>
      <c r="EC36" s="1048" t="inlineStr">
        <is>
          <t>No</t>
        </is>
      </c>
      <c r="ED36" s="1048" t="inlineStr">
        <is>
          <t>No</t>
        </is>
      </c>
      <c r="EE36" s="1048" t="inlineStr">
        <is>
          <t>No</t>
        </is>
      </c>
      <c r="EF36" s="442">
        <f>IF(OR(DZ36="Yes",EA36="Yes",EB36="Yes",EC36="Yes",ED36="Yes",EE36="Yes"),"Yes","No")</f>
        <v/>
      </c>
      <c r="EG36" s="1048" t="inlineStr">
        <is>
          <t>No</t>
        </is>
      </c>
      <c r="EH36" s="1049" t="inlineStr">
        <is>
          <t>No</t>
        </is>
      </c>
      <c r="EI36" s="1050">
        <f t="array" ref="EI36">IF(D36="First Lien",_xlfn.IFS(CY36&gt;AGENT!$B$23, "&gt; $20MM",CY36&lt;=AGENT!$C$25, "&lt;= $10MM",AND(CY36&lt;=AGENT!$C$24,CY36&gt;AGENT!$B$24),"&lt;= $20MM"), "N/A")</f>
        <v/>
      </c>
      <c r="EJ36" s="1050">
        <f t="array" ref="EJ36">IF(D36="FILO",_xlfn.IFS(DI36&gt;AGENT!$B$29, "&gt; 1.25x",DI36&lt;AGENT!$C$27, "&lt; 0.75x",AND(DI36&lt;=AGENT!$C$28,DI36&gt;=AGENT!$B$28),"&lt;= 1.25x"), "N/A")</f>
        <v/>
      </c>
      <c r="EK36" s="1051">
        <f>V36</f>
        <v/>
      </c>
      <c r="EL36" s="1051">
        <f>'Concentration Limits'!$J$49</f>
        <v/>
      </c>
      <c r="EM36" s="1051">
        <f>IF(OR(D36="Second Lien",AND(D36="FILO",DI36&gt;AGENT!$C$57)), "Yes", "No")</f>
        <v/>
      </c>
      <c r="EN36" s="1051">
        <f>IF(EM36="Yes",SUMIF(EM:EM,"Yes",EK:EK),0)</f>
        <v/>
      </c>
      <c r="EO36" s="1051">
        <f>IF(EN36&gt;EL36,(EN36-EL36)*(EK36/SUMIF(EM:EM,"Yes",EK:EK)),0)</f>
        <v/>
      </c>
      <c r="EP36" s="1051">
        <f>MAX(0,EK36-EO36)</f>
        <v/>
      </c>
      <c r="EQ36" s="1051">
        <f>'Concentration Limits'!$J$50</f>
        <v/>
      </c>
      <c r="ER36" s="1051">
        <f>IF(D36="Second Lien",SUMIF(D:D,D36,EP:EP),0)</f>
        <v/>
      </c>
      <c r="ES36" s="1051">
        <f>MAX(0,(ER36-EQ36)*IFERROR((EP36/SUMIF($D:$D,D36,EP:EP )),0) )</f>
        <v/>
      </c>
      <c r="ET36" s="1051">
        <f>MAX(0,EP36-ES36)</f>
        <v/>
      </c>
      <c r="EU36" s="1051">
        <f>'Concentration Limits'!$J$51</f>
        <v/>
      </c>
      <c r="EV36" s="1051">
        <f>IF(OR(D36="Second Lien", AND(D36="FILO",DI36&gt;AGENT!$C$59)), "Yes", "No")</f>
        <v/>
      </c>
      <c r="EW36" s="1051">
        <f>IF(EV36="Yes",SUMIF(EV:EV,"Yes",ET:ET),0)</f>
        <v/>
      </c>
      <c r="EX36" s="1051">
        <f>IF(EW36&gt;EU36,(EW36-EU36)*(ET36/SUMIF(EV:EV,"Yes",ET:ET)),0)</f>
        <v/>
      </c>
      <c r="EY36" s="1051">
        <f>MAX(0,ET36-EX36)</f>
        <v/>
      </c>
      <c r="EZ36" s="1051">
        <f>'Concentration Limits'!$J$52</f>
        <v/>
      </c>
      <c r="FA36" s="1051">
        <f>IF(CY36&gt;'Concentration Limits'!$E$52, "No", "Yes")</f>
        <v/>
      </c>
      <c r="FB36" s="1051">
        <f>IF(FA36="Yes",SUMIF(FA:FA,"Yes",EY:EY),0)</f>
        <v/>
      </c>
      <c r="FC36" s="1051">
        <f>IF(FB36&gt;EZ36,(FB36-EZ36)*(EY36/SUMIF(FA:FA,"Yes",EY:EY)),0)</f>
        <v/>
      </c>
      <c r="FD36" s="1051">
        <f>MAX(0,EY36-FC36)</f>
        <v/>
      </c>
      <c r="FE36" s="1052">
        <f>'Concentration Limits'!$J$54</f>
        <v/>
      </c>
      <c r="FF36" s="1052">
        <f>'Concentration Limits'!$J$55</f>
        <v/>
      </c>
      <c r="FG36" s="1052">
        <f>'Concentration Limits'!$J$56</f>
        <v/>
      </c>
      <c r="FH36" s="1053">
        <f>'Concentration Limits'!$J$57</f>
        <v/>
      </c>
      <c r="FI36" s="1053">
        <f>SUMIF($B:$B,$B36,$FD:$FD)</f>
        <v/>
      </c>
      <c r="FJ36" s="1053">
        <f>IF(MATCH($B36,$B:$B,0)=ROW(),$FI36,0)</f>
        <v/>
      </c>
      <c r="FK36" s="1053">
        <f>INDEX(FL$8:FL$60,MATCH(B36,B$8:B$60,0))</f>
        <v/>
      </c>
      <c r="FL36" s="1053">
        <f>IF(FJ36&gt;0,RANK(FJ36,$FJ$9:$FJ$60)+COUNTIF($FJ$9:FJ36,FJ36)-1,0)</f>
        <v/>
      </c>
      <c r="FM36" s="1052">
        <f>IF(FK36=1,IF(FI36&gt;FE36,(FI36-FE36)*(V36/SUMIF($B:$B,B36,$FD:$FD)),0),0)</f>
        <v/>
      </c>
      <c r="FN36" s="1052">
        <f>IF(FK36=2,IF(FI36&gt;FF36,(FI36-FF36)*(V36/SUMIF($B:$B,B36,$FD:$FD)),0),0)</f>
        <v/>
      </c>
      <c r="FO36" s="1052">
        <f>IF(FK36=3,IF(FI36&gt;FG36,(FI36-FG36)*(V36/SUMIF($B:$B,B36,$FD:$FD)),0),0)</f>
        <v/>
      </c>
      <c r="FP36" s="1053">
        <f>IF(FK36&gt;0,IF(FI36&gt;FH36,(FI36-FH36)*(FD36/(SUMIF($B:$B,$B36,$FD:$FD))),0),0)</f>
        <v/>
      </c>
      <c r="FQ36" s="1053">
        <f>MAX(0,FD36-FM36-FN36-FO36-FP36)</f>
        <v/>
      </c>
      <c r="FR36" s="1053">
        <f>'Concentration Limits'!$J$58</f>
        <v/>
      </c>
      <c r="FS36" s="1053">
        <f>SUMIF($BR:$BR,$BR36,FQ:FQ)</f>
        <v/>
      </c>
      <c r="FT36" s="1053">
        <f>VLOOKUP(BR36,'Concentration Limits'!$E$81:$H$153,4,FALSE)</f>
        <v/>
      </c>
      <c r="FU36" s="1053">
        <f>IF(FT36=1,MAX(0,(FS36-FR36)*(FQ36/SUMIF($BR:$BR,BR36,FQ:FQ))),0)</f>
        <v/>
      </c>
      <c r="FV36" s="1053">
        <f>MAX(0,FQ36-FU36)</f>
        <v/>
      </c>
      <c r="FW36" s="1053">
        <f>'Concentration Limits'!$J$59</f>
        <v/>
      </c>
      <c r="FX36" s="1053">
        <f>SUMIF($BR:$BR,$BR36,FV:FV)</f>
        <v/>
      </c>
      <c r="FY36" s="1053">
        <f>VLOOKUP(BR36,'Concentration Limits'!$E$81:$H$153,4,FALSE)</f>
        <v/>
      </c>
      <c r="FZ36" s="1053">
        <f>MAX(0,IF(FY36=2,(FX36-FW36)*(FV36/SUMIF($BR:$BR,BR36,FV:FV)),0))</f>
        <v/>
      </c>
      <c r="GA36" s="1053">
        <f>MAX(0,FV36-FZ36)</f>
        <v/>
      </c>
      <c r="GB36" s="1053">
        <f>'Concentration Limits'!$J$61</f>
        <v/>
      </c>
      <c r="GC36" s="1053">
        <f>SUMIF($BR:$BR,$BR36,GA:GA)</f>
        <v/>
      </c>
      <c r="GD36" s="1051">
        <f>VLOOKUP(BR36,'Concentration Limits'!$E$81:$H$153,4,FALSE)</f>
        <v/>
      </c>
      <c r="GE36" s="1053">
        <f>IF(GA36=0,0,MAX(0,IF(GD36&lt;3,0,(GC36-GB36)*($GA36/SUMIF($BR:$BR,BR36,GA:GA)))))</f>
        <v/>
      </c>
      <c r="GF36" s="1053">
        <f>MAX(0,GA36-GE36)</f>
        <v/>
      </c>
      <c r="GG36" s="1053">
        <f>'Concentration Limits'!$J$64</f>
        <v/>
      </c>
      <c r="GH36" s="1053">
        <f>IF(BY36="Yes",SUMIF(BY:BY,BY36,GF:GF),0)</f>
        <v/>
      </c>
      <c r="GI36" s="1053">
        <f>IFERROR(MAX(0,(GH36-GG36)*(GF36/SUMIF($T:$T,T36,GF:GF ))),0)</f>
        <v/>
      </c>
      <c r="GJ36" s="1053">
        <f>MAX(0,GF36-GI36)</f>
        <v/>
      </c>
      <c r="GK36" s="1053">
        <f>'Concentration Limits'!$J$67</f>
        <v/>
      </c>
      <c r="GL36" s="1051">
        <f>IF(OR(BV36="Yes",OR(ISNUMBER(SEARCH("Travel",BR36)),ISNUMBER(SEARCH("Energy",BR36)),ISNUMBER(SEARCH("Leisure",BR36)),ISNUMBER(SEARCH("hotel",BR36)))),"Yes","No")</f>
        <v/>
      </c>
      <c r="GM36" s="1053">
        <f>IF(GL36="Yes",SUMIF(GL:GL,"Yes",GJ:GJ),0)</f>
        <v/>
      </c>
      <c r="GN36" s="1053">
        <f>IF(GM36&gt;GK36,(GM36-GK36)*(GJ36/SUMIF(GL:GL,"Yes",GJ:GJ)),0)</f>
        <v/>
      </c>
      <c r="GO36" s="1053">
        <f>MAX(0,GJ36-GN36)</f>
        <v/>
      </c>
      <c r="GP36" s="1053">
        <f>'Concentration Limits'!$J$68</f>
        <v/>
      </c>
      <c r="GQ36" s="1051">
        <f>IF(BU36="Yes","Yes", "No")</f>
        <v/>
      </c>
      <c r="GR36" s="1053">
        <f>IF(GQ36="Yes",SUMIF(GQ:GQ,"Yes",GO:GO),0)</f>
        <v/>
      </c>
      <c r="GS36" s="1053">
        <f>IF(GR36&gt;GP36,(GR36-GP36)*(GO36/SUMIF(GQ:GQ,"Yes",GO:GO)),0)</f>
        <v/>
      </c>
      <c r="GT36" s="1053">
        <f>MAX(0,GO36-GS36)</f>
        <v/>
      </c>
      <c r="GU36" s="1051">
        <f>'Concentration Limits'!$J$69</f>
        <v/>
      </c>
      <c r="GV36" s="1051">
        <f>IF(BW36="Yes", "Yes", "No")</f>
        <v/>
      </c>
      <c r="GW36" s="1051">
        <f>IF(GV36="Yes",SUMIF(GV:GV,"Yes",GT:GT),0)</f>
        <v/>
      </c>
      <c r="GX36" s="1051">
        <f>IF(GW36&gt;GU36,(GW36-GU36)*(GT36/SUMIF(GV:GV,"Yes",GT:GT)),0)</f>
        <v/>
      </c>
      <c r="GY36" s="1051">
        <f>MAX(0,GT36-GX36)</f>
        <v/>
      </c>
      <c r="GZ36" s="1051">
        <f>'Concentration Limits'!$J$70</f>
        <v/>
      </c>
      <c r="HA36" s="1051">
        <f>IF(BX36="Yes", "Yes", "No")</f>
        <v/>
      </c>
      <c r="HB36" s="1051">
        <f>IF(HA36="Yes",SUMIF(HA:HA,"Yes",GY:GY),0)</f>
        <v/>
      </c>
      <c r="HC36" s="1051">
        <f>IF(HB36&gt;GZ36,(HB36-GZ36)*(GY36/SUMIF(HA:HA,"Yes",GY:GY)),0)</f>
        <v/>
      </c>
      <c r="HD36" s="1051">
        <f>MAX(0,GY36-HC36)</f>
        <v/>
      </c>
      <c r="HE36" s="1053">
        <f>IF(AQ36=0,0,HD36*AQ36/(AQ36+AR36))</f>
        <v/>
      </c>
      <c r="HF36" s="1053">
        <f>IF(AR36=0,0,HD36*AR36/(AQ36+AR36))</f>
        <v/>
      </c>
      <c r="HG36" s="1053">
        <f>IF(AW36=0,0,HD36*AW36/(AW36+AX36))</f>
        <v/>
      </c>
      <c r="HH36" s="1053">
        <f>IF(AX36=0,0,HD36*AX36/(AX36+AW36))</f>
        <v/>
      </c>
      <c r="HI36" s="1053">
        <f>IF(BE36=0,0,#REF!*BE36/(BE36+BG36))</f>
        <v/>
      </c>
      <c r="HJ36" s="1053">
        <f>IF(BG36=0,0,#REF!*BG36/(BG36+BE36))</f>
        <v/>
      </c>
      <c r="HK36" s="1054">
        <f>IF(BF36=0,0,#REF!*BF36/(BF36+BH36))</f>
        <v/>
      </c>
      <c r="HL36" s="1053">
        <f>IF(BH36=0,0,#REF!*BH36/(BH36+BF36))</f>
        <v/>
      </c>
      <c r="HM36" s="1053">
        <f>IF(D36="Second Lien",HD36,0)</f>
        <v/>
      </c>
      <c r="HN36" s="1053">
        <f>SUM(HE36:HM36)=HD36</f>
        <v/>
      </c>
    </row>
    <row r="37" ht="12.75" customFormat="1" customHeight="1" s="469">
      <c r="A37" s="55">
        <f>A36+1</f>
        <v/>
      </c>
      <c r="B37" s="437">
        <f>INDEX('Loan Tape - Settled'!$B$4:$AP$55,MATCH($A37,'Loan Tape - Settled'!$E$4:$E$55,0),MATCH("Obligor Name",'Loan Tape - Settled'!$B$4:$AM$4,0))</f>
        <v/>
      </c>
      <c r="C37" s="437">
        <f>INDEX('Loan Tape - Settled'!$B$4:$AP$55,MATCH($A37,'Loan Tape - Settled'!$E$4:$E$55,0),MATCH("Security",'Loan Tape - Settled'!$B$4:$AM$4,0))</f>
        <v/>
      </c>
      <c r="D37" s="438">
        <f>INDEX('Loan Tape - Settled'!$B$4:$AP$55,MATCH($A37,'Loan Tape - Settled'!$E$4:$E$55,0),MATCH("Loan Type",'Loan Tape - Settled'!$B$4:$AM$4,0))</f>
        <v/>
      </c>
      <c r="E37" s="439">
        <f>IF(ISERROR(MATCH(D37,AGENT!$A$4:$A$10,0))=FALSE, TRUE)</f>
        <v/>
      </c>
      <c r="F37" s="439">
        <f>IF(AND(BZ37="no",CA37="no"),TRUE)</f>
        <v/>
      </c>
      <c r="G37" s="439">
        <f>IF(D37&lt;&gt;"Second Lien",TRUE, IF(CY37&gt;=AGENT!$B$4,TRUE))</f>
        <v/>
      </c>
      <c r="H37" s="439">
        <f>IF(DE37&lt;=AGENT!$D$4,TRUE)</f>
        <v/>
      </c>
      <c r="I37" s="439">
        <f>IF(VLOOKUP(CONCATENATE($A$5,A37),'Loan Tape - Settled'!$A$5:$Q$55,17,FALSE)&gt;=AGENT!$E$4,TRUE)</f>
        <v/>
      </c>
      <c r="J37" s="439">
        <f>IF(INDEX('Loan Tape - Settled'!$B$4:$AP$55,MATCH($A37,'Loan Tape - Settled'!$E$4:$E$55,0),MATCH("Loan Denomination",'Loan Tape - Settled'!$B$4:$AP$4,0))="USD", TRUE)</f>
        <v/>
      </c>
      <c r="K37" s="439">
        <f>IF(INDEX('Loan Tape - Settled'!$B$4:$AP$55,MATCH($A37,'Loan Tape - Settled'!$E$4:$E$55,0),MATCH("Exposure Country",'Loan Tape - Settled'!$B$4:$AP$4,0))="United States", TRUE)</f>
        <v/>
      </c>
      <c r="L37" s="439">
        <f>IF(BS37="NO",TRUE)</f>
        <v/>
      </c>
      <c r="M37" s="439">
        <f>IF(((BM37-BL37)/365)&lt;=AGENT!$F$4,TRUE)</f>
        <v/>
      </c>
      <c r="N37" s="439">
        <f>IF(DX37="Yes",FALSE,TRUE)</f>
        <v/>
      </c>
      <c r="O37" s="493" t="n"/>
      <c r="P37" s="764">
        <f>IF($B37="","",IF(OR(O37=TRUE,COUNTIFS($E37:$N37,TRUE)=10),"Yes","No"))</f>
        <v/>
      </c>
      <c r="Q37" s="730" t="inlineStr">
        <is>
          <t>Yes</t>
        </is>
      </c>
      <c r="R37" s="440">
        <f>IF(P37="Yes",B37,"N/A")</f>
        <v/>
      </c>
      <c r="S37" s="440" t="n"/>
      <c r="T37" s="441">
        <f t="array" ref="T37">_xlfn.IFS(D37="Second Lien",D37,D37="First Lien",CONCATENATE(D37," ",EI37),D37="FILO",CONCATENATE(D37," ",EJ37))</f>
        <v/>
      </c>
      <c r="U37" s="442">
        <f>VLOOKUP(T37,'Concentration Limits'!D:G,4,FALSE)</f>
        <v/>
      </c>
      <c r="V37" s="1020">
        <f>AQ37+AW37+BI37</f>
        <v/>
      </c>
      <c r="W37" s="1021">
        <f>(SUMIFS('Loan Tape - Settled'!$AR$4:$AR$55,'Loan Tape - Settled'!$E$4:$E$55,$A37,'Loan Tape - Settled'!$C$4:$C$55,$A$5))</f>
        <v/>
      </c>
      <c r="X37" s="1022" t="n">
        <v>1</v>
      </c>
      <c r="Y37" s="1023">
        <f>W37*X37</f>
        <v/>
      </c>
      <c r="Z37" s="1022">
        <f>(SUMIFS('Loan Tape - Settled'!$AQ$4:$AQ$55,'Loan Tape - Settled'!$E$4:$E$55,$A37,'Loan Tape - Settled'!$C$4:$C$55,$A$5))</f>
        <v/>
      </c>
      <c r="AA37" s="1023">
        <f>Z37*X37</f>
        <v/>
      </c>
      <c r="AB37" s="1023">
        <f>AA37-Y37</f>
        <v/>
      </c>
      <c r="AC37" s="490">
        <f>VLOOKUP(CONCATENATE($A$5,A37),'Loan Tape - Settled'!$A$5:$Q$55,17,FALSE)</f>
        <v/>
      </c>
      <c r="AD37" s="445" t="n"/>
      <c r="AE37" s="446">
        <f>INDEX('Loan Tape - Settled'!$B$4:$AP$55,MATCH($A37,'Loan Tape - Settled'!$E$4:$E$55,0),MATCH("FMV",'Loan Tape - Settled'!$B$4:$AM$4,0))</f>
        <v/>
      </c>
      <c r="AF37" s="446">
        <f t="array" ref="AF37">_xlfn.IFS(D37="First Lien",
_xlfn.IFS(AND(DL37&gt;0,DL37&lt;Tier_1_1L),Tier_1_ApplicableValue,
AND(DL37&gt;=Tier_1_1L,DL37&lt;Tier_2_1L),((Tier_1_1L/DL37)*Tier_1_ApplicableValue)+((DL37-Tier_1_1L)/DL37*Tier_2_ApplicableValue),
AND(DL37&gt;=Tier_2_1L, DL37&lt;Tier_3_1L),((Tier_1_1L/DL37)*Tier_1_ApplicableValue+(Tier_2_1L-Tier_1_1L)/DL37*Tier_2_ApplicableValue+(DL37-Tier_2_1L)/DL37*Tier_3_ApplicableValue),
AND(DL37&gt;=Tier_3_1L, DL37&lt;=Tier_totalzerovalue),((Tier_1_1L/DL37)*Tier_1_ApplicableValue+(Tier_2_1L-Tier_1_1L)/DL37*Tier_2_ApplicableValue+(Tier_3_1L-Tier_2_1L)/DL37*Tier_3_ApplicableValue+(DL37-Tier_partialzerovalue)/DL37*0%),
DL37&gt;Tier_totalzerovalue,0%),
OR(D37="Second Lien", D37="FILO"),
_xlfn.IFS(AND(DM37&gt;0,DM37&lt;Tier_1_2L),Tier_1_ApplicableValue,
AND(DM37&gt;=Tier_1_2L,DM37&lt;Tier_2_2L),((Tier_1_2L/DM37)*Tier_1_ApplicableValue)+((DM37-Tier_1_2L)/DM37*Tier_2_ApplicableValue),
AND(DM37&gt;=Tier_2_2L, DM37&lt;Tier_3_2L),((Tier_1_2L/DM37)*Tier_1_ApplicableValue+(Tier_2_2L-Tier_1_2L)/DM37*Tier_2_ApplicableValue+(DM37-Tier_2_2L)/DM37*Tier_3_ApplicableValue),
AND(DM37&gt;=Tier_3_2L, DM37&lt;=Tier_totalzerovalue),((Tier_1_2L/DM37)*Tier_1_ApplicableValue+(Tier_2_2L-Tier_1_2L)/DM37*Tier_2_ApplicableValue+(Tier_3_2L-Tier_2_2L)/DM37*Tier_3_ApplicableValue+(DM37-Tier_partialzerovalue)/DM37*0%),
DM37&gt;Tier_totalzerovalue,0%))</f>
        <v/>
      </c>
      <c r="AG37" s="447">
        <f>IF(COUNTIFS(VAE!$C$5:$C$96,B37,VAE!$G$5:$G$96,"&lt;="&amp;Availability!$F$8)&gt;=1,"Yes","-")</f>
        <v/>
      </c>
      <c r="AH37" s="447">
        <f t="array" ref="AH37">IFERROR(IF(AG37="Yes",INDEX(VAE!$D$5:$D$96,MATCH(B37&amp;AJ37,VAE!$C$5:$C$96&amp;VAE!$G$5:$G$96,0)),"-"),0)</f>
        <v/>
      </c>
      <c r="AI37" s="447">
        <f t="array" ref="AI37">IFERROR(IF(AG37="Yes",INDEX(VAE!$F$5:$F$96,MATCH(B37&amp;AJ37,VAE!$C$5:$C$96&amp;VAE!$G$5:$G$96,0)),"-"),0)</f>
        <v/>
      </c>
      <c r="AJ37" s="448">
        <f>IF(AG37="-","-",_xlfn.MAXIFS(VAE!$G$5:$G$96,VAE!$C$5:$C$96,$B37))</f>
        <v/>
      </c>
      <c r="AK37" s="449">
        <f t="array" ref="AK37">IFERROR(IF(AG37="Yes",INDEX(VAE!$P$5:$P$96,MATCH(B37&amp;AJ37,VAE!$C$5:$C$96&amp;VAE!$G$5:$G$96,0)),"-"),0)</f>
        <v/>
      </c>
      <c r="AL37" s="446">
        <f>IF($A37="","",IF(P37="No",0,(IF(AG37="Yes",MIN(AE37,AK37,AF37),MIN(AE37,AF37)))))</f>
        <v/>
      </c>
      <c r="AM37" s="1020" t="n"/>
      <c r="AN37" s="1020" t="n"/>
      <c r="AO37" s="1020">
        <f>IF(AND(D37="First Lien",P37="No"),0,IF(D37&lt;&gt;"First Lien",0,Y37))</f>
        <v/>
      </c>
      <c r="AP37" s="1020">
        <f>IF(AND(D37="First Lien",P37="No"),W37,0)</f>
        <v/>
      </c>
      <c r="AQ37" s="1020">
        <f>AL37*AO37</f>
        <v/>
      </c>
      <c r="AR37" s="1020" t="n"/>
      <c r="AS37" s="1020" t="n"/>
      <c r="AT37" s="1020" t="n"/>
      <c r="AU37" s="1020">
        <f>IF(AND(D37="FILO",P37="No"),0,IF(D37&lt;&gt;"FILO",0,Y37))</f>
        <v/>
      </c>
      <c r="AV37" s="1020">
        <f>IF(AND(D37="FILO",P37="No"),W37,0)</f>
        <v/>
      </c>
      <c r="AW37" s="1020">
        <f>AU37*AL37</f>
        <v/>
      </c>
      <c r="AX37" s="1020" t="n"/>
      <c r="AY37" s="1020" t="n"/>
      <c r="AZ37" s="1020" t="n"/>
      <c r="BA37" s="1020">
        <f>IF(AND(OR(D37="First Lien",D37="FILO"),P37="No"),0,IF(OR(D37="First Lien",D37="FILO"),0,(Y37)))</f>
        <v/>
      </c>
      <c r="BB37" s="1020" t="n"/>
      <c r="BC37" s="1020" t="n"/>
      <c r="BD37" s="1020">
        <f>IF(AND(D37="Second Lien",P37="No"),W37,0)</f>
        <v/>
      </c>
      <c r="BE37" s="1020" t="n"/>
      <c r="BF37" s="1020" t="n"/>
      <c r="BG37" s="1020" t="n"/>
      <c r="BH37" s="1020" t="n"/>
      <c r="BI37" s="1020">
        <f>IF(D37="Second Lien",BA37*AL37,0)</f>
        <v/>
      </c>
      <c r="BJ37" s="1020">
        <f>SUM(AM37:AP37)+SUM(AZ37:BD37)+SUM(AS37:AV37)=Y37</f>
        <v/>
      </c>
      <c r="BK37" s="1026">
        <f>INDEX('Loan Tape - Settled'!$B$4:$AP$55,MATCH($A37,'Loan Tape - Settled'!$E$4:$E$55,0),MATCH("Inception Date",'Loan Tape - Settled'!$B$4:$AP$4,0))</f>
        <v/>
      </c>
      <c r="BL37" s="1026">
        <f>INDEX('Loan Tape - Settled'!$B$4:$AP$55,MATCH($A37,'Loan Tape - Settled'!$E$4:$E$55,0),MATCH("Inclusion Date",'Loan Tape - Settled'!$B$4:$AP$4,0))</f>
        <v/>
      </c>
      <c r="BM37" s="1026">
        <f>INDEX('Loan Tape - Settled'!$B$4:$AP$55,MATCH($A37,'Loan Tape - Settled'!$E$4:$E$55,0),MATCH("Maturity Date",'Loan Tape - Settled'!$B$4:$AP$4,0))</f>
        <v/>
      </c>
      <c r="BN37" s="556" t="n"/>
      <c r="BO37" s="556" t="n"/>
      <c r="BP37" s="1055" t="n"/>
      <c r="BQ37" s="556" t="n"/>
      <c r="BR37" s="554">
        <f>INDEX('Loan Tape - Settled'!$B$4:$AP$55,MATCH($A37,'Loan Tape - Settled'!$E$4:$E$55,0),MATCH("Industry Classification",'Loan Tape - Settled'!$B$4:$AP$4,0))</f>
        <v/>
      </c>
      <c r="BS37" s="556">
        <f>IF(INDEX('Loan Tape - Settled'!$B$4:$AP$55,MATCH($A37,'Loan Tape - Settled'!$E$4:$E$55,0),MATCH("Covenant Lite",'Loan Tape - Settled'!$B$4:$AP$4,0))=-1, "Yes", "No")</f>
        <v/>
      </c>
      <c r="BT37" s="1056">
        <f>INDEX('Loan Tape - Settled'!$B$4:$AP$55,MATCH($A37,'Loan Tape - Settled'!$E$4:$E$55,0),MATCH("Spread / Coupon (%)",'Loan Tape - Settled'!$B$4:$AP$4,0))</f>
        <v/>
      </c>
      <c r="BU37" s="556">
        <f>IF(INDEX('Loan Tape - Settled'!$B$4:$AP$55,MATCH($A37,'Loan Tape - Settled'!$E$4:$E$55,0),MATCH("Security Type",'Loan Tape - Settled'!$B$4:$AP$4,0))="Delayed Draw Term Loan", "Yes", "No")</f>
        <v/>
      </c>
      <c r="BV37" s="557" t="inlineStr">
        <is>
          <t>No</t>
        </is>
      </c>
      <c r="BW37" s="557" t="inlineStr">
        <is>
          <t>No</t>
        </is>
      </c>
      <c r="BX37" s="548" t="inlineStr">
        <is>
          <t>No</t>
        </is>
      </c>
      <c r="BY37" s="556">
        <f>IF(INDEX('Loan Tape - Settled'!$B$4:$AP$55,MATCH($A37,'Loan Tape - Settled'!$E$4:$E$55,0),MATCH("Fixed/Floating",'Loan Tape - Settled'!$B$4:$AP$4,0))="Fixed", "Yes", "No")</f>
        <v/>
      </c>
      <c r="BZ37" s="557" t="inlineStr">
        <is>
          <t>No</t>
        </is>
      </c>
      <c r="CA37" s="557" t="inlineStr">
        <is>
          <t>No</t>
        </is>
      </c>
      <c r="CB37" s="556">
        <f>IF(INDEX('Loan Tape - Settled'!$B$4:$AP$55,MATCH($A37,'Loan Tape - Settled'!$E$4:$E$55,0),MATCH("Loan Denomination",'Loan Tape - Settled'!$B$4:$AP$4,0))="CAD", "Yes", "No")</f>
        <v/>
      </c>
      <c r="CC37" s="556">
        <f>INDEX('Loan Tape - Settled'!$B$4:$AP$55,MATCH($A37,'Loan Tape - Settled'!$E$4:$E$55,0),MATCH("Payment Frequency",'Loan Tape - Settled'!$B$4:$AP$4,0))</f>
        <v/>
      </c>
      <c r="CD37" s="557" t="inlineStr">
        <is>
          <t>No</t>
        </is>
      </c>
      <c r="CE37" s="556">
        <f>INDEX('Loan Tape - Settled'!$B$4:$AP$55,MATCH($A37,'Loan Tape - Settled'!$E$4:$E$55,0),MATCH("S&amp;P Loan Rating (if applicable)",'Loan Tape - Settled'!$B$4:$AP$4,0))</f>
        <v/>
      </c>
      <c r="CF37" s="556">
        <f>INDEX('Loan Tape - Settled'!$B$4:$AP$55,MATCH($A37,'Loan Tape - Settled'!$E$4:$E$55,0),MATCH("Moody's Loan Rating (if applicable)",'Loan Tape - Settled'!$B$4:$AP$4,0))</f>
        <v/>
      </c>
      <c r="CG37" s="556" t="n"/>
      <c r="CH37" s="556" t="n"/>
      <c r="CI37" s="1057" t="n"/>
      <c r="CJ37" s="1030">
        <f>INDEX('Loan Tape - Settled'!$B$4:$BF$55,MATCH($A37,'Loan Tape - Settled'!$E$4:$E$55,0),MATCH("Last Financial Received",'Loan Tape - Settled'!$B$4:$BF$4,0))</f>
        <v/>
      </c>
      <c r="CK37" s="559">
        <f>INDEX('Loan Tape - Settled'!$B$4:$BJ$55,MATCH($A37,'Loan Tape - Settled'!$E$4:$E$55,0),MATCH("Initial Adjusted TTM EBITDA",'Loan Tape - Settled'!$B$4:$BJ$4,0))</f>
        <v/>
      </c>
      <c r="CL37" s="559">
        <f>INDEX('Loan Tape - Settled'!$B$4:$BJ$55,MATCH($A37,'Loan Tape - Settled'!$E$4:$E$55,0),MATCH("Initial TTM Non-adjusted EBITDA",'Loan Tape - Settled'!$B$4:$BJ$4,0))</f>
        <v/>
      </c>
      <c r="CM37" s="1031" t="n"/>
      <c r="CN37" s="451" t="n"/>
      <c r="CO37" s="451" t="n"/>
      <c r="CP37" s="1032" t="n"/>
      <c r="CQ37" s="1033" t="inlineStr">
        <is>
          <t>N</t>
        </is>
      </c>
      <c r="CR37" s="1032" t="n"/>
      <c r="CS37" s="454">
        <f>CK37-CP37+CR37</f>
        <v/>
      </c>
      <c r="CT37" s="455">
        <f>1-CS37/CK37</f>
        <v/>
      </c>
      <c r="CU37" s="559">
        <f>INDEX('Loan Tape - Settled'!$B$4:$BJ$55,MATCH($A37,'Loan Tape - Settled'!$E$4:$E$55,0),MATCH("Current TTM Non-adjusted EBITDA",'Loan Tape - Settled'!$B$4:$BJ$4,0))</f>
        <v/>
      </c>
      <c r="CV37" s="456">
        <f>CT37</f>
        <v/>
      </c>
      <c r="CW37" s="1034" t="inlineStr">
        <is>
          <t>N</t>
        </is>
      </c>
      <c r="CX37" s="1035" t="n"/>
      <c r="CY37" s="1036">
        <f>IF(CW37="N",(1-CV37)*CU37,(1-CX37)*CU37)</f>
        <v/>
      </c>
      <c r="CZ37" s="1037" t="n"/>
      <c r="DA37" s="1038" t="n"/>
      <c r="DB37" s="1039" t="n"/>
      <c r="DC37" s="1040" t="n"/>
      <c r="DD37" s="1040">
        <f>INDEX('Loan Tape - Settled'!$B$4:$BJ$55,MATCH($A37,'Loan Tape - Settled'!$E$4:$E$55,0),MATCH("Initial Senior Net Leverage Senior",'Loan Tape - Settled'!$B$4:$BJ$4,0))</f>
        <v/>
      </c>
      <c r="DE37" s="1041">
        <f>INDEX('Loan Tape - Settled'!$B$4:$BJ$55,MATCH($A37,'Loan Tape - Settled'!$E$4:$E$55,0),MATCH("Initial Total Net Leverage",'Loan Tape - Settled'!$B$4:$BJ$4,0))</f>
        <v/>
      </c>
      <c r="DF37" s="1037" t="n"/>
      <c r="DG37" s="1038" t="n"/>
      <c r="DH37" s="1039" t="n"/>
      <c r="DI37" s="1042">
        <f>INDEX('Loan Tape - Settled'!$B$4:$BJ$55,MATCH($A37,'Loan Tape - Settled'!$E$4:$E$55,0),MATCH("Net Attachment",'Loan Tape - Settled'!$B$4:$BJ$4,0))</f>
        <v/>
      </c>
      <c r="DJ37" s="566">
        <f t="array" ref="DJ37">IF(AG37="Yes",INDEX(VAE!$M$5:$M$53,MATCH($B37&amp;$AJ37,VAE!$C$5:$C$53&amp;VAE!$G$5:$G$53,0)),DD37)</f>
        <v/>
      </c>
      <c r="DK37" s="697">
        <f t="array" ref="DK37">IF(AG37="Yes",INDEX(VAE!$N$5:$N$53,MATCH($B37&amp;$AJ37,VAE!$C$5:$C$53&amp;VAE!$G$5:$G$53,0)),DE37)</f>
        <v/>
      </c>
      <c r="DL37" s="1058">
        <f>INDEX('Loan Tape - Settled'!$B$4:$BJ$55,MATCH($A37,'Loan Tape - Settled'!$E$4:$E$55,0),MATCH("Current Senior Net Leverage Senior",'Loan Tape - Settled'!$B$4:$BJ$4,0))</f>
        <v/>
      </c>
      <c r="DM37" s="1059">
        <f>INDEX('Loan Tape - Settled'!$B$4:$BJ$55,MATCH($A37,'Loan Tape - Settled'!$E$4:$E$55,0),MATCH("Current Total Net Leverage",'Loan Tape - Settled'!$B$4:$BJ$4,0))</f>
        <v/>
      </c>
      <c r="DN37" s="1044" t="n"/>
      <c r="DO37" s="1045">
        <f>INDEX('Loan Tape - Settled'!$B$4:$BJ$55,MATCH($A37,'Loan Tape - Settled'!$E$4:$E$55,0),MATCH("Initial Interest Coverage",'Loan Tape - Settled'!$B$4:$BJ$4,0))</f>
        <v/>
      </c>
      <c r="DP37" s="565">
        <f t="array" ref="DP37">IF(AG37="Yes",INDEX(VAE!$O$5:$O$53,MATCH($B37&amp;$AJ37,VAE!$C$5:$C$53&amp;VAE!$G$5:$G$53,0)),DO37)</f>
        <v/>
      </c>
      <c r="DQ37" s="1046">
        <f>INDEX('Loan Tape - Settled'!$B$4:$BJ$55,MATCH($A37,'Loan Tape - Settled'!$E$4:$E$55,0),MATCH("Current Interest Coverage",'Loan Tape - Settled'!$B$4:$BJ$4,0))</f>
        <v/>
      </c>
      <c r="DR37" s="462">
        <f>IF(OR(DU37="Yes",DU37="N/A",DV37="Yes",DV37="N/A",DW37="Yes",DX37="Yes",DY37="Yes",EF37="Yes",EG37="Yes",EH37="Yes"),"Yes","No")</f>
        <v/>
      </c>
      <c r="DS37" s="1047">
        <f>IF(AG37="Yes",DATEDIF(AJ37,Availability!$F$8,"m"),"")</f>
        <v/>
      </c>
      <c r="DT37" s="1047">
        <f>IF(DS37="","No",IF(DS37&gt;12,"Yes","No"))</f>
        <v/>
      </c>
      <c r="DU37" s="695">
        <f>IFERROR(IF(AND(DQ37/DP37&lt;0.75,DQ37&lt;1.5),"Yes","No"),"N/A")</f>
        <v/>
      </c>
      <c r="DV37" s="696">
        <f>IFERROR(IF(OR(D37="First Lien",D37="FILO"),IF(AND((DL37-DJ37)&gt;0.75,DL37&gt;4),"Yes","No"),"No"),"N/A")</f>
        <v/>
      </c>
      <c r="DW37" s="696">
        <f t="array" ref="DW37">_xlfn.IFS(D37&lt;&gt;"Second Lien","No",D37="Second Lien",IF(AND((DM37-DK37)&gt;0.5,DM37&gt;4.5),"Yes","No"))</f>
        <v/>
      </c>
      <c r="DX37" s="735" t="inlineStr">
        <is>
          <t>Yes</t>
        </is>
      </c>
      <c r="DY37" s="735" t="inlineStr">
        <is>
          <t>No</t>
        </is>
      </c>
      <c r="DZ37" s="1048" t="inlineStr">
        <is>
          <t>Yes</t>
        </is>
      </c>
      <c r="EA37" s="1048" t="inlineStr">
        <is>
          <t>Yes</t>
        </is>
      </c>
      <c r="EB37" s="1048" t="inlineStr">
        <is>
          <t>Yes</t>
        </is>
      </c>
      <c r="EC37" s="1048" t="inlineStr">
        <is>
          <t>No</t>
        </is>
      </c>
      <c r="ED37" s="1048" t="inlineStr">
        <is>
          <t>No</t>
        </is>
      </c>
      <c r="EE37" s="1048" t="inlineStr">
        <is>
          <t>No</t>
        </is>
      </c>
      <c r="EF37" s="442">
        <f>IF(OR(DZ37="Yes",EA37="Yes",EB37="Yes",EC37="Yes",ED37="Yes",EE37="Yes"),"Yes","No")</f>
        <v/>
      </c>
      <c r="EG37" s="1048" t="inlineStr">
        <is>
          <t>No</t>
        </is>
      </c>
      <c r="EH37" s="1049" t="inlineStr">
        <is>
          <t>No</t>
        </is>
      </c>
      <c r="EI37" s="1050">
        <f t="array" ref="EI37">IF(D37="First Lien",_xlfn.IFS(CY37&gt;AGENT!$B$23, "&gt; $20MM",CY37&lt;=AGENT!$C$25, "&lt;= $10MM",AND(CY37&lt;=AGENT!$C$24,CY37&gt;AGENT!$B$24),"&lt;= $20MM"), "N/A")</f>
        <v/>
      </c>
      <c r="EJ37" s="1050">
        <f t="array" ref="EJ37">IF(D37="FILO",_xlfn.IFS(DI37&gt;AGENT!$B$29, "&gt; 1.25x",DI37&lt;AGENT!$C$27, "&lt; 0.75x",AND(DI37&lt;=AGENT!$C$28,DI37&gt;=AGENT!$B$28),"&lt;= 1.25x"), "N/A")</f>
        <v/>
      </c>
      <c r="EK37" s="1051">
        <f>V37</f>
        <v/>
      </c>
      <c r="EL37" s="1051">
        <f>'Concentration Limits'!$J$49</f>
        <v/>
      </c>
      <c r="EM37" s="1051">
        <f>IF(OR(D37="Second Lien",AND(D37="FILO",DI37&gt;AGENT!$C$57)), "Yes", "No")</f>
        <v/>
      </c>
      <c r="EN37" s="1051">
        <f>IF(EM37="Yes",SUMIF(EM:EM,"Yes",EK:EK),0)</f>
        <v/>
      </c>
      <c r="EO37" s="1051">
        <f>IF(EN37&gt;EL37,(EN37-EL37)*(EK37/SUMIF(EM:EM,"Yes",EK:EK)),0)</f>
        <v/>
      </c>
      <c r="EP37" s="1051">
        <f>MAX(0,EK37-EO37)</f>
        <v/>
      </c>
      <c r="EQ37" s="1051">
        <f>'Concentration Limits'!$J$50</f>
        <v/>
      </c>
      <c r="ER37" s="1051">
        <f>IF(D37="Second Lien",SUMIF(D:D,D37,EP:EP),0)</f>
        <v/>
      </c>
      <c r="ES37" s="1051">
        <f>MAX(0,(ER37-EQ37)*IFERROR((EP37/SUMIF($D:$D,D37,EP:EP )),0) )</f>
        <v/>
      </c>
      <c r="ET37" s="1051">
        <f>MAX(0,EP37-ES37)</f>
        <v/>
      </c>
      <c r="EU37" s="1051">
        <f>'Concentration Limits'!$J$51</f>
        <v/>
      </c>
      <c r="EV37" s="1051">
        <f>IF(OR(D37="Second Lien", AND(D37="FILO",DI37&gt;AGENT!$C$59)), "Yes", "No")</f>
        <v/>
      </c>
      <c r="EW37" s="1051">
        <f>IF(EV37="Yes",SUMIF(EV:EV,"Yes",ET:ET),0)</f>
        <v/>
      </c>
      <c r="EX37" s="1051">
        <f>IF(EW37&gt;EU37,(EW37-EU37)*(ET37/SUMIF(EV:EV,"Yes",ET:ET)),0)</f>
        <v/>
      </c>
      <c r="EY37" s="1051">
        <f>MAX(0,ET37-EX37)</f>
        <v/>
      </c>
      <c r="EZ37" s="1051">
        <f>'Concentration Limits'!$J$52</f>
        <v/>
      </c>
      <c r="FA37" s="1051">
        <f>IF(CY37&gt;'Concentration Limits'!$E$52, "No", "Yes")</f>
        <v/>
      </c>
      <c r="FB37" s="1051">
        <f>IF(FA37="Yes",SUMIF(FA:FA,"Yes",EY:EY),0)</f>
        <v/>
      </c>
      <c r="FC37" s="1051">
        <f>IF(FB37&gt;EZ37,(FB37-EZ37)*(EY37/SUMIF(FA:FA,"Yes",EY:EY)),0)</f>
        <v/>
      </c>
      <c r="FD37" s="1051">
        <f>MAX(0,EY37-FC37)</f>
        <v/>
      </c>
      <c r="FE37" s="1052">
        <f>'Concentration Limits'!$J$54</f>
        <v/>
      </c>
      <c r="FF37" s="1052">
        <f>'Concentration Limits'!$J$55</f>
        <v/>
      </c>
      <c r="FG37" s="1052">
        <f>'Concentration Limits'!$J$56</f>
        <v/>
      </c>
      <c r="FH37" s="1053">
        <f>'Concentration Limits'!$J$57</f>
        <v/>
      </c>
      <c r="FI37" s="1053">
        <f>SUMIF($B:$B,$B37,$FD:$FD)</f>
        <v/>
      </c>
      <c r="FJ37" s="1053">
        <f>IF(MATCH($B37,$B:$B,0)=ROW(),$FI37,0)</f>
        <v/>
      </c>
      <c r="FK37" s="1053">
        <f>INDEX(FL$8:FL$60,MATCH(B37,B$8:B$60,0))</f>
        <v/>
      </c>
      <c r="FL37" s="1053">
        <f>IF(FJ37&gt;0,RANK(FJ37,$FJ$9:$FJ$60)+COUNTIF($FJ$9:FJ37,FJ37)-1,0)</f>
        <v/>
      </c>
      <c r="FM37" s="1052">
        <f>IF(FK37=1,IF(FI37&gt;FE37,(FI37-FE37)*(V37/SUMIF($B:$B,B37,$FD:$FD)),0),0)</f>
        <v/>
      </c>
      <c r="FN37" s="1052">
        <f>IF(FK37=2,IF(FI37&gt;FF37,(FI37-FF37)*(V37/SUMIF($B:$B,B37,$FD:$FD)),0),0)</f>
        <v/>
      </c>
      <c r="FO37" s="1052">
        <f>IF(FK37=3,IF(FI37&gt;FG37,(FI37-FG37)*(V37/SUMIF($B:$B,B37,$FD:$FD)),0),0)</f>
        <v/>
      </c>
      <c r="FP37" s="1053">
        <f>IF(FK37&gt;0,IF(FI37&gt;FH37,(FI37-FH37)*(FD37/(SUMIF($B:$B,$B37,$FD:$FD))),0),0)</f>
        <v/>
      </c>
      <c r="FQ37" s="1053">
        <f>MAX(0,FD37-FM37-FN37-FO37-FP37)</f>
        <v/>
      </c>
      <c r="FR37" s="1053">
        <f>'Concentration Limits'!$J$58</f>
        <v/>
      </c>
      <c r="FS37" s="1053">
        <f>SUMIF($BR:$BR,$BR37,FQ:FQ)</f>
        <v/>
      </c>
      <c r="FT37" s="1053">
        <f>VLOOKUP(BR37,'Concentration Limits'!$E$81:$H$153,4,FALSE)</f>
        <v/>
      </c>
      <c r="FU37" s="1053">
        <f>IF(FT37=1,MAX(0,(FS37-FR37)*(FQ37/SUMIF($BR:$BR,BR37,FQ:FQ))),0)</f>
        <v/>
      </c>
      <c r="FV37" s="1053">
        <f>MAX(0,FQ37-FU37)</f>
        <v/>
      </c>
      <c r="FW37" s="1053">
        <f>'Concentration Limits'!$J$59</f>
        <v/>
      </c>
      <c r="FX37" s="1053">
        <f>SUMIF($BR:$BR,$BR37,FV:FV)</f>
        <v/>
      </c>
      <c r="FY37" s="1053">
        <f>VLOOKUP(BR37,'Concentration Limits'!$E$81:$H$153,4,FALSE)</f>
        <v/>
      </c>
      <c r="FZ37" s="1053">
        <f>MAX(0,IF(FY37=2,(FX37-FW37)*(FV37/SUMIF($BR:$BR,BR37,FV:FV)),0))</f>
        <v/>
      </c>
      <c r="GA37" s="1053">
        <f>MAX(0,FV37-FZ37)</f>
        <v/>
      </c>
      <c r="GB37" s="1053">
        <f>'Concentration Limits'!$J$61</f>
        <v/>
      </c>
      <c r="GC37" s="1053">
        <f>SUMIF($BR:$BR,$BR37,GA:GA)</f>
        <v/>
      </c>
      <c r="GD37" s="1051">
        <f>VLOOKUP(BR37,'Concentration Limits'!$E$81:$H$153,4,FALSE)</f>
        <v/>
      </c>
      <c r="GE37" s="1053">
        <f>IF(GA37=0,0,MAX(0,IF(GD37&lt;3,0,(GC37-GB37)*($GA37/SUMIF($BR:$BR,BR37,GA:GA)))))</f>
        <v/>
      </c>
      <c r="GF37" s="1053">
        <f>MAX(0,GA37-GE37)</f>
        <v/>
      </c>
      <c r="GG37" s="1053">
        <f>'Concentration Limits'!$J$64</f>
        <v/>
      </c>
      <c r="GH37" s="1053">
        <f>IF(BY37="Yes",SUMIF(BY:BY,BY37,GF:GF),0)</f>
        <v/>
      </c>
      <c r="GI37" s="1053">
        <f>IFERROR(MAX(0,(GH37-GG37)*(GF37/SUMIF($T:$T,T37,GF:GF ))),0)</f>
        <v/>
      </c>
      <c r="GJ37" s="1053">
        <f>MAX(0,GF37-GI37)</f>
        <v/>
      </c>
      <c r="GK37" s="1053">
        <f>'Concentration Limits'!$J$67</f>
        <v/>
      </c>
      <c r="GL37" s="1051">
        <f>IF(OR(BV37="Yes",OR(ISNUMBER(SEARCH("Travel",BR37)),ISNUMBER(SEARCH("Energy",BR37)),ISNUMBER(SEARCH("Leisure",BR37)),ISNUMBER(SEARCH("hotel",BR37)))),"Yes","No")</f>
        <v/>
      </c>
      <c r="GM37" s="1053">
        <f>IF(GL37="Yes",SUMIF(GL:GL,"Yes",GJ:GJ),0)</f>
        <v/>
      </c>
      <c r="GN37" s="1053">
        <f>IF(GM37&gt;GK37,(GM37-GK37)*(GJ37/SUMIF(GL:GL,"Yes",GJ:GJ)),0)</f>
        <v/>
      </c>
      <c r="GO37" s="1053">
        <f>MAX(0,GJ37-GN37)</f>
        <v/>
      </c>
      <c r="GP37" s="1053">
        <f>'Concentration Limits'!$J$68</f>
        <v/>
      </c>
      <c r="GQ37" s="1051">
        <f>IF(BU37="Yes","Yes", "No")</f>
        <v/>
      </c>
      <c r="GR37" s="1053">
        <f>IF(GQ37="Yes",SUMIF(GQ:GQ,"Yes",GO:GO),0)</f>
        <v/>
      </c>
      <c r="GS37" s="1053">
        <f>IF(GR37&gt;GP37,(GR37-GP37)*(GO37/SUMIF(GQ:GQ,"Yes",GO:GO)),0)</f>
        <v/>
      </c>
      <c r="GT37" s="1053">
        <f>MAX(0,GO37-GS37)</f>
        <v/>
      </c>
      <c r="GU37" s="1051">
        <f>'Concentration Limits'!$J$69</f>
        <v/>
      </c>
      <c r="GV37" s="1051">
        <f>IF(BW37="Yes", "Yes", "No")</f>
        <v/>
      </c>
      <c r="GW37" s="1051">
        <f>IF(GV37="Yes",SUMIF(GV:GV,"Yes",GT:GT),0)</f>
        <v/>
      </c>
      <c r="GX37" s="1051">
        <f>IF(GW37&gt;GU37,(GW37-GU37)*(GT37/SUMIF(GV:GV,"Yes",GT:GT)),0)</f>
        <v/>
      </c>
      <c r="GY37" s="1051">
        <f>MAX(0,GT37-GX37)</f>
        <v/>
      </c>
      <c r="GZ37" s="1051">
        <f>'Concentration Limits'!$J$70</f>
        <v/>
      </c>
      <c r="HA37" s="1051">
        <f>IF(BX37="Yes", "Yes", "No")</f>
        <v/>
      </c>
      <c r="HB37" s="1051">
        <f>IF(HA37="Yes",SUMIF(HA:HA,"Yes",GY:GY),0)</f>
        <v/>
      </c>
      <c r="HC37" s="1051">
        <f>IF(HB37&gt;GZ37,(HB37-GZ37)*(GY37/SUMIF(HA:HA,"Yes",GY:GY)),0)</f>
        <v/>
      </c>
      <c r="HD37" s="1051">
        <f>MAX(0,GY37-HC37)</f>
        <v/>
      </c>
      <c r="HE37" s="1053">
        <f>IF(AQ37=0,0,HD37*AQ37/(AQ37+AR37))</f>
        <v/>
      </c>
      <c r="HF37" s="1053">
        <f>IF(AR37=0,0,HD37*AR37/(AQ37+AR37))</f>
        <v/>
      </c>
      <c r="HG37" s="1053">
        <f>IF(AW37=0,0,HD37*AW37/(AW37+AX37))</f>
        <v/>
      </c>
      <c r="HH37" s="1053">
        <f>IF(AX37=0,0,HD37*AX37/(AX37+AW37))</f>
        <v/>
      </c>
      <c r="HI37" s="1053">
        <f>IF(BE37=0,0,#REF!*BE37/(BE37+BG37))</f>
        <v/>
      </c>
      <c r="HJ37" s="1053">
        <f>IF(BG37=0,0,#REF!*BG37/(BG37+BE37))</f>
        <v/>
      </c>
      <c r="HK37" s="1054">
        <f>IF(BF37=0,0,#REF!*BF37/(BF37+BH37))</f>
        <v/>
      </c>
      <c r="HL37" s="1053">
        <f>IF(BH37=0,0,#REF!*BH37/(BH37+BF37))</f>
        <v/>
      </c>
      <c r="HM37" s="1053">
        <f>IF(D37="Second Lien",HD37,0)</f>
        <v/>
      </c>
      <c r="HN37" s="1053">
        <f>SUM(HE37:HM37)=HD37</f>
        <v/>
      </c>
    </row>
    <row r="38" ht="12.75" customFormat="1" customHeight="1" s="469">
      <c r="A38" s="55">
        <f>A37+1</f>
        <v/>
      </c>
      <c r="B38" s="437">
        <f>INDEX('Loan Tape - Settled'!$B$4:$AP$55,MATCH($A38,'Loan Tape - Settled'!$E$4:$E$55,0),MATCH("Obligor Name",'Loan Tape - Settled'!$B$4:$AM$4,0))</f>
        <v/>
      </c>
      <c r="C38" s="437">
        <f>INDEX('Loan Tape - Settled'!$B$4:$AP$55,MATCH($A38,'Loan Tape - Settled'!$E$4:$E$55,0),MATCH("Security",'Loan Tape - Settled'!$B$4:$AM$4,0))</f>
        <v/>
      </c>
      <c r="D38" s="438">
        <f>INDEX('Loan Tape - Settled'!$B$4:$AP$55,MATCH($A38,'Loan Tape - Settled'!$E$4:$E$55,0),MATCH("Loan Type",'Loan Tape - Settled'!$B$4:$AM$4,0))</f>
        <v/>
      </c>
      <c r="E38" s="439">
        <f>IF(ISERROR(MATCH(D38,AGENT!$A$4:$A$10,0))=FALSE, TRUE)</f>
        <v/>
      </c>
      <c r="F38" s="439">
        <f>IF(AND(BZ38="no",CA38="no"),TRUE)</f>
        <v/>
      </c>
      <c r="G38" s="439">
        <f>IF(D38&lt;&gt;"Second Lien",TRUE, IF(CY38&gt;=AGENT!$B$4,TRUE))</f>
        <v/>
      </c>
      <c r="H38" s="439">
        <f>IF(DE38&lt;=AGENT!$D$4,TRUE)</f>
        <v/>
      </c>
      <c r="I38" s="439">
        <f>IF(VLOOKUP(CONCATENATE($A$5,A38),'Loan Tape - Settled'!$A$5:$Q$55,17,FALSE)&gt;=AGENT!$E$4,TRUE)</f>
        <v/>
      </c>
      <c r="J38" s="439">
        <f>IF(INDEX('Loan Tape - Settled'!$B$4:$AP$55,MATCH($A38,'Loan Tape - Settled'!$E$4:$E$55,0),MATCH("Loan Denomination",'Loan Tape - Settled'!$B$4:$AP$4,0))="USD", TRUE)</f>
        <v/>
      </c>
      <c r="K38" s="439">
        <f>IF(INDEX('Loan Tape - Settled'!$B$4:$AP$55,MATCH($A38,'Loan Tape - Settled'!$E$4:$E$55,0),MATCH("Exposure Country",'Loan Tape - Settled'!$B$4:$AP$4,0))="United States", TRUE)</f>
        <v/>
      </c>
      <c r="L38" s="439">
        <f>IF(BS38="NO",TRUE)</f>
        <v/>
      </c>
      <c r="M38" s="439">
        <f>IF(((BM38-BL38)/365)&lt;=AGENT!$F$4,TRUE)</f>
        <v/>
      </c>
      <c r="N38" s="439">
        <f>IF(DX38="Yes",FALSE,TRUE)</f>
        <v/>
      </c>
      <c r="O38" s="493" t="n"/>
      <c r="P38" s="764">
        <f>IF($B38="","",IF(OR(O38=TRUE,COUNTIFS($E38:$N38,TRUE)=10),"Yes","No"))</f>
        <v/>
      </c>
      <c r="Q38" s="730" t="inlineStr">
        <is>
          <t>Yes</t>
        </is>
      </c>
      <c r="R38" s="440">
        <f>IF(P38="Yes",B38,"N/A")</f>
        <v/>
      </c>
      <c r="S38" s="440" t="n"/>
      <c r="T38" s="441">
        <f t="array" ref="T38">_xlfn.IFS(D38="Second Lien",D38,D38="First Lien",CONCATENATE(D38," ",EI38),D38="FILO",CONCATENATE(D38," ",EJ38))</f>
        <v/>
      </c>
      <c r="U38" s="442">
        <f>VLOOKUP(T38,'Concentration Limits'!D:G,4,FALSE)</f>
        <v/>
      </c>
      <c r="V38" s="1020">
        <f>AQ38+AW38+BI38</f>
        <v/>
      </c>
      <c r="W38" s="1021">
        <f>(SUMIFS('Loan Tape - Settled'!$AR$4:$AR$55,'Loan Tape - Settled'!$E$4:$E$55,$A38,'Loan Tape - Settled'!$C$4:$C$55,$A$5))</f>
        <v/>
      </c>
      <c r="X38" s="1022" t="n">
        <v>1</v>
      </c>
      <c r="Y38" s="1023">
        <f>W38*X38</f>
        <v/>
      </c>
      <c r="Z38" s="1022">
        <f>(SUMIFS('Loan Tape - Settled'!$AQ$4:$AQ$55,'Loan Tape - Settled'!$E$4:$E$55,$A38,'Loan Tape - Settled'!$C$4:$C$55,$A$5))</f>
        <v/>
      </c>
      <c r="AA38" s="1023">
        <f>Z38*X38</f>
        <v/>
      </c>
      <c r="AB38" s="1023">
        <f>AA38-Y38</f>
        <v/>
      </c>
      <c r="AC38" s="490">
        <f>VLOOKUP(CONCATENATE($A$5,A38),'Loan Tape - Settled'!$A$5:$Q$55,17,FALSE)</f>
        <v/>
      </c>
      <c r="AD38" s="445" t="n"/>
      <c r="AE38" s="446">
        <f>INDEX('Loan Tape - Settled'!$B$4:$AP$55,MATCH($A38,'Loan Tape - Settled'!$E$4:$E$55,0),MATCH("FMV",'Loan Tape - Settled'!$B$4:$AM$4,0))</f>
        <v/>
      </c>
      <c r="AF38" s="446">
        <f t="array" ref="AF38">_xlfn.IFS(D38="First Lien",
_xlfn.IFS(AND(DL38&gt;0,DL38&lt;Tier_1_1L),Tier_1_ApplicableValue,
AND(DL38&gt;=Tier_1_1L,DL38&lt;Tier_2_1L),((Tier_1_1L/DL38)*Tier_1_ApplicableValue)+((DL38-Tier_1_1L)/DL38*Tier_2_ApplicableValue),
AND(DL38&gt;=Tier_2_1L, DL38&lt;Tier_3_1L),((Tier_1_1L/DL38)*Tier_1_ApplicableValue+(Tier_2_1L-Tier_1_1L)/DL38*Tier_2_ApplicableValue+(DL38-Tier_2_1L)/DL38*Tier_3_ApplicableValue),
AND(DL38&gt;=Tier_3_1L, DL38&lt;=Tier_totalzerovalue),((Tier_1_1L/DL38)*Tier_1_ApplicableValue+(Tier_2_1L-Tier_1_1L)/DL38*Tier_2_ApplicableValue+(Tier_3_1L-Tier_2_1L)/DL38*Tier_3_ApplicableValue+(DL38-Tier_partialzerovalue)/DL38*0%),
DL38&gt;Tier_totalzerovalue,0%),
OR(D38="Second Lien", D38="FILO"),
_xlfn.IFS(AND(DM38&gt;0,DM38&lt;Tier_1_2L),Tier_1_ApplicableValue,
AND(DM38&gt;=Tier_1_2L,DM38&lt;Tier_2_2L),((Tier_1_2L/DM38)*Tier_1_ApplicableValue)+((DM38-Tier_1_2L)/DM38*Tier_2_ApplicableValue),
AND(DM38&gt;=Tier_2_2L, DM38&lt;Tier_3_2L),((Tier_1_2L/DM38)*Tier_1_ApplicableValue+(Tier_2_2L-Tier_1_2L)/DM38*Tier_2_ApplicableValue+(DM38-Tier_2_2L)/DM38*Tier_3_ApplicableValue),
AND(DM38&gt;=Tier_3_2L, DM38&lt;=Tier_totalzerovalue),((Tier_1_2L/DM38)*Tier_1_ApplicableValue+(Tier_2_2L-Tier_1_2L)/DM38*Tier_2_ApplicableValue+(Tier_3_2L-Tier_2_2L)/DM38*Tier_3_ApplicableValue+(DM38-Tier_partialzerovalue)/DM38*0%),
DM38&gt;Tier_totalzerovalue,0%))</f>
        <v/>
      </c>
      <c r="AG38" s="447">
        <f>IF(COUNTIFS(VAE!$C$5:$C$96,B38,VAE!$G$5:$G$96,"&lt;="&amp;Availability!$F$8)&gt;=1,"Yes","-")</f>
        <v/>
      </c>
      <c r="AH38" s="447">
        <f t="array" ref="AH38">IFERROR(IF(AG38="Yes",INDEX(VAE!$D$5:$D$96,MATCH(B38&amp;AJ38,VAE!$C$5:$C$96&amp;VAE!$G$5:$G$96,0)),"-"),0)</f>
        <v/>
      </c>
      <c r="AI38" s="447">
        <f t="array" ref="AI38">IFERROR(IF(AG38="Yes",INDEX(VAE!$F$5:$F$96,MATCH(B38&amp;AJ38,VAE!$C$5:$C$96&amp;VAE!$G$5:$G$96,0)),"-"),0)</f>
        <v/>
      </c>
      <c r="AJ38" s="448">
        <f>IF(AG38="-","-",_xlfn.MAXIFS(VAE!$G$5:$G$96,VAE!$C$5:$C$96,$B38))</f>
        <v/>
      </c>
      <c r="AK38" s="449">
        <f t="array" ref="AK38">IFERROR(IF(AG38="Yes",INDEX(VAE!$P$5:$P$96,MATCH(B38&amp;AJ38,VAE!$C$5:$C$96&amp;VAE!$G$5:$G$96,0)),"-"),0)</f>
        <v/>
      </c>
      <c r="AL38" s="446">
        <f>IF($A38="","",IF(P38="No",0,(IF(AG38="Yes",MIN(AE38,AK38,AF38),MIN(AE38,AF38)))))</f>
        <v/>
      </c>
      <c r="AM38" s="1020" t="n"/>
      <c r="AN38" s="1020" t="n"/>
      <c r="AO38" s="1020">
        <f>IF(AND(D38="First Lien",P38="No"),0,IF(D38&lt;&gt;"First Lien",0,Y38))</f>
        <v/>
      </c>
      <c r="AP38" s="1020">
        <f>IF(AND(D38="First Lien",P38="No"),W38,0)</f>
        <v/>
      </c>
      <c r="AQ38" s="1020">
        <f>AL38*AO38</f>
        <v/>
      </c>
      <c r="AR38" s="1020" t="n"/>
      <c r="AS38" s="1020" t="n"/>
      <c r="AT38" s="1020" t="n"/>
      <c r="AU38" s="1020">
        <f>IF(AND(D38="FILO",P38="No"),0,IF(D38&lt;&gt;"FILO",0,Y38))</f>
        <v/>
      </c>
      <c r="AV38" s="1020">
        <f>IF(AND(D38="FILO",P38="No"),W38,0)</f>
        <v/>
      </c>
      <c r="AW38" s="1020">
        <f>AU38*AL38</f>
        <v/>
      </c>
      <c r="AX38" s="1020" t="n"/>
      <c r="AY38" s="1020" t="n"/>
      <c r="AZ38" s="1020" t="n"/>
      <c r="BA38" s="1020">
        <f>IF(AND(OR(D38="First Lien",D38="FILO"),P38="No"),0,IF(OR(D38="First Lien",D38="FILO"),0,(Y38)))</f>
        <v/>
      </c>
      <c r="BB38" s="1020" t="n"/>
      <c r="BC38" s="1020" t="n"/>
      <c r="BD38" s="1020">
        <f>IF(AND(D38="Second Lien",P38="No"),W38,0)</f>
        <v/>
      </c>
      <c r="BE38" s="1020" t="n"/>
      <c r="BF38" s="1020" t="n"/>
      <c r="BG38" s="1020" t="n"/>
      <c r="BH38" s="1020" t="n"/>
      <c r="BI38" s="1020">
        <f>IF(D38="Second Lien",BA38*AL38,0)</f>
        <v/>
      </c>
      <c r="BJ38" s="1020">
        <f>SUM(AM38:AP38)+SUM(AZ38:BD38)+SUM(AS38:AV38)=Y38</f>
        <v/>
      </c>
      <c r="BK38" s="1026">
        <f>INDEX('Loan Tape - Settled'!$B$4:$AP$55,MATCH($A38,'Loan Tape - Settled'!$E$4:$E$55,0),MATCH("Inception Date",'Loan Tape - Settled'!$B$4:$AP$4,0))</f>
        <v/>
      </c>
      <c r="BL38" s="1026">
        <f>INDEX('Loan Tape - Settled'!$B$4:$AP$55,MATCH($A38,'Loan Tape - Settled'!$E$4:$E$55,0),MATCH("Inclusion Date",'Loan Tape - Settled'!$B$4:$AP$4,0))</f>
        <v/>
      </c>
      <c r="BM38" s="1026">
        <f>INDEX('Loan Tape - Settled'!$B$4:$AP$55,MATCH($A38,'Loan Tape - Settled'!$E$4:$E$55,0),MATCH("Maturity Date",'Loan Tape - Settled'!$B$4:$AP$4,0))</f>
        <v/>
      </c>
      <c r="BN38" s="556" t="n"/>
      <c r="BO38" s="556" t="n"/>
      <c r="BP38" s="1055" t="n"/>
      <c r="BQ38" s="556" t="n"/>
      <c r="BR38" s="554">
        <f>INDEX('Loan Tape - Settled'!$B$4:$AP$55,MATCH($A38,'Loan Tape - Settled'!$E$4:$E$55,0),MATCH("Industry Classification",'Loan Tape - Settled'!$B$4:$AP$4,0))</f>
        <v/>
      </c>
      <c r="BS38" s="556">
        <f>IF(INDEX('Loan Tape - Settled'!$B$4:$AP$55,MATCH($A38,'Loan Tape - Settled'!$E$4:$E$55,0),MATCH("Covenant Lite",'Loan Tape - Settled'!$B$4:$AP$4,0))=-1, "Yes", "No")</f>
        <v/>
      </c>
      <c r="BT38" s="1056">
        <f>INDEX('Loan Tape - Settled'!$B$4:$AP$55,MATCH($A38,'Loan Tape - Settled'!$E$4:$E$55,0),MATCH("Spread / Coupon (%)",'Loan Tape - Settled'!$B$4:$AP$4,0))</f>
        <v/>
      </c>
      <c r="BU38" s="556">
        <f>IF(INDEX('Loan Tape - Settled'!$B$4:$AP$55,MATCH($A38,'Loan Tape - Settled'!$E$4:$E$55,0),MATCH("Security Type",'Loan Tape - Settled'!$B$4:$AP$4,0))="Delayed Draw Term Loan", "Yes", "No")</f>
        <v/>
      </c>
      <c r="BV38" s="557" t="inlineStr">
        <is>
          <t>No</t>
        </is>
      </c>
      <c r="BW38" s="557" t="inlineStr">
        <is>
          <t>No</t>
        </is>
      </c>
      <c r="BX38" s="548" t="inlineStr">
        <is>
          <t>No</t>
        </is>
      </c>
      <c r="BY38" s="556">
        <f>IF(INDEX('Loan Tape - Settled'!$B$4:$AP$55,MATCH($A38,'Loan Tape - Settled'!$E$4:$E$55,0),MATCH("Fixed/Floating",'Loan Tape - Settled'!$B$4:$AP$4,0))="Fixed", "Yes", "No")</f>
        <v/>
      </c>
      <c r="BZ38" s="557" t="inlineStr">
        <is>
          <t>No</t>
        </is>
      </c>
      <c r="CA38" s="557" t="inlineStr">
        <is>
          <t>No</t>
        </is>
      </c>
      <c r="CB38" s="556">
        <f>IF(INDEX('Loan Tape - Settled'!$B$4:$AP$55,MATCH($A38,'Loan Tape - Settled'!$E$4:$E$55,0),MATCH("Loan Denomination",'Loan Tape - Settled'!$B$4:$AP$4,0))="CAD", "Yes", "No")</f>
        <v/>
      </c>
      <c r="CC38" s="556">
        <f>INDEX('Loan Tape - Settled'!$B$4:$AP$55,MATCH($A38,'Loan Tape - Settled'!$E$4:$E$55,0),MATCH("Payment Frequency",'Loan Tape - Settled'!$B$4:$AP$4,0))</f>
        <v/>
      </c>
      <c r="CD38" s="557" t="inlineStr">
        <is>
          <t>No</t>
        </is>
      </c>
      <c r="CE38" s="556">
        <f>INDEX('Loan Tape - Settled'!$B$4:$AP$55,MATCH($A38,'Loan Tape - Settled'!$E$4:$E$55,0),MATCH("S&amp;P Loan Rating (if applicable)",'Loan Tape - Settled'!$B$4:$AP$4,0))</f>
        <v/>
      </c>
      <c r="CF38" s="556">
        <f>INDEX('Loan Tape - Settled'!$B$4:$AP$55,MATCH($A38,'Loan Tape - Settled'!$E$4:$E$55,0),MATCH("Moody's Loan Rating (if applicable)",'Loan Tape - Settled'!$B$4:$AP$4,0))</f>
        <v/>
      </c>
      <c r="CG38" s="556" t="n"/>
      <c r="CH38" s="556" t="n"/>
      <c r="CI38" s="1057" t="n"/>
      <c r="CJ38" s="1030">
        <f>INDEX('Loan Tape - Settled'!$B$4:$BF$55,MATCH($A38,'Loan Tape - Settled'!$E$4:$E$55,0),MATCH("Last Financial Received",'Loan Tape - Settled'!$B$4:$BF$4,0))</f>
        <v/>
      </c>
      <c r="CK38" s="559">
        <f>INDEX('Loan Tape - Settled'!$B$4:$BJ$55,MATCH($A38,'Loan Tape - Settled'!$E$4:$E$55,0),MATCH("Initial Adjusted TTM EBITDA",'Loan Tape - Settled'!$B$4:$BJ$4,0))</f>
        <v/>
      </c>
      <c r="CL38" s="559">
        <f>INDEX('Loan Tape - Settled'!$B$4:$BJ$55,MATCH($A38,'Loan Tape - Settled'!$E$4:$E$55,0),MATCH("Initial TTM Non-adjusted EBITDA",'Loan Tape - Settled'!$B$4:$BJ$4,0))</f>
        <v/>
      </c>
      <c r="CM38" s="1031" t="n"/>
      <c r="CN38" s="451" t="n"/>
      <c r="CO38" s="451" t="n"/>
      <c r="CP38" s="1032" t="n"/>
      <c r="CQ38" s="1033" t="inlineStr">
        <is>
          <t>N</t>
        </is>
      </c>
      <c r="CR38" s="1032" t="n"/>
      <c r="CS38" s="454">
        <f>CK38-CP38+CR38</f>
        <v/>
      </c>
      <c r="CT38" s="455">
        <f>1-CS38/CK38</f>
        <v/>
      </c>
      <c r="CU38" s="559">
        <f>INDEX('Loan Tape - Settled'!$B$4:$BJ$55,MATCH($A38,'Loan Tape - Settled'!$E$4:$E$55,0),MATCH("Current TTM Non-adjusted EBITDA",'Loan Tape - Settled'!$B$4:$BJ$4,0))</f>
        <v/>
      </c>
      <c r="CV38" s="456">
        <f>CT38</f>
        <v/>
      </c>
      <c r="CW38" s="1034" t="inlineStr">
        <is>
          <t>N</t>
        </is>
      </c>
      <c r="CX38" s="1035" t="n"/>
      <c r="CY38" s="1036">
        <f>IF(CW38="N",(1-CV38)*CU38,(1-CX38)*CU38)</f>
        <v/>
      </c>
      <c r="CZ38" s="1037" t="n"/>
      <c r="DA38" s="1038" t="n"/>
      <c r="DB38" s="1039" t="n"/>
      <c r="DC38" s="1040" t="n"/>
      <c r="DD38" s="1040">
        <f>INDEX('Loan Tape - Settled'!$B$4:$BJ$55,MATCH($A38,'Loan Tape - Settled'!$E$4:$E$55,0),MATCH("Initial Senior Net Leverage Senior",'Loan Tape - Settled'!$B$4:$BJ$4,0))</f>
        <v/>
      </c>
      <c r="DE38" s="1041">
        <f>INDEX('Loan Tape - Settled'!$B$4:$BJ$55,MATCH($A38,'Loan Tape - Settled'!$E$4:$E$55,0),MATCH("Initial Total Net Leverage",'Loan Tape - Settled'!$B$4:$BJ$4,0))</f>
        <v/>
      </c>
      <c r="DF38" s="1037" t="n"/>
      <c r="DG38" s="1038" t="n"/>
      <c r="DH38" s="1039" t="n"/>
      <c r="DI38" s="1042">
        <f>INDEX('Loan Tape - Settled'!$B$4:$BJ$55,MATCH($A38,'Loan Tape - Settled'!$E$4:$E$55,0),MATCH("Net Attachment",'Loan Tape - Settled'!$B$4:$BJ$4,0))</f>
        <v/>
      </c>
      <c r="DJ38" s="566">
        <f t="array" ref="DJ38">IF(AG38="Yes",INDEX(VAE!$M$5:$M$53,MATCH($B38&amp;$AJ38,VAE!$C$5:$C$53&amp;VAE!$G$5:$G$53,0)),DD38)</f>
        <v/>
      </c>
      <c r="DK38" s="697">
        <f t="array" ref="DK38">IF(AG38="Yes",INDEX(VAE!$N$5:$N$53,MATCH($B38&amp;$AJ38,VAE!$C$5:$C$53&amp;VAE!$G$5:$G$53,0)),DE38)</f>
        <v/>
      </c>
      <c r="DL38" s="1058">
        <f>INDEX('Loan Tape - Settled'!$B$4:$BJ$55,MATCH($A38,'Loan Tape - Settled'!$E$4:$E$55,0),MATCH("Current Senior Net Leverage Senior",'Loan Tape - Settled'!$B$4:$BJ$4,0))</f>
        <v/>
      </c>
      <c r="DM38" s="1059">
        <f>INDEX('Loan Tape - Settled'!$B$4:$BJ$55,MATCH($A38,'Loan Tape - Settled'!$E$4:$E$55,0),MATCH("Current Total Net Leverage",'Loan Tape - Settled'!$B$4:$BJ$4,0))</f>
        <v/>
      </c>
      <c r="DN38" s="1044" t="n"/>
      <c r="DO38" s="1045">
        <f>INDEX('Loan Tape - Settled'!$B$4:$BJ$55,MATCH($A38,'Loan Tape - Settled'!$E$4:$E$55,0),MATCH("Initial Interest Coverage",'Loan Tape - Settled'!$B$4:$BJ$4,0))</f>
        <v/>
      </c>
      <c r="DP38" s="565">
        <f t="array" ref="DP38">IF(AG38="Yes",INDEX(VAE!$O$5:$O$53,MATCH($B38&amp;$AJ38,VAE!$C$5:$C$53&amp;VAE!$G$5:$G$53,0)),DO38)</f>
        <v/>
      </c>
      <c r="DQ38" s="1046">
        <f>INDEX('Loan Tape - Settled'!$B$4:$BJ$55,MATCH($A38,'Loan Tape - Settled'!$E$4:$E$55,0),MATCH("Current Interest Coverage",'Loan Tape - Settled'!$B$4:$BJ$4,0))</f>
        <v/>
      </c>
      <c r="DR38" s="462">
        <f>IF(OR(DU38="Yes",DU38="N/A",DV38="Yes",DV38="N/A",DW38="Yes",DX38="Yes",DY38="Yes",EF38="Yes",EG38="Yes",EH38="Yes"),"Yes","No")</f>
        <v/>
      </c>
      <c r="DS38" s="1047">
        <f>IF(AG38="Yes",DATEDIF(AJ38,Availability!$F$8,"m"),"")</f>
        <v/>
      </c>
      <c r="DT38" s="1047">
        <f>IF(DS38="","No",IF(DS38&gt;12,"Yes","No"))</f>
        <v/>
      </c>
      <c r="DU38" s="695">
        <f>IFERROR(IF(AND(DQ38/DP38&lt;0.75,DQ38&lt;1.5),"Yes","No"),"N/A")</f>
        <v/>
      </c>
      <c r="DV38" s="696">
        <f>IFERROR(IF(OR(D38="First Lien",D38="FILO"),IF(AND((DL38-DJ38)&gt;0.75,DL38&gt;4),"Yes","No"),"No"),"N/A")</f>
        <v/>
      </c>
      <c r="DW38" s="696">
        <f t="array" ref="DW38">_xlfn.IFS(D38&lt;&gt;"Second Lien","No",D38="Second Lien",IF(AND((DM38-DK38)&gt;0.5,DM38&gt;4.5),"Yes","No"))</f>
        <v/>
      </c>
      <c r="DX38" s="735" t="inlineStr">
        <is>
          <t>No</t>
        </is>
      </c>
      <c r="DY38" s="735" t="inlineStr">
        <is>
          <t>No</t>
        </is>
      </c>
      <c r="DZ38" s="1048" t="inlineStr">
        <is>
          <t>No</t>
        </is>
      </c>
      <c r="EA38" s="1048" t="inlineStr">
        <is>
          <t>No</t>
        </is>
      </c>
      <c r="EB38" s="1048" t="inlineStr">
        <is>
          <t>No</t>
        </is>
      </c>
      <c r="EC38" s="1048" t="inlineStr">
        <is>
          <t>No</t>
        </is>
      </c>
      <c r="ED38" s="1048" t="inlineStr">
        <is>
          <t>No</t>
        </is>
      </c>
      <c r="EE38" s="1048" t="inlineStr">
        <is>
          <t>No</t>
        </is>
      </c>
      <c r="EF38" s="442">
        <f>IF(OR(DZ38="Yes",EA38="Yes",EB38="Yes",EC38="Yes",ED38="Yes",EE38="Yes"),"Yes","No")</f>
        <v/>
      </c>
      <c r="EG38" s="1048" t="inlineStr">
        <is>
          <t>No</t>
        </is>
      </c>
      <c r="EH38" s="1049" t="inlineStr">
        <is>
          <t>No</t>
        </is>
      </c>
      <c r="EI38" s="1050">
        <f t="array" ref="EI38">IF(D38="First Lien",_xlfn.IFS(CY38&gt;AGENT!$B$23, "&gt; $20MM",CY38&lt;=AGENT!$C$25, "&lt;= $10MM",AND(CY38&lt;=AGENT!$C$24,CY38&gt;AGENT!$B$24),"&lt;= $20MM"), "N/A")</f>
        <v/>
      </c>
      <c r="EJ38" s="1050">
        <f t="array" ref="EJ38">IF(D38="FILO",_xlfn.IFS(DI38&gt;AGENT!$B$29, "&gt; 1.25x",DI38&lt;AGENT!$C$27, "&lt; 0.75x",AND(DI38&lt;=AGENT!$C$28,DI38&gt;=AGENT!$B$28),"&lt;= 1.25x"), "N/A")</f>
        <v/>
      </c>
      <c r="EK38" s="1051">
        <f>V38</f>
        <v/>
      </c>
      <c r="EL38" s="1051">
        <f>'Concentration Limits'!$J$49</f>
        <v/>
      </c>
      <c r="EM38" s="1051">
        <f>IF(OR(D38="Second Lien",AND(D38="FILO",DI38&gt;AGENT!$C$57)), "Yes", "No")</f>
        <v/>
      </c>
      <c r="EN38" s="1051">
        <f>IF(EM38="Yes",SUMIF(EM:EM,"Yes",EK:EK),0)</f>
        <v/>
      </c>
      <c r="EO38" s="1051">
        <f>IF(EN38&gt;EL38,(EN38-EL38)*(EK38/SUMIF(EM:EM,"Yes",EK:EK)),0)</f>
        <v/>
      </c>
      <c r="EP38" s="1051">
        <f>MAX(0,EK38-EO38)</f>
        <v/>
      </c>
      <c r="EQ38" s="1051">
        <f>'Concentration Limits'!$J$50</f>
        <v/>
      </c>
      <c r="ER38" s="1051">
        <f>IF(D38="Second Lien",SUMIF(D:D,D38,EP:EP),0)</f>
        <v/>
      </c>
      <c r="ES38" s="1051">
        <f>MAX(0,(ER38-EQ38)*IFERROR((EP38/SUMIF($D:$D,D38,EP:EP )),0) )</f>
        <v/>
      </c>
      <c r="ET38" s="1051">
        <f>MAX(0,EP38-ES38)</f>
        <v/>
      </c>
      <c r="EU38" s="1051">
        <f>'Concentration Limits'!$J$51</f>
        <v/>
      </c>
      <c r="EV38" s="1051">
        <f>IF(OR(D38="Second Lien", AND(D38="FILO",DI38&gt;AGENT!$C$59)), "Yes", "No")</f>
        <v/>
      </c>
      <c r="EW38" s="1051">
        <f>IF(EV38="Yes",SUMIF(EV:EV,"Yes",ET:ET),0)</f>
        <v/>
      </c>
      <c r="EX38" s="1051">
        <f>IF(EW38&gt;EU38,(EW38-EU38)*(ET38/SUMIF(EV:EV,"Yes",ET:ET)),0)</f>
        <v/>
      </c>
      <c r="EY38" s="1051">
        <f>MAX(0,ET38-EX38)</f>
        <v/>
      </c>
      <c r="EZ38" s="1051">
        <f>'Concentration Limits'!$J$52</f>
        <v/>
      </c>
      <c r="FA38" s="1051">
        <f>IF(CY38&gt;'Concentration Limits'!$E$52, "No", "Yes")</f>
        <v/>
      </c>
      <c r="FB38" s="1051">
        <f>IF(FA38="Yes",SUMIF(FA:FA,"Yes",EY:EY),0)</f>
        <v/>
      </c>
      <c r="FC38" s="1051">
        <f>IF(FB38&gt;EZ38,(FB38-EZ38)*(EY38/SUMIF(FA:FA,"Yes",EY:EY)),0)</f>
        <v/>
      </c>
      <c r="FD38" s="1051">
        <f>MAX(0,EY38-FC38)</f>
        <v/>
      </c>
      <c r="FE38" s="1052">
        <f>'Concentration Limits'!$J$54</f>
        <v/>
      </c>
      <c r="FF38" s="1052">
        <f>'Concentration Limits'!$J$55</f>
        <v/>
      </c>
      <c r="FG38" s="1052">
        <f>'Concentration Limits'!$J$56</f>
        <v/>
      </c>
      <c r="FH38" s="1053">
        <f>'Concentration Limits'!$J$57</f>
        <v/>
      </c>
      <c r="FI38" s="1053">
        <f>SUMIF($B:$B,$B38,$FD:$FD)</f>
        <v/>
      </c>
      <c r="FJ38" s="1053">
        <f>IF(MATCH($B38,$B:$B,0)=ROW(),$FI38,0)</f>
        <v/>
      </c>
      <c r="FK38" s="1053">
        <f>INDEX(FL$8:FL$60,MATCH(B38,B$8:B$60,0))</f>
        <v/>
      </c>
      <c r="FL38" s="1053">
        <f>IF(FJ38&gt;0,RANK(FJ38,$FJ$9:$FJ$60)+COUNTIF($FJ$9:FJ38,FJ38)-1,0)</f>
        <v/>
      </c>
      <c r="FM38" s="1052">
        <f>IF(FK38=1,IF(FI38&gt;FE38,(FI38-FE38)*(V38/SUMIF($B:$B,B38,$FD:$FD)),0),0)</f>
        <v/>
      </c>
      <c r="FN38" s="1052">
        <f>IF(FK38=2,IF(FI38&gt;FF38,(FI38-FF38)*(V38/SUMIF($B:$B,B38,$FD:$FD)),0),0)</f>
        <v/>
      </c>
      <c r="FO38" s="1052">
        <f>IF(FK38=3,IF(FI38&gt;FG38,(FI38-FG38)*(V38/SUMIF($B:$B,B38,$FD:$FD)),0),0)</f>
        <v/>
      </c>
      <c r="FP38" s="1053">
        <f>IF(FK38&gt;0,IF(FI38&gt;FH38,(FI38-FH38)*(FD38/(SUMIF($B:$B,$B38,$FD:$FD))),0),0)</f>
        <v/>
      </c>
      <c r="FQ38" s="1053">
        <f>MAX(0,FD38-FM38-FN38-FO38-FP38)</f>
        <v/>
      </c>
      <c r="FR38" s="1053">
        <f>'Concentration Limits'!$J$58</f>
        <v/>
      </c>
      <c r="FS38" s="1053">
        <f>SUMIF($BR:$BR,$BR38,FQ:FQ)</f>
        <v/>
      </c>
      <c r="FT38" s="1053">
        <f>VLOOKUP(BR38,'Concentration Limits'!$E$81:$H$153,4,FALSE)</f>
        <v/>
      </c>
      <c r="FU38" s="1053">
        <f>IF(FT38=1,MAX(0,(FS38-FR38)*(FQ38/SUMIF($BR:$BR,BR38,FQ:FQ))),0)</f>
        <v/>
      </c>
      <c r="FV38" s="1053">
        <f>MAX(0,FQ38-FU38)</f>
        <v/>
      </c>
      <c r="FW38" s="1053">
        <f>'Concentration Limits'!$J$59</f>
        <v/>
      </c>
      <c r="FX38" s="1053">
        <f>SUMIF($BR:$BR,$BR38,FV:FV)</f>
        <v/>
      </c>
      <c r="FY38" s="1053">
        <f>VLOOKUP(BR38,'Concentration Limits'!$E$81:$H$153,4,FALSE)</f>
        <v/>
      </c>
      <c r="FZ38" s="1053">
        <f>MAX(0,IF(FY38=2,(FX38-FW38)*(FV38/SUMIF($BR:$BR,BR38,FV:FV)),0))</f>
        <v/>
      </c>
      <c r="GA38" s="1053">
        <f>MAX(0,FV38-FZ38)</f>
        <v/>
      </c>
      <c r="GB38" s="1053">
        <f>'Concentration Limits'!$J$61</f>
        <v/>
      </c>
      <c r="GC38" s="1053">
        <f>SUMIF($BR:$BR,$BR38,GA:GA)</f>
        <v/>
      </c>
      <c r="GD38" s="1051">
        <f>VLOOKUP(BR38,'Concentration Limits'!$E$81:$H$153,4,FALSE)</f>
        <v/>
      </c>
      <c r="GE38" s="1053">
        <f>IF(GA38=0,0,MAX(0,IF(GD38&lt;3,0,(GC38-GB38)*($GA38/SUMIF($BR:$BR,BR38,GA:GA)))))</f>
        <v/>
      </c>
      <c r="GF38" s="1053">
        <f>MAX(0,GA38-GE38)</f>
        <v/>
      </c>
      <c r="GG38" s="1053">
        <f>'Concentration Limits'!$J$64</f>
        <v/>
      </c>
      <c r="GH38" s="1053">
        <f>IF(BY38="Yes",SUMIF(BY:BY,BY38,GF:GF),0)</f>
        <v/>
      </c>
      <c r="GI38" s="1053">
        <f>IFERROR(MAX(0,(GH38-GG38)*(GF38/SUMIF($T:$T,T38,GF:GF ))),0)</f>
        <v/>
      </c>
      <c r="GJ38" s="1053">
        <f>MAX(0,GF38-GI38)</f>
        <v/>
      </c>
      <c r="GK38" s="1053">
        <f>'Concentration Limits'!$J$67</f>
        <v/>
      </c>
      <c r="GL38" s="1051">
        <f>IF(OR(BV38="Yes",OR(ISNUMBER(SEARCH("Travel",BR38)),ISNUMBER(SEARCH("Energy",BR38)),ISNUMBER(SEARCH("Leisure",BR38)),ISNUMBER(SEARCH("hotel",BR38)))),"Yes","No")</f>
        <v/>
      </c>
      <c r="GM38" s="1053">
        <f>IF(GL38="Yes",SUMIF(GL:GL,"Yes",GJ:GJ),0)</f>
        <v/>
      </c>
      <c r="GN38" s="1053">
        <f>IF(GM38&gt;GK38,(GM38-GK38)*(GJ38/SUMIF(GL:GL,"Yes",GJ:GJ)),0)</f>
        <v/>
      </c>
      <c r="GO38" s="1053">
        <f>MAX(0,GJ38-GN38)</f>
        <v/>
      </c>
      <c r="GP38" s="1053">
        <f>'Concentration Limits'!$J$68</f>
        <v/>
      </c>
      <c r="GQ38" s="1051">
        <f>IF(BU38="Yes","Yes", "No")</f>
        <v/>
      </c>
      <c r="GR38" s="1053">
        <f>IF(GQ38="Yes",SUMIF(GQ:GQ,"Yes",GO:GO),0)</f>
        <v/>
      </c>
      <c r="GS38" s="1053">
        <f>IF(GR38&gt;GP38,(GR38-GP38)*(GO38/SUMIF(GQ:GQ,"Yes",GO:GO)),0)</f>
        <v/>
      </c>
      <c r="GT38" s="1053">
        <f>MAX(0,GO38-GS38)</f>
        <v/>
      </c>
      <c r="GU38" s="1051">
        <f>'Concentration Limits'!$J$69</f>
        <v/>
      </c>
      <c r="GV38" s="1051">
        <f>IF(BW38="Yes", "Yes", "No")</f>
        <v/>
      </c>
      <c r="GW38" s="1051">
        <f>IF(GV38="Yes",SUMIF(GV:GV,"Yes",GT:GT),0)</f>
        <v/>
      </c>
      <c r="GX38" s="1051">
        <f>IF(GW38&gt;GU38,(GW38-GU38)*(GT38/SUMIF(GV:GV,"Yes",GT:GT)),0)</f>
        <v/>
      </c>
      <c r="GY38" s="1051">
        <f>MAX(0,GT38-GX38)</f>
        <v/>
      </c>
      <c r="GZ38" s="1051">
        <f>'Concentration Limits'!$J$70</f>
        <v/>
      </c>
      <c r="HA38" s="1051">
        <f>IF(BX38="Yes", "Yes", "No")</f>
        <v/>
      </c>
      <c r="HB38" s="1051">
        <f>IF(HA38="Yes",SUMIF(HA:HA,"Yes",GY:GY),0)</f>
        <v/>
      </c>
      <c r="HC38" s="1051">
        <f>IF(HB38&gt;GZ38,(HB38-GZ38)*(GY38/SUMIF(HA:HA,"Yes",GY:GY)),0)</f>
        <v/>
      </c>
      <c r="HD38" s="1051">
        <f>MAX(0,GY38-HC38)</f>
        <v/>
      </c>
      <c r="HE38" s="1053">
        <f>IF(AQ38=0,0,HD38*AQ38/(AQ38+AR38))</f>
        <v/>
      </c>
      <c r="HF38" s="1053">
        <f>IF(AR38=0,0,HD38*AR38/(AQ38+AR38))</f>
        <v/>
      </c>
      <c r="HG38" s="1053">
        <f>IF(AW38=0,0,HD38*AW38/(AW38+AX38))</f>
        <v/>
      </c>
      <c r="HH38" s="1053">
        <f>IF(AX38=0,0,HD38*AX38/(AX38+AW38))</f>
        <v/>
      </c>
      <c r="HI38" s="1053">
        <f>IF(BE38=0,0,#REF!*BE38/(BE38+BG38))</f>
        <v/>
      </c>
      <c r="HJ38" s="1053">
        <f>IF(BG38=0,0,#REF!*BG38/(BG38+BE38))</f>
        <v/>
      </c>
      <c r="HK38" s="1054">
        <f>IF(BF38=0,0,#REF!*BF38/(BF38+BH38))</f>
        <v/>
      </c>
      <c r="HL38" s="1053">
        <f>IF(BH38=0,0,#REF!*BH38/(BH38+BF38))</f>
        <v/>
      </c>
      <c r="HM38" s="1053">
        <f>IF(D38="Second Lien",HD38,0)</f>
        <v/>
      </c>
      <c r="HN38" s="1053">
        <f>SUM(HE38:HM38)=HD38</f>
        <v/>
      </c>
    </row>
    <row r="39" ht="12.75" customFormat="1" customHeight="1" s="469">
      <c r="A39" s="55">
        <f>A38+1</f>
        <v/>
      </c>
      <c r="B39" s="437">
        <f>INDEX('Loan Tape - Settled'!$B$4:$AP$55,MATCH($A39,'Loan Tape - Settled'!$E$4:$E$55,0),MATCH("Obligor Name",'Loan Tape - Settled'!$B$4:$AM$4,0))</f>
        <v/>
      </c>
      <c r="C39" s="437">
        <f>INDEX('Loan Tape - Settled'!$B$4:$AP$55,MATCH($A39,'Loan Tape - Settled'!$E$4:$E$55,0),MATCH("Security",'Loan Tape - Settled'!$B$4:$AM$4,0))</f>
        <v/>
      </c>
      <c r="D39" s="438">
        <f>INDEX('Loan Tape - Settled'!$B$4:$AP$55,MATCH($A39,'Loan Tape - Settled'!$E$4:$E$55,0),MATCH("Loan Type",'Loan Tape - Settled'!$B$4:$AM$4,0))</f>
        <v/>
      </c>
      <c r="E39" s="439">
        <f>IF(ISERROR(MATCH(D39,AGENT!$A$4:$A$10,0))=FALSE, TRUE)</f>
        <v/>
      </c>
      <c r="F39" s="439">
        <f>IF(AND(BZ39="no",CA39="no"),TRUE)</f>
        <v/>
      </c>
      <c r="G39" s="439">
        <f>IF(D39&lt;&gt;"Second Lien",TRUE, IF(CY39&gt;=AGENT!$B$4,TRUE))</f>
        <v/>
      </c>
      <c r="H39" s="439">
        <f>IF(DE39&lt;=AGENT!$D$4,TRUE)</f>
        <v/>
      </c>
      <c r="I39" s="439">
        <f>IF(VLOOKUP(CONCATENATE($A$5,A39),'Loan Tape - Settled'!$A$5:$Q$55,17,FALSE)&gt;=AGENT!$E$4,TRUE)</f>
        <v/>
      </c>
      <c r="J39" s="439">
        <f>IF(INDEX('Loan Tape - Settled'!$B$4:$AP$55,MATCH($A39,'Loan Tape - Settled'!$E$4:$E$55,0),MATCH("Loan Denomination",'Loan Tape - Settled'!$B$4:$AP$4,0))="USD", TRUE)</f>
        <v/>
      </c>
      <c r="K39" s="439">
        <f>IF(INDEX('Loan Tape - Settled'!$B$4:$AP$55,MATCH($A39,'Loan Tape - Settled'!$E$4:$E$55,0),MATCH("Exposure Country",'Loan Tape - Settled'!$B$4:$AP$4,0))="United States", TRUE)</f>
        <v/>
      </c>
      <c r="L39" s="439">
        <f>IF(BS39="NO",TRUE)</f>
        <v/>
      </c>
      <c r="M39" s="439">
        <f>IF(((BM39-BL39)/365)&lt;=AGENT!$F$4,TRUE)</f>
        <v/>
      </c>
      <c r="N39" s="439">
        <f>IF(DX39="Yes",FALSE,TRUE)</f>
        <v/>
      </c>
      <c r="O39" s="493" t="n"/>
      <c r="P39" s="764">
        <f>IF($B39="","",IF(OR(O39=TRUE,COUNTIFS($E39:$N39,TRUE)=10),"Yes","No"))</f>
        <v/>
      </c>
      <c r="Q39" s="730" t="inlineStr">
        <is>
          <t>Yes</t>
        </is>
      </c>
      <c r="R39" s="440">
        <f>IF(P39="Yes",B39,"N/A")</f>
        <v/>
      </c>
      <c r="S39" s="440" t="n"/>
      <c r="T39" s="441">
        <f t="array" ref="T39">_xlfn.IFS(D39="Second Lien",D39,D39="First Lien",CONCATENATE(D39," ",EI39),D39="FILO",CONCATENATE(D39," ",EJ39))</f>
        <v/>
      </c>
      <c r="U39" s="442">
        <f>VLOOKUP(T39,'Concentration Limits'!D:G,4,FALSE)</f>
        <v/>
      </c>
      <c r="V39" s="1020">
        <f>AQ39+AW39+BI39</f>
        <v/>
      </c>
      <c r="W39" s="1021">
        <f>(SUMIFS('Loan Tape - Settled'!$AR$4:$AR$55,'Loan Tape - Settled'!$E$4:$E$55,$A39,'Loan Tape - Settled'!$C$4:$C$55,$A$5))</f>
        <v/>
      </c>
      <c r="X39" s="1022" t="n">
        <v>1</v>
      </c>
      <c r="Y39" s="1023">
        <f>W39*X39</f>
        <v/>
      </c>
      <c r="Z39" s="1022">
        <f>(SUMIFS('Loan Tape - Settled'!$AQ$4:$AQ$55,'Loan Tape - Settled'!$E$4:$E$55,$A39,'Loan Tape - Settled'!$C$4:$C$55,$A$5))</f>
        <v/>
      </c>
      <c r="AA39" s="1023">
        <f>Z39*X39</f>
        <v/>
      </c>
      <c r="AB39" s="1023">
        <f>AA39-Y39</f>
        <v/>
      </c>
      <c r="AC39" s="490">
        <f>VLOOKUP(CONCATENATE($A$5,A39),'Loan Tape - Settled'!$A$5:$Q$55,17,FALSE)</f>
        <v/>
      </c>
      <c r="AD39" s="445" t="n"/>
      <c r="AE39" s="446">
        <f>INDEX('Loan Tape - Settled'!$B$4:$AP$55,MATCH($A39,'Loan Tape - Settled'!$E$4:$E$55,0),MATCH("FMV",'Loan Tape - Settled'!$B$4:$AM$4,0))</f>
        <v/>
      </c>
      <c r="AF39" s="446">
        <f t="array" ref="AF39">_xlfn.IFS(D39="First Lien",
_xlfn.IFS(AND(DL39&gt;0,DL39&lt;Tier_1_1L),Tier_1_ApplicableValue,
AND(DL39&gt;=Tier_1_1L,DL39&lt;Tier_2_1L),((Tier_1_1L/DL39)*Tier_1_ApplicableValue)+((DL39-Tier_1_1L)/DL39*Tier_2_ApplicableValue),
AND(DL39&gt;=Tier_2_1L, DL39&lt;Tier_3_1L),((Tier_1_1L/DL39)*Tier_1_ApplicableValue+(Tier_2_1L-Tier_1_1L)/DL39*Tier_2_ApplicableValue+(DL39-Tier_2_1L)/DL39*Tier_3_ApplicableValue),
AND(DL39&gt;=Tier_3_1L, DL39&lt;=Tier_totalzerovalue),((Tier_1_1L/DL39)*Tier_1_ApplicableValue+(Tier_2_1L-Tier_1_1L)/DL39*Tier_2_ApplicableValue+(Tier_3_1L-Tier_2_1L)/DL39*Tier_3_ApplicableValue+(DL39-Tier_partialzerovalue)/DL39*0%),
DL39&gt;Tier_totalzerovalue,0%),
OR(D39="Second Lien", D39="FILO"),
_xlfn.IFS(AND(DM39&gt;0,DM39&lt;Tier_1_2L),Tier_1_ApplicableValue,
AND(DM39&gt;=Tier_1_2L,DM39&lt;Tier_2_2L),((Tier_1_2L/DM39)*Tier_1_ApplicableValue)+((DM39-Tier_1_2L)/DM39*Tier_2_ApplicableValue),
AND(DM39&gt;=Tier_2_2L, DM39&lt;Tier_3_2L),((Tier_1_2L/DM39)*Tier_1_ApplicableValue+(Tier_2_2L-Tier_1_2L)/DM39*Tier_2_ApplicableValue+(DM39-Tier_2_2L)/DM39*Tier_3_ApplicableValue),
AND(DM39&gt;=Tier_3_2L, DM39&lt;=Tier_totalzerovalue),((Tier_1_2L/DM39)*Tier_1_ApplicableValue+(Tier_2_2L-Tier_1_2L)/DM39*Tier_2_ApplicableValue+(Tier_3_2L-Tier_2_2L)/DM39*Tier_3_ApplicableValue+(DM39-Tier_partialzerovalue)/DM39*0%),
DM39&gt;Tier_totalzerovalue,0%))</f>
        <v/>
      </c>
      <c r="AG39" s="447">
        <f>IF(COUNTIFS(VAE!$C$5:$C$96,B39,VAE!$G$5:$G$96,"&lt;="&amp;Availability!$F$8)&gt;=1,"Yes","-")</f>
        <v/>
      </c>
      <c r="AH39" s="447">
        <f t="array" ref="AH39">IFERROR(IF(AG39="Yes",INDEX(VAE!$D$5:$D$96,MATCH(B39&amp;AJ39,VAE!$C$5:$C$96&amp;VAE!$G$5:$G$96,0)),"-"),0)</f>
        <v/>
      </c>
      <c r="AI39" s="447">
        <f t="array" ref="AI39">IFERROR(IF(AG39="Yes",INDEX(VAE!$F$5:$F$96,MATCH(B39&amp;AJ39,VAE!$C$5:$C$96&amp;VAE!$G$5:$G$96,0)),"-"),0)</f>
        <v/>
      </c>
      <c r="AJ39" s="448">
        <f>IF(AG39="-","-",_xlfn.MAXIFS(VAE!$G$5:$G$96,VAE!$C$5:$C$96,$B39))</f>
        <v/>
      </c>
      <c r="AK39" s="449">
        <f t="array" ref="AK39">IFERROR(IF(AG39="Yes",INDEX(VAE!$P$5:$P$96,MATCH(B39&amp;AJ39,VAE!$C$5:$C$96&amp;VAE!$G$5:$G$96,0)),"-"),0)</f>
        <v/>
      </c>
      <c r="AL39" s="446">
        <f>IF($A39="","",IF(P39="No",0,(IF(AG39="Yes",MIN(AE39,AK39,AF39),MIN(AE39,AF39)))))</f>
        <v/>
      </c>
      <c r="AM39" s="1020" t="n"/>
      <c r="AN39" s="1020" t="n"/>
      <c r="AO39" s="1020">
        <f>IF(AND(D39="First Lien",P39="No"),0,IF(D39&lt;&gt;"First Lien",0,Y39))</f>
        <v/>
      </c>
      <c r="AP39" s="1020">
        <f>IF(AND(D39="First Lien",P39="No"),W39,0)</f>
        <v/>
      </c>
      <c r="AQ39" s="1020">
        <f>AL39*AO39</f>
        <v/>
      </c>
      <c r="AR39" s="1020" t="n"/>
      <c r="AS39" s="1020" t="n"/>
      <c r="AT39" s="1020" t="n"/>
      <c r="AU39" s="1020">
        <f>IF(AND(D39="FILO",P39="No"),0,IF(D39&lt;&gt;"FILO",0,Y39))</f>
        <v/>
      </c>
      <c r="AV39" s="1020">
        <f>IF(AND(D39="FILO",P39="No"),W39,0)</f>
        <v/>
      </c>
      <c r="AW39" s="1020">
        <f>AU39*AL39</f>
        <v/>
      </c>
      <c r="AX39" s="1020" t="n"/>
      <c r="AY39" s="1020" t="n"/>
      <c r="AZ39" s="1020" t="n"/>
      <c r="BA39" s="1020">
        <f>IF(AND(OR(D39="First Lien",D39="FILO"),P39="No"),0,IF(OR(D39="First Lien",D39="FILO"),0,(Y39)))</f>
        <v/>
      </c>
      <c r="BB39" s="1020" t="n"/>
      <c r="BC39" s="1020" t="n"/>
      <c r="BD39" s="1020">
        <f>IF(AND(D39="Second Lien",P39="No"),W39,0)</f>
        <v/>
      </c>
      <c r="BE39" s="1020" t="n"/>
      <c r="BF39" s="1020" t="n"/>
      <c r="BG39" s="1020" t="n"/>
      <c r="BH39" s="1020" t="n"/>
      <c r="BI39" s="1020">
        <f>IF(D39="Second Lien",BA39*AL39,0)</f>
        <v/>
      </c>
      <c r="BJ39" s="1020">
        <f>SUM(AM39:AP39)+SUM(AZ39:BD39)+SUM(AS39:AV39)=Y39</f>
        <v/>
      </c>
      <c r="BK39" s="1026">
        <f>INDEX('Loan Tape - Settled'!$B$4:$AP$55,MATCH($A39,'Loan Tape - Settled'!$E$4:$E$55,0),MATCH("Inception Date",'Loan Tape - Settled'!$B$4:$AP$4,0))</f>
        <v/>
      </c>
      <c r="BL39" s="1026">
        <f>INDEX('Loan Tape - Settled'!$B$4:$AP$55,MATCH($A39,'Loan Tape - Settled'!$E$4:$E$55,0),MATCH("Inclusion Date",'Loan Tape - Settled'!$B$4:$AP$4,0))</f>
        <v/>
      </c>
      <c r="BM39" s="1026">
        <f>INDEX('Loan Tape - Settled'!$B$4:$AP$55,MATCH($A39,'Loan Tape - Settled'!$E$4:$E$55,0),MATCH("Maturity Date",'Loan Tape - Settled'!$B$4:$AP$4,0))</f>
        <v/>
      </c>
      <c r="BN39" s="556" t="n"/>
      <c r="BO39" s="556" t="n"/>
      <c r="BP39" s="1055" t="n"/>
      <c r="BQ39" s="556" t="n"/>
      <c r="BR39" s="554">
        <f>INDEX('Loan Tape - Settled'!$B$4:$AP$55,MATCH($A39,'Loan Tape - Settled'!$E$4:$E$55,0),MATCH("Industry Classification",'Loan Tape - Settled'!$B$4:$AP$4,0))</f>
        <v/>
      </c>
      <c r="BS39" s="556">
        <f>IF(INDEX('Loan Tape - Settled'!$B$4:$AP$55,MATCH($A39,'Loan Tape - Settled'!$E$4:$E$55,0),MATCH("Covenant Lite",'Loan Tape - Settled'!$B$4:$AP$4,0))=-1, "Yes", "No")</f>
        <v/>
      </c>
      <c r="BT39" s="1056">
        <f>INDEX('Loan Tape - Settled'!$B$4:$AP$55,MATCH($A39,'Loan Tape - Settled'!$E$4:$E$55,0),MATCH("Spread / Coupon (%)",'Loan Tape - Settled'!$B$4:$AP$4,0))</f>
        <v/>
      </c>
      <c r="BU39" s="556">
        <f>IF(INDEX('Loan Tape - Settled'!$B$4:$AP$55,MATCH($A39,'Loan Tape - Settled'!$E$4:$E$55,0),MATCH("Security Type",'Loan Tape - Settled'!$B$4:$AP$4,0))="Delayed Draw Term Loan", "Yes", "No")</f>
        <v/>
      </c>
      <c r="BV39" s="557" t="inlineStr">
        <is>
          <t>No</t>
        </is>
      </c>
      <c r="BW39" s="557" t="inlineStr">
        <is>
          <t>No</t>
        </is>
      </c>
      <c r="BX39" s="548" t="inlineStr">
        <is>
          <t>No</t>
        </is>
      </c>
      <c r="BY39" s="556">
        <f>IF(INDEX('Loan Tape - Settled'!$B$4:$AP$55,MATCH($A39,'Loan Tape - Settled'!$E$4:$E$55,0),MATCH("Fixed/Floating",'Loan Tape - Settled'!$B$4:$AP$4,0))="Fixed", "Yes", "No")</f>
        <v/>
      </c>
      <c r="BZ39" s="557" t="inlineStr">
        <is>
          <t>No</t>
        </is>
      </c>
      <c r="CA39" s="557" t="inlineStr">
        <is>
          <t>No</t>
        </is>
      </c>
      <c r="CB39" s="556">
        <f>IF(INDEX('Loan Tape - Settled'!$B$4:$AP$55,MATCH($A39,'Loan Tape - Settled'!$E$4:$E$55,0),MATCH("Loan Denomination",'Loan Tape - Settled'!$B$4:$AP$4,0))="CAD", "Yes", "No")</f>
        <v/>
      </c>
      <c r="CC39" s="556">
        <f>INDEX('Loan Tape - Settled'!$B$4:$AP$55,MATCH($A39,'Loan Tape - Settled'!$E$4:$E$55,0),MATCH("Payment Frequency",'Loan Tape - Settled'!$B$4:$AP$4,0))</f>
        <v/>
      </c>
      <c r="CD39" s="557" t="inlineStr">
        <is>
          <t>No</t>
        </is>
      </c>
      <c r="CE39" s="556">
        <f>INDEX('Loan Tape - Settled'!$B$4:$AP$55,MATCH($A39,'Loan Tape - Settled'!$E$4:$E$55,0),MATCH("S&amp;P Loan Rating (if applicable)",'Loan Tape - Settled'!$B$4:$AP$4,0))</f>
        <v/>
      </c>
      <c r="CF39" s="556">
        <f>INDEX('Loan Tape - Settled'!$B$4:$AP$55,MATCH($A39,'Loan Tape - Settled'!$E$4:$E$55,0),MATCH("Moody's Loan Rating (if applicable)",'Loan Tape - Settled'!$B$4:$AP$4,0))</f>
        <v/>
      </c>
      <c r="CG39" s="556" t="n"/>
      <c r="CH39" s="556" t="n"/>
      <c r="CI39" s="1057" t="n"/>
      <c r="CJ39" s="1030">
        <f>INDEX('Loan Tape - Settled'!$B$4:$BF$55,MATCH($A39,'Loan Tape - Settled'!$E$4:$E$55,0),MATCH("Last Financial Received",'Loan Tape - Settled'!$B$4:$BF$4,0))</f>
        <v/>
      </c>
      <c r="CK39" s="559">
        <f>INDEX('Loan Tape - Settled'!$B$4:$BJ$55,MATCH($A39,'Loan Tape - Settled'!$E$4:$E$55,0),MATCH("Initial Adjusted TTM EBITDA",'Loan Tape - Settled'!$B$4:$BJ$4,0))</f>
        <v/>
      </c>
      <c r="CL39" s="559">
        <f>INDEX('Loan Tape - Settled'!$B$4:$BJ$55,MATCH($A39,'Loan Tape - Settled'!$E$4:$E$55,0),MATCH("Initial TTM Non-adjusted EBITDA",'Loan Tape - Settled'!$B$4:$BJ$4,0))</f>
        <v/>
      </c>
      <c r="CM39" s="1031" t="n"/>
      <c r="CN39" s="451" t="n"/>
      <c r="CO39" s="451" t="n"/>
      <c r="CP39" s="1032" t="n"/>
      <c r="CQ39" s="1033" t="inlineStr">
        <is>
          <t>N</t>
        </is>
      </c>
      <c r="CR39" s="1032" t="n"/>
      <c r="CS39" s="454">
        <f>CK39-CP39+CR39</f>
        <v/>
      </c>
      <c r="CT39" s="455">
        <f>1-CS39/CK39</f>
        <v/>
      </c>
      <c r="CU39" s="559">
        <f>INDEX('Loan Tape - Settled'!$B$4:$BJ$55,MATCH($A39,'Loan Tape - Settled'!$E$4:$E$55,0),MATCH("Current TTM Non-adjusted EBITDA",'Loan Tape - Settled'!$B$4:$BJ$4,0))</f>
        <v/>
      </c>
      <c r="CV39" s="456">
        <f>CT39</f>
        <v/>
      </c>
      <c r="CW39" s="1034" t="inlineStr">
        <is>
          <t>N</t>
        </is>
      </c>
      <c r="CX39" s="1035" t="n"/>
      <c r="CY39" s="1036">
        <f>IF(CW39="N",(1-CV39)*CU39,(1-CX39)*CU39)</f>
        <v/>
      </c>
      <c r="CZ39" s="1037" t="n"/>
      <c r="DA39" s="1038" t="n"/>
      <c r="DB39" s="1039" t="n"/>
      <c r="DC39" s="1040" t="n"/>
      <c r="DD39" s="1040">
        <f>INDEX('Loan Tape - Settled'!$B$4:$BJ$55,MATCH($A39,'Loan Tape - Settled'!$E$4:$E$55,0),MATCH("Initial Senior Net Leverage Senior",'Loan Tape - Settled'!$B$4:$BJ$4,0))</f>
        <v/>
      </c>
      <c r="DE39" s="1041">
        <f>INDEX('Loan Tape - Settled'!$B$4:$BJ$55,MATCH($A39,'Loan Tape - Settled'!$E$4:$E$55,0),MATCH("Initial Total Net Leverage",'Loan Tape - Settled'!$B$4:$BJ$4,0))</f>
        <v/>
      </c>
      <c r="DF39" s="1037" t="n"/>
      <c r="DG39" s="1038" t="n"/>
      <c r="DH39" s="1039" t="n"/>
      <c r="DI39" s="1042">
        <f>INDEX('Loan Tape - Settled'!$B$4:$BJ$55,MATCH($A39,'Loan Tape - Settled'!$E$4:$E$55,0),MATCH("Net Attachment",'Loan Tape - Settled'!$B$4:$BJ$4,0))</f>
        <v/>
      </c>
      <c r="DJ39" s="566">
        <f t="array" ref="DJ39">IF(AG39="Yes",INDEX(VAE!$M$5:$M$53,MATCH($B39&amp;$AJ39,VAE!$C$5:$C$53&amp;VAE!$G$5:$G$53,0)),DD39)</f>
        <v/>
      </c>
      <c r="DK39" s="697">
        <f t="array" ref="DK39">IF(AG39="Yes",INDEX(VAE!$N$5:$N$53,MATCH($B39&amp;$AJ39,VAE!$C$5:$C$53&amp;VAE!$G$5:$G$53,0)),DE39)</f>
        <v/>
      </c>
      <c r="DL39" s="1058">
        <f>INDEX('Loan Tape - Settled'!$B$4:$BJ$55,MATCH($A39,'Loan Tape - Settled'!$E$4:$E$55,0),MATCH("Current Senior Net Leverage Senior",'Loan Tape - Settled'!$B$4:$BJ$4,0))</f>
        <v/>
      </c>
      <c r="DM39" s="1059">
        <f>INDEX('Loan Tape - Settled'!$B$4:$BJ$55,MATCH($A39,'Loan Tape - Settled'!$E$4:$E$55,0),MATCH("Current Total Net Leverage",'Loan Tape - Settled'!$B$4:$BJ$4,0))</f>
        <v/>
      </c>
      <c r="DN39" s="1044" t="n"/>
      <c r="DO39" s="1045">
        <f>INDEX('Loan Tape - Settled'!$B$4:$BJ$55,MATCH($A39,'Loan Tape - Settled'!$E$4:$E$55,0),MATCH("Initial Interest Coverage",'Loan Tape - Settled'!$B$4:$BJ$4,0))</f>
        <v/>
      </c>
      <c r="DP39" s="565">
        <f t="array" ref="DP39">IF(AG39="Yes",INDEX(VAE!$O$5:$O$53,MATCH($B39&amp;$AJ39,VAE!$C$5:$C$53&amp;VAE!$G$5:$G$53,0)),DO39)</f>
        <v/>
      </c>
      <c r="DQ39" s="1046">
        <f>INDEX('Loan Tape - Settled'!$B$4:$BJ$55,MATCH($A39,'Loan Tape - Settled'!$E$4:$E$55,0),MATCH("Current Interest Coverage",'Loan Tape - Settled'!$B$4:$BJ$4,0))</f>
        <v/>
      </c>
      <c r="DR39" s="462">
        <f>IF(OR(DU39="Yes",DU39="N/A",DV39="Yes",DV39="N/A",DW39="Yes",DX39="Yes",DY39="Yes",EF39="Yes",EG39="Yes",EH39="Yes"),"Yes","No")</f>
        <v/>
      </c>
      <c r="DS39" s="1047">
        <f>IF(AG39="Yes",DATEDIF(AJ39,Availability!$F$8,"m"),"")</f>
        <v/>
      </c>
      <c r="DT39" s="1047">
        <f>IF(DS39="","No",IF(DS39&gt;12,"Yes","No"))</f>
        <v/>
      </c>
      <c r="DU39" s="695">
        <f>IFERROR(IF(AND(DQ39/DP39&lt;0.75,DQ39&lt;1.5),"Yes","No"),"N/A")</f>
        <v/>
      </c>
      <c r="DV39" s="696">
        <f>IFERROR(IF(OR(D39="First Lien",D39="FILO"),IF(AND((DL39-DJ39)&gt;0.75,DL39&gt;4),"Yes","No"),"No"),"N/A")</f>
        <v/>
      </c>
      <c r="DW39" s="696">
        <f t="array" ref="DW39">_xlfn.IFS(D39&lt;&gt;"Second Lien","No",D39="Second Lien",IF(AND((DM39-DK39)&gt;0.5,DM39&gt;4.5),"Yes","No"))</f>
        <v/>
      </c>
      <c r="DX39" s="735" t="inlineStr">
        <is>
          <t>No</t>
        </is>
      </c>
      <c r="DY39" s="735" t="inlineStr">
        <is>
          <t>No</t>
        </is>
      </c>
      <c r="DZ39" s="1048" t="inlineStr">
        <is>
          <t>No</t>
        </is>
      </c>
      <c r="EA39" s="1048" t="inlineStr">
        <is>
          <t>No</t>
        </is>
      </c>
      <c r="EB39" s="1048" t="inlineStr">
        <is>
          <t>No</t>
        </is>
      </c>
      <c r="EC39" s="1048" t="inlineStr">
        <is>
          <t>No</t>
        </is>
      </c>
      <c r="ED39" s="1048" t="inlineStr">
        <is>
          <t>No</t>
        </is>
      </c>
      <c r="EE39" s="1048" t="inlineStr">
        <is>
          <t>No</t>
        </is>
      </c>
      <c r="EF39" s="442">
        <f>IF(OR(DZ39="Yes",EA39="Yes",EB39="Yes",EC39="Yes",ED39="Yes",EE39="Yes"),"Yes","No")</f>
        <v/>
      </c>
      <c r="EG39" s="1048" t="inlineStr">
        <is>
          <t>No</t>
        </is>
      </c>
      <c r="EH39" s="1049" t="inlineStr">
        <is>
          <t>No</t>
        </is>
      </c>
      <c r="EI39" s="1050">
        <f t="array" ref="EI39">IF(D39="First Lien",_xlfn.IFS(CY39&gt;AGENT!$B$23, "&gt; $20MM",CY39&lt;=AGENT!$C$25, "&lt;= $10MM",AND(CY39&lt;=AGENT!$C$24,CY39&gt;AGENT!$B$24),"&lt;= $20MM"), "N/A")</f>
        <v/>
      </c>
      <c r="EJ39" s="1050">
        <f t="array" ref="EJ39">IF(D39="FILO",_xlfn.IFS(DI39&gt;AGENT!$B$29, "&gt; 1.25x",DI39&lt;AGENT!$C$27, "&lt; 0.75x",AND(DI39&lt;=AGENT!$C$28,DI39&gt;=AGENT!$B$28),"&lt;= 1.25x"), "N/A")</f>
        <v/>
      </c>
      <c r="EK39" s="1051">
        <f>V39</f>
        <v/>
      </c>
      <c r="EL39" s="1051">
        <f>'Concentration Limits'!$J$49</f>
        <v/>
      </c>
      <c r="EM39" s="1051">
        <f>IF(OR(D39="Second Lien",AND(D39="FILO",DI39&gt;AGENT!$C$57)), "Yes", "No")</f>
        <v/>
      </c>
      <c r="EN39" s="1051">
        <f>IF(EM39="Yes",SUMIF(EM:EM,"Yes",EK:EK),0)</f>
        <v/>
      </c>
      <c r="EO39" s="1051">
        <f>IF(EN39&gt;EL39,(EN39-EL39)*(EK39/SUMIF(EM:EM,"Yes",EK:EK)),0)</f>
        <v/>
      </c>
      <c r="EP39" s="1051">
        <f>MAX(0,EK39-EO39)</f>
        <v/>
      </c>
      <c r="EQ39" s="1051">
        <f>'Concentration Limits'!$J$50</f>
        <v/>
      </c>
      <c r="ER39" s="1051">
        <f>IF(D39="Second Lien",SUMIF(D:D,D39,EP:EP),0)</f>
        <v/>
      </c>
      <c r="ES39" s="1051">
        <f>MAX(0,(ER39-EQ39)*IFERROR((EP39/SUMIF($D:$D,D39,EP:EP )),0) )</f>
        <v/>
      </c>
      <c r="ET39" s="1051">
        <f>MAX(0,EP39-ES39)</f>
        <v/>
      </c>
      <c r="EU39" s="1051">
        <f>'Concentration Limits'!$J$51</f>
        <v/>
      </c>
      <c r="EV39" s="1051">
        <f>IF(OR(D39="Second Lien", AND(D39="FILO",DI39&gt;AGENT!$C$59)), "Yes", "No")</f>
        <v/>
      </c>
      <c r="EW39" s="1051">
        <f>IF(EV39="Yes",SUMIF(EV:EV,"Yes",ET:ET),0)</f>
        <v/>
      </c>
      <c r="EX39" s="1051">
        <f>IF(EW39&gt;EU39,(EW39-EU39)*(ET39/SUMIF(EV:EV,"Yes",ET:ET)),0)</f>
        <v/>
      </c>
      <c r="EY39" s="1051">
        <f>MAX(0,ET39-EX39)</f>
        <v/>
      </c>
      <c r="EZ39" s="1051">
        <f>'Concentration Limits'!$J$52</f>
        <v/>
      </c>
      <c r="FA39" s="1051">
        <f>IF(CY39&gt;'Concentration Limits'!$E$52, "No", "Yes")</f>
        <v/>
      </c>
      <c r="FB39" s="1051">
        <f>IF(FA39="Yes",SUMIF(FA:FA,"Yes",EY:EY),0)</f>
        <v/>
      </c>
      <c r="FC39" s="1051">
        <f>IF(FB39&gt;EZ39,(FB39-EZ39)*(EY39/SUMIF(FA:FA,"Yes",EY:EY)),0)</f>
        <v/>
      </c>
      <c r="FD39" s="1051">
        <f>MAX(0,EY39-FC39)</f>
        <v/>
      </c>
      <c r="FE39" s="1052">
        <f>'Concentration Limits'!$J$54</f>
        <v/>
      </c>
      <c r="FF39" s="1052">
        <f>'Concentration Limits'!$J$55</f>
        <v/>
      </c>
      <c r="FG39" s="1052">
        <f>'Concentration Limits'!$J$56</f>
        <v/>
      </c>
      <c r="FH39" s="1053">
        <f>'Concentration Limits'!$J$57</f>
        <v/>
      </c>
      <c r="FI39" s="1053">
        <f>SUMIF($B:$B,$B39,$FD:$FD)</f>
        <v/>
      </c>
      <c r="FJ39" s="1053">
        <f>IF(MATCH($B39,$B:$B,0)=ROW(),$FI39,0)</f>
        <v/>
      </c>
      <c r="FK39" s="1053">
        <f>INDEX(FL$8:FL$60,MATCH(B39,B$8:B$60,0))</f>
        <v/>
      </c>
      <c r="FL39" s="1053">
        <f>IF(FJ39&gt;0,RANK(FJ39,$FJ$9:$FJ$60)+COUNTIF($FJ$9:FJ39,FJ39)-1,0)</f>
        <v/>
      </c>
      <c r="FM39" s="1052">
        <f>IF(FK39=1,IF(FI39&gt;FE39,(FI39-FE39)*(V39/SUMIF($B:$B,B39,$FD:$FD)),0),0)</f>
        <v/>
      </c>
      <c r="FN39" s="1052">
        <f>IF(FK39=2,IF(FI39&gt;FF39,(FI39-FF39)*(V39/SUMIF($B:$B,B39,$FD:$FD)),0),0)</f>
        <v/>
      </c>
      <c r="FO39" s="1052">
        <f>IF(FK39=3,IF(FI39&gt;FG39,(FI39-FG39)*(V39/SUMIF($B:$B,B39,$FD:$FD)),0),0)</f>
        <v/>
      </c>
      <c r="FP39" s="1053">
        <f>IF(FK39&gt;0,IF(FI39&gt;FH39,(FI39-FH39)*(FD39/(SUMIF($B:$B,$B39,$FD:$FD))),0),0)</f>
        <v/>
      </c>
      <c r="FQ39" s="1053">
        <f>MAX(0,FD39-FM39-FN39-FO39-FP39)</f>
        <v/>
      </c>
      <c r="FR39" s="1053">
        <f>'Concentration Limits'!$J$58</f>
        <v/>
      </c>
      <c r="FS39" s="1053">
        <f>SUMIF($BR:$BR,$BR39,FQ:FQ)</f>
        <v/>
      </c>
      <c r="FT39" s="1053">
        <f>VLOOKUP(BR39,'Concentration Limits'!$E$81:$H$153,4,FALSE)</f>
        <v/>
      </c>
      <c r="FU39" s="1053">
        <f>IF(FT39=1,MAX(0,(FS39-FR39)*(FQ39/SUMIF($BR:$BR,BR39,FQ:FQ))),0)</f>
        <v/>
      </c>
      <c r="FV39" s="1053">
        <f>MAX(0,FQ39-FU39)</f>
        <v/>
      </c>
      <c r="FW39" s="1053">
        <f>'Concentration Limits'!$J$59</f>
        <v/>
      </c>
      <c r="FX39" s="1053">
        <f>SUMIF($BR:$BR,$BR39,FV:FV)</f>
        <v/>
      </c>
      <c r="FY39" s="1053">
        <f>VLOOKUP(BR39,'Concentration Limits'!$E$81:$H$153,4,FALSE)</f>
        <v/>
      </c>
      <c r="FZ39" s="1053">
        <f>MAX(0,IF(FY39=2,(FX39-FW39)*(FV39/SUMIF($BR:$BR,BR39,FV:FV)),0))</f>
        <v/>
      </c>
      <c r="GA39" s="1053">
        <f>MAX(0,FV39-FZ39)</f>
        <v/>
      </c>
      <c r="GB39" s="1053">
        <f>'Concentration Limits'!$J$61</f>
        <v/>
      </c>
      <c r="GC39" s="1053">
        <f>SUMIF($BR:$BR,$BR39,GA:GA)</f>
        <v/>
      </c>
      <c r="GD39" s="1051">
        <f>VLOOKUP(BR39,'Concentration Limits'!$E$81:$H$153,4,FALSE)</f>
        <v/>
      </c>
      <c r="GE39" s="1053">
        <f>IF(GA39=0,0,MAX(0,IF(GD39&lt;3,0,(GC39-GB39)*($GA39/SUMIF($BR:$BR,BR39,GA:GA)))))</f>
        <v/>
      </c>
      <c r="GF39" s="1053">
        <f>MAX(0,GA39-GE39)</f>
        <v/>
      </c>
      <c r="GG39" s="1053">
        <f>'Concentration Limits'!$J$64</f>
        <v/>
      </c>
      <c r="GH39" s="1053">
        <f>IF(BY39="Yes",SUMIF(BY:BY,BY39,GF:GF),0)</f>
        <v/>
      </c>
      <c r="GI39" s="1053">
        <f>IFERROR(MAX(0,(GH39-GG39)*(GF39/SUMIF($T:$T,T39,GF:GF ))),0)</f>
        <v/>
      </c>
      <c r="GJ39" s="1053">
        <f>MAX(0,GF39-GI39)</f>
        <v/>
      </c>
      <c r="GK39" s="1053">
        <f>'Concentration Limits'!$J$67</f>
        <v/>
      </c>
      <c r="GL39" s="1051">
        <f>IF(OR(BV39="Yes",OR(ISNUMBER(SEARCH("Travel",BR39)),ISNUMBER(SEARCH("Energy",BR39)),ISNUMBER(SEARCH("Leisure",BR39)),ISNUMBER(SEARCH("hotel",BR39)))),"Yes","No")</f>
        <v/>
      </c>
      <c r="GM39" s="1053">
        <f>IF(GL39="Yes",SUMIF(GL:GL,"Yes",GJ:GJ),0)</f>
        <v/>
      </c>
      <c r="GN39" s="1053">
        <f>IF(GM39&gt;GK39,(GM39-GK39)*(GJ39/SUMIF(GL:GL,"Yes",GJ:GJ)),0)</f>
        <v/>
      </c>
      <c r="GO39" s="1053">
        <f>MAX(0,GJ39-GN39)</f>
        <v/>
      </c>
      <c r="GP39" s="1053">
        <f>'Concentration Limits'!$J$68</f>
        <v/>
      </c>
      <c r="GQ39" s="1051">
        <f>IF(BU39="Yes","Yes", "No")</f>
        <v/>
      </c>
      <c r="GR39" s="1053">
        <f>IF(GQ39="Yes",SUMIF(GQ:GQ,"Yes",GO:GO),0)</f>
        <v/>
      </c>
      <c r="GS39" s="1053">
        <f>IF(GR39&gt;GP39,(GR39-GP39)*(GO39/SUMIF(GQ:GQ,"Yes",GO:GO)),0)</f>
        <v/>
      </c>
      <c r="GT39" s="1053">
        <f>MAX(0,GO39-GS39)</f>
        <v/>
      </c>
      <c r="GU39" s="1051">
        <f>'Concentration Limits'!$J$69</f>
        <v/>
      </c>
      <c r="GV39" s="1051">
        <f>IF(BW39="Yes", "Yes", "No")</f>
        <v/>
      </c>
      <c r="GW39" s="1051">
        <f>IF(GV39="Yes",SUMIF(GV:GV,"Yes",GT:GT),0)</f>
        <v/>
      </c>
      <c r="GX39" s="1051">
        <f>IF(GW39&gt;GU39,(GW39-GU39)*(GT39/SUMIF(GV:GV,"Yes",GT:GT)),0)</f>
        <v/>
      </c>
      <c r="GY39" s="1051">
        <f>MAX(0,GT39-GX39)</f>
        <v/>
      </c>
      <c r="GZ39" s="1051">
        <f>'Concentration Limits'!$J$70</f>
        <v/>
      </c>
      <c r="HA39" s="1051">
        <f>IF(BX39="Yes", "Yes", "No")</f>
        <v/>
      </c>
      <c r="HB39" s="1051">
        <f>IF(HA39="Yes",SUMIF(HA:HA,"Yes",GY:GY),0)</f>
        <v/>
      </c>
      <c r="HC39" s="1051">
        <f>IF(HB39&gt;GZ39,(HB39-GZ39)*(GY39/SUMIF(HA:HA,"Yes",GY:GY)),0)</f>
        <v/>
      </c>
      <c r="HD39" s="1051">
        <f>MAX(0,GY39-HC39)</f>
        <v/>
      </c>
      <c r="HE39" s="1053">
        <f>IF(AQ39=0,0,HD39*AQ39/(AQ39+AR39))</f>
        <v/>
      </c>
      <c r="HF39" s="1053">
        <f>IF(AR39=0,0,HD39*AR39/(AQ39+AR39))</f>
        <v/>
      </c>
      <c r="HG39" s="1053">
        <f>IF(AW39=0,0,HD39*AW39/(AW39+AX39))</f>
        <v/>
      </c>
      <c r="HH39" s="1053">
        <f>IF(AX39=0,0,HD39*AX39/(AX39+AW39))</f>
        <v/>
      </c>
      <c r="HI39" s="1053">
        <f>IF(BE39=0,0,#REF!*BE39/(BE39+BG39))</f>
        <v/>
      </c>
      <c r="HJ39" s="1053">
        <f>IF(BG39=0,0,#REF!*BG39/(BG39+BE39))</f>
        <v/>
      </c>
      <c r="HK39" s="1054">
        <f>IF(BF39=0,0,#REF!*BF39/(BF39+BH39))</f>
        <v/>
      </c>
      <c r="HL39" s="1053">
        <f>IF(BH39=0,0,#REF!*BH39/(BH39+BF39))</f>
        <v/>
      </c>
      <c r="HM39" s="1053">
        <f>IF(D39="Second Lien",HD39,0)</f>
        <v/>
      </c>
      <c r="HN39" s="1053">
        <f>SUM(HE39:HM39)=HD39</f>
        <v/>
      </c>
    </row>
    <row r="40" ht="12.75" customFormat="1" customHeight="1" s="469">
      <c r="A40" s="55">
        <f>A39+1</f>
        <v/>
      </c>
      <c r="B40" s="437">
        <f>INDEX('Loan Tape - Settled'!$B$4:$AP$55,MATCH($A40,'Loan Tape - Settled'!$E$4:$E$55,0),MATCH("Obligor Name",'Loan Tape - Settled'!$B$4:$AM$4,0))</f>
        <v/>
      </c>
      <c r="C40" s="437">
        <f>INDEX('Loan Tape - Settled'!$B$4:$AP$55,MATCH($A40,'Loan Tape - Settled'!$E$4:$E$55,0),MATCH("Security",'Loan Tape - Settled'!$B$4:$AM$4,0))</f>
        <v/>
      </c>
      <c r="D40" s="438">
        <f>INDEX('Loan Tape - Settled'!$B$4:$AP$55,MATCH($A40,'Loan Tape - Settled'!$E$4:$E$55,0),MATCH("Loan Type",'Loan Tape - Settled'!$B$4:$AM$4,0))</f>
        <v/>
      </c>
      <c r="E40" s="439">
        <f>IF(ISERROR(MATCH(D40,AGENT!$A$4:$A$10,0))=FALSE, TRUE)</f>
        <v/>
      </c>
      <c r="F40" s="439">
        <f>IF(AND(BZ40="no",CA40="no"),TRUE)</f>
        <v/>
      </c>
      <c r="G40" s="439">
        <f>IF(D40&lt;&gt;"Second Lien",TRUE, IF(CY40&gt;=AGENT!$B$4,TRUE))</f>
        <v/>
      </c>
      <c r="H40" s="439">
        <f>IF(DE40&lt;=AGENT!$D$4,TRUE)</f>
        <v/>
      </c>
      <c r="I40" s="439">
        <f>IF(VLOOKUP(CONCATENATE($A$5,A40),'Loan Tape - Settled'!$A$5:$Q$55,17,FALSE)&gt;=AGENT!$E$4,TRUE)</f>
        <v/>
      </c>
      <c r="J40" s="439">
        <f>IF(INDEX('Loan Tape - Settled'!$B$4:$AP$55,MATCH($A40,'Loan Tape - Settled'!$E$4:$E$55,0),MATCH("Loan Denomination",'Loan Tape - Settled'!$B$4:$AP$4,0))="USD", TRUE)</f>
        <v/>
      </c>
      <c r="K40" s="439">
        <f>IF(INDEX('Loan Tape - Settled'!$B$4:$AP$55,MATCH($A40,'Loan Tape - Settled'!$E$4:$E$55,0),MATCH("Exposure Country",'Loan Tape - Settled'!$B$4:$AP$4,0))="United States", TRUE)</f>
        <v/>
      </c>
      <c r="L40" s="439">
        <f>IF(BS40="NO",TRUE)</f>
        <v/>
      </c>
      <c r="M40" s="439">
        <f>IF(((BM40-BL40)/365)&lt;=AGENT!$F$4,TRUE)</f>
        <v/>
      </c>
      <c r="N40" s="439">
        <f>IF(DX40="Yes",FALSE,TRUE)</f>
        <v/>
      </c>
      <c r="O40" s="493" t="n"/>
      <c r="P40" s="764">
        <f>IF($B40="","",IF(OR(O40=TRUE,COUNTIFS($E40:$N40,TRUE)=10),"Yes","No"))</f>
        <v/>
      </c>
      <c r="Q40" s="730" t="inlineStr">
        <is>
          <t>Yes</t>
        </is>
      </c>
      <c r="R40" s="440">
        <f>IF(P40="Yes",B40,"N/A")</f>
        <v/>
      </c>
      <c r="S40" s="440" t="n"/>
      <c r="T40" s="441">
        <f t="array" ref="T40">_xlfn.IFS(D40="Second Lien",D40,D40="First Lien",CONCATENATE(D40," ",EI40),D40="FILO",CONCATENATE(D40," ",EJ40))</f>
        <v/>
      </c>
      <c r="U40" s="442">
        <f>VLOOKUP(T40,'Concentration Limits'!D:G,4,FALSE)</f>
        <v/>
      </c>
      <c r="V40" s="1020">
        <f>AQ40+AW40+BI40</f>
        <v/>
      </c>
      <c r="W40" s="1021">
        <f>(SUMIFS('Loan Tape - Settled'!$AR$4:$AR$55,'Loan Tape - Settled'!$E$4:$E$55,$A40,'Loan Tape - Settled'!$C$4:$C$55,$A$5))</f>
        <v/>
      </c>
      <c r="X40" s="1022" t="n">
        <v>1</v>
      </c>
      <c r="Y40" s="1023">
        <f>W40*X40</f>
        <v/>
      </c>
      <c r="Z40" s="1022">
        <f>(SUMIFS('Loan Tape - Settled'!$AQ$4:$AQ$55,'Loan Tape - Settled'!$E$4:$E$55,$A40,'Loan Tape - Settled'!$C$4:$C$55,$A$5))</f>
        <v/>
      </c>
      <c r="AA40" s="1023">
        <f>Z40*X40</f>
        <v/>
      </c>
      <c r="AB40" s="1023">
        <f>AA40-Y40</f>
        <v/>
      </c>
      <c r="AC40" s="490">
        <f>VLOOKUP(CONCATENATE($A$5,A40),'Loan Tape - Settled'!$A$5:$Q$55,17,FALSE)</f>
        <v/>
      </c>
      <c r="AD40" s="445" t="n"/>
      <c r="AE40" s="446">
        <f>INDEX('Loan Tape - Settled'!$B$4:$AP$55,MATCH($A40,'Loan Tape - Settled'!$E$4:$E$55,0),MATCH("FMV",'Loan Tape - Settled'!$B$4:$AM$4,0))</f>
        <v/>
      </c>
      <c r="AF40" s="446">
        <f t="array" ref="AF40">_xlfn.IFS(D40="First Lien",
_xlfn.IFS(AND(DL40&gt;0,DL40&lt;Tier_1_1L),Tier_1_ApplicableValue,
AND(DL40&gt;=Tier_1_1L,DL40&lt;Tier_2_1L),((Tier_1_1L/DL40)*Tier_1_ApplicableValue)+((DL40-Tier_1_1L)/DL40*Tier_2_ApplicableValue),
AND(DL40&gt;=Tier_2_1L, DL40&lt;Tier_3_1L),((Tier_1_1L/DL40)*Tier_1_ApplicableValue+(Tier_2_1L-Tier_1_1L)/DL40*Tier_2_ApplicableValue+(DL40-Tier_2_1L)/DL40*Tier_3_ApplicableValue),
AND(DL40&gt;=Tier_3_1L, DL40&lt;=Tier_totalzerovalue),((Tier_1_1L/DL40)*Tier_1_ApplicableValue+(Tier_2_1L-Tier_1_1L)/DL40*Tier_2_ApplicableValue+(Tier_3_1L-Tier_2_1L)/DL40*Tier_3_ApplicableValue+(DL40-Tier_partialzerovalue)/DL40*0%),
DL40&gt;Tier_totalzerovalue,0%),
OR(D40="Second Lien", D40="FILO"),
_xlfn.IFS(AND(DM40&gt;0,DM40&lt;Tier_1_2L),Tier_1_ApplicableValue,
AND(DM40&gt;=Tier_1_2L,DM40&lt;Tier_2_2L),((Tier_1_2L/DM40)*Tier_1_ApplicableValue)+((DM40-Tier_1_2L)/DM40*Tier_2_ApplicableValue),
AND(DM40&gt;=Tier_2_2L, DM40&lt;Tier_3_2L),((Tier_1_2L/DM40)*Tier_1_ApplicableValue+(Tier_2_2L-Tier_1_2L)/DM40*Tier_2_ApplicableValue+(DM40-Tier_2_2L)/DM40*Tier_3_ApplicableValue),
AND(DM40&gt;=Tier_3_2L, DM40&lt;=Tier_totalzerovalue),((Tier_1_2L/DM40)*Tier_1_ApplicableValue+(Tier_2_2L-Tier_1_2L)/DM40*Tier_2_ApplicableValue+(Tier_3_2L-Tier_2_2L)/DM40*Tier_3_ApplicableValue+(DM40-Tier_partialzerovalue)/DM40*0%),
DM40&gt;Tier_totalzerovalue,0%))</f>
        <v/>
      </c>
      <c r="AG40" s="447">
        <f>IF(COUNTIFS(VAE!$C$5:$C$96,B40,VAE!$G$5:$G$96,"&lt;="&amp;Availability!$F$8)&gt;=1,"Yes","-")</f>
        <v/>
      </c>
      <c r="AH40" s="447">
        <f t="array" ref="AH40">IFERROR(IF(AG40="Yes",INDEX(VAE!$D$5:$D$96,MATCH(B40&amp;AJ40,VAE!$C$5:$C$96&amp;VAE!$G$5:$G$96,0)),"-"),0)</f>
        <v/>
      </c>
      <c r="AI40" s="447">
        <f t="array" ref="AI40">IFERROR(IF(AG40="Yes",INDEX(VAE!$F$5:$F$96,MATCH(B40&amp;AJ40,VAE!$C$5:$C$96&amp;VAE!$G$5:$G$96,0)),"-"),0)</f>
        <v/>
      </c>
      <c r="AJ40" s="448">
        <f>IF(AG40="-","-",_xlfn.MAXIFS(VAE!$G$5:$G$96,VAE!$C$5:$C$96,$B40))</f>
        <v/>
      </c>
      <c r="AK40" s="449">
        <f t="array" ref="AK40">IFERROR(IF(AG40="Yes",INDEX(VAE!$P$5:$P$96,MATCH(B40&amp;AJ40,VAE!$C$5:$C$96&amp;VAE!$G$5:$G$96,0)),"-"),0)</f>
        <v/>
      </c>
      <c r="AL40" s="446">
        <f>IF($A40="","",IF(P40="No",0,(IF(AG40="Yes",MIN(AE40,AK40,AF40),MIN(AE40,AF40)))))</f>
        <v/>
      </c>
      <c r="AM40" s="1020" t="n"/>
      <c r="AN40" s="1020" t="n"/>
      <c r="AO40" s="1020">
        <f>IF(AND(D40="First Lien",P40="No"),0,IF(D40&lt;&gt;"First Lien",0,Y40))</f>
        <v/>
      </c>
      <c r="AP40" s="1020">
        <f>IF(AND(D40="First Lien",P40="No"),W40,0)</f>
        <v/>
      </c>
      <c r="AQ40" s="1020">
        <f>AL40*AO40</f>
        <v/>
      </c>
      <c r="AR40" s="1020" t="n"/>
      <c r="AS40" s="1020" t="n"/>
      <c r="AT40" s="1020" t="n"/>
      <c r="AU40" s="1020">
        <f>IF(AND(D40="FILO",P40="No"),0,IF(D40&lt;&gt;"FILO",0,Y40))</f>
        <v/>
      </c>
      <c r="AV40" s="1020">
        <f>IF(AND(D40="FILO",P40="No"),W40,0)</f>
        <v/>
      </c>
      <c r="AW40" s="1020">
        <f>AU40*AL40</f>
        <v/>
      </c>
      <c r="AX40" s="1020" t="n"/>
      <c r="AY40" s="1020" t="n"/>
      <c r="AZ40" s="1020" t="n"/>
      <c r="BA40" s="1020">
        <f>IF(AND(OR(D40="First Lien",D40="FILO"),P40="No"),0,IF(OR(D40="First Lien",D40="FILO"),0,(Y40)))</f>
        <v/>
      </c>
      <c r="BB40" s="1020" t="n"/>
      <c r="BC40" s="1020" t="n"/>
      <c r="BD40" s="1020">
        <f>IF(AND(D40="Second Lien",P40="No"),W40,0)</f>
        <v/>
      </c>
      <c r="BE40" s="1020" t="n"/>
      <c r="BF40" s="1020" t="n"/>
      <c r="BG40" s="1020" t="n"/>
      <c r="BH40" s="1020" t="n"/>
      <c r="BI40" s="1020">
        <f>IF(D40="Second Lien",BA40*AL40,0)</f>
        <v/>
      </c>
      <c r="BJ40" s="1020">
        <f>SUM(AM40:AP40)+SUM(AZ40:BD40)+SUM(AS40:AV40)=Y40</f>
        <v/>
      </c>
      <c r="BK40" s="1026">
        <f>INDEX('Loan Tape - Settled'!$B$4:$AP$55,MATCH($A40,'Loan Tape - Settled'!$E$4:$E$55,0),MATCH("Inception Date",'Loan Tape - Settled'!$B$4:$AP$4,0))</f>
        <v/>
      </c>
      <c r="BL40" s="1026">
        <f>INDEX('Loan Tape - Settled'!$B$4:$AP$55,MATCH($A40,'Loan Tape - Settled'!$E$4:$E$55,0),MATCH("Inclusion Date",'Loan Tape - Settled'!$B$4:$AP$4,0))</f>
        <v/>
      </c>
      <c r="BM40" s="1026">
        <f>INDEX('Loan Tape - Settled'!$B$4:$AP$55,MATCH($A40,'Loan Tape - Settled'!$E$4:$E$55,0),MATCH("Maturity Date",'Loan Tape - Settled'!$B$4:$AP$4,0))</f>
        <v/>
      </c>
      <c r="BN40" s="556" t="n"/>
      <c r="BO40" s="556" t="n"/>
      <c r="BP40" s="1055" t="n"/>
      <c r="BQ40" s="556" t="n"/>
      <c r="BR40" s="554">
        <f>INDEX('Loan Tape - Settled'!$B$4:$AP$55,MATCH($A40,'Loan Tape - Settled'!$E$4:$E$55,0),MATCH("Industry Classification",'Loan Tape - Settled'!$B$4:$AP$4,0))</f>
        <v/>
      </c>
      <c r="BS40" s="556">
        <f>IF(INDEX('Loan Tape - Settled'!$B$4:$AP$55,MATCH($A40,'Loan Tape - Settled'!$E$4:$E$55,0),MATCH("Covenant Lite",'Loan Tape - Settled'!$B$4:$AP$4,0))=-1, "Yes", "No")</f>
        <v/>
      </c>
      <c r="BT40" s="1056">
        <f>INDEX('Loan Tape - Settled'!$B$4:$AP$55,MATCH($A40,'Loan Tape - Settled'!$E$4:$E$55,0),MATCH("Spread / Coupon (%)",'Loan Tape - Settled'!$B$4:$AP$4,0))</f>
        <v/>
      </c>
      <c r="BU40" s="556">
        <f>IF(INDEX('Loan Tape - Settled'!$B$4:$AP$55,MATCH($A40,'Loan Tape - Settled'!$E$4:$E$55,0),MATCH("Security Type",'Loan Tape - Settled'!$B$4:$AP$4,0))="Delayed Draw Term Loan", "Yes", "No")</f>
        <v/>
      </c>
      <c r="BV40" s="557" t="inlineStr">
        <is>
          <t>No</t>
        </is>
      </c>
      <c r="BW40" s="557" t="inlineStr">
        <is>
          <t>No</t>
        </is>
      </c>
      <c r="BX40" s="548" t="inlineStr">
        <is>
          <t>No</t>
        </is>
      </c>
      <c r="BY40" s="556">
        <f>IF(INDEX('Loan Tape - Settled'!$B$4:$AP$55,MATCH($A40,'Loan Tape - Settled'!$E$4:$E$55,0),MATCH("Fixed/Floating",'Loan Tape - Settled'!$B$4:$AP$4,0))="Fixed", "Yes", "No")</f>
        <v/>
      </c>
      <c r="BZ40" s="557" t="inlineStr">
        <is>
          <t>No</t>
        </is>
      </c>
      <c r="CA40" s="557" t="inlineStr">
        <is>
          <t>No</t>
        </is>
      </c>
      <c r="CB40" s="556">
        <f>IF(INDEX('Loan Tape - Settled'!$B$4:$AP$55,MATCH($A40,'Loan Tape - Settled'!$E$4:$E$55,0),MATCH("Loan Denomination",'Loan Tape - Settled'!$B$4:$AP$4,0))="CAD", "Yes", "No")</f>
        <v/>
      </c>
      <c r="CC40" s="556">
        <f>INDEX('Loan Tape - Settled'!$B$4:$AP$55,MATCH($A40,'Loan Tape - Settled'!$E$4:$E$55,0),MATCH("Payment Frequency",'Loan Tape - Settled'!$B$4:$AP$4,0))</f>
        <v/>
      </c>
      <c r="CD40" s="557" t="inlineStr">
        <is>
          <t>No</t>
        </is>
      </c>
      <c r="CE40" s="556">
        <f>INDEX('Loan Tape - Settled'!$B$4:$AP$55,MATCH($A40,'Loan Tape - Settled'!$E$4:$E$55,0),MATCH("S&amp;P Loan Rating (if applicable)",'Loan Tape - Settled'!$B$4:$AP$4,0))</f>
        <v/>
      </c>
      <c r="CF40" s="556">
        <f>INDEX('Loan Tape - Settled'!$B$4:$AP$55,MATCH($A40,'Loan Tape - Settled'!$E$4:$E$55,0),MATCH("Moody's Loan Rating (if applicable)",'Loan Tape - Settled'!$B$4:$AP$4,0))</f>
        <v/>
      </c>
      <c r="CG40" s="556" t="n"/>
      <c r="CH40" s="556" t="n"/>
      <c r="CI40" s="1057" t="n"/>
      <c r="CJ40" s="1030">
        <f>INDEX('Loan Tape - Settled'!$B$4:$BF$55,MATCH($A40,'Loan Tape - Settled'!$E$4:$E$55,0),MATCH("Last Financial Received",'Loan Tape - Settled'!$B$4:$BF$4,0))</f>
        <v/>
      </c>
      <c r="CK40" s="559">
        <f>INDEX('Loan Tape - Settled'!$B$4:$BJ$55,MATCH($A40,'Loan Tape - Settled'!$E$4:$E$55,0),MATCH("Initial Adjusted TTM EBITDA",'Loan Tape - Settled'!$B$4:$BJ$4,0))</f>
        <v/>
      </c>
      <c r="CL40" s="559">
        <f>INDEX('Loan Tape - Settled'!$B$4:$BJ$55,MATCH($A40,'Loan Tape - Settled'!$E$4:$E$55,0),MATCH("Initial TTM Non-adjusted EBITDA",'Loan Tape - Settled'!$B$4:$BJ$4,0))</f>
        <v/>
      </c>
      <c r="CM40" s="1031" t="n"/>
      <c r="CN40" s="451" t="n"/>
      <c r="CO40" s="451" t="n"/>
      <c r="CP40" s="1032" t="n"/>
      <c r="CQ40" s="1033" t="inlineStr">
        <is>
          <t>N</t>
        </is>
      </c>
      <c r="CR40" s="1032" t="n"/>
      <c r="CS40" s="454">
        <f>CK40-CP40+CR40</f>
        <v/>
      </c>
      <c r="CT40" s="455">
        <f>1-CS40/CK40</f>
        <v/>
      </c>
      <c r="CU40" s="559">
        <f>INDEX('Loan Tape - Settled'!$B$4:$BJ$55,MATCH($A40,'Loan Tape - Settled'!$E$4:$E$55,0),MATCH("Current TTM Non-adjusted EBITDA",'Loan Tape - Settled'!$B$4:$BJ$4,0))</f>
        <v/>
      </c>
      <c r="CV40" s="456">
        <f>CT40</f>
        <v/>
      </c>
      <c r="CW40" s="1034" t="inlineStr">
        <is>
          <t>N</t>
        </is>
      </c>
      <c r="CX40" s="1035" t="n"/>
      <c r="CY40" s="1036">
        <f>IF(CW40="N",(1-CV40)*CU40,(1-CX40)*CU40)</f>
        <v/>
      </c>
      <c r="CZ40" s="1037" t="n"/>
      <c r="DA40" s="1038" t="n"/>
      <c r="DB40" s="1039" t="n"/>
      <c r="DC40" s="1040" t="n"/>
      <c r="DD40" s="1040">
        <f>INDEX('Loan Tape - Settled'!$B$4:$BJ$55,MATCH($A40,'Loan Tape - Settled'!$E$4:$E$55,0),MATCH("Initial Senior Net Leverage Senior",'Loan Tape - Settled'!$B$4:$BJ$4,0))</f>
        <v/>
      </c>
      <c r="DE40" s="1041">
        <f>INDEX('Loan Tape - Settled'!$B$4:$BJ$55,MATCH($A40,'Loan Tape - Settled'!$E$4:$E$55,0),MATCH("Initial Total Net Leverage",'Loan Tape - Settled'!$B$4:$BJ$4,0))</f>
        <v/>
      </c>
      <c r="DF40" s="1037" t="n"/>
      <c r="DG40" s="1038" t="n"/>
      <c r="DH40" s="1039" t="n"/>
      <c r="DI40" s="1042">
        <f>INDEX('Loan Tape - Settled'!$B$4:$BJ$55,MATCH($A40,'Loan Tape - Settled'!$E$4:$E$55,0),MATCH("Net Attachment",'Loan Tape - Settled'!$B$4:$BJ$4,0))</f>
        <v/>
      </c>
      <c r="DJ40" s="566">
        <f t="array" ref="DJ40">IF(AG40="Yes",INDEX(VAE!$M$5:$M$53,MATCH($B40&amp;$AJ40,VAE!$C$5:$C$53&amp;VAE!$G$5:$G$53,0)),DD40)</f>
        <v/>
      </c>
      <c r="DK40" s="697">
        <f t="array" ref="DK40">IF(AG40="Yes",INDEX(VAE!$N$5:$N$53,MATCH($B40&amp;$AJ40,VAE!$C$5:$C$53&amp;VAE!$G$5:$G$53,0)),DE40)</f>
        <v/>
      </c>
      <c r="DL40" s="1058">
        <f>INDEX('Loan Tape - Settled'!$B$4:$BJ$55,MATCH($A40,'Loan Tape - Settled'!$E$4:$E$55,0),MATCH("Current Senior Net Leverage Senior",'Loan Tape - Settled'!$B$4:$BJ$4,0))</f>
        <v/>
      </c>
      <c r="DM40" s="1059">
        <f>INDEX('Loan Tape - Settled'!$B$4:$BJ$55,MATCH($A40,'Loan Tape - Settled'!$E$4:$E$55,0),MATCH("Current Total Net Leverage",'Loan Tape - Settled'!$B$4:$BJ$4,0))</f>
        <v/>
      </c>
      <c r="DN40" s="1044" t="n"/>
      <c r="DO40" s="1045">
        <f>INDEX('Loan Tape - Settled'!$B$4:$BJ$55,MATCH($A40,'Loan Tape - Settled'!$E$4:$E$55,0),MATCH("Initial Interest Coverage",'Loan Tape - Settled'!$B$4:$BJ$4,0))</f>
        <v/>
      </c>
      <c r="DP40" s="565">
        <f t="array" ref="DP40">IF(AG40="Yes",INDEX(VAE!$O$5:$O$53,MATCH($B40&amp;$AJ40,VAE!$C$5:$C$53&amp;VAE!$G$5:$G$53,0)),DO40)</f>
        <v/>
      </c>
      <c r="DQ40" s="1046">
        <f>INDEX('Loan Tape - Settled'!$B$4:$BJ$55,MATCH($A40,'Loan Tape - Settled'!$E$4:$E$55,0),MATCH("Current Interest Coverage",'Loan Tape - Settled'!$B$4:$BJ$4,0))</f>
        <v/>
      </c>
      <c r="DR40" s="462">
        <f>IF(OR(DU40="Yes",DU40="N/A",DV40="Yes",DV40="N/A",DW40="Yes",DX40="Yes",DY40="Yes",EF40="Yes",EG40="Yes",EH40="Yes"),"Yes","No")</f>
        <v/>
      </c>
      <c r="DS40" s="1047">
        <f>IF(AG40="Yes",DATEDIF(AJ40,Availability!$F$8,"m"),"")</f>
        <v/>
      </c>
      <c r="DT40" s="1047">
        <f>IF(DS40="","No",IF(DS40&gt;12,"Yes","No"))</f>
        <v/>
      </c>
      <c r="DU40" s="695">
        <f>IFERROR(IF(AND(DQ40/DP40&lt;0.75,DQ40&lt;1.5),"Yes","No"),"N/A")</f>
        <v/>
      </c>
      <c r="DV40" s="696">
        <f>IFERROR(IF(OR(D40="First Lien",D40="FILO"),IF(AND((DL40-DJ40)&gt;0.75,DL40&gt;4),"Yes","No"),"No"),"N/A")</f>
        <v/>
      </c>
      <c r="DW40" s="696">
        <f t="array" ref="DW40">_xlfn.IFS(D40&lt;&gt;"Second Lien","No",D40="Second Lien",IF(AND((DM40-DK40)&gt;0.5,DM40&gt;4.5),"Yes","No"))</f>
        <v/>
      </c>
      <c r="DX40" s="735" t="inlineStr">
        <is>
          <t>No</t>
        </is>
      </c>
      <c r="DY40" s="735" t="inlineStr">
        <is>
          <t>No</t>
        </is>
      </c>
      <c r="DZ40" s="1048" t="inlineStr">
        <is>
          <t>No</t>
        </is>
      </c>
      <c r="EA40" s="1048" t="inlineStr">
        <is>
          <t>No</t>
        </is>
      </c>
      <c r="EB40" s="1048" t="inlineStr">
        <is>
          <t>No</t>
        </is>
      </c>
      <c r="EC40" s="1048" t="inlineStr">
        <is>
          <t>No</t>
        </is>
      </c>
      <c r="ED40" s="1048" t="inlineStr">
        <is>
          <t>No</t>
        </is>
      </c>
      <c r="EE40" s="1048" t="inlineStr">
        <is>
          <t>No</t>
        </is>
      </c>
      <c r="EF40" s="442">
        <f>IF(OR(DZ40="Yes",EA40="Yes",EB40="Yes",EC40="Yes",ED40="Yes",EE40="Yes"),"Yes","No")</f>
        <v/>
      </c>
      <c r="EG40" s="1048" t="inlineStr">
        <is>
          <t>No</t>
        </is>
      </c>
      <c r="EH40" s="1049" t="inlineStr">
        <is>
          <t>No</t>
        </is>
      </c>
      <c r="EI40" s="1050">
        <f t="array" ref="EI40">IF(D40="First Lien",_xlfn.IFS(CY40&gt;AGENT!$B$23, "&gt; $20MM",CY40&lt;=AGENT!$C$25, "&lt;= $10MM",AND(CY40&lt;=AGENT!$C$24,CY40&gt;AGENT!$B$24),"&lt;= $20MM"), "N/A")</f>
        <v/>
      </c>
      <c r="EJ40" s="1050">
        <f t="array" ref="EJ40">IF(D40="FILO",_xlfn.IFS(DI40&gt;AGENT!$B$29, "&gt; 1.25x",DI40&lt;AGENT!$C$27, "&lt; 0.75x",AND(DI40&lt;=AGENT!$C$28,DI40&gt;=AGENT!$B$28),"&lt;= 1.25x"), "N/A")</f>
        <v/>
      </c>
      <c r="EK40" s="1051">
        <f>V40</f>
        <v/>
      </c>
      <c r="EL40" s="1051">
        <f>'Concentration Limits'!$J$49</f>
        <v/>
      </c>
      <c r="EM40" s="1051">
        <f>IF(OR(D40="Second Lien",AND(D40="FILO",DI40&gt;AGENT!$C$57)), "Yes", "No")</f>
        <v/>
      </c>
      <c r="EN40" s="1051">
        <f>IF(EM40="Yes",SUMIF(EM:EM,"Yes",EK:EK),0)</f>
        <v/>
      </c>
      <c r="EO40" s="1051">
        <f>IF(EN40&gt;EL40,(EN40-EL40)*(EK40/SUMIF(EM:EM,"Yes",EK:EK)),0)</f>
        <v/>
      </c>
      <c r="EP40" s="1051">
        <f>MAX(0,EK40-EO40)</f>
        <v/>
      </c>
      <c r="EQ40" s="1051">
        <f>'Concentration Limits'!$J$50</f>
        <v/>
      </c>
      <c r="ER40" s="1051">
        <f>IF(D40="Second Lien",SUMIF(D:D,D40,EP:EP),0)</f>
        <v/>
      </c>
      <c r="ES40" s="1051">
        <f>MAX(0,(ER40-EQ40)*IFERROR((EP40/SUMIF($D:$D,D40,EP:EP )),0) )</f>
        <v/>
      </c>
      <c r="ET40" s="1051">
        <f>MAX(0,EP40-ES40)</f>
        <v/>
      </c>
      <c r="EU40" s="1051">
        <f>'Concentration Limits'!$J$51</f>
        <v/>
      </c>
      <c r="EV40" s="1051">
        <f>IF(OR(D40="Second Lien", AND(D40="FILO",DI40&gt;AGENT!$C$59)), "Yes", "No")</f>
        <v/>
      </c>
      <c r="EW40" s="1051">
        <f>IF(EV40="Yes",SUMIF(EV:EV,"Yes",ET:ET),0)</f>
        <v/>
      </c>
      <c r="EX40" s="1051">
        <f>IF(EW40&gt;EU40,(EW40-EU40)*(ET40/SUMIF(EV:EV,"Yes",ET:ET)),0)</f>
        <v/>
      </c>
      <c r="EY40" s="1051">
        <f>MAX(0,ET40-EX40)</f>
        <v/>
      </c>
      <c r="EZ40" s="1051">
        <f>'Concentration Limits'!$J$52</f>
        <v/>
      </c>
      <c r="FA40" s="1051">
        <f>IF(CY40&gt;'Concentration Limits'!$E$52, "No", "Yes")</f>
        <v/>
      </c>
      <c r="FB40" s="1051">
        <f>IF(FA40="Yes",SUMIF(FA:FA,"Yes",EY:EY),0)</f>
        <v/>
      </c>
      <c r="FC40" s="1051">
        <f>IF(FB40&gt;EZ40,(FB40-EZ40)*(EY40/SUMIF(FA:FA,"Yes",EY:EY)),0)</f>
        <v/>
      </c>
      <c r="FD40" s="1051">
        <f>MAX(0,EY40-FC40)</f>
        <v/>
      </c>
      <c r="FE40" s="1052">
        <f>'Concentration Limits'!$J$54</f>
        <v/>
      </c>
      <c r="FF40" s="1052">
        <f>'Concentration Limits'!$J$55</f>
        <v/>
      </c>
      <c r="FG40" s="1052">
        <f>'Concentration Limits'!$J$56</f>
        <v/>
      </c>
      <c r="FH40" s="1053">
        <f>'Concentration Limits'!$J$57</f>
        <v/>
      </c>
      <c r="FI40" s="1053">
        <f>SUMIF($B:$B,$B40,$FD:$FD)</f>
        <v/>
      </c>
      <c r="FJ40" s="1053">
        <f>IF(MATCH($B40,$B:$B,0)=ROW(),$FI40,0)</f>
        <v/>
      </c>
      <c r="FK40" s="1053">
        <f>INDEX(FL$8:FL$60,MATCH(B40,B$8:B$60,0))</f>
        <v/>
      </c>
      <c r="FL40" s="1053">
        <f>IF(FJ40&gt;0,RANK(FJ40,$FJ$9:$FJ$60)+COUNTIF($FJ$9:FJ40,FJ40)-1,0)</f>
        <v/>
      </c>
      <c r="FM40" s="1052">
        <f>IF(FK40=1,IF(FI40&gt;FE40,(FI40-FE40)*(V40/SUMIF($B:$B,B40,$FD:$FD)),0),0)</f>
        <v/>
      </c>
      <c r="FN40" s="1052">
        <f>IF(FK40=2,IF(FI40&gt;FF40,(FI40-FF40)*(V40/SUMIF($B:$B,B40,$FD:$FD)),0),0)</f>
        <v/>
      </c>
      <c r="FO40" s="1052">
        <f>IF(FK40=3,IF(FI40&gt;FG40,(FI40-FG40)*(V40/SUMIF($B:$B,B40,$FD:$FD)),0),0)</f>
        <v/>
      </c>
      <c r="FP40" s="1053">
        <f>IF(FK40&gt;0,IF(FI40&gt;FH40,(FI40-FH40)*(FD40/(SUMIF($B:$B,$B40,$FD:$FD))),0),0)</f>
        <v/>
      </c>
      <c r="FQ40" s="1053">
        <f>MAX(0,FD40-FM40-FN40-FO40-FP40)</f>
        <v/>
      </c>
      <c r="FR40" s="1053">
        <f>'Concentration Limits'!$J$58</f>
        <v/>
      </c>
      <c r="FS40" s="1053">
        <f>SUMIF($BR:$BR,$BR40,FQ:FQ)</f>
        <v/>
      </c>
      <c r="FT40" s="1053">
        <f>VLOOKUP(BR40,'Concentration Limits'!$E$81:$H$153,4,FALSE)</f>
        <v/>
      </c>
      <c r="FU40" s="1053">
        <f>IF(FT40=1,MAX(0,(FS40-FR40)*(FQ40/SUMIF($BR:$BR,BR40,FQ:FQ))),0)</f>
        <v/>
      </c>
      <c r="FV40" s="1053">
        <f>MAX(0,FQ40-FU40)</f>
        <v/>
      </c>
      <c r="FW40" s="1053">
        <f>'Concentration Limits'!$J$59</f>
        <v/>
      </c>
      <c r="FX40" s="1053">
        <f>SUMIF($BR:$BR,$BR40,FV:FV)</f>
        <v/>
      </c>
      <c r="FY40" s="1053">
        <f>VLOOKUP(BR40,'Concentration Limits'!$E$81:$H$153,4,FALSE)</f>
        <v/>
      </c>
      <c r="FZ40" s="1053">
        <f>MAX(0,IF(FY40=2,(FX40-FW40)*(FV40/SUMIF($BR:$BR,BR40,FV:FV)),0))</f>
        <v/>
      </c>
      <c r="GA40" s="1053">
        <f>MAX(0,FV40-FZ40)</f>
        <v/>
      </c>
      <c r="GB40" s="1053">
        <f>'Concentration Limits'!$J$61</f>
        <v/>
      </c>
      <c r="GC40" s="1053">
        <f>SUMIF($BR:$BR,$BR40,GA:GA)</f>
        <v/>
      </c>
      <c r="GD40" s="1051">
        <f>VLOOKUP(BR40,'Concentration Limits'!$E$81:$H$153,4,FALSE)</f>
        <v/>
      </c>
      <c r="GE40" s="1053">
        <f>IF(GA40=0,0,MAX(0,IF(GD40&lt;3,0,(GC40-GB40)*($GA40/SUMIF($BR:$BR,BR40,GA:GA)))))</f>
        <v/>
      </c>
      <c r="GF40" s="1053">
        <f>MAX(0,GA40-GE40)</f>
        <v/>
      </c>
      <c r="GG40" s="1053">
        <f>'Concentration Limits'!$J$64</f>
        <v/>
      </c>
      <c r="GH40" s="1053">
        <f>IF(BY40="Yes",SUMIF(BY:BY,BY40,GF:GF),0)</f>
        <v/>
      </c>
      <c r="GI40" s="1053">
        <f>IFERROR(MAX(0,(GH40-GG40)*(GF40/SUMIF($T:$T,T40,GF:GF ))),0)</f>
        <v/>
      </c>
      <c r="GJ40" s="1053">
        <f>MAX(0,GF40-GI40)</f>
        <v/>
      </c>
      <c r="GK40" s="1053">
        <f>'Concentration Limits'!$J$67</f>
        <v/>
      </c>
      <c r="GL40" s="1051">
        <f>IF(OR(BV40="Yes",OR(ISNUMBER(SEARCH("Travel",BR40)),ISNUMBER(SEARCH("Energy",BR40)),ISNUMBER(SEARCH("Leisure",BR40)),ISNUMBER(SEARCH("hotel",BR40)))),"Yes","No")</f>
        <v/>
      </c>
      <c r="GM40" s="1053">
        <f>IF(GL40="Yes",SUMIF(GL:GL,"Yes",GJ:GJ),0)</f>
        <v/>
      </c>
      <c r="GN40" s="1053">
        <f>IF(GM40&gt;GK40,(GM40-GK40)*(GJ40/SUMIF(GL:GL,"Yes",GJ:GJ)),0)</f>
        <v/>
      </c>
      <c r="GO40" s="1053">
        <f>MAX(0,GJ40-GN40)</f>
        <v/>
      </c>
      <c r="GP40" s="1053">
        <f>'Concentration Limits'!$J$68</f>
        <v/>
      </c>
      <c r="GQ40" s="1051">
        <f>IF(BU40="Yes","Yes", "No")</f>
        <v/>
      </c>
      <c r="GR40" s="1053">
        <f>IF(GQ40="Yes",SUMIF(GQ:GQ,"Yes",GO:GO),0)</f>
        <v/>
      </c>
      <c r="GS40" s="1053">
        <f>IF(GR40&gt;GP40,(GR40-GP40)*(GO40/SUMIF(GQ:GQ,"Yes",GO:GO)),0)</f>
        <v/>
      </c>
      <c r="GT40" s="1053">
        <f>MAX(0,GO40-GS40)</f>
        <v/>
      </c>
      <c r="GU40" s="1051">
        <f>'Concentration Limits'!$J$69</f>
        <v/>
      </c>
      <c r="GV40" s="1051">
        <f>IF(BW40="Yes", "Yes", "No")</f>
        <v/>
      </c>
      <c r="GW40" s="1051">
        <f>IF(GV40="Yes",SUMIF(GV:GV,"Yes",GT:GT),0)</f>
        <v/>
      </c>
      <c r="GX40" s="1051">
        <f>IF(GW40&gt;GU40,(GW40-GU40)*(GT40/SUMIF(GV:GV,"Yes",GT:GT)),0)</f>
        <v/>
      </c>
      <c r="GY40" s="1051">
        <f>MAX(0,GT40-GX40)</f>
        <v/>
      </c>
      <c r="GZ40" s="1051">
        <f>'Concentration Limits'!$J$70</f>
        <v/>
      </c>
      <c r="HA40" s="1051">
        <f>IF(BX40="Yes", "Yes", "No")</f>
        <v/>
      </c>
      <c r="HB40" s="1051">
        <f>IF(HA40="Yes",SUMIF(HA:HA,"Yes",GY:GY),0)</f>
        <v/>
      </c>
      <c r="HC40" s="1051">
        <f>IF(HB40&gt;GZ40,(HB40-GZ40)*(GY40/SUMIF(HA:HA,"Yes",GY:GY)),0)</f>
        <v/>
      </c>
      <c r="HD40" s="1051">
        <f>MAX(0,GY40-HC40)</f>
        <v/>
      </c>
      <c r="HE40" s="1053">
        <f>IF(AQ40=0,0,HD40*AQ40/(AQ40+AR40))</f>
        <v/>
      </c>
      <c r="HF40" s="1053">
        <f>IF(AR40=0,0,HD40*AR40/(AQ40+AR40))</f>
        <v/>
      </c>
      <c r="HG40" s="1053">
        <f>IF(AW40=0,0,HD40*AW40/(AW40+AX40))</f>
        <v/>
      </c>
      <c r="HH40" s="1053">
        <f>IF(AX40=0,0,HD40*AX40/(AX40+AW40))</f>
        <v/>
      </c>
      <c r="HI40" s="1053">
        <f>IF(BE40=0,0,#REF!*BE40/(BE40+BG40))</f>
        <v/>
      </c>
      <c r="HJ40" s="1053">
        <f>IF(BG40=0,0,#REF!*BG40/(BG40+BE40))</f>
        <v/>
      </c>
      <c r="HK40" s="1054">
        <f>IF(BF40=0,0,#REF!*BF40/(BF40+BH40))</f>
        <v/>
      </c>
      <c r="HL40" s="1053">
        <f>IF(BH40=0,0,#REF!*BH40/(BH40+BF40))</f>
        <v/>
      </c>
      <c r="HM40" s="1053">
        <f>IF(D40="Second Lien",HD40,0)</f>
        <v/>
      </c>
      <c r="HN40" s="1053">
        <f>SUM(HE40:HM40)=HD40</f>
        <v/>
      </c>
    </row>
    <row r="41" ht="12.75" customFormat="1" customHeight="1" s="469">
      <c r="A41" s="55">
        <f>A40+1</f>
        <v/>
      </c>
      <c r="B41" s="437">
        <f>INDEX('Loan Tape - Settled'!$B$4:$AP$55,MATCH($A41,'Loan Tape - Settled'!$E$4:$E$55,0),MATCH("Obligor Name",'Loan Tape - Settled'!$B$4:$AM$4,0))</f>
        <v/>
      </c>
      <c r="C41" s="437">
        <f>INDEX('Loan Tape - Settled'!$B$4:$AP$55,MATCH($A41,'Loan Tape - Settled'!$E$4:$E$55,0),MATCH("Security",'Loan Tape - Settled'!$B$4:$AM$4,0))</f>
        <v/>
      </c>
      <c r="D41" s="438">
        <f>INDEX('Loan Tape - Settled'!$B$4:$AP$55,MATCH($A41,'Loan Tape - Settled'!$E$4:$E$55,0),MATCH("Loan Type",'Loan Tape - Settled'!$B$4:$AM$4,0))</f>
        <v/>
      </c>
      <c r="E41" s="439">
        <f>IF(ISERROR(MATCH(D41,AGENT!$A$4:$A$10,0))=FALSE, TRUE)</f>
        <v/>
      </c>
      <c r="F41" s="439">
        <f>IF(AND(BZ41="no",CA41="no"),TRUE)</f>
        <v/>
      </c>
      <c r="G41" s="439">
        <f>IF(D41&lt;&gt;"Second Lien",TRUE, IF(CY41&gt;=AGENT!$B$4,TRUE))</f>
        <v/>
      </c>
      <c r="H41" s="439">
        <f>IF(DE41&lt;=AGENT!$D$4,TRUE)</f>
        <v/>
      </c>
      <c r="I41" s="439">
        <f>IF(VLOOKUP(CONCATENATE($A$5,A41),'Loan Tape - Settled'!$A$5:$Q$55,17,FALSE)&gt;=AGENT!$E$4,TRUE)</f>
        <v/>
      </c>
      <c r="J41" s="439">
        <f>IF(INDEX('Loan Tape - Settled'!$B$4:$AP$55,MATCH($A41,'Loan Tape - Settled'!$E$4:$E$55,0),MATCH("Loan Denomination",'Loan Tape - Settled'!$B$4:$AP$4,0))="USD", TRUE)</f>
        <v/>
      </c>
      <c r="K41" s="439">
        <f>IF(INDEX('Loan Tape - Settled'!$B$4:$AP$55,MATCH($A41,'Loan Tape - Settled'!$E$4:$E$55,0),MATCH("Exposure Country",'Loan Tape - Settled'!$B$4:$AP$4,0))="United States", TRUE)</f>
        <v/>
      </c>
      <c r="L41" s="439">
        <f>IF(BS41="NO",TRUE)</f>
        <v/>
      </c>
      <c r="M41" s="439">
        <f>IF(((BM41-BL41)/365)&lt;=AGENT!$F$4,TRUE)</f>
        <v/>
      </c>
      <c r="N41" s="439">
        <f>IF(DX41="Yes",FALSE,TRUE)</f>
        <v/>
      </c>
      <c r="O41" s="493" t="n"/>
      <c r="P41" s="764">
        <f>IF($B41="","",IF(OR(O41=TRUE,COUNTIFS($E41:$N41,TRUE)=10),"Yes","No"))</f>
        <v/>
      </c>
      <c r="Q41" s="730" t="inlineStr">
        <is>
          <t>Yes</t>
        </is>
      </c>
      <c r="R41" s="440">
        <f>IF(P41="Yes",B41,"N/A")</f>
        <v/>
      </c>
      <c r="S41" s="440" t="n"/>
      <c r="T41" s="441">
        <f t="array" ref="T41">_xlfn.IFS(D41="Second Lien",D41,D41="First Lien",CONCATENATE(D41," ",EI41),D41="FILO",CONCATENATE(D41," ",EJ41))</f>
        <v/>
      </c>
      <c r="U41" s="442">
        <f>VLOOKUP(T41,'Concentration Limits'!D:G,4,FALSE)</f>
        <v/>
      </c>
      <c r="V41" s="1020">
        <f>AQ41+AW41+BI41</f>
        <v/>
      </c>
      <c r="W41" s="1021">
        <f>(SUMIFS('Loan Tape - Settled'!$AR$4:$AR$55,'Loan Tape - Settled'!$E$4:$E$55,$A41,'Loan Tape - Settled'!$C$4:$C$55,$A$5))</f>
        <v/>
      </c>
      <c r="X41" s="1022" t="n">
        <v>1</v>
      </c>
      <c r="Y41" s="1023">
        <f>W41*X41</f>
        <v/>
      </c>
      <c r="Z41" s="1022">
        <f>(SUMIFS('Loan Tape - Settled'!$AQ$4:$AQ$55,'Loan Tape - Settled'!$E$4:$E$55,$A41,'Loan Tape - Settled'!$C$4:$C$55,$A$5))</f>
        <v/>
      </c>
      <c r="AA41" s="1023">
        <f>Z41*X41</f>
        <v/>
      </c>
      <c r="AB41" s="1023">
        <f>AA41-Y41</f>
        <v/>
      </c>
      <c r="AC41" s="490">
        <f>VLOOKUP(CONCATENATE($A$5,A41),'Loan Tape - Settled'!$A$5:$Q$55,17,FALSE)</f>
        <v/>
      </c>
      <c r="AD41" s="445" t="n"/>
      <c r="AE41" s="446">
        <f>INDEX('Loan Tape - Settled'!$B$4:$AP$55,MATCH($A41,'Loan Tape - Settled'!$E$4:$E$55,0),MATCH("FMV",'Loan Tape - Settled'!$B$4:$AM$4,0))</f>
        <v/>
      </c>
      <c r="AF41" s="446">
        <f t="array" ref="AF41">_xlfn.IFS(D41="First Lien",
_xlfn.IFS(AND(DL41&gt;0,DL41&lt;Tier_1_1L),Tier_1_ApplicableValue,
AND(DL41&gt;=Tier_1_1L,DL41&lt;Tier_2_1L),((Tier_1_1L/DL41)*Tier_1_ApplicableValue)+((DL41-Tier_1_1L)/DL41*Tier_2_ApplicableValue),
AND(DL41&gt;=Tier_2_1L, DL41&lt;Tier_3_1L),((Tier_1_1L/DL41)*Tier_1_ApplicableValue+(Tier_2_1L-Tier_1_1L)/DL41*Tier_2_ApplicableValue+(DL41-Tier_2_1L)/DL41*Tier_3_ApplicableValue),
AND(DL41&gt;=Tier_3_1L, DL41&lt;=Tier_totalzerovalue),((Tier_1_1L/DL41)*Tier_1_ApplicableValue+(Tier_2_1L-Tier_1_1L)/DL41*Tier_2_ApplicableValue+(Tier_3_1L-Tier_2_1L)/DL41*Tier_3_ApplicableValue+(DL41-Tier_partialzerovalue)/DL41*0%),
DL41&gt;Tier_totalzerovalue,0%),
OR(D41="Second Lien", D41="FILO"),
_xlfn.IFS(AND(DM41&gt;0,DM41&lt;Tier_1_2L),Tier_1_ApplicableValue,
AND(DM41&gt;=Tier_1_2L,DM41&lt;Tier_2_2L),((Tier_1_2L/DM41)*Tier_1_ApplicableValue)+((DM41-Tier_1_2L)/DM41*Tier_2_ApplicableValue),
AND(DM41&gt;=Tier_2_2L, DM41&lt;Tier_3_2L),((Tier_1_2L/DM41)*Tier_1_ApplicableValue+(Tier_2_2L-Tier_1_2L)/DM41*Tier_2_ApplicableValue+(DM41-Tier_2_2L)/DM41*Tier_3_ApplicableValue),
AND(DM41&gt;=Tier_3_2L, DM41&lt;=Tier_totalzerovalue),((Tier_1_2L/DM41)*Tier_1_ApplicableValue+(Tier_2_2L-Tier_1_2L)/DM41*Tier_2_ApplicableValue+(Tier_3_2L-Tier_2_2L)/DM41*Tier_3_ApplicableValue+(DM41-Tier_partialzerovalue)/DM41*0%),
DM41&gt;Tier_totalzerovalue,0%))</f>
        <v/>
      </c>
      <c r="AG41" s="447">
        <f>IF(COUNTIFS(VAE!$C$5:$C$96,B41,VAE!$G$5:$G$96,"&lt;="&amp;Availability!$F$8)&gt;=1,"Yes","-")</f>
        <v/>
      </c>
      <c r="AH41" s="447">
        <f t="array" ref="AH41">IFERROR(IF(AG41="Yes",INDEX(VAE!$D$5:$D$96,MATCH(B41&amp;AJ41,VAE!$C$5:$C$96&amp;VAE!$G$5:$G$96,0)),"-"),0)</f>
        <v/>
      </c>
      <c r="AI41" s="447">
        <f t="array" ref="AI41">IFERROR(IF(AG41="Yes",INDEX(VAE!$F$5:$F$96,MATCH(B41&amp;AJ41,VAE!$C$5:$C$96&amp;VAE!$G$5:$G$96,0)),"-"),0)</f>
        <v/>
      </c>
      <c r="AJ41" s="448">
        <f>IF(AG41="-","-",_xlfn.MAXIFS(VAE!$G$5:$G$96,VAE!$C$5:$C$96,$B41))</f>
        <v/>
      </c>
      <c r="AK41" s="449">
        <f t="array" ref="AK41">IFERROR(IF(AG41="Yes",INDEX(VAE!$P$5:$P$96,MATCH(B41&amp;AJ41,VAE!$C$5:$C$96&amp;VAE!$G$5:$G$96,0)),"-"),0)</f>
        <v/>
      </c>
      <c r="AL41" s="446">
        <f>IF($A41="","",IF(P41="No",0,(IF(AG41="Yes",MIN(AE41,AK41,AF41),MIN(AE41,AF41)))))</f>
        <v/>
      </c>
      <c r="AM41" s="1020" t="n"/>
      <c r="AN41" s="1020" t="n"/>
      <c r="AO41" s="1020">
        <f>IF(AND(D41="First Lien",P41="No"),0,IF(D41&lt;&gt;"First Lien",0,Y41))</f>
        <v/>
      </c>
      <c r="AP41" s="1020">
        <f>IF(AND(D41="First Lien",P41="No"),W41,0)</f>
        <v/>
      </c>
      <c r="AQ41" s="1020">
        <f>AL41*AO41</f>
        <v/>
      </c>
      <c r="AR41" s="1020" t="n"/>
      <c r="AS41" s="1020" t="n"/>
      <c r="AT41" s="1020" t="n"/>
      <c r="AU41" s="1020">
        <f>IF(AND(D41="FILO",P41="No"),0,IF(D41&lt;&gt;"FILO",0,Y41))</f>
        <v/>
      </c>
      <c r="AV41" s="1020">
        <f>IF(AND(D41="FILO",P41="No"),W41,0)</f>
        <v/>
      </c>
      <c r="AW41" s="1020">
        <f>AU41*AL41</f>
        <v/>
      </c>
      <c r="AX41" s="1020" t="n"/>
      <c r="AY41" s="1020" t="n"/>
      <c r="AZ41" s="1020" t="n"/>
      <c r="BA41" s="1020">
        <f>IF(AND(OR(D41="First Lien",D41="FILO"),P41="No"),0,IF(OR(D41="First Lien",D41="FILO"),0,(Y41)))</f>
        <v/>
      </c>
      <c r="BB41" s="1020" t="n"/>
      <c r="BC41" s="1020" t="n"/>
      <c r="BD41" s="1020">
        <f>IF(AND(D41="Second Lien",P41="No"),W41,0)</f>
        <v/>
      </c>
      <c r="BE41" s="1020" t="n"/>
      <c r="BF41" s="1020" t="n"/>
      <c r="BG41" s="1020" t="n"/>
      <c r="BH41" s="1020" t="n"/>
      <c r="BI41" s="1020">
        <f>IF(D41="Second Lien",BA41*AL41,0)</f>
        <v/>
      </c>
      <c r="BJ41" s="1020">
        <f>SUM(AM41:AP41)+SUM(AZ41:BD41)+SUM(AS41:AV41)=Y41</f>
        <v/>
      </c>
      <c r="BK41" s="1026">
        <f>INDEX('Loan Tape - Settled'!$B$4:$AP$55,MATCH($A41,'Loan Tape - Settled'!$E$4:$E$55,0),MATCH("Inception Date",'Loan Tape - Settled'!$B$4:$AP$4,0))</f>
        <v/>
      </c>
      <c r="BL41" s="1026">
        <f>INDEX('Loan Tape - Settled'!$B$4:$AP$55,MATCH($A41,'Loan Tape - Settled'!$E$4:$E$55,0),MATCH("Inclusion Date",'Loan Tape - Settled'!$B$4:$AP$4,0))</f>
        <v/>
      </c>
      <c r="BM41" s="1026">
        <f>INDEX('Loan Tape - Settled'!$B$4:$AP$55,MATCH($A41,'Loan Tape - Settled'!$E$4:$E$55,0),MATCH("Maturity Date",'Loan Tape - Settled'!$B$4:$AP$4,0))</f>
        <v/>
      </c>
      <c r="BN41" s="556" t="n"/>
      <c r="BO41" s="556" t="n"/>
      <c r="BP41" s="1055" t="n"/>
      <c r="BQ41" s="556" t="n"/>
      <c r="BR41" s="554">
        <f>INDEX('Loan Tape - Settled'!$B$4:$AP$55,MATCH($A41,'Loan Tape - Settled'!$E$4:$E$55,0),MATCH("Industry Classification",'Loan Tape - Settled'!$B$4:$AP$4,0))</f>
        <v/>
      </c>
      <c r="BS41" s="556">
        <f>IF(INDEX('Loan Tape - Settled'!$B$4:$AP$55,MATCH($A41,'Loan Tape - Settled'!$E$4:$E$55,0),MATCH("Covenant Lite",'Loan Tape - Settled'!$B$4:$AP$4,0))=-1, "Yes", "No")</f>
        <v/>
      </c>
      <c r="BT41" s="1056">
        <f>INDEX('Loan Tape - Settled'!$B$4:$AP$55,MATCH($A41,'Loan Tape - Settled'!$E$4:$E$55,0),MATCH("Spread / Coupon (%)",'Loan Tape - Settled'!$B$4:$AP$4,0))</f>
        <v/>
      </c>
      <c r="BU41" s="556">
        <f>IF(INDEX('Loan Tape - Settled'!$B$4:$AP$55,MATCH($A41,'Loan Tape - Settled'!$E$4:$E$55,0),MATCH("Security Type",'Loan Tape - Settled'!$B$4:$AP$4,0))="Delayed Draw Term Loan", "Yes", "No")</f>
        <v/>
      </c>
      <c r="BV41" s="557" t="inlineStr">
        <is>
          <t>No</t>
        </is>
      </c>
      <c r="BW41" s="557" t="inlineStr">
        <is>
          <t>No</t>
        </is>
      </c>
      <c r="BX41" s="548" t="inlineStr">
        <is>
          <t>No</t>
        </is>
      </c>
      <c r="BY41" s="556">
        <f>IF(INDEX('Loan Tape - Settled'!$B$4:$AP$55,MATCH($A41,'Loan Tape - Settled'!$E$4:$E$55,0),MATCH("Fixed/Floating",'Loan Tape - Settled'!$B$4:$AP$4,0))="Fixed", "Yes", "No")</f>
        <v/>
      </c>
      <c r="BZ41" s="557" t="inlineStr">
        <is>
          <t>No</t>
        </is>
      </c>
      <c r="CA41" s="557" t="inlineStr">
        <is>
          <t>No</t>
        </is>
      </c>
      <c r="CB41" s="556">
        <f>IF(INDEX('Loan Tape - Settled'!$B$4:$AP$55,MATCH($A41,'Loan Tape - Settled'!$E$4:$E$55,0),MATCH("Loan Denomination",'Loan Tape - Settled'!$B$4:$AP$4,0))="CAD", "Yes", "No")</f>
        <v/>
      </c>
      <c r="CC41" s="556">
        <f>INDEX('Loan Tape - Settled'!$B$4:$AP$55,MATCH($A41,'Loan Tape - Settled'!$E$4:$E$55,0),MATCH("Payment Frequency",'Loan Tape - Settled'!$B$4:$AP$4,0))</f>
        <v/>
      </c>
      <c r="CD41" s="557" t="inlineStr">
        <is>
          <t>No</t>
        </is>
      </c>
      <c r="CE41" s="556">
        <f>INDEX('Loan Tape - Settled'!$B$4:$AP$55,MATCH($A41,'Loan Tape - Settled'!$E$4:$E$55,0),MATCH("S&amp;P Loan Rating (if applicable)",'Loan Tape - Settled'!$B$4:$AP$4,0))</f>
        <v/>
      </c>
      <c r="CF41" s="556">
        <f>INDEX('Loan Tape - Settled'!$B$4:$AP$55,MATCH($A41,'Loan Tape - Settled'!$E$4:$E$55,0),MATCH("Moody's Loan Rating (if applicable)",'Loan Tape - Settled'!$B$4:$AP$4,0))</f>
        <v/>
      </c>
      <c r="CG41" s="556" t="n"/>
      <c r="CH41" s="556" t="n"/>
      <c r="CI41" s="1057" t="n"/>
      <c r="CJ41" s="1030">
        <f>INDEX('Loan Tape - Settled'!$B$4:$BF$55,MATCH($A41,'Loan Tape - Settled'!$E$4:$E$55,0),MATCH("Last Financial Received",'Loan Tape - Settled'!$B$4:$BF$4,0))</f>
        <v/>
      </c>
      <c r="CK41" s="559">
        <f>INDEX('Loan Tape - Settled'!$B$4:$BJ$55,MATCH($A41,'Loan Tape - Settled'!$E$4:$E$55,0),MATCH("Initial Adjusted TTM EBITDA",'Loan Tape - Settled'!$B$4:$BJ$4,0))</f>
        <v/>
      </c>
      <c r="CL41" s="559">
        <f>INDEX('Loan Tape - Settled'!$B$4:$BJ$55,MATCH($A41,'Loan Tape - Settled'!$E$4:$E$55,0),MATCH("Initial TTM Non-adjusted EBITDA",'Loan Tape - Settled'!$B$4:$BJ$4,0))</f>
        <v/>
      </c>
      <c r="CM41" s="1031" t="n"/>
      <c r="CN41" s="451" t="n"/>
      <c r="CO41" s="451" t="n"/>
      <c r="CP41" s="1032" t="n"/>
      <c r="CQ41" s="1033" t="inlineStr">
        <is>
          <t>N</t>
        </is>
      </c>
      <c r="CR41" s="1032" t="n"/>
      <c r="CS41" s="454">
        <f>CK41-CP41+CR41</f>
        <v/>
      </c>
      <c r="CT41" s="455">
        <f>1-CS41/CK41</f>
        <v/>
      </c>
      <c r="CU41" s="559">
        <f>INDEX('Loan Tape - Settled'!$B$4:$BJ$55,MATCH($A41,'Loan Tape - Settled'!$E$4:$E$55,0),MATCH("Current TTM Non-adjusted EBITDA",'Loan Tape - Settled'!$B$4:$BJ$4,0))</f>
        <v/>
      </c>
      <c r="CV41" s="456">
        <f>CT41</f>
        <v/>
      </c>
      <c r="CW41" s="1034" t="inlineStr">
        <is>
          <t>N</t>
        </is>
      </c>
      <c r="CX41" s="1035" t="n"/>
      <c r="CY41" s="1036">
        <f>IF(CW41="N",(1-CV41)*CU41,(1-CX41)*CU41)</f>
        <v/>
      </c>
      <c r="CZ41" s="1037" t="n"/>
      <c r="DA41" s="1038" t="n"/>
      <c r="DB41" s="1039" t="n"/>
      <c r="DC41" s="1040" t="n"/>
      <c r="DD41" s="1040">
        <f>INDEX('Loan Tape - Settled'!$B$4:$BJ$55,MATCH($A41,'Loan Tape - Settled'!$E$4:$E$55,0),MATCH("Initial Senior Net Leverage Senior",'Loan Tape - Settled'!$B$4:$BJ$4,0))</f>
        <v/>
      </c>
      <c r="DE41" s="1041">
        <f>INDEX('Loan Tape - Settled'!$B$4:$BJ$55,MATCH($A41,'Loan Tape - Settled'!$E$4:$E$55,0),MATCH("Initial Total Net Leverage",'Loan Tape - Settled'!$B$4:$BJ$4,0))</f>
        <v/>
      </c>
      <c r="DF41" s="1037" t="n"/>
      <c r="DG41" s="1038" t="n"/>
      <c r="DH41" s="1039" t="n"/>
      <c r="DI41" s="1042">
        <f>INDEX('Loan Tape - Settled'!$B$4:$BJ$55,MATCH($A41,'Loan Tape - Settled'!$E$4:$E$55,0),MATCH("Net Attachment",'Loan Tape - Settled'!$B$4:$BJ$4,0))</f>
        <v/>
      </c>
      <c r="DJ41" s="566">
        <f t="array" ref="DJ41">IF(AG41="Yes",INDEX(VAE!$M$5:$M$53,MATCH($B41&amp;$AJ41,VAE!$C$5:$C$53&amp;VAE!$G$5:$G$53,0)),DD41)</f>
        <v/>
      </c>
      <c r="DK41" s="697">
        <f t="array" ref="DK41">IF(AG41="Yes",INDEX(VAE!$N$5:$N$53,MATCH($B41&amp;$AJ41,VAE!$C$5:$C$53&amp;VAE!$G$5:$G$53,0)),DE41)</f>
        <v/>
      </c>
      <c r="DL41" s="1058">
        <f>INDEX('Loan Tape - Settled'!$B$4:$BJ$55,MATCH($A41,'Loan Tape - Settled'!$E$4:$E$55,0),MATCH("Current Senior Net Leverage Senior",'Loan Tape - Settled'!$B$4:$BJ$4,0))</f>
        <v/>
      </c>
      <c r="DM41" s="1059">
        <f>INDEX('Loan Tape - Settled'!$B$4:$BJ$55,MATCH($A41,'Loan Tape - Settled'!$E$4:$E$55,0),MATCH("Current Total Net Leverage",'Loan Tape - Settled'!$B$4:$BJ$4,0))</f>
        <v/>
      </c>
      <c r="DN41" s="1044" t="n"/>
      <c r="DO41" s="1045">
        <f>INDEX('Loan Tape - Settled'!$B$4:$BJ$55,MATCH($A41,'Loan Tape - Settled'!$E$4:$E$55,0),MATCH("Initial Interest Coverage",'Loan Tape - Settled'!$B$4:$BJ$4,0))</f>
        <v/>
      </c>
      <c r="DP41" s="565">
        <f t="array" ref="DP41">IF(AG41="Yes",INDEX(VAE!$O$5:$O$53,MATCH($B41&amp;$AJ41,VAE!$C$5:$C$53&amp;VAE!$G$5:$G$53,0)),DO41)</f>
        <v/>
      </c>
      <c r="DQ41" s="1046">
        <f>INDEX('Loan Tape - Settled'!$B$4:$BJ$55,MATCH($A41,'Loan Tape - Settled'!$E$4:$E$55,0),MATCH("Current Interest Coverage",'Loan Tape - Settled'!$B$4:$BJ$4,0))</f>
        <v/>
      </c>
      <c r="DR41" s="462">
        <f>IF(OR(DU41="Yes",DU41="N/A",DV41="Yes",DV41="N/A",DW41="Yes",DX41="Yes",DY41="Yes",EF41="Yes",EG41="Yes",EH41="Yes"),"Yes","No")</f>
        <v/>
      </c>
      <c r="DS41" s="1047">
        <f>IF(AG41="Yes",DATEDIF(AJ41,Availability!$F$8,"m"),"")</f>
        <v/>
      </c>
      <c r="DT41" s="1047">
        <f>IF(DS41="","No",IF(DS41&gt;12,"Yes","No"))</f>
        <v/>
      </c>
      <c r="DU41" s="695">
        <f>IFERROR(IF(AND(DQ41/DP41&lt;0.75,DQ41&lt;1.5),"Yes","No"),"N/A")</f>
        <v/>
      </c>
      <c r="DV41" s="696">
        <f>IFERROR(IF(OR(D41="First Lien",D41="FILO"),IF(AND((DL41-DJ41)&gt;0.75,DL41&gt;4),"Yes","No"),"No"),"N/A")</f>
        <v/>
      </c>
      <c r="DW41" s="696">
        <f t="array" ref="DW41">_xlfn.IFS(D41&lt;&gt;"Second Lien","No",D41="Second Lien",IF(AND((DM41-DK41)&gt;0.5,DM41&gt;4.5),"Yes","No"))</f>
        <v/>
      </c>
      <c r="DX41" s="735" t="inlineStr">
        <is>
          <t>No</t>
        </is>
      </c>
      <c r="DY41" s="735" t="inlineStr">
        <is>
          <t>No</t>
        </is>
      </c>
      <c r="DZ41" s="1048" t="inlineStr">
        <is>
          <t>No</t>
        </is>
      </c>
      <c r="EA41" s="1048" t="inlineStr">
        <is>
          <t>No</t>
        </is>
      </c>
      <c r="EB41" s="1048" t="inlineStr">
        <is>
          <t>No</t>
        </is>
      </c>
      <c r="EC41" s="1048" t="inlineStr">
        <is>
          <t>No</t>
        </is>
      </c>
      <c r="ED41" s="1048" t="inlineStr">
        <is>
          <t>No</t>
        </is>
      </c>
      <c r="EE41" s="1048" t="inlineStr">
        <is>
          <t>No</t>
        </is>
      </c>
      <c r="EF41" s="442">
        <f>IF(OR(DZ41="Yes",EA41="Yes",EB41="Yes",EC41="Yes",ED41="Yes",EE41="Yes"),"Yes","No")</f>
        <v/>
      </c>
      <c r="EG41" s="1048" t="inlineStr">
        <is>
          <t>No</t>
        </is>
      </c>
      <c r="EH41" s="1049" t="inlineStr">
        <is>
          <t>No</t>
        </is>
      </c>
      <c r="EI41" s="1050">
        <f t="array" ref="EI41">IF(D41="First Lien",_xlfn.IFS(CY41&gt;AGENT!$B$23, "&gt; $20MM",CY41&lt;=AGENT!$C$25, "&lt;= $10MM",AND(CY41&lt;=AGENT!$C$24,CY41&gt;AGENT!$B$24),"&lt;= $20MM"), "N/A")</f>
        <v/>
      </c>
      <c r="EJ41" s="1050">
        <f t="array" ref="EJ41">IF(D41="FILO",_xlfn.IFS(DI41&gt;AGENT!$B$29, "&gt; 1.25x",DI41&lt;AGENT!$C$27, "&lt; 0.75x",AND(DI41&lt;=AGENT!$C$28,DI41&gt;=AGENT!$B$28),"&lt;= 1.25x"), "N/A")</f>
        <v/>
      </c>
      <c r="EK41" s="1051">
        <f>V41</f>
        <v/>
      </c>
      <c r="EL41" s="1051">
        <f>'Concentration Limits'!$J$49</f>
        <v/>
      </c>
      <c r="EM41" s="1051">
        <f>IF(OR(D41="Second Lien",AND(D41="FILO",DI41&gt;AGENT!$C$57)), "Yes", "No")</f>
        <v/>
      </c>
      <c r="EN41" s="1051">
        <f>IF(EM41="Yes",SUMIF(EM:EM,"Yes",EK:EK),0)</f>
        <v/>
      </c>
      <c r="EO41" s="1051">
        <f>IF(EN41&gt;EL41,(EN41-EL41)*(EK41/SUMIF(EM:EM,"Yes",EK:EK)),0)</f>
        <v/>
      </c>
      <c r="EP41" s="1051">
        <f>MAX(0,EK41-EO41)</f>
        <v/>
      </c>
      <c r="EQ41" s="1051">
        <f>'Concentration Limits'!$J$50</f>
        <v/>
      </c>
      <c r="ER41" s="1051">
        <f>IF(D41="Second Lien",SUMIF(D:D,D41,EP:EP),0)</f>
        <v/>
      </c>
      <c r="ES41" s="1051">
        <f>MAX(0,(ER41-EQ41)*IFERROR((EP41/SUMIF($D:$D,D41,EP:EP )),0) )</f>
        <v/>
      </c>
      <c r="ET41" s="1051">
        <f>MAX(0,EP41-ES41)</f>
        <v/>
      </c>
      <c r="EU41" s="1051">
        <f>'Concentration Limits'!$J$51</f>
        <v/>
      </c>
      <c r="EV41" s="1051">
        <f>IF(OR(D41="Second Lien", AND(D41="FILO",DI41&gt;AGENT!$C$59)), "Yes", "No")</f>
        <v/>
      </c>
      <c r="EW41" s="1051">
        <f>IF(EV41="Yes",SUMIF(EV:EV,"Yes",ET:ET),0)</f>
        <v/>
      </c>
      <c r="EX41" s="1051">
        <f>IF(EW41&gt;EU41,(EW41-EU41)*(ET41/SUMIF(EV:EV,"Yes",ET:ET)),0)</f>
        <v/>
      </c>
      <c r="EY41" s="1051">
        <f>MAX(0,ET41-EX41)</f>
        <v/>
      </c>
      <c r="EZ41" s="1051">
        <f>'Concentration Limits'!$J$52</f>
        <v/>
      </c>
      <c r="FA41" s="1051">
        <f>IF(CY41&gt;'Concentration Limits'!$E$52, "No", "Yes")</f>
        <v/>
      </c>
      <c r="FB41" s="1051">
        <f>IF(FA41="Yes",SUMIF(FA:FA,"Yes",EY:EY),0)</f>
        <v/>
      </c>
      <c r="FC41" s="1051">
        <f>IF(FB41&gt;EZ41,(FB41-EZ41)*(EY41/SUMIF(FA:FA,"Yes",EY:EY)),0)</f>
        <v/>
      </c>
      <c r="FD41" s="1051">
        <f>MAX(0,EY41-FC41)</f>
        <v/>
      </c>
      <c r="FE41" s="1052">
        <f>'Concentration Limits'!$J$54</f>
        <v/>
      </c>
      <c r="FF41" s="1052">
        <f>'Concentration Limits'!$J$55</f>
        <v/>
      </c>
      <c r="FG41" s="1052">
        <f>'Concentration Limits'!$J$56</f>
        <v/>
      </c>
      <c r="FH41" s="1053">
        <f>'Concentration Limits'!$J$57</f>
        <v/>
      </c>
      <c r="FI41" s="1053">
        <f>SUMIF($B:$B,$B41,$FD:$FD)</f>
        <v/>
      </c>
      <c r="FJ41" s="1053">
        <f>IF(MATCH($B41,$B:$B,0)=ROW(),$FI41,0)</f>
        <v/>
      </c>
      <c r="FK41" s="1053">
        <f>INDEX(FL$8:FL$60,MATCH(B41,B$8:B$60,0))</f>
        <v/>
      </c>
      <c r="FL41" s="1053">
        <f>IF(FJ41&gt;0,RANK(FJ41,$FJ$9:$FJ$60)+COUNTIF($FJ$9:FJ41,FJ41)-1,0)</f>
        <v/>
      </c>
      <c r="FM41" s="1052">
        <f>IF(FK41=1,IF(FI41&gt;FE41,(FI41-FE41)*(V41/SUMIF($B:$B,B41,$FD:$FD)),0),0)</f>
        <v/>
      </c>
      <c r="FN41" s="1052">
        <f>IF(FK41=2,IF(FI41&gt;FF41,(FI41-FF41)*(V41/SUMIF($B:$B,B41,$FD:$FD)),0),0)</f>
        <v/>
      </c>
      <c r="FO41" s="1052">
        <f>IF(FK41=3,IF(FI41&gt;FG41,(FI41-FG41)*(V41/SUMIF($B:$B,B41,$FD:$FD)),0),0)</f>
        <v/>
      </c>
      <c r="FP41" s="1053">
        <f>IF(FK41&gt;0,IF(FI41&gt;FH41,(FI41-FH41)*(FD41/(SUMIF($B:$B,$B41,$FD:$FD))),0),0)</f>
        <v/>
      </c>
      <c r="FQ41" s="1053">
        <f>MAX(0,FD41-FM41-FN41-FO41-FP41)</f>
        <v/>
      </c>
      <c r="FR41" s="1053">
        <f>'Concentration Limits'!$J$58</f>
        <v/>
      </c>
      <c r="FS41" s="1053">
        <f>SUMIF($BR:$BR,$BR41,FQ:FQ)</f>
        <v/>
      </c>
      <c r="FT41" s="1053">
        <f>VLOOKUP(BR41,'Concentration Limits'!$E$81:$H$153,4,FALSE)</f>
        <v/>
      </c>
      <c r="FU41" s="1053">
        <f>IF(FT41=1,MAX(0,(FS41-FR41)*(FQ41/SUMIF($BR:$BR,BR41,FQ:FQ))),0)</f>
        <v/>
      </c>
      <c r="FV41" s="1053">
        <f>MAX(0,FQ41-FU41)</f>
        <v/>
      </c>
      <c r="FW41" s="1053">
        <f>'Concentration Limits'!$J$59</f>
        <v/>
      </c>
      <c r="FX41" s="1053">
        <f>SUMIF($BR:$BR,$BR41,FV:FV)</f>
        <v/>
      </c>
      <c r="FY41" s="1053">
        <f>VLOOKUP(BR41,'Concentration Limits'!$E$81:$H$153,4,FALSE)</f>
        <v/>
      </c>
      <c r="FZ41" s="1053">
        <f>MAX(0,IF(FY41=2,(FX41-FW41)*(FV41/SUMIF($BR:$BR,BR41,FV:FV)),0))</f>
        <v/>
      </c>
      <c r="GA41" s="1053">
        <f>MAX(0,FV41-FZ41)</f>
        <v/>
      </c>
      <c r="GB41" s="1053">
        <f>'Concentration Limits'!$J$61</f>
        <v/>
      </c>
      <c r="GC41" s="1053">
        <f>SUMIF($BR:$BR,$BR41,GA:GA)</f>
        <v/>
      </c>
      <c r="GD41" s="1051">
        <f>VLOOKUP(BR41,'Concentration Limits'!$E$81:$H$153,4,FALSE)</f>
        <v/>
      </c>
      <c r="GE41" s="1053">
        <f>IF(GA41=0,0,MAX(0,IF(GD41&lt;3,0,(GC41-GB41)*($GA41/SUMIF($BR:$BR,BR41,GA:GA)))))</f>
        <v/>
      </c>
      <c r="GF41" s="1053">
        <f>MAX(0,GA41-GE41)</f>
        <v/>
      </c>
      <c r="GG41" s="1053">
        <f>'Concentration Limits'!$J$64</f>
        <v/>
      </c>
      <c r="GH41" s="1053">
        <f>IF(BY41="Yes",SUMIF(BY:BY,BY41,GF:GF),0)</f>
        <v/>
      </c>
      <c r="GI41" s="1053">
        <f>IFERROR(MAX(0,(GH41-GG41)*(GF41/SUMIF($T:$T,T41,GF:GF ))),0)</f>
        <v/>
      </c>
      <c r="GJ41" s="1053">
        <f>MAX(0,GF41-GI41)</f>
        <v/>
      </c>
      <c r="GK41" s="1053">
        <f>'Concentration Limits'!$J$67</f>
        <v/>
      </c>
      <c r="GL41" s="1051">
        <f>IF(OR(BV41="Yes",OR(ISNUMBER(SEARCH("Travel",BR41)),ISNUMBER(SEARCH("Energy",BR41)),ISNUMBER(SEARCH("Leisure",BR41)),ISNUMBER(SEARCH("hotel",BR41)))),"Yes","No")</f>
        <v/>
      </c>
      <c r="GM41" s="1053">
        <f>IF(GL41="Yes",SUMIF(GL:GL,"Yes",GJ:GJ),0)</f>
        <v/>
      </c>
      <c r="GN41" s="1053">
        <f>IF(GM41&gt;GK41,(GM41-GK41)*(GJ41/SUMIF(GL:GL,"Yes",GJ:GJ)),0)</f>
        <v/>
      </c>
      <c r="GO41" s="1053">
        <f>MAX(0,GJ41-GN41)</f>
        <v/>
      </c>
      <c r="GP41" s="1053">
        <f>'Concentration Limits'!$J$68</f>
        <v/>
      </c>
      <c r="GQ41" s="1051">
        <f>IF(BU41="Yes","Yes", "No")</f>
        <v/>
      </c>
      <c r="GR41" s="1053">
        <f>IF(GQ41="Yes",SUMIF(GQ:GQ,"Yes",GO:GO),0)</f>
        <v/>
      </c>
      <c r="GS41" s="1053">
        <f>IF(GR41&gt;GP41,(GR41-GP41)*(GO41/SUMIF(GQ:GQ,"Yes",GO:GO)),0)</f>
        <v/>
      </c>
      <c r="GT41" s="1053">
        <f>MAX(0,GO41-GS41)</f>
        <v/>
      </c>
      <c r="GU41" s="1051">
        <f>'Concentration Limits'!$J$69</f>
        <v/>
      </c>
      <c r="GV41" s="1051">
        <f>IF(BW41="Yes", "Yes", "No")</f>
        <v/>
      </c>
      <c r="GW41" s="1051">
        <f>IF(GV41="Yes",SUMIF(GV:GV,"Yes",GT:GT),0)</f>
        <v/>
      </c>
      <c r="GX41" s="1051">
        <f>IF(GW41&gt;GU41,(GW41-GU41)*(GT41/SUMIF(GV:GV,"Yes",GT:GT)),0)</f>
        <v/>
      </c>
      <c r="GY41" s="1051">
        <f>MAX(0,GT41-GX41)</f>
        <v/>
      </c>
      <c r="GZ41" s="1051">
        <f>'Concentration Limits'!$J$70</f>
        <v/>
      </c>
      <c r="HA41" s="1051">
        <f>IF(BX41="Yes", "Yes", "No")</f>
        <v/>
      </c>
      <c r="HB41" s="1051">
        <f>IF(HA41="Yes",SUMIF(HA:HA,"Yes",GY:GY),0)</f>
        <v/>
      </c>
      <c r="HC41" s="1051">
        <f>IF(HB41&gt;GZ41,(HB41-GZ41)*(GY41/SUMIF(HA:HA,"Yes",GY:GY)),0)</f>
        <v/>
      </c>
      <c r="HD41" s="1051">
        <f>MAX(0,GY41-HC41)</f>
        <v/>
      </c>
      <c r="HE41" s="1053">
        <f>IF(AQ41=0,0,HD41*AQ41/(AQ41+AR41))</f>
        <v/>
      </c>
      <c r="HF41" s="1053">
        <f>IF(AR41=0,0,HD41*AR41/(AQ41+AR41))</f>
        <v/>
      </c>
      <c r="HG41" s="1053">
        <f>IF(AW41=0,0,HD41*AW41/(AW41+AX41))</f>
        <v/>
      </c>
      <c r="HH41" s="1053">
        <f>IF(AX41=0,0,HD41*AX41/(AX41+AW41))</f>
        <v/>
      </c>
      <c r="HI41" s="1053">
        <f>IF(BE41=0,0,#REF!*BE41/(BE41+BG41))</f>
        <v/>
      </c>
      <c r="HJ41" s="1053">
        <f>IF(BG41=0,0,#REF!*BG41/(BG41+BE41))</f>
        <v/>
      </c>
      <c r="HK41" s="1054">
        <f>IF(BF41=0,0,#REF!*BF41/(BF41+BH41))</f>
        <v/>
      </c>
      <c r="HL41" s="1053">
        <f>IF(BH41=0,0,#REF!*BH41/(BH41+BF41))</f>
        <v/>
      </c>
      <c r="HM41" s="1053">
        <f>IF(D41="Second Lien",HD41,0)</f>
        <v/>
      </c>
      <c r="HN41" s="1053">
        <f>SUM(HE41:HM41)=HD41</f>
        <v/>
      </c>
    </row>
    <row r="42" ht="12.75" customFormat="1" customHeight="1" s="469">
      <c r="A42" s="55">
        <f>A41+1</f>
        <v/>
      </c>
      <c r="B42" s="437">
        <f>INDEX('Loan Tape - Settled'!$B$4:$AP$55,MATCH($A42,'Loan Tape - Settled'!$E$4:$E$55,0),MATCH("Obligor Name",'Loan Tape - Settled'!$B$4:$AM$4,0))</f>
        <v/>
      </c>
      <c r="C42" s="437">
        <f>INDEX('Loan Tape - Settled'!$B$4:$AP$55,MATCH($A42,'Loan Tape - Settled'!$E$4:$E$55,0),MATCH("Security",'Loan Tape - Settled'!$B$4:$AM$4,0))</f>
        <v/>
      </c>
      <c r="D42" s="438">
        <f>INDEX('Loan Tape - Settled'!$B$4:$AP$55,MATCH($A42,'Loan Tape - Settled'!$E$4:$E$55,0),MATCH("Loan Type",'Loan Tape - Settled'!$B$4:$AM$4,0))</f>
        <v/>
      </c>
      <c r="E42" s="439">
        <f>IF(ISERROR(MATCH(D42,AGENT!$A$4:$A$10,0))=FALSE, TRUE)</f>
        <v/>
      </c>
      <c r="F42" s="439">
        <f>IF(AND(BZ42="no",CA42="no"),TRUE)</f>
        <v/>
      </c>
      <c r="G42" s="439">
        <f>IF(D42&lt;&gt;"Second Lien",TRUE, IF(CY42&gt;=AGENT!$B$4,TRUE))</f>
        <v/>
      </c>
      <c r="H42" s="439">
        <f>IF(DE42&lt;=AGENT!$D$4,TRUE)</f>
        <v/>
      </c>
      <c r="I42" s="439">
        <f>IF(VLOOKUP(CONCATENATE($A$5,A42),'Loan Tape - Settled'!$A$5:$Q$55,17,FALSE)&gt;=AGENT!$E$4,TRUE)</f>
        <v/>
      </c>
      <c r="J42" s="439">
        <f>IF(INDEX('Loan Tape - Settled'!$B$4:$AP$55,MATCH($A42,'Loan Tape - Settled'!$E$4:$E$55,0),MATCH("Loan Denomination",'Loan Tape - Settled'!$B$4:$AP$4,0))="USD", TRUE)</f>
        <v/>
      </c>
      <c r="K42" s="439">
        <f>IF(INDEX('Loan Tape - Settled'!$B$4:$AP$55,MATCH($A42,'Loan Tape - Settled'!$E$4:$E$55,0),MATCH("Exposure Country",'Loan Tape - Settled'!$B$4:$AP$4,0))="United States", TRUE)</f>
        <v/>
      </c>
      <c r="L42" s="439">
        <f>IF(BS42="NO",TRUE)</f>
        <v/>
      </c>
      <c r="M42" s="439">
        <f>IF(((BM42-BL42)/365)&lt;=AGENT!$F$4,TRUE)</f>
        <v/>
      </c>
      <c r="N42" s="439">
        <f>IF(DX42="Yes",FALSE,TRUE)</f>
        <v/>
      </c>
      <c r="O42" s="493" t="n"/>
      <c r="P42" s="764">
        <f>IF($B42="","",IF(OR(O42=TRUE,COUNTIFS($E42:$N42,TRUE)=10),"Yes","No"))</f>
        <v/>
      </c>
      <c r="Q42" s="730" t="inlineStr">
        <is>
          <t>Yes</t>
        </is>
      </c>
      <c r="R42" s="440">
        <f>IF(P42="Yes",B42,"N/A")</f>
        <v/>
      </c>
      <c r="S42" s="440" t="n"/>
      <c r="T42" s="441">
        <f t="array" ref="T42">_xlfn.IFS(D42="Second Lien",D42,D42="First Lien",CONCATENATE(D42," ",EI42),D42="FILO",CONCATENATE(D42," ",EJ42))</f>
        <v/>
      </c>
      <c r="U42" s="442">
        <f>VLOOKUP(T42,'Concentration Limits'!D:G,4,FALSE)</f>
        <v/>
      </c>
      <c r="V42" s="1020">
        <f>AQ42+AW42+BI42</f>
        <v/>
      </c>
      <c r="W42" s="1021">
        <f>(SUMIFS('Loan Tape - Settled'!$AR$4:$AR$55,'Loan Tape - Settled'!$E$4:$E$55,$A42,'Loan Tape - Settled'!$C$4:$C$55,$A$5))</f>
        <v/>
      </c>
      <c r="X42" s="1022" t="n">
        <v>1</v>
      </c>
      <c r="Y42" s="1023">
        <f>W42*X42</f>
        <v/>
      </c>
      <c r="Z42" s="1022">
        <f>(SUMIFS('Loan Tape - Settled'!$AQ$4:$AQ$55,'Loan Tape - Settled'!$E$4:$E$55,$A42,'Loan Tape - Settled'!$C$4:$C$55,$A$5))</f>
        <v/>
      </c>
      <c r="AA42" s="1023">
        <f>Z42*X42</f>
        <v/>
      </c>
      <c r="AB42" s="1023">
        <f>AA42-Y42</f>
        <v/>
      </c>
      <c r="AC42" s="490">
        <f>VLOOKUP(CONCATENATE($A$5,A42),'Loan Tape - Settled'!$A$5:$Q$55,17,FALSE)</f>
        <v/>
      </c>
      <c r="AD42" s="445" t="n"/>
      <c r="AE42" s="446">
        <f>INDEX('Loan Tape - Settled'!$B$4:$AP$55,MATCH($A42,'Loan Tape - Settled'!$E$4:$E$55,0),MATCH("FMV",'Loan Tape - Settled'!$B$4:$AM$4,0))</f>
        <v/>
      </c>
      <c r="AF42" s="446">
        <f t="array" ref="AF42">_xlfn.IFS(D42="First Lien",
_xlfn.IFS(AND(DL42&gt;0,DL42&lt;Tier_1_1L),Tier_1_ApplicableValue,
AND(DL42&gt;=Tier_1_1L,DL42&lt;Tier_2_1L),((Tier_1_1L/DL42)*Tier_1_ApplicableValue)+((DL42-Tier_1_1L)/DL42*Tier_2_ApplicableValue),
AND(DL42&gt;=Tier_2_1L, DL42&lt;Tier_3_1L),((Tier_1_1L/DL42)*Tier_1_ApplicableValue+(Tier_2_1L-Tier_1_1L)/DL42*Tier_2_ApplicableValue+(DL42-Tier_2_1L)/DL42*Tier_3_ApplicableValue),
AND(DL42&gt;=Tier_3_1L, DL42&lt;=Tier_totalzerovalue),((Tier_1_1L/DL42)*Tier_1_ApplicableValue+(Tier_2_1L-Tier_1_1L)/DL42*Tier_2_ApplicableValue+(Tier_3_1L-Tier_2_1L)/DL42*Tier_3_ApplicableValue+(DL42-Tier_partialzerovalue)/DL42*0%),
DL42&gt;Tier_totalzerovalue,0%),
OR(D42="Second Lien", D42="FILO"),
_xlfn.IFS(AND(DM42&gt;0,DM42&lt;Tier_1_2L),Tier_1_ApplicableValue,
AND(DM42&gt;=Tier_1_2L,DM42&lt;Tier_2_2L),((Tier_1_2L/DM42)*Tier_1_ApplicableValue)+((DM42-Tier_1_2L)/DM42*Tier_2_ApplicableValue),
AND(DM42&gt;=Tier_2_2L, DM42&lt;Tier_3_2L),((Tier_1_2L/DM42)*Tier_1_ApplicableValue+(Tier_2_2L-Tier_1_2L)/DM42*Tier_2_ApplicableValue+(DM42-Tier_2_2L)/DM42*Tier_3_ApplicableValue),
AND(DM42&gt;=Tier_3_2L, DM42&lt;=Tier_totalzerovalue),((Tier_1_2L/DM42)*Tier_1_ApplicableValue+(Tier_2_2L-Tier_1_2L)/DM42*Tier_2_ApplicableValue+(Tier_3_2L-Tier_2_2L)/DM42*Tier_3_ApplicableValue+(DM42-Tier_partialzerovalue)/DM42*0%),
DM42&gt;Tier_totalzerovalue,0%))</f>
        <v/>
      </c>
      <c r="AG42" s="447">
        <f>IF(COUNTIFS(VAE!$C$5:$C$96,B42,VAE!$G$5:$G$96,"&lt;="&amp;Availability!$F$8)&gt;=1,"Yes","-")</f>
        <v/>
      </c>
      <c r="AH42" s="447">
        <f t="array" ref="AH42">IFERROR(IF(AG42="Yes",INDEX(VAE!$D$5:$D$96,MATCH(B42&amp;AJ42,VAE!$C$5:$C$96&amp;VAE!$G$5:$G$96,0)),"-"),0)</f>
        <v/>
      </c>
      <c r="AI42" s="447">
        <f t="array" ref="AI42">IFERROR(IF(AG42="Yes",INDEX(VAE!$F$5:$F$96,MATCH(B42&amp;AJ42,VAE!$C$5:$C$96&amp;VAE!$G$5:$G$96,0)),"-"),0)</f>
        <v/>
      </c>
      <c r="AJ42" s="448">
        <f>IF(AG42="-","-",_xlfn.MAXIFS(VAE!$G$5:$G$96,VAE!$C$5:$C$96,$B42))</f>
        <v/>
      </c>
      <c r="AK42" s="449">
        <f t="array" ref="AK42">IFERROR(IF(AG42="Yes",INDEX(VAE!$P$5:$P$96,MATCH(B42&amp;AJ42,VAE!$C$5:$C$96&amp;VAE!$G$5:$G$96,0)),"-"),0)</f>
        <v/>
      </c>
      <c r="AL42" s="446">
        <f>IF($A42="","",IF(P42="No",0,(IF(AG42="Yes",MIN(AE42,AK42,AF42),MIN(AE42,AF42)))))</f>
        <v/>
      </c>
      <c r="AM42" s="1020" t="n"/>
      <c r="AN42" s="1020" t="n"/>
      <c r="AO42" s="1020">
        <f>IF(AND(D42="First Lien",P42="No"),0,IF(D42&lt;&gt;"First Lien",0,Y42))</f>
        <v/>
      </c>
      <c r="AP42" s="1020">
        <f>IF(AND(D42="First Lien",P42="No"),W42,0)</f>
        <v/>
      </c>
      <c r="AQ42" s="1020">
        <f>AL42*AO42</f>
        <v/>
      </c>
      <c r="AR42" s="1020" t="n"/>
      <c r="AS42" s="1020" t="n"/>
      <c r="AT42" s="1020" t="n"/>
      <c r="AU42" s="1020">
        <f>IF(AND(D42="FILO",P42="No"),0,IF(D42&lt;&gt;"FILO",0,Y42))</f>
        <v/>
      </c>
      <c r="AV42" s="1020">
        <f>IF(AND(D42="FILO",P42="No"),W42,0)</f>
        <v/>
      </c>
      <c r="AW42" s="1020">
        <f>AU42*AL42</f>
        <v/>
      </c>
      <c r="AX42" s="1020" t="n"/>
      <c r="AY42" s="1020" t="n"/>
      <c r="AZ42" s="1020" t="n"/>
      <c r="BA42" s="1020">
        <f>IF(AND(OR(D42="First Lien",D42="FILO"),P42="No"),0,IF(OR(D42="First Lien",D42="FILO"),0,(Y42)))</f>
        <v/>
      </c>
      <c r="BB42" s="1020" t="n"/>
      <c r="BC42" s="1020" t="n"/>
      <c r="BD42" s="1020">
        <f>IF(AND(D42="Second Lien",P42="No"),W42,0)</f>
        <v/>
      </c>
      <c r="BE42" s="1020" t="n"/>
      <c r="BF42" s="1020" t="n"/>
      <c r="BG42" s="1020" t="n"/>
      <c r="BH42" s="1020" t="n"/>
      <c r="BI42" s="1020">
        <f>IF(D42="Second Lien",BA42*AL42,0)</f>
        <v/>
      </c>
      <c r="BJ42" s="1020">
        <f>SUM(AM42:AP42)+SUM(AZ42:BD42)+SUM(AS42:AV42)=Y42</f>
        <v/>
      </c>
      <c r="BK42" s="1026">
        <f>INDEX('Loan Tape - Settled'!$B$4:$AP$55,MATCH($A42,'Loan Tape - Settled'!$E$4:$E$55,0),MATCH("Inception Date",'Loan Tape - Settled'!$B$4:$AP$4,0))</f>
        <v/>
      </c>
      <c r="BL42" s="1026">
        <f>INDEX('Loan Tape - Settled'!$B$4:$AP$55,MATCH($A42,'Loan Tape - Settled'!$E$4:$E$55,0),MATCH("Inclusion Date",'Loan Tape - Settled'!$B$4:$AP$4,0))</f>
        <v/>
      </c>
      <c r="BM42" s="1026">
        <f>INDEX('Loan Tape - Settled'!$B$4:$AP$55,MATCH($A42,'Loan Tape - Settled'!$E$4:$E$55,0),MATCH("Maturity Date",'Loan Tape - Settled'!$B$4:$AP$4,0))</f>
        <v/>
      </c>
      <c r="BN42" s="556" t="n"/>
      <c r="BO42" s="556" t="n"/>
      <c r="BP42" s="1055" t="n"/>
      <c r="BQ42" s="556" t="n"/>
      <c r="BR42" s="554">
        <f>INDEX('Loan Tape - Settled'!$B$4:$AP$55,MATCH($A42,'Loan Tape - Settled'!$E$4:$E$55,0),MATCH("Industry Classification",'Loan Tape - Settled'!$B$4:$AP$4,0))</f>
        <v/>
      </c>
      <c r="BS42" s="556">
        <f>IF(INDEX('Loan Tape - Settled'!$B$4:$AP$55,MATCH($A42,'Loan Tape - Settled'!$E$4:$E$55,0),MATCH("Covenant Lite",'Loan Tape - Settled'!$B$4:$AP$4,0))=-1, "Yes", "No")</f>
        <v/>
      </c>
      <c r="BT42" s="1056">
        <f>INDEX('Loan Tape - Settled'!$B$4:$AP$55,MATCH($A42,'Loan Tape - Settled'!$E$4:$E$55,0),MATCH("Spread / Coupon (%)",'Loan Tape - Settled'!$B$4:$AP$4,0))</f>
        <v/>
      </c>
      <c r="BU42" s="556">
        <f>IF(INDEX('Loan Tape - Settled'!$B$4:$AP$55,MATCH($A42,'Loan Tape - Settled'!$E$4:$E$55,0),MATCH("Security Type",'Loan Tape - Settled'!$B$4:$AP$4,0))="Delayed Draw Term Loan", "Yes", "No")</f>
        <v/>
      </c>
      <c r="BV42" s="557" t="inlineStr">
        <is>
          <t>No</t>
        </is>
      </c>
      <c r="BW42" s="557" t="inlineStr">
        <is>
          <t>No</t>
        </is>
      </c>
      <c r="BX42" s="548" t="inlineStr">
        <is>
          <t>No</t>
        </is>
      </c>
      <c r="BY42" s="556">
        <f>IF(INDEX('Loan Tape - Settled'!$B$4:$AP$55,MATCH($A42,'Loan Tape - Settled'!$E$4:$E$55,0),MATCH("Fixed/Floating",'Loan Tape - Settled'!$B$4:$AP$4,0))="Fixed", "Yes", "No")</f>
        <v/>
      </c>
      <c r="BZ42" s="557" t="inlineStr">
        <is>
          <t>No</t>
        </is>
      </c>
      <c r="CA42" s="557" t="inlineStr">
        <is>
          <t>No</t>
        </is>
      </c>
      <c r="CB42" s="556">
        <f>IF(INDEX('Loan Tape - Settled'!$B$4:$AP$55,MATCH($A42,'Loan Tape - Settled'!$E$4:$E$55,0),MATCH("Loan Denomination",'Loan Tape - Settled'!$B$4:$AP$4,0))="CAD", "Yes", "No")</f>
        <v/>
      </c>
      <c r="CC42" s="556">
        <f>INDEX('Loan Tape - Settled'!$B$4:$AP$55,MATCH($A42,'Loan Tape - Settled'!$E$4:$E$55,0),MATCH("Payment Frequency",'Loan Tape - Settled'!$B$4:$AP$4,0))</f>
        <v/>
      </c>
      <c r="CD42" s="557" t="inlineStr">
        <is>
          <t>No</t>
        </is>
      </c>
      <c r="CE42" s="556">
        <f>INDEX('Loan Tape - Settled'!$B$4:$AP$55,MATCH($A42,'Loan Tape - Settled'!$E$4:$E$55,0),MATCH("S&amp;P Loan Rating (if applicable)",'Loan Tape - Settled'!$B$4:$AP$4,0))</f>
        <v/>
      </c>
      <c r="CF42" s="556">
        <f>INDEX('Loan Tape - Settled'!$B$4:$AP$55,MATCH($A42,'Loan Tape - Settled'!$E$4:$E$55,0),MATCH("Moody's Loan Rating (if applicable)",'Loan Tape - Settled'!$B$4:$AP$4,0))</f>
        <v/>
      </c>
      <c r="CG42" s="556" t="n"/>
      <c r="CH42" s="556" t="n"/>
      <c r="CI42" s="1057" t="n"/>
      <c r="CJ42" s="1030">
        <f>INDEX('Loan Tape - Settled'!$B$4:$BF$55,MATCH($A42,'Loan Tape - Settled'!$E$4:$E$55,0),MATCH("Last Financial Received",'Loan Tape - Settled'!$B$4:$BF$4,0))</f>
        <v/>
      </c>
      <c r="CK42" s="559">
        <f>INDEX('Loan Tape - Settled'!$B$4:$BJ$55,MATCH($A42,'Loan Tape - Settled'!$E$4:$E$55,0),MATCH("Initial Adjusted TTM EBITDA",'Loan Tape - Settled'!$B$4:$BJ$4,0))</f>
        <v/>
      </c>
      <c r="CL42" s="559">
        <f>INDEX('Loan Tape - Settled'!$B$4:$BJ$55,MATCH($A42,'Loan Tape - Settled'!$E$4:$E$55,0),MATCH("Initial TTM Non-adjusted EBITDA",'Loan Tape - Settled'!$B$4:$BJ$4,0))</f>
        <v/>
      </c>
      <c r="CM42" s="1031" t="n"/>
      <c r="CN42" s="451" t="n"/>
      <c r="CO42" s="451" t="n"/>
      <c r="CP42" s="1032" t="n"/>
      <c r="CQ42" s="1033" t="inlineStr">
        <is>
          <t>N</t>
        </is>
      </c>
      <c r="CR42" s="1032" t="n"/>
      <c r="CS42" s="454">
        <f>CK42-CP42+CR42</f>
        <v/>
      </c>
      <c r="CT42" s="455">
        <f>1-CS42/CK42</f>
        <v/>
      </c>
      <c r="CU42" s="559">
        <f>INDEX('Loan Tape - Settled'!$B$4:$BJ$55,MATCH($A42,'Loan Tape - Settled'!$E$4:$E$55,0),MATCH("Current TTM Non-adjusted EBITDA",'Loan Tape - Settled'!$B$4:$BJ$4,0))</f>
        <v/>
      </c>
      <c r="CV42" s="456">
        <f>CT42</f>
        <v/>
      </c>
      <c r="CW42" s="1034" t="inlineStr">
        <is>
          <t>N</t>
        </is>
      </c>
      <c r="CX42" s="1035" t="n"/>
      <c r="CY42" s="1036">
        <f>IF(CW42="N",(1-CV42)*CU42,(1-CX42)*CU42)</f>
        <v/>
      </c>
      <c r="CZ42" s="1037" t="n"/>
      <c r="DA42" s="1038" t="n"/>
      <c r="DB42" s="1039" t="n"/>
      <c r="DC42" s="1040" t="n"/>
      <c r="DD42" s="1040">
        <f>INDEX('Loan Tape - Settled'!$B$4:$BJ$55,MATCH($A42,'Loan Tape - Settled'!$E$4:$E$55,0),MATCH("Initial Senior Net Leverage Senior",'Loan Tape - Settled'!$B$4:$BJ$4,0))</f>
        <v/>
      </c>
      <c r="DE42" s="1041">
        <f>INDEX('Loan Tape - Settled'!$B$4:$BJ$55,MATCH($A42,'Loan Tape - Settled'!$E$4:$E$55,0),MATCH("Initial Total Net Leverage",'Loan Tape - Settled'!$B$4:$BJ$4,0))</f>
        <v/>
      </c>
      <c r="DF42" s="1037" t="n"/>
      <c r="DG42" s="1038" t="n"/>
      <c r="DH42" s="1039" t="n"/>
      <c r="DI42" s="1042">
        <f>INDEX('Loan Tape - Settled'!$B$4:$BJ$55,MATCH($A42,'Loan Tape - Settled'!$E$4:$E$55,0),MATCH("Net Attachment",'Loan Tape - Settled'!$B$4:$BJ$4,0))</f>
        <v/>
      </c>
      <c r="DJ42" s="566">
        <f t="array" ref="DJ42">IF(AG42="Yes",INDEX(VAE!$M$5:$M$53,MATCH($B42&amp;$AJ42,VAE!$C$5:$C$53&amp;VAE!$G$5:$G$53,0)),DD42)</f>
        <v/>
      </c>
      <c r="DK42" s="697">
        <f t="array" ref="DK42">IF(AG42="Yes",INDEX(VAE!$N$5:$N$53,MATCH($B42&amp;$AJ42,VAE!$C$5:$C$53&amp;VAE!$G$5:$G$53,0)),DE42)</f>
        <v/>
      </c>
      <c r="DL42" s="1058">
        <f>INDEX('Loan Tape - Settled'!$B$4:$BJ$55,MATCH($A42,'Loan Tape - Settled'!$E$4:$E$55,0),MATCH("Current Senior Net Leverage Senior",'Loan Tape - Settled'!$B$4:$BJ$4,0))</f>
        <v/>
      </c>
      <c r="DM42" s="1059">
        <f>INDEX('Loan Tape - Settled'!$B$4:$BJ$55,MATCH($A42,'Loan Tape - Settled'!$E$4:$E$55,0),MATCH("Current Total Net Leverage",'Loan Tape - Settled'!$B$4:$BJ$4,0))</f>
        <v/>
      </c>
      <c r="DN42" s="1044" t="n"/>
      <c r="DO42" s="1045">
        <f>INDEX('Loan Tape - Settled'!$B$4:$BJ$55,MATCH($A42,'Loan Tape - Settled'!$E$4:$E$55,0),MATCH("Initial Interest Coverage",'Loan Tape - Settled'!$B$4:$BJ$4,0))</f>
        <v/>
      </c>
      <c r="DP42" s="565">
        <f t="array" ref="DP42">IF(AG42="Yes",INDEX(VAE!$O$5:$O$53,MATCH($B42&amp;$AJ42,VAE!$C$5:$C$53&amp;VAE!$G$5:$G$53,0)),DO42)</f>
        <v/>
      </c>
      <c r="DQ42" s="1046">
        <f>INDEX('Loan Tape - Settled'!$B$4:$BJ$55,MATCH($A42,'Loan Tape - Settled'!$E$4:$E$55,0),MATCH("Current Interest Coverage",'Loan Tape - Settled'!$B$4:$BJ$4,0))</f>
        <v/>
      </c>
      <c r="DR42" s="462">
        <f>IF(OR(DU42="Yes",DU42="N/A",DV42="Yes",DV42="N/A",DW42="Yes",DX42="Yes",DY42="Yes",EF42="Yes",EG42="Yes",EH42="Yes"),"Yes","No")</f>
        <v/>
      </c>
      <c r="DS42" s="1047">
        <f>IF(AG42="Yes",DATEDIF(AJ42,Availability!$F$8,"m"),"")</f>
        <v/>
      </c>
      <c r="DT42" s="1047">
        <f>IF(DS42="","No",IF(DS42&gt;12,"Yes","No"))</f>
        <v/>
      </c>
      <c r="DU42" s="695">
        <f>IFERROR(IF(AND(DQ42/DP42&lt;0.75,DQ42&lt;1.5),"Yes","No"),"N/A")</f>
        <v/>
      </c>
      <c r="DV42" s="696">
        <f>IFERROR(IF(OR(D42="First Lien",D42="FILO"),IF(AND((DL42-DJ42)&gt;0.75,DL42&gt;4),"Yes","No"),"No"),"N/A")</f>
        <v/>
      </c>
      <c r="DW42" s="696">
        <f t="array" ref="DW42">_xlfn.IFS(D42&lt;&gt;"Second Lien","No",D42="Second Lien",IF(AND((DM42-DK42)&gt;0.5,DM42&gt;4.5),"Yes","No"))</f>
        <v/>
      </c>
      <c r="DX42" s="735" t="inlineStr">
        <is>
          <t>No</t>
        </is>
      </c>
      <c r="DY42" s="735" t="inlineStr">
        <is>
          <t>No</t>
        </is>
      </c>
      <c r="DZ42" s="1048" t="inlineStr">
        <is>
          <t>No</t>
        </is>
      </c>
      <c r="EA42" s="1048" t="inlineStr">
        <is>
          <t>No</t>
        </is>
      </c>
      <c r="EB42" s="1048" t="inlineStr">
        <is>
          <t>No</t>
        </is>
      </c>
      <c r="EC42" s="1048" t="inlineStr">
        <is>
          <t>No</t>
        </is>
      </c>
      <c r="ED42" s="1048" t="inlineStr">
        <is>
          <t>No</t>
        </is>
      </c>
      <c r="EE42" s="1048" t="inlineStr">
        <is>
          <t>No</t>
        </is>
      </c>
      <c r="EF42" s="442">
        <f>IF(OR(DZ42="Yes",EA42="Yes",EB42="Yes",EC42="Yes",ED42="Yes",EE42="Yes"),"Yes","No")</f>
        <v/>
      </c>
      <c r="EG42" s="1048" t="inlineStr">
        <is>
          <t>No</t>
        </is>
      </c>
      <c r="EH42" s="1049" t="inlineStr">
        <is>
          <t>No</t>
        </is>
      </c>
      <c r="EI42" s="1050">
        <f t="array" ref="EI42">IF(D42="First Lien",_xlfn.IFS(CY42&gt;AGENT!$B$23, "&gt; $20MM",CY42&lt;=AGENT!$C$25, "&lt;= $10MM",AND(CY42&lt;=AGENT!$C$24,CY42&gt;AGENT!$B$24),"&lt;= $20MM"), "N/A")</f>
        <v/>
      </c>
      <c r="EJ42" s="1050">
        <f t="array" ref="EJ42">IF(D42="FILO",_xlfn.IFS(DI42&gt;AGENT!$B$29, "&gt; 1.25x",DI42&lt;AGENT!$C$27, "&lt; 0.75x",AND(DI42&lt;=AGENT!$C$28,DI42&gt;=AGENT!$B$28),"&lt;= 1.25x"), "N/A")</f>
        <v/>
      </c>
      <c r="EK42" s="1051">
        <f>V42</f>
        <v/>
      </c>
      <c r="EL42" s="1051">
        <f>'Concentration Limits'!$J$49</f>
        <v/>
      </c>
      <c r="EM42" s="1051">
        <f>IF(OR(D42="Second Lien",AND(D42="FILO",DI42&gt;AGENT!$C$57)), "Yes", "No")</f>
        <v/>
      </c>
      <c r="EN42" s="1051">
        <f>IF(EM42="Yes",SUMIF(EM:EM,"Yes",EK:EK),0)</f>
        <v/>
      </c>
      <c r="EO42" s="1051">
        <f>IF(EN42&gt;EL42,(EN42-EL42)*(EK42/SUMIF(EM:EM,"Yes",EK:EK)),0)</f>
        <v/>
      </c>
      <c r="EP42" s="1051">
        <f>MAX(0,EK42-EO42)</f>
        <v/>
      </c>
      <c r="EQ42" s="1051">
        <f>'Concentration Limits'!$J$50</f>
        <v/>
      </c>
      <c r="ER42" s="1051">
        <f>IF(D42="Second Lien",SUMIF(D:D,D42,EP:EP),0)</f>
        <v/>
      </c>
      <c r="ES42" s="1051">
        <f>MAX(0,(ER42-EQ42)*IFERROR((EP42/SUMIF($D:$D,D42,EP:EP )),0) )</f>
        <v/>
      </c>
      <c r="ET42" s="1051">
        <f>MAX(0,EP42-ES42)</f>
        <v/>
      </c>
      <c r="EU42" s="1051">
        <f>'Concentration Limits'!$J$51</f>
        <v/>
      </c>
      <c r="EV42" s="1051">
        <f>IF(OR(D42="Second Lien", AND(D42="FILO",DI42&gt;AGENT!$C$59)), "Yes", "No")</f>
        <v/>
      </c>
      <c r="EW42" s="1051">
        <f>IF(EV42="Yes",SUMIF(EV:EV,"Yes",ET:ET),0)</f>
        <v/>
      </c>
      <c r="EX42" s="1051">
        <f>IF(EW42&gt;EU42,(EW42-EU42)*(ET42/SUMIF(EV:EV,"Yes",ET:ET)),0)</f>
        <v/>
      </c>
      <c r="EY42" s="1051">
        <f>MAX(0,ET42-EX42)</f>
        <v/>
      </c>
      <c r="EZ42" s="1051">
        <f>'Concentration Limits'!$J$52</f>
        <v/>
      </c>
      <c r="FA42" s="1051">
        <f>IF(CY42&gt;'Concentration Limits'!$E$52, "No", "Yes")</f>
        <v/>
      </c>
      <c r="FB42" s="1051">
        <f>IF(FA42="Yes",SUMIF(FA:FA,"Yes",EY:EY),0)</f>
        <v/>
      </c>
      <c r="FC42" s="1051">
        <f>IF(FB42&gt;EZ42,(FB42-EZ42)*(EY42/SUMIF(FA:FA,"Yes",EY:EY)),0)</f>
        <v/>
      </c>
      <c r="FD42" s="1051">
        <f>MAX(0,EY42-FC42)</f>
        <v/>
      </c>
      <c r="FE42" s="1052">
        <f>'Concentration Limits'!$J$54</f>
        <v/>
      </c>
      <c r="FF42" s="1052">
        <f>'Concentration Limits'!$J$55</f>
        <v/>
      </c>
      <c r="FG42" s="1052">
        <f>'Concentration Limits'!$J$56</f>
        <v/>
      </c>
      <c r="FH42" s="1053">
        <f>'Concentration Limits'!$J$57</f>
        <v/>
      </c>
      <c r="FI42" s="1053">
        <f>SUMIF($B:$B,$B42,$FD:$FD)</f>
        <v/>
      </c>
      <c r="FJ42" s="1053">
        <f>IF(MATCH($B42,$B:$B,0)=ROW(),$FI42,0)</f>
        <v/>
      </c>
      <c r="FK42" s="1053">
        <f>INDEX(FL$8:FL$60,MATCH(B42,B$8:B$60,0))</f>
        <v/>
      </c>
      <c r="FL42" s="1053">
        <f>IF(FJ42&gt;0,RANK(FJ42,$FJ$9:$FJ$60)+COUNTIF($FJ$9:FJ42,FJ42)-1,0)</f>
        <v/>
      </c>
      <c r="FM42" s="1052">
        <f>IF(FK42=1,IF(FI42&gt;FE42,(FI42-FE42)*(V42/SUMIF($B:$B,B42,$FD:$FD)),0),0)</f>
        <v/>
      </c>
      <c r="FN42" s="1052">
        <f>IF(FK42=2,IF(FI42&gt;FF42,(FI42-FF42)*(V42/SUMIF($B:$B,B42,$FD:$FD)),0),0)</f>
        <v/>
      </c>
      <c r="FO42" s="1052">
        <f>IF(FK42=3,IF(FI42&gt;FG42,(FI42-FG42)*(V42/SUMIF($B:$B,B42,$FD:$FD)),0),0)</f>
        <v/>
      </c>
      <c r="FP42" s="1053">
        <f>IF(FK42&gt;0,IF(FI42&gt;FH42,(FI42-FH42)*(FD42/(SUMIF($B:$B,$B42,$FD:$FD))),0),0)</f>
        <v/>
      </c>
      <c r="FQ42" s="1053">
        <f>MAX(0,FD42-FM42-FN42-FO42-FP42)</f>
        <v/>
      </c>
      <c r="FR42" s="1053">
        <f>'Concentration Limits'!$J$58</f>
        <v/>
      </c>
      <c r="FS42" s="1053">
        <f>SUMIF($BR:$BR,$BR42,FQ:FQ)</f>
        <v/>
      </c>
      <c r="FT42" s="1053">
        <f>VLOOKUP(BR42,'Concentration Limits'!$E$81:$H$153,4,FALSE)</f>
        <v/>
      </c>
      <c r="FU42" s="1053">
        <f>IF(FT42=1,MAX(0,(FS42-FR42)*(FQ42/SUMIF($BR:$BR,BR42,FQ:FQ))),0)</f>
        <v/>
      </c>
      <c r="FV42" s="1053">
        <f>MAX(0,FQ42-FU42)</f>
        <v/>
      </c>
      <c r="FW42" s="1053">
        <f>'Concentration Limits'!$J$59</f>
        <v/>
      </c>
      <c r="FX42" s="1053">
        <f>SUMIF($BR:$BR,$BR42,FV:FV)</f>
        <v/>
      </c>
      <c r="FY42" s="1053">
        <f>VLOOKUP(BR42,'Concentration Limits'!$E$81:$H$153,4,FALSE)</f>
        <v/>
      </c>
      <c r="FZ42" s="1053">
        <f>MAX(0,IF(FY42=2,(FX42-FW42)*(FV42/SUMIF($BR:$BR,BR42,FV:FV)),0))</f>
        <v/>
      </c>
      <c r="GA42" s="1053">
        <f>MAX(0,FV42-FZ42)</f>
        <v/>
      </c>
      <c r="GB42" s="1053">
        <f>'Concentration Limits'!$J$61</f>
        <v/>
      </c>
      <c r="GC42" s="1053">
        <f>SUMIF($BR:$BR,$BR42,GA:GA)</f>
        <v/>
      </c>
      <c r="GD42" s="1051">
        <f>VLOOKUP(BR42,'Concentration Limits'!$E$81:$H$153,4,FALSE)</f>
        <v/>
      </c>
      <c r="GE42" s="1053">
        <f>IF(GA42=0,0,MAX(0,IF(GD42&lt;3,0,(GC42-GB42)*($GA42/SUMIF($BR:$BR,BR42,GA:GA)))))</f>
        <v/>
      </c>
      <c r="GF42" s="1053">
        <f>MAX(0,GA42-GE42)</f>
        <v/>
      </c>
      <c r="GG42" s="1053">
        <f>'Concentration Limits'!$J$64</f>
        <v/>
      </c>
      <c r="GH42" s="1053">
        <f>IF(BY42="Yes",SUMIF(BY:BY,BY42,GF:GF),0)</f>
        <v/>
      </c>
      <c r="GI42" s="1053">
        <f>IFERROR(MAX(0,(GH42-GG42)*(GF42/SUMIF($T:$T,T42,GF:GF ))),0)</f>
        <v/>
      </c>
      <c r="GJ42" s="1053">
        <f>MAX(0,GF42-GI42)</f>
        <v/>
      </c>
      <c r="GK42" s="1053">
        <f>'Concentration Limits'!$J$67</f>
        <v/>
      </c>
      <c r="GL42" s="1051">
        <f>IF(OR(BV42="Yes",OR(ISNUMBER(SEARCH("Travel",BR42)),ISNUMBER(SEARCH("Energy",BR42)),ISNUMBER(SEARCH("Leisure",BR42)),ISNUMBER(SEARCH("hotel",BR42)))),"Yes","No")</f>
        <v/>
      </c>
      <c r="GM42" s="1053">
        <f>IF(GL42="Yes",SUMIF(GL:GL,"Yes",GJ:GJ),0)</f>
        <v/>
      </c>
      <c r="GN42" s="1053">
        <f>IF(GM42&gt;GK42,(GM42-GK42)*(GJ42/SUMIF(GL:GL,"Yes",GJ:GJ)),0)</f>
        <v/>
      </c>
      <c r="GO42" s="1053">
        <f>MAX(0,GJ42-GN42)</f>
        <v/>
      </c>
      <c r="GP42" s="1053">
        <f>'Concentration Limits'!$J$68</f>
        <v/>
      </c>
      <c r="GQ42" s="1051">
        <f>IF(BU42="Yes","Yes", "No")</f>
        <v/>
      </c>
      <c r="GR42" s="1053">
        <f>IF(GQ42="Yes",SUMIF(GQ:GQ,"Yes",GO:GO),0)</f>
        <v/>
      </c>
      <c r="GS42" s="1053">
        <f>IF(GR42&gt;GP42,(GR42-GP42)*(GO42/SUMIF(GQ:GQ,"Yes",GO:GO)),0)</f>
        <v/>
      </c>
      <c r="GT42" s="1053">
        <f>MAX(0,GO42-GS42)</f>
        <v/>
      </c>
      <c r="GU42" s="1051">
        <f>'Concentration Limits'!$J$69</f>
        <v/>
      </c>
      <c r="GV42" s="1051">
        <f>IF(BW42="Yes", "Yes", "No")</f>
        <v/>
      </c>
      <c r="GW42" s="1051">
        <f>IF(GV42="Yes",SUMIF(GV:GV,"Yes",GT:GT),0)</f>
        <v/>
      </c>
      <c r="GX42" s="1051">
        <f>IF(GW42&gt;GU42,(GW42-GU42)*(GT42/SUMIF(GV:GV,"Yes",GT:GT)),0)</f>
        <v/>
      </c>
      <c r="GY42" s="1051">
        <f>MAX(0,GT42-GX42)</f>
        <v/>
      </c>
      <c r="GZ42" s="1051">
        <f>'Concentration Limits'!$J$70</f>
        <v/>
      </c>
      <c r="HA42" s="1051">
        <f>IF(BX42="Yes", "Yes", "No")</f>
        <v/>
      </c>
      <c r="HB42" s="1051">
        <f>IF(HA42="Yes",SUMIF(HA:HA,"Yes",GY:GY),0)</f>
        <v/>
      </c>
      <c r="HC42" s="1051">
        <f>IF(HB42&gt;GZ42,(HB42-GZ42)*(GY42/SUMIF(HA:HA,"Yes",GY:GY)),0)</f>
        <v/>
      </c>
      <c r="HD42" s="1051">
        <f>MAX(0,GY42-HC42)</f>
        <v/>
      </c>
      <c r="HE42" s="1053">
        <f>IF(AQ42=0,0,HD42*AQ42/(AQ42+AR42))</f>
        <v/>
      </c>
      <c r="HF42" s="1053">
        <f>IF(AR42=0,0,HD42*AR42/(AQ42+AR42))</f>
        <v/>
      </c>
      <c r="HG42" s="1053">
        <f>IF(AW42=0,0,HD42*AW42/(AW42+AX42))</f>
        <v/>
      </c>
      <c r="HH42" s="1053">
        <f>IF(AX42=0,0,HD42*AX42/(AX42+AW42))</f>
        <v/>
      </c>
      <c r="HI42" s="1053">
        <f>IF(BE42=0,0,#REF!*BE42/(BE42+BG42))</f>
        <v/>
      </c>
      <c r="HJ42" s="1053">
        <f>IF(BG42=0,0,#REF!*BG42/(BG42+BE42))</f>
        <v/>
      </c>
      <c r="HK42" s="1054">
        <f>IF(BF42=0,0,#REF!*BF42/(BF42+BH42))</f>
        <v/>
      </c>
      <c r="HL42" s="1053">
        <f>IF(BH42=0,0,#REF!*BH42/(BH42+BF42))</f>
        <v/>
      </c>
      <c r="HM42" s="1053">
        <f>IF(D42="Second Lien",HD42,0)</f>
        <v/>
      </c>
      <c r="HN42" s="1053">
        <f>SUM(HE42:HM42)=HD42</f>
        <v/>
      </c>
    </row>
    <row r="43" ht="12.75" customFormat="1" customHeight="1" s="469">
      <c r="A43" s="55">
        <f>A42+1</f>
        <v/>
      </c>
      <c r="B43" s="437">
        <f>INDEX('Loan Tape - Settled'!$B$4:$AP$55,MATCH($A43,'Loan Tape - Settled'!$E$4:$E$55,0),MATCH("Obligor Name",'Loan Tape - Settled'!$B$4:$AM$4,0))</f>
        <v/>
      </c>
      <c r="C43" s="437">
        <f>INDEX('Loan Tape - Settled'!$B$4:$AP$55,MATCH($A43,'Loan Tape - Settled'!$E$4:$E$55,0),MATCH("Security",'Loan Tape - Settled'!$B$4:$AM$4,0))</f>
        <v/>
      </c>
      <c r="D43" s="438">
        <f>INDEX('Loan Tape - Settled'!$B$4:$AP$55,MATCH($A43,'Loan Tape - Settled'!$E$4:$E$55,0),MATCH("Loan Type",'Loan Tape - Settled'!$B$4:$AM$4,0))</f>
        <v/>
      </c>
      <c r="E43" s="439">
        <f>IF(ISERROR(MATCH(D43,AGENT!$A$4:$A$10,0))=FALSE, TRUE)</f>
        <v/>
      </c>
      <c r="F43" s="439">
        <f>IF(AND(BZ43="no",CA43="no"),TRUE)</f>
        <v/>
      </c>
      <c r="G43" s="439">
        <f>IF(D43&lt;&gt;"Second Lien",TRUE, IF(CY43&gt;=AGENT!$B$4,TRUE))</f>
        <v/>
      </c>
      <c r="H43" s="439">
        <f>IF(DE43&lt;=AGENT!$D$4,TRUE)</f>
        <v/>
      </c>
      <c r="I43" s="439">
        <f>IF(VLOOKUP(CONCATENATE($A$5,A43),'Loan Tape - Settled'!$A$5:$Q$55,17,FALSE)&gt;=AGENT!$E$4,TRUE)</f>
        <v/>
      </c>
      <c r="J43" s="439">
        <f>IF(INDEX('Loan Tape - Settled'!$B$4:$AP$55,MATCH($A43,'Loan Tape - Settled'!$E$4:$E$55,0),MATCH("Loan Denomination",'Loan Tape - Settled'!$B$4:$AP$4,0))="USD", TRUE)</f>
        <v/>
      </c>
      <c r="K43" s="439">
        <f>IF(INDEX('Loan Tape - Settled'!$B$4:$AP$55,MATCH($A43,'Loan Tape - Settled'!$E$4:$E$55,0),MATCH("Exposure Country",'Loan Tape - Settled'!$B$4:$AP$4,0))="United States", TRUE)</f>
        <v/>
      </c>
      <c r="L43" s="439">
        <f>IF(BS43="NO",TRUE)</f>
        <v/>
      </c>
      <c r="M43" s="439">
        <f>IF(((BM43-BL43)/365)&lt;=AGENT!$F$4,TRUE)</f>
        <v/>
      </c>
      <c r="N43" s="439">
        <f>IF(DX43="Yes",FALSE,TRUE)</f>
        <v/>
      </c>
      <c r="O43" s="493" t="n"/>
      <c r="P43" s="764">
        <f>IF($B43="","",IF(OR(O43=TRUE,COUNTIFS($E43:$N43,TRUE)=10),"Yes","No"))</f>
        <v/>
      </c>
      <c r="Q43" s="730" t="inlineStr">
        <is>
          <t>Yes</t>
        </is>
      </c>
      <c r="R43" s="440">
        <f>IF(P43="Yes",B43,"N/A")</f>
        <v/>
      </c>
      <c r="S43" s="440" t="n"/>
      <c r="T43" s="441">
        <f t="array" ref="T43">_xlfn.IFS(D43="Second Lien",D43,D43="First Lien",CONCATENATE(D43," ",EI43),D43="FILO",CONCATENATE(D43," ",EJ43))</f>
        <v/>
      </c>
      <c r="U43" s="442">
        <f>VLOOKUP(T43,'Concentration Limits'!D:G,4,FALSE)</f>
        <v/>
      </c>
      <c r="V43" s="1020">
        <f>AQ43+AW43+BI43</f>
        <v/>
      </c>
      <c r="W43" s="1021">
        <f>(SUMIFS('Loan Tape - Settled'!$AR$4:$AR$55,'Loan Tape - Settled'!$E$4:$E$55,$A43,'Loan Tape - Settled'!$C$4:$C$55,$A$5))</f>
        <v/>
      </c>
      <c r="X43" s="1022" t="n">
        <v>1</v>
      </c>
      <c r="Y43" s="1023">
        <f>W43*X43</f>
        <v/>
      </c>
      <c r="Z43" s="1022">
        <f>(SUMIFS('Loan Tape - Settled'!$AQ$4:$AQ$55,'Loan Tape - Settled'!$E$4:$E$55,$A43,'Loan Tape - Settled'!$C$4:$C$55,$A$5))</f>
        <v/>
      </c>
      <c r="AA43" s="1023">
        <f>Z43*X43</f>
        <v/>
      </c>
      <c r="AB43" s="1023">
        <f>AA43-Y43</f>
        <v/>
      </c>
      <c r="AC43" s="490">
        <f>VLOOKUP(CONCATENATE($A$5,A43),'Loan Tape - Settled'!$A$5:$Q$55,17,FALSE)</f>
        <v/>
      </c>
      <c r="AD43" s="445" t="n"/>
      <c r="AE43" s="446">
        <f>INDEX('Loan Tape - Settled'!$B$4:$AP$55,MATCH($A43,'Loan Tape - Settled'!$E$4:$E$55,0),MATCH("FMV",'Loan Tape - Settled'!$B$4:$AM$4,0))</f>
        <v/>
      </c>
      <c r="AF43" s="446">
        <f t="array" ref="AF43">_xlfn.IFS(D43="First Lien",
_xlfn.IFS(AND(DL43&gt;0,DL43&lt;Tier_1_1L),Tier_1_ApplicableValue,
AND(DL43&gt;=Tier_1_1L,DL43&lt;Tier_2_1L),((Tier_1_1L/DL43)*Tier_1_ApplicableValue)+((DL43-Tier_1_1L)/DL43*Tier_2_ApplicableValue),
AND(DL43&gt;=Tier_2_1L, DL43&lt;Tier_3_1L),((Tier_1_1L/DL43)*Tier_1_ApplicableValue+(Tier_2_1L-Tier_1_1L)/DL43*Tier_2_ApplicableValue+(DL43-Tier_2_1L)/DL43*Tier_3_ApplicableValue),
AND(DL43&gt;=Tier_3_1L, DL43&lt;=Tier_totalzerovalue),((Tier_1_1L/DL43)*Tier_1_ApplicableValue+(Tier_2_1L-Tier_1_1L)/DL43*Tier_2_ApplicableValue+(Tier_3_1L-Tier_2_1L)/DL43*Tier_3_ApplicableValue+(DL43-Tier_partialzerovalue)/DL43*0%),
DL43&gt;Tier_totalzerovalue,0%),
OR(D43="Second Lien", D43="FILO"),
_xlfn.IFS(AND(DM43&gt;0,DM43&lt;Tier_1_2L),Tier_1_ApplicableValue,
AND(DM43&gt;=Tier_1_2L,DM43&lt;Tier_2_2L),((Tier_1_2L/DM43)*Tier_1_ApplicableValue)+((DM43-Tier_1_2L)/DM43*Tier_2_ApplicableValue),
AND(DM43&gt;=Tier_2_2L, DM43&lt;Tier_3_2L),((Tier_1_2L/DM43)*Tier_1_ApplicableValue+(Tier_2_2L-Tier_1_2L)/DM43*Tier_2_ApplicableValue+(DM43-Tier_2_2L)/DM43*Tier_3_ApplicableValue),
AND(DM43&gt;=Tier_3_2L, DM43&lt;=Tier_totalzerovalue),((Tier_1_2L/DM43)*Tier_1_ApplicableValue+(Tier_2_2L-Tier_1_2L)/DM43*Tier_2_ApplicableValue+(Tier_3_2L-Tier_2_2L)/DM43*Tier_3_ApplicableValue+(DM43-Tier_partialzerovalue)/DM43*0%),
DM43&gt;Tier_totalzerovalue,0%))</f>
        <v/>
      </c>
      <c r="AG43" s="447">
        <f>IF(COUNTIFS(VAE!$C$5:$C$96,B43,VAE!$G$5:$G$96,"&lt;="&amp;Availability!$F$8)&gt;=1,"Yes","-")</f>
        <v/>
      </c>
      <c r="AH43" s="447">
        <f t="array" ref="AH43">IFERROR(IF(AG43="Yes",INDEX(VAE!$D$5:$D$96,MATCH(B43&amp;AJ43,VAE!$C$5:$C$96&amp;VAE!$G$5:$G$96,0)),"-"),0)</f>
        <v/>
      </c>
      <c r="AI43" s="447">
        <f t="array" ref="AI43">IFERROR(IF(AG43="Yes",INDEX(VAE!$F$5:$F$96,MATCH(B43&amp;AJ43,VAE!$C$5:$C$96&amp;VAE!$G$5:$G$96,0)),"-"),0)</f>
        <v/>
      </c>
      <c r="AJ43" s="448">
        <f>IF(AG43="-","-",_xlfn.MAXIFS(VAE!$G$5:$G$96,VAE!$C$5:$C$96,$B43))</f>
        <v/>
      </c>
      <c r="AK43" s="449">
        <f t="array" ref="AK43">IFERROR(IF(AG43="Yes",INDEX(VAE!$P$5:$P$96,MATCH(B43&amp;AJ43,VAE!$C$5:$C$96&amp;VAE!$G$5:$G$96,0)),"-"),0)</f>
        <v/>
      </c>
      <c r="AL43" s="446">
        <f>IF($A43="","",IF(P43="No",0,(IF(AG43="Yes",MIN(AE43,AK43,AF43),MIN(AE43,AF43)))))</f>
        <v/>
      </c>
      <c r="AM43" s="1020" t="n"/>
      <c r="AN43" s="1020" t="n"/>
      <c r="AO43" s="1020">
        <f>IF(AND(D43="First Lien",P43="No"),0,IF(D43&lt;&gt;"First Lien",0,Y43))</f>
        <v/>
      </c>
      <c r="AP43" s="1020">
        <f>IF(AND(D43="First Lien",P43="No"),W43,0)</f>
        <v/>
      </c>
      <c r="AQ43" s="1020">
        <f>AL43*AO43</f>
        <v/>
      </c>
      <c r="AR43" s="1020" t="n"/>
      <c r="AS43" s="1020" t="n"/>
      <c r="AT43" s="1020" t="n"/>
      <c r="AU43" s="1020">
        <f>IF(AND(D43="FILO",P43="No"),0,IF(D43&lt;&gt;"FILO",0,Y43))</f>
        <v/>
      </c>
      <c r="AV43" s="1020">
        <f>IF(AND(D43="FILO",P43="No"),W43,0)</f>
        <v/>
      </c>
      <c r="AW43" s="1020">
        <f>AU43*AL43</f>
        <v/>
      </c>
      <c r="AX43" s="1020" t="n"/>
      <c r="AY43" s="1020" t="n"/>
      <c r="AZ43" s="1020" t="n"/>
      <c r="BA43" s="1020">
        <f>IF(AND(OR(D43="First Lien",D43="FILO"),P43="No"),0,IF(OR(D43="First Lien",D43="FILO"),0,(Y43)))</f>
        <v/>
      </c>
      <c r="BB43" s="1020" t="n"/>
      <c r="BC43" s="1020" t="n"/>
      <c r="BD43" s="1020">
        <f>IF(AND(D43="Second Lien",P43="No"),W43,0)</f>
        <v/>
      </c>
      <c r="BE43" s="1020" t="n"/>
      <c r="BF43" s="1020" t="n"/>
      <c r="BG43" s="1020" t="n"/>
      <c r="BH43" s="1020" t="n"/>
      <c r="BI43" s="1020">
        <f>IF(D43="Second Lien",BA43*AL43,0)</f>
        <v/>
      </c>
      <c r="BJ43" s="1020">
        <f>SUM(AM43:AP43)+SUM(AZ43:BD43)+SUM(AS43:AV43)=Y43</f>
        <v/>
      </c>
      <c r="BK43" s="1026">
        <f>INDEX('Loan Tape - Settled'!$B$4:$AP$55,MATCH($A43,'Loan Tape - Settled'!$E$4:$E$55,0),MATCH("Inception Date",'Loan Tape - Settled'!$B$4:$AP$4,0))</f>
        <v/>
      </c>
      <c r="BL43" s="1026">
        <f>INDEX('Loan Tape - Settled'!$B$4:$AP$55,MATCH($A43,'Loan Tape - Settled'!$E$4:$E$55,0),MATCH("Inclusion Date",'Loan Tape - Settled'!$B$4:$AP$4,0))</f>
        <v/>
      </c>
      <c r="BM43" s="1026">
        <f>INDEX('Loan Tape - Settled'!$B$4:$AP$55,MATCH($A43,'Loan Tape - Settled'!$E$4:$E$55,0),MATCH("Maturity Date",'Loan Tape - Settled'!$B$4:$AP$4,0))</f>
        <v/>
      </c>
      <c r="BN43" s="556" t="n"/>
      <c r="BO43" s="556" t="n"/>
      <c r="BP43" s="1055" t="n"/>
      <c r="BQ43" s="556" t="n"/>
      <c r="BR43" s="554">
        <f>INDEX('Loan Tape - Settled'!$B$4:$AP$55,MATCH($A43,'Loan Tape - Settled'!$E$4:$E$55,0),MATCH("Industry Classification",'Loan Tape - Settled'!$B$4:$AP$4,0))</f>
        <v/>
      </c>
      <c r="BS43" s="556">
        <f>IF(INDEX('Loan Tape - Settled'!$B$4:$AP$55,MATCH($A43,'Loan Tape - Settled'!$E$4:$E$55,0),MATCH("Covenant Lite",'Loan Tape - Settled'!$B$4:$AP$4,0))=-1, "Yes", "No")</f>
        <v/>
      </c>
      <c r="BT43" s="1056">
        <f>INDEX('Loan Tape - Settled'!$B$4:$AP$55,MATCH($A43,'Loan Tape - Settled'!$E$4:$E$55,0),MATCH("Spread / Coupon (%)",'Loan Tape - Settled'!$B$4:$AP$4,0))</f>
        <v/>
      </c>
      <c r="BU43" s="556">
        <f>IF(INDEX('Loan Tape - Settled'!$B$4:$AP$55,MATCH($A43,'Loan Tape - Settled'!$E$4:$E$55,0),MATCH("Security Type",'Loan Tape - Settled'!$B$4:$AP$4,0))="Delayed Draw Term Loan", "Yes", "No")</f>
        <v/>
      </c>
      <c r="BV43" s="557" t="inlineStr">
        <is>
          <t>No</t>
        </is>
      </c>
      <c r="BW43" s="557" t="inlineStr">
        <is>
          <t>No</t>
        </is>
      </c>
      <c r="BX43" s="548" t="inlineStr">
        <is>
          <t>No</t>
        </is>
      </c>
      <c r="BY43" s="556">
        <f>IF(INDEX('Loan Tape - Settled'!$B$4:$AP$55,MATCH($A43,'Loan Tape - Settled'!$E$4:$E$55,0),MATCH("Fixed/Floating",'Loan Tape - Settled'!$B$4:$AP$4,0))="Fixed", "Yes", "No")</f>
        <v/>
      </c>
      <c r="BZ43" s="557" t="inlineStr">
        <is>
          <t>No</t>
        </is>
      </c>
      <c r="CA43" s="557" t="inlineStr">
        <is>
          <t>No</t>
        </is>
      </c>
      <c r="CB43" s="556">
        <f>IF(INDEX('Loan Tape - Settled'!$B$4:$AP$55,MATCH($A43,'Loan Tape - Settled'!$E$4:$E$55,0),MATCH("Loan Denomination",'Loan Tape - Settled'!$B$4:$AP$4,0))="CAD", "Yes", "No")</f>
        <v/>
      </c>
      <c r="CC43" s="556">
        <f>INDEX('Loan Tape - Settled'!$B$4:$AP$55,MATCH($A43,'Loan Tape - Settled'!$E$4:$E$55,0),MATCH("Payment Frequency",'Loan Tape - Settled'!$B$4:$AP$4,0))</f>
        <v/>
      </c>
      <c r="CD43" s="557" t="inlineStr">
        <is>
          <t>No</t>
        </is>
      </c>
      <c r="CE43" s="556">
        <f>INDEX('Loan Tape - Settled'!$B$4:$AP$55,MATCH($A43,'Loan Tape - Settled'!$E$4:$E$55,0),MATCH("S&amp;P Loan Rating (if applicable)",'Loan Tape - Settled'!$B$4:$AP$4,0))</f>
        <v/>
      </c>
      <c r="CF43" s="556">
        <f>INDEX('Loan Tape - Settled'!$B$4:$AP$55,MATCH($A43,'Loan Tape - Settled'!$E$4:$E$55,0),MATCH("Moody's Loan Rating (if applicable)",'Loan Tape - Settled'!$B$4:$AP$4,0))</f>
        <v/>
      </c>
      <c r="CG43" s="556" t="n"/>
      <c r="CH43" s="556" t="n"/>
      <c r="CI43" s="1057" t="n"/>
      <c r="CJ43" s="1030">
        <f>INDEX('Loan Tape - Settled'!$B$4:$BF$55,MATCH($A43,'Loan Tape - Settled'!$E$4:$E$55,0),MATCH("Last Financial Received",'Loan Tape - Settled'!$B$4:$BF$4,0))</f>
        <v/>
      </c>
      <c r="CK43" s="559">
        <f>INDEX('Loan Tape - Settled'!$B$4:$BJ$55,MATCH($A43,'Loan Tape - Settled'!$E$4:$E$55,0),MATCH("Initial Adjusted TTM EBITDA",'Loan Tape - Settled'!$B$4:$BJ$4,0))</f>
        <v/>
      </c>
      <c r="CL43" s="559">
        <f>INDEX('Loan Tape - Settled'!$B$4:$BJ$55,MATCH($A43,'Loan Tape - Settled'!$E$4:$E$55,0),MATCH("Initial TTM Non-adjusted EBITDA",'Loan Tape - Settled'!$B$4:$BJ$4,0))</f>
        <v/>
      </c>
      <c r="CM43" s="1031" t="n"/>
      <c r="CN43" s="451" t="n"/>
      <c r="CO43" s="451" t="n"/>
      <c r="CP43" s="1032" t="n"/>
      <c r="CQ43" s="1033" t="inlineStr">
        <is>
          <t>N</t>
        </is>
      </c>
      <c r="CR43" s="1032" t="n"/>
      <c r="CS43" s="454">
        <f>CK43-CP43+CR43</f>
        <v/>
      </c>
      <c r="CT43" s="455">
        <f>1-CS43/CK43</f>
        <v/>
      </c>
      <c r="CU43" s="559">
        <f>INDEX('Loan Tape - Settled'!$B$4:$BJ$55,MATCH($A43,'Loan Tape - Settled'!$E$4:$E$55,0),MATCH("Current TTM Non-adjusted EBITDA",'Loan Tape - Settled'!$B$4:$BJ$4,0))</f>
        <v/>
      </c>
      <c r="CV43" s="456">
        <f>CT43</f>
        <v/>
      </c>
      <c r="CW43" s="1034" t="inlineStr">
        <is>
          <t>N</t>
        </is>
      </c>
      <c r="CX43" s="1035" t="n"/>
      <c r="CY43" s="1036">
        <f>IF(CW43="N",(1-CV43)*CU43,(1-CX43)*CU43)</f>
        <v/>
      </c>
      <c r="CZ43" s="1037" t="n"/>
      <c r="DA43" s="1038" t="n"/>
      <c r="DB43" s="1039" t="n"/>
      <c r="DC43" s="1040" t="n"/>
      <c r="DD43" s="1040">
        <f>INDEX('Loan Tape - Settled'!$B$4:$BJ$55,MATCH($A43,'Loan Tape - Settled'!$E$4:$E$55,0),MATCH("Initial Senior Net Leverage Senior",'Loan Tape - Settled'!$B$4:$BJ$4,0))</f>
        <v/>
      </c>
      <c r="DE43" s="1041">
        <f>INDEX('Loan Tape - Settled'!$B$4:$BJ$55,MATCH($A43,'Loan Tape - Settled'!$E$4:$E$55,0),MATCH("Initial Total Net Leverage",'Loan Tape - Settled'!$B$4:$BJ$4,0))</f>
        <v/>
      </c>
      <c r="DF43" s="1037" t="n"/>
      <c r="DG43" s="1038" t="n"/>
      <c r="DH43" s="1039" t="n"/>
      <c r="DI43" s="1042">
        <f>INDEX('Loan Tape - Settled'!$B$4:$BJ$55,MATCH($A43,'Loan Tape - Settled'!$E$4:$E$55,0),MATCH("Net Attachment",'Loan Tape - Settled'!$B$4:$BJ$4,0))</f>
        <v/>
      </c>
      <c r="DJ43" s="566">
        <f t="array" ref="DJ43">IF(AG43="Yes",INDEX(VAE!$M$5:$M$53,MATCH($B43&amp;$AJ43,VAE!$C$5:$C$53&amp;VAE!$G$5:$G$53,0)),DD43)</f>
        <v/>
      </c>
      <c r="DK43" s="697">
        <f t="array" ref="DK43">IF(AG43="Yes",INDEX(VAE!$N$5:$N$53,MATCH($B43&amp;$AJ43,VAE!$C$5:$C$53&amp;VAE!$G$5:$G$53,0)),DE43)</f>
        <v/>
      </c>
      <c r="DL43" s="1058">
        <f>INDEX('Loan Tape - Settled'!$B$4:$BJ$55,MATCH($A43,'Loan Tape - Settled'!$E$4:$E$55,0),MATCH("Current Senior Net Leverage Senior",'Loan Tape - Settled'!$B$4:$BJ$4,0))</f>
        <v/>
      </c>
      <c r="DM43" s="1059">
        <f>INDEX('Loan Tape - Settled'!$B$4:$BJ$55,MATCH($A43,'Loan Tape - Settled'!$E$4:$E$55,0),MATCH("Current Total Net Leverage",'Loan Tape - Settled'!$B$4:$BJ$4,0))</f>
        <v/>
      </c>
      <c r="DN43" s="1044" t="n"/>
      <c r="DO43" s="1045">
        <f>INDEX('Loan Tape - Settled'!$B$4:$BJ$55,MATCH($A43,'Loan Tape - Settled'!$E$4:$E$55,0),MATCH("Initial Interest Coverage",'Loan Tape - Settled'!$B$4:$BJ$4,0))</f>
        <v/>
      </c>
      <c r="DP43" s="565">
        <f t="array" ref="DP43">IF(AG43="Yes",INDEX(VAE!$O$5:$O$53,MATCH($B43&amp;$AJ43,VAE!$C$5:$C$53&amp;VAE!$G$5:$G$53,0)),DO43)</f>
        <v/>
      </c>
      <c r="DQ43" s="1046">
        <f>INDEX('Loan Tape - Settled'!$B$4:$BJ$55,MATCH($A43,'Loan Tape - Settled'!$E$4:$E$55,0),MATCH("Current Interest Coverage",'Loan Tape - Settled'!$B$4:$BJ$4,0))</f>
        <v/>
      </c>
      <c r="DR43" s="462">
        <f>IF(OR(DU43="Yes",DU43="N/A",DV43="Yes",DV43="N/A",DW43="Yes",DX43="Yes",DY43="Yes",EF43="Yes",EG43="Yes",EH43="Yes"),"Yes","No")</f>
        <v/>
      </c>
      <c r="DS43" s="1047">
        <f>IF(AG43="Yes",DATEDIF(AJ43,Availability!$F$8,"m"),"")</f>
        <v/>
      </c>
      <c r="DT43" s="1047">
        <f>IF(DS43="","No",IF(DS43&gt;12,"Yes","No"))</f>
        <v/>
      </c>
      <c r="DU43" s="695">
        <f>IFERROR(IF(AND(DQ43/DP43&lt;0.75,DQ43&lt;1.5),"Yes","No"),"N/A")</f>
        <v/>
      </c>
      <c r="DV43" s="696">
        <f>IFERROR(IF(OR(D43="First Lien",D43="FILO"),IF(AND((DL43-DJ43)&gt;0.75,DL43&gt;4),"Yes","No"),"No"),"N/A")</f>
        <v/>
      </c>
      <c r="DW43" s="696">
        <f t="array" ref="DW43">_xlfn.IFS(D43&lt;&gt;"Second Lien","No",D43="Second Lien",IF(AND((DM43-DK43)&gt;0.5,DM43&gt;4.5),"Yes","No"))</f>
        <v/>
      </c>
      <c r="DX43" s="735" t="inlineStr">
        <is>
          <t>No</t>
        </is>
      </c>
      <c r="DY43" s="735" t="inlineStr">
        <is>
          <t>No</t>
        </is>
      </c>
      <c r="DZ43" s="1048" t="inlineStr">
        <is>
          <t>No</t>
        </is>
      </c>
      <c r="EA43" s="1048" t="inlineStr">
        <is>
          <t>No</t>
        </is>
      </c>
      <c r="EB43" s="1048" t="inlineStr">
        <is>
          <t>No</t>
        </is>
      </c>
      <c r="EC43" s="1048" t="inlineStr">
        <is>
          <t>No</t>
        </is>
      </c>
      <c r="ED43" s="1048" t="inlineStr">
        <is>
          <t>No</t>
        </is>
      </c>
      <c r="EE43" s="1048" t="inlineStr">
        <is>
          <t>No</t>
        </is>
      </c>
      <c r="EF43" s="442">
        <f>IF(OR(DZ43="Yes",EA43="Yes",EB43="Yes",EC43="Yes",ED43="Yes",EE43="Yes"),"Yes","No")</f>
        <v/>
      </c>
      <c r="EG43" s="1048" t="inlineStr">
        <is>
          <t>No</t>
        </is>
      </c>
      <c r="EH43" s="1049" t="inlineStr">
        <is>
          <t>No</t>
        </is>
      </c>
      <c r="EI43" s="1050">
        <f t="array" ref="EI43">IF(D43="First Lien",_xlfn.IFS(CY43&gt;AGENT!$B$23, "&gt; $20MM",CY43&lt;=AGENT!$C$25, "&lt;= $10MM",AND(CY43&lt;=AGENT!$C$24,CY43&gt;AGENT!$B$24),"&lt;= $20MM"), "N/A")</f>
        <v/>
      </c>
      <c r="EJ43" s="1050">
        <f t="array" ref="EJ43">IF(D43="FILO",_xlfn.IFS(DI43&gt;AGENT!$B$29, "&gt; 1.25x",DI43&lt;AGENT!$C$27, "&lt; 0.75x",AND(DI43&lt;=AGENT!$C$28,DI43&gt;=AGENT!$B$28),"&lt;= 1.25x"), "N/A")</f>
        <v/>
      </c>
      <c r="EK43" s="1051">
        <f>V43</f>
        <v/>
      </c>
      <c r="EL43" s="1051">
        <f>'Concentration Limits'!$J$49</f>
        <v/>
      </c>
      <c r="EM43" s="1051">
        <f>IF(OR(D43="Second Lien",AND(D43="FILO",DI43&gt;AGENT!$C$57)), "Yes", "No")</f>
        <v/>
      </c>
      <c r="EN43" s="1051">
        <f>IF(EM43="Yes",SUMIF(EM:EM,"Yes",EK:EK),0)</f>
        <v/>
      </c>
      <c r="EO43" s="1051">
        <f>IF(EN43&gt;EL43,(EN43-EL43)*(EK43/SUMIF(EM:EM,"Yes",EK:EK)),0)</f>
        <v/>
      </c>
      <c r="EP43" s="1051">
        <f>MAX(0,EK43-EO43)</f>
        <v/>
      </c>
      <c r="EQ43" s="1051">
        <f>'Concentration Limits'!$J$50</f>
        <v/>
      </c>
      <c r="ER43" s="1051">
        <f>IF(D43="Second Lien",SUMIF(D:D,D43,EP:EP),0)</f>
        <v/>
      </c>
      <c r="ES43" s="1051">
        <f>MAX(0,(ER43-EQ43)*IFERROR((EP43/SUMIF($D:$D,D43,EP:EP )),0) )</f>
        <v/>
      </c>
      <c r="ET43" s="1051">
        <f>MAX(0,EP43-ES43)</f>
        <v/>
      </c>
      <c r="EU43" s="1051">
        <f>'Concentration Limits'!$J$51</f>
        <v/>
      </c>
      <c r="EV43" s="1051">
        <f>IF(OR(D43="Second Lien", AND(D43="FILO",DI43&gt;AGENT!$C$59)), "Yes", "No")</f>
        <v/>
      </c>
      <c r="EW43" s="1051">
        <f>IF(EV43="Yes",SUMIF(EV:EV,"Yes",ET:ET),0)</f>
        <v/>
      </c>
      <c r="EX43" s="1051">
        <f>IF(EW43&gt;EU43,(EW43-EU43)*(ET43/SUMIF(EV:EV,"Yes",ET:ET)),0)</f>
        <v/>
      </c>
      <c r="EY43" s="1051">
        <f>MAX(0,ET43-EX43)</f>
        <v/>
      </c>
      <c r="EZ43" s="1051">
        <f>'Concentration Limits'!$J$52</f>
        <v/>
      </c>
      <c r="FA43" s="1051">
        <f>IF(CY43&gt;'Concentration Limits'!$E$52, "No", "Yes")</f>
        <v/>
      </c>
      <c r="FB43" s="1051">
        <f>IF(FA43="Yes",SUMIF(FA:FA,"Yes",EY:EY),0)</f>
        <v/>
      </c>
      <c r="FC43" s="1051">
        <f>IF(FB43&gt;EZ43,(FB43-EZ43)*(EY43/SUMIF(FA:FA,"Yes",EY:EY)),0)</f>
        <v/>
      </c>
      <c r="FD43" s="1051">
        <f>MAX(0,EY43-FC43)</f>
        <v/>
      </c>
      <c r="FE43" s="1052">
        <f>'Concentration Limits'!$J$54</f>
        <v/>
      </c>
      <c r="FF43" s="1052">
        <f>'Concentration Limits'!$J$55</f>
        <v/>
      </c>
      <c r="FG43" s="1052">
        <f>'Concentration Limits'!$J$56</f>
        <v/>
      </c>
      <c r="FH43" s="1053">
        <f>'Concentration Limits'!$J$57</f>
        <v/>
      </c>
      <c r="FI43" s="1053">
        <f>SUMIF($B:$B,$B43,$FD:$FD)</f>
        <v/>
      </c>
      <c r="FJ43" s="1053">
        <f>IF(MATCH($B43,$B:$B,0)=ROW(),$FI43,0)</f>
        <v/>
      </c>
      <c r="FK43" s="1053">
        <f>INDEX(FL$8:FL$60,MATCH(B43,B$8:B$60,0))</f>
        <v/>
      </c>
      <c r="FL43" s="1053">
        <f>IF(FJ43&gt;0,RANK(FJ43,$FJ$9:$FJ$60)+COUNTIF($FJ$9:FJ43,FJ43)-1,0)</f>
        <v/>
      </c>
      <c r="FM43" s="1052">
        <f>IF(FK43=1,IF(FI43&gt;FE43,(FI43-FE43)*(V43/SUMIF($B:$B,B43,$FD:$FD)),0),0)</f>
        <v/>
      </c>
      <c r="FN43" s="1052">
        <f>IF(FK43=2,IF(FI43&gt;FF43,(FI43-FF43)*(V43/SUMIF($B:$B,B43,$FD:$FD)),0),0)</f>
        <v/>
      </c>
      <c r="FO43" s="1052">
        <f>IF(FK43=3,IF(FI43&gt;FG43,(FI43-FG43)*(V43/SUMIF($B:$B,B43,$FD:$FD)),0),0)</f>
        <v/>
      </c>
      <c r="FP43" s="1053">
        <f>IF(FK43&gt;0,IF(FI43&gt;FH43,(FI43-FH43)*(FD43/(SUMIF($B:$B,$B43,$FD:$FD))),0),0)</f>
        <v/>
      </c>
      <c r="FQ43" s="1053">
        <f>MAX(0,FD43-FM43-FN43-FO43-FP43)</f>
        <v/>
      </c>
      <c r="FR43" s="1053">
        <f>'Concentration Limits'!$J$58</f>
        <v/>
      </c>
      <c r="FS43" s="1053">
        <f>SUMIF($BR:$BR,$BR43,FQ:FQ)</f>
        <v/>
      </c>
      <c r="FT43" s="1053">
        <f>VLOOKUP(BR43,'Concentration Limits'!$E$81:$H$153,4,FALSE)</f>
        <v/>
      </c>
      <c r="FU43" s="1053">
        <f>IF(FT43=1,MAX(0,(FS43-FR43)*(FQ43/SUMIF($BR:$BR,BR43,FQ:FQ))),0)</f>
        <v/>
      </c>
      <c r="FV43" s="1053">
        <f>MAX(0,FQ43-FU43)</f>
        <v/>
      </c>
      <c r="FW43" s="1053">
        <f>'Concentration Limits'!$J$59</f>
        <v/>
      </c>
      <c r="FX43" s="1053">
        <f>SUMIF($BR:$BR,$BR43,FV:FV)</f>
        <v/>
      </c>
      <c r="FY43" s="1053">
        <f>VLOOKUP(BR43,'Concentration Limits'!$E$81:$H$153,4,FALSE)</f>
        <v/>
      </c>
      <c r="FZ43" s="1053">
        <f>MAX(0,IF(FY43=2,(FX43-FW43)*(FV43/SUMIF($BR:$BR,BR43,FV:FV)),0))</f>
        <v/>
      </c>
      <c r="GA43" s="1053">
        <f>MAX(0,FV43-FZ43)</f>
        <v/>
      </c>
      <c r="GB43" s="1053">
        <f>'Concentration Limits'!$J$61</f>
        <v/>
      </c>
      <c r="GC43" s="1053">
        <f>SUMIF($BR:$BR,$BR43,GA:GA)</f>
        <v/>
      </c>
      <c r="GD43" s="1051">
        <f>VLOOKUP(BR43,'Concentration Limits'!$E$81:$H$153,4,FALSE)</f>
        <v/>
      </c>
      <c r="GE43" s="1053">
        <f>IF(GA43=0,0,MAX(0,IF(GD43&lt;3,0,(GC43-GB43)*($GA43/SUMIF($BR:$BR,BR43,GA:GA)))))</f>
        <v/>
      </c>
      <c r="GF43" s="1053">
        <f>MAX(0,GA43-GE43)</f>
        <v/>
      </c>
      <c r="GG43" s="1053">
        <f>'Concentration Limits'!$J$64</f>
        <v/>
      </c>
      <c r="GH43" s="1053">
        <f>IF(BY43="Yes",SUMIF(BY:BY,BY43,GF:GF),0)</f>
        <v/>
      </c>
      <c r="GI43" s="1053">
        <f>IFERROR(MAX(0,(GH43-GG43)*(GF43/SUMIF($T:$T,T43,GF:GF ))),0)</f>
        <v/>
      </c>
      <c r="GJ43" s="1053">
        <f>MAX(0,GF43-GI43)</f>
        <v/>
      </c>
      <c r="GK43" s="1053">
        <f>'Concentration Limits'!$J$67</f>
        <v/>
      </c>
      <c r="GL43" s="1051">
        <f>IF(OR(BV43="Yes",OR(ISNUMBER(SEARCH("Travel",BR43)),ISNUMBER(SEARCH("Energy",BR43)),ISNUMBER(SEARCH("Leisure",BR43)),ISNUMBER(SEARCH("hotel",BR43)))),"Yes","No")</f>
        <v/>
      </c>
      <c r="GM43" s="1053">
        <f>IF(GL43="Yes",SUMIF(GL:GL,"Yes",GJ:GJ),0)</f>
        <v/>
      </c>
      <c r="GN43" s="1053">
        <f>IF(GM43&gt;GK43,(GM43-GK43)*(GJ43/SUMIF(GL:GL,"Yes",GJ:GJ)),0)</f>
        <v/>
      </c>
      <c r="GO43" s="1053">
        <f>MAX(0,GJ43-GN43)</f>
        <v/>
      </c>
      <c r="GP43" s="1053">
        <f>'Concentration Limits'!$J$68</f>
        <v/>
      </c>
      <c r="GQ43" s="1051">
        <f>IF(BU43="Yes","Yes", "No")</f>
        <v/>
      </c>
      <c r="GR43" s="1053">
        <f>IF(GQ43="Yes",SUMIF(GQ:GQ,"Yes",GO:GO),0)</f>
        <v/>
      </c>
      <c r="GS43" s="1053">
        <f>IF(GR43&gt;GP43,(GR43-GP43)*(GO43/SUMIF(GQ:GQ,"Yes",GO:GO)),0)</f>
        <v/>
      </c>
      <c r="GT43" s="1053">
        <f>MAX(0,GO43-GS43)</f>
        <v/>
      </c>
      <c r="GU43" s="1051">
        <f>'Concentration Limits'!$J$69</f>
        <v/>
      </c>
      <c r="GV43" s="1051">
        <f>IF(BW43="Yes", "Yes", "No")</f>
        <v/>
      </c>
      <c r="GW43" s="1051">
        <f>IF(GV43="Yes",SUMIF(GV:GV,"Yes",GT:GT),0)</f>
        <v/>
      </c>
      <c r="GX43" s="1051">
        <f>IF(GW43&gt;GU43,(GW43-GU43)*(GT43/SUMIF(GV:GV,"Yes",GT:GT)),0)</f>
        <v/>
      </c>
      <c r="GY43" s="1051">
        <f>MAX(0,GT43-GX43)</f>
        <v/>
      </c>
      <c r="GZ43" s="1051">
        <f>'Concentration Limits'!$J$70</f>
        <v/>
      </c>
      <c r="HA43" s="1051">
        <f>IF(BX43="Yes", "Yes", "No")</f>
        <v/>
      </c>
      <c r="HB43" s="1051">
        <f>IF(HA43="Yes",SUMIF(HA:HA,"Yes",GY:GY),0)</f>
        <v/>
      </c>
      <c r="HC43" s="1051">
        <f>IF(HB43&gt;GZ43,(HB43-GZ43)*(GY43/SUMIF(HA:HA,"Yes",GY:GY)),0)</f>
        <v/>
      </c>
      <c r="HD43" s="1051">
        <f>MAX(0,GY43-HC43)</f>
        <v/>
      </c>
      <c r="HE43" s="1053">
        <f>IF(AQ43=0,0,HD43*AQ43/(AQ43+AR43))</f>
        <v/>
      </c>
      <c r="HF43" s="1053">
        <f>IF(AR43=0,0,HD43*AR43/(AQ43+AR43))</f>
        <v/>
      </c>
      <c r="HG43" s="1053">
        <f>IF(AW43=0,0,HD43*AW43/(AW43+AX43))</f>
        <v/>
      </c>
      <c r="HH43" s="1053">
        <f>IF(AX43=0,0,HD43*AX43/(AX43+AW43))</f>
        <v/>
      </c>
      <c r="HI43" s="1053">
        <f>IF(BE43=0,0,#REF!*BE43/(BE43+BG43))</f>
        <v/>
      </c>
      <c r="HJ43" s="1053">
        <f>IF(BG43=0,0,#REF!*BG43/(BG43+BE43))</f>
        <v/>
      </c>
      <c r="HK43" s="1054">
        <f>IF(BF43=0,0,#REF!*BF43/(BF43+BH43))</f>
        <v/>
      </c>
      <c r="HL43" s="1053">
        <f>IF(BH43=0,0,#REF!*BH43/(BH43+BF43))</f>
        <v/>
      </c>
      <c r="HM43" s="1053">
        <f>IF(D43="Second Lien",HD43,0)</f>
        <v/>
      </c>
      <c r="HN43" s="1053">
        <f>SUM(HE43:HM43)=HD43</f>
        <v/>
      </c>
    </row>
    <row r="44" ht="12.75" customFormat="1" customHeight="1" s="469">
      <c r="A44" s="55">
        <f>A43+1</f>
        <v/>
      </c>
      <c r="B44" s="437">
        <f>INDEX('Loan Tape - Settled'!$B$4:$AP$55,MATCH($A44,'Loan Tape - Settled'!$E$4:$E$55,0),MATCH("Obligor Name",'Loan Tape - Settled'!$B$4:$AM$4,0))</f>
        <v/>
      </c>
      <c r="C44" s="437">
        <f>INDEX('Loan Tape - Settled'!$B$4:$AP$55,MATCH($A44,'Loan Tape - Settled'!$E$4:$E$55,0),MATCH("Security",'Loan Tape - Settled'!$B$4:$AM$4,0))</f>
        <v/>
      </c>
      <c r="D44" s="438">
        <f>INDEX('Loan Tape - Settled'!$B$4:$AP$55,MATCH($A44,'Loan Tape - Settled'!$E$4:$E$55,0),MATCH("Loan Type",'Loan Tape - Settled'!$B$4:$AM$4,0))</f>
        <v/>
      </c>
      <c r="E44" s="439">
        <f>IF(ISERROR(MATCH(D44,AGENT!$A$4:$A$10,0))=FALSE, TRUE)</f>
        <v/>
      </c>
      <c r="F44" s="439">
        <f>IF(AND(BZ44="no",CA44="no"),TRUE)</f>
        <v/>
      </c>
      <c r="G44" s="439">
        <f>IF(D44&lt;&gt;"Second Lien",TRUE, IF(CY44&gt;=AGENT!$B$4,TRUE))</f>
        <v/>
      </c>
      <c r="H44" s="439">
        <f>IF(DE44&lt;=AGENT!$D$4,TRUE)</f>
        <v/>
      </c>
      <c r="I44" s="439">
        <f>IF(VLOOKUP(CONCATENATE($A$5,A44),'Loan Tape - Settled'!$A$5:$Q$55,17,FALSE)&gt;=AGENT!$E$4,TRUE)</f>
        <v/>
      </c>
      <c r="J44" s="439">
        <f>IF(INDEX('Loan Tape - Settled'!$B$4:$AP$55,MATCH($A44,'Loan Tape - Settled'!$E$4:$E$55,0),MATCH("Loan Denomination",'Loan Tape - Settled'!$B$4:$AP$4,0))="USD", TRUE)</f>
        <v/>
      </c>
      <c r="K44" s="439">
        <f>IF(INDEX('Loan Tape - Settled'!$B$4:$AP$55,MATCH($A44,'Loan Tape - Settled'!$E$4:$E$55,0),MATCH("Exposure Country",'Loan Tape - Settled'!$B$4:$AP$4,0))="United States", TRUE)</f>
        <v/>
      </c>
      <c r="L44" s="439">
        <f>IF(BS44="NO",TRUE)</f>
        <v/>
      </c>
      <c r="M44" s="439">
        <f>IF(((BM44-BL44)/365)&lt;=AGENT!$F$4,TRUE)</f>
        <v/>
      </c>
      <c r="N44" s="439">
        <f>IF(DX44="Yes",FALSE,TRUE)</f>
        <v/>
      </c>
      <c r="O44" s="493" t="n"/>
      <c r="P44" s="764">
        <f>IF($B44="","",IF(OR(O44=TRUE,COUNTIFS($E44:$N44,TRUE)=10),"Yes","No"))</f>
        <v/>
      </c>
      <c r="Q44" s="730" t="inlineStr">
        <is>
          <t>Yes</t>
        </is>
      </c>
      <c r="R44" s="440">
        <f>IF(P44="Yes",B44,"N/A")</f>
        <v/>
      </c>
      <c r="S44" s="440" t="n"/>
      <c r="T44" s="441">
        <f t="array" ref="T44">_xlfn.IFS(D44="Second Lien",D44,D44="First Lien",CONCATENATE(D44," ",EI44),D44="FILO",CONCATENATE(D44," ",EJ44))</f>
        <v/>
      </c>
      <c r="U44" s="442">
        <f>VLOOKUP(T44,'Concentration Limits'!D:G,4,FALSE)</f>
        <v/>
      </c>
      <c r="V44" s="1020">
        <f>AQ44+AW44+BI44</f>
        <v/>
      </c>
      <c r="W44" s="1021">
        <f>(SUMIFS('Loan Tape - Settled'!$AR$4:$AR$55,'Loan Tape - Settled'!$E$4:$E$55,$A44,'Loan Tape - Settled'!$C$4:$C$55,$A$5))</f>
        <v/>
      </c>
      <c r="X44" s="1022" t="n">
        <v>1</v>
      </c>
      <c r="Y44" s="1023">
        <f>W44*X44</f>
        <v/>
      </c>
      <c r="Z44" s="1022">
        <f>(SUMIFS('Loan Tape - Settled'!$AQ$4:$AQ$55,'Loan Tape - Settled'!$E$4:$E$55,$A44,'Loan Tape - Settled'!$C$4:$C$55,$A$5))</f>
        <v/>
      </c>
      <c r="AA44" s="1023">
        <f>Z44*X44</f>
        <v/>
      </c>
      <c r="AB44" s="1023">
        <f>AA44-Y44</f>
        <v/>
      </c>
      <c r="AC44" s="490">
        <f>VLOOKUP(CONCATENATE($A$5,A44),'Loan Tape - Settled'!$A$5:$Q$55,17,FALSE)</f>
        <v/>
      </c>
      <c r="AD44" s="445" t="n"/>
      <c r="AE44" s="446">
        <f>INDEX('Loan Tape - Settled'!$B$4:$AP$55,MATCH($A44,'Loan Tape - Settled'!$E$4:$E$55,0),MATCH("FMV",'Loan Tape - Settled'!$B$4:$AM$4,0))</f>
        <v/>
      </c>
      <c r="AF44" s="446">
        <f t="array" ref="AF44">_xlfn.IFS(D44="First Lien",
_xlfn.IFS(AND(DL44&gt;0,DL44&lt;Tier_1_1L),Tier_1_ApplicableValue,
AND(DL44&gt;=Tier_1_1L,DL44&lt;Tier_2_1L),((Tier_1_1L/DL44)*Tier_1_ApplicableValue)+((DL44-Tier_1_1L)/DL44*Tier_2_ApplicableValue),
AND(DL44&gt;=Tier_2_1L, DL44&lt;Tier_3_1L),((Tier_1_1L/DL44)*Tier_1_ApplicableValue+(Tier_2_1L-Tier_1_1L)/DL44*Tier_2_ApplicableValue+(DL44-Tier_2_1L)/DL44*Tier_3_ApplicableValue),
AND(DL44&gt;=Tier_3_1L, DL44&lt;=Tier_totalzerovalue),((Tier_1_1L/DL44)*Tier_1_ApplicableValue+(Tier_2_1L-Tier_1_1L)/DL44*Tier_2_ApplicableValue+(Tier_3_1L-Tier_2_1L)/DL44*Tier_3_ApplicableValue+(DL44-Tier_partialzerovalue)/DL44*0%),
DL44&gt;Tier_totalzerovalue,0%),
OR(D44="Second Lien", D44="FILO"),
_xlfn.IFS(AND(DM44&gt;0,DM44&lt;Tier_1_2L),Tier_1_ApplicableValue,
AND(DM44&gt;=Tier_1_2L,DM44&lt;Tier_2_2L),((Tier_1_2L/DM44)*Tier_1_ApplicableValue)+((DM44-Tier_1_2L)/DM44*Tier_2_ApplicableValue),
AND(DM44&gt;=Tier_2_2L, DM44&lt;Tier_3_2L),((Tier_1_2L/DM44)*Tier_1_ApplicableValue+(Tier_2_2L-Tier_1_2L)/DM44*Tier_2_ApplicableValue+(DM44-Tier_2_2L)/DM44*Tier_3_ApplicableValue),
AND(DM44&gt;=Tier_3_2L, DM44&lt;=Tier_totalzerovalue),((Tier_1_2L/DM44)*Tier_1_ApplicableValue+(Tier_2_2L-Tier_1_2L)/DM44*Tier_2_ApplicableValue+(Tier_3_2L-Tier_2_2L)/DM44*Tier_3_ApplicableValue+(DM44-Tier_partialzerovalue)/DM44*0%),
DM44&gt;Tier_totalzerovalue,0%))</f>
        <v/>
      </c>
      <c r="AG44" s="447">
        <f>IF(COUNTIFS(VAE!$C$5:$C$96,B44,VAE!$G$5:$G$96,"&lt;="&amp;Availability!$F$8)&gt;=1,"Yes","-")</f>
        <v/>
      </c>
      <c r="AH44" s="447">
        <f t="array" ref="AH44">IFERROR(IF(AG44="Yes",INDEX(VAE!$D$5:$D$96,MATCH(B44&amp;AJ44,VAE!$C$5:$C$96&amp;VAE!$G$5:$G$96,0)),"-"),0)</f>
        <v/>
      </c>
      <c r="AI44" s="447">
        <f t="array" ref="AI44">IFERROR(IF(AG44="Yes",INDEX(VAE!$F$5:$F$96,MATCH(B44&amp;AJ44,VAE!$C$5:$C$96&amp;VAE!$G$5:$G$96,0)),"-"),0)</f>
        <v/>
      </c>
      <c r="AJ44" s="448">
        <f>IF(AG44="-","-",_xlfn.MAXIFS(VAE!$G$5:$G$96,VAE!$C$5:$C$96,$B44))</f>
        <v/>
      </c>
      <c r="AK44" s="449">
        <f t="array" ref="AK44">IFERROR(IF(AG44="Yes",INDEX(VAE!$P$5:$P$96,MATCH(B44&amp;AJ44,VAE!$C$5:$C$96&amp;VAE!$G$5:$G$96,0)),"-"),0)</f>
        <v/>
      </c>
      <c r="AL44" s="446">
        <f>IF($A44="","",IF(P44="No",0,(IF(AG44="Yes",MIN(AE44,AK44,AF44),MIN(AE44,AF44)))))</f>
        <v/>
      </c>
      <c r="AM44" s="1020" t="n"/>
      <c r="AN44" s="1020" t="n"/>
      <c r="AO44" s="1020">
        <f>IF(AND(D44="First Lien",P44="No"),0,IF(D44&lt;&gt;"First Lien",0,Y44))</f>
        <v/>
      </c>
      <c r="AP44" s="1020">
        <f>IF(AND(D44="First Lien",P44="No"),W44,0)</f>
        <v/>
      </c>
      <c r="AQ44" s="1020">
        <f>AL44*AO44</f>
        <v/>
      </c>
      <c r="AR44" s="1020" t="n"/>
      <c r="AS44" s="1020" t="n"/>
      <c r="AT44" s="1020" t="n"/>
      <c r="AU44" s="1020">
        <f>IF(AND(D44="FILO",P44="No"),0,IF(D44&lt;&gt;"FILO",0,Y44))</f>
        <v/>
      </c>
      <c r="AV44" s="1020">
        <f>IF(AND(D44="FILO",P44="No"),W44,0)</f>
        <v/>
      </c>
      <c r="AW44" s="1020">
        <f>AU44*AL44</f>
        <v/>
      </c>
      <c r="AX44" s="1020" t="n"/>
      <c r="AY44" s="1020" t="n"/>
      <c r="AZ44" s="1020" t="n"/>
      <c r="BA44" s="1020">
        <f>IF(AND(OR(D44="First Lien",D44="FILO"),P44="No"),0,IF(OR(D44="First Lien",D44="FILO"),0,(Y44)))</f>
        <v/>
      </c>
      <c r="BB44" s="1020" t="n"/>
      <c r="BC44" s="1020" t="n"/>
      <c r="BD44" s="1020">
        <f>IF(AND(D44="Second Lien",P44="No"),W44,0)</f>
        <v/>
      </c>
      <c r="BE44" s="1020" t="n"/>
      <c r="BF44" s="1020" t="n"/>
      <c r="BG44" s="1020" t="n"/>
      <c r="BH44" s="1020" t="n"/>
      <c r="BI44" s="1020">
        <f>IF(D44="Second Lien",BA44*AL44,0)</f>
        <v/>
      </c>
      <c r="BJ44" s="1020">
        <f>SUM(AM44:AP44)+SUM(AZ44:BD44)+SUM(AS44:AV44)=Y44</f>
        <v/>
      </c>
      <c r="BK44" s="1026">
        <f>INDEX('Loan Tape - Settled'!$B$4:$AP$55,MATCH($A44,'Loan Tape - Settled'!$E$4:$E$55,0),MATCH("Inception Date",'Loan Tape - Settled'!$B$4:$AP$4,0))</f>
        <v/>
      </c>
      <c r="BL44" s="1026">
        <f>INDEX('Loan Tape - Settled'!$B$4:$AP$55,MATCH($A44,'Loan Tape - Settled'!$E$4:$E$55,0),MATCH("Inclusion Date",'Loan Tape - Settled'!$B$4:$AP$4,0))</f>
        <v/>
      </c>
      <c r="BM44" s="1026">
        <f>INDEX('Loan Tape - Settled'!$B$4:$AP$55,MATCH($A44,'Loan Tape - Settled'!$E$4:$E$55,0),MATCH("Maturity Date",'Loan Tape - Settled'!$B$4:$AP$4,0))</f>
        <v/>
      </c>
      <c r="BN44" s="556" t="n"/>
      <c r="BO44" s="556" t="n"/>
      <c r="BP44" s="1055" t="n"/>
      <c r="BQ44" s="556" t="n"/>
      <c r="BR44" s="554">
        <f>INDEX('Loan Tape - Settled'!$B$4:$AP$55,MATCH($A44,'Loan Tape - Settled'!$E$4:$E$55,0),MATCH("Industry Classification",'Loan Tape - Settled'!$B$4:$AP$4,0))</f>
        <v/>
      </c>
      <c r="BS44" s="556">
        <f>IF(INDEX('Loan Tape - Settled'!$B$4:$AP$55,MATCH($A44,'Loan Tape - Settled'!$E$4:$E$55,0),MATCH("Covenant Lite",'Loan Tape - Settled'!$B$4:$AP$4,0))=-1, "Yes", "No")</f>
        <v/>
      </c>
      <c r="BT44" s="1056">
        <f>INDEX('Loan Tape - Settled'!$B$4:$AP$55,MATCH($A44,'Loan Tape - Settled'!$E$4:$E$55,0),MATCH("Spread / Coupon (%)",'Loan Tape - Settled'!$B$4:$AP$4,0))</f>
        <v/>
      </c>
      <c r="BU44" s="556">
        <f>IF(INDEX('Loan Tape - Settled'!$B$4:$AP$55,MATCH($A44,'Loan Tape - Settled'!$E$4:$E$55,0),MATCH("Security Type",'Loan Tape - Settled'!$B$4:$AP$4,0))="Delayed Draw Term Loan", "Yes", "No")</f>
        <v/>
      </c>
      <c r="BV44" s="557" t="inlineStr">
        <is>
          <t>No</t>
        </is>
      </c>
      <c r="BW44" s="557" t="inlineStr">
        <is>
          <t>No</t>
        </is>
      </c>
      <c r="BX44" s="548" t="inlineStr">
        <is>
          <t>No</t>
        </is>
      </c>
      <c r="BY44" s="556">
        <f>IF(INDEX('Loan Tape - Settled'!$B$4:$AP$55,MATCH($A44,'Loan Tape - Settled'!$E$4:$E$55,0),MATCH("Fixed/Floating",'Loan Tape - Settled'!$B$4:$AP$4,0))="Fixed", "Yes", "No")</f>
        <v/>
      </c>
      <c r="BZ44" s="557" t="inlineStr">
        <is>
          <t>No</t>
        </is>
      </c>
      <c r="CA44" s="557" t="inlineStr">
        <is>
          <t>No</t>
        </is>
      </c>
      <c r="CB44" s="556">
        <f>IF(INDEX('Loan Tape - Settled'!$B$4:$AP$55,MATCH($A44,'Loan Tape - Settled'!$E$4:$E$55,0),MATCH("Loan Denomination",'Loan Tape - Settled'!$B$4:$AP$4,0))="CAD", "Yes", "No")</f>
        <v/>
      </c>
      <c r="CC44" s="556">
        <f>INDEX('Loan Tape - Settled'!$B$4:$AP$55,MATCH($A44,'Loan Tape - Settled'!$E$4:$E$55,0),MATCH("Payment Frequency",'Loan Tape - Settled'!$B$4:$AP$4,0))</f>
        <v/>
      </c>
      <c r="CD44" s="557" t="inlineStr">
        <is>
          <t>No</t>
        </is>
      </c>
      <c r="CE44" s="556">
        <f>INDEX('Loan Tape - Settled'!$B$4:$AP$55,MATCH($A44,'Loan Tape - Settled'!$E$4:$E$55,0),MATCH("S&amp;P Loan Rating (if applicable)",'Loan Tape - Settled'!$B$4:$AP$4,0))</f>
        <v/>
      </c>
      <c r="CF44" s="556">
        <f>INDEX('Loan Tape - Settled'!$B$4:$AP$55,MATCH($A44,'Loan Tape - Settled'!$E$4:$E$55,0),MATCH("Moody's Loan Rating (if applicable)",'Loan Tape - Settled'!$B$4:$AP$4,0))</f>
        <v/>
      </c>
      <c r="CG44" s="556" t="n"/>
      <c r="CH44" s="556" t="n"/>
      <c r="CI44" s="1057" t="n"/>
      <c r="CJ44" s="1030">
        <f>INDEX('Loan Tape - Settled'!$B$4:$BF$55,MATCH($A44,'Loan Tape - Settled'!$E$4:$E$55,0),MATCH("Last Financial Received",'Loan Tape - Settled'!$B$4:$BF$4,0))</f>
        <v/>
      </c>
      <c r="CK44" s="559">
        <f>INDEX('Loan Tape - Settled'!$B$4:$BJ$55,MATCH($A44,'Loan Tape - Settled'!$E$4:$E$55,0),MATCH("Initial Adjusted TTM EBITDA",'Loan Tape - Settled'!$B$4:$BJ$4,0))</f>
        <v/>
      </c>
      <c r="CL44" s="559">
        <f>INDEX('Loan Tape - Settled'!$B$4:$BJ$55,MATCH($A44,'Loan Tape - Settled'!$E$4:$E$55,0),MATCH("Initial TTM Non-adjusted EBITDA",'Loan Tape - Settled'!$B$4:$BJ$4,0))</f>
        <v/>
      </c>
      <c r="CM44" s="1031" t="n"/>
      <c r="CN44" s="451" t="n"/>
      <c r="CO44" s="451" t="n"/>
      <c r="CP44" s="1032" t="n"/>
      <c r="CQ44" s="1033" t="inlineStr">
        <is>
          <t>N</t>
        </is>
      </c>
      <c r="CR44" s="1032" t="n"/>
      <c r="CS44" s="454">
        <f>CK44-CP44+CR44</f>
        <v/>
      </c>
      <c r="CT44" s="455">
        <f>1-CS44/CK44</f>
        <v/>
      </c>
      <c r="CU44" s="559">
        <f>INDEX('Loan Tape - Settled'!$B$4:$BJ$55,MATCH($A44,'Loan Tape - Settled'!$E$4:$E$55,0),MATCH("Current TTM Non-adjusted EBITDA",'Loan Tape - Settled'!$B$4:$BJ$4,0))</f>
        <v/>
      </c>
      <c r="CV44" s="456">
        <f>CT44</f>
        <v/>
      </c>
      <c r="CW44" s="1034" t="inlineStr">
        <is>
          <t>N</t>
        </is>
      </c>
      <c r="CX44" s="1035" t="n"/>
      <c r="CY44" s="1036">
        <f>IF(CW44="N",(1-CV44)*CU44,(1-CX44)*CU44)</f>
        <v/>
      </c>
      <c r="CZ44" s="1037" t="n"/>
      <c r="DA44" s="1038" t="n"/>
      <c r="DB44" s="1039" t="n"/>
      <c r="DC44" s="1040" t="n"/>
      <c r="DD44" s="1040">
        <f>INDEX('Loan Tape - Settled'!$B$4:$BJ$55,MATCH($A44,'Loan Tape - Settled'!$E$4:$E$55,0),MATCH("Initial Senior Net Leverage Senior",'Loan Tape - Settled'!$B$4:$BJ$4,0))</f>
        <v/>
      </c>
      <c r="DE44" s="1041">
        <f>INDEX('Loan Tape - Settled'!$B$4:$BJ$55,MATCH($A44,'Loan Tape - Settled'!$E$4:$E$55,0),MATCH("Initial Total Net Leverage",'Loan Tape - Settled'!$B$4:$BJ$4,0))</f>
        <v/>
      </c>
      <c r="DF44" s="1037" t="n"/>
      <c r="DG44" s="1038" t="n"/>
      <c r="DH44" s="1039" t="n"/>
      <c r="DI44" s="1042">
        <f>INDEX('Loan Tape - Settled'!$B$4:$BJ$55,MATCH($A44,'Loan Tape - Settled'!$E$4:$E$55,0),MATCH("Net Attachment",'Loan Tape - Settled'!$B$4:$BJ$4,0))</f>
        <v/>
      </c>
      <c r="DJ44" s="566">
        <f t="array" ref="DJ44">IF(AG44="Yes",INDEX(VAE!$M$5:$M$53,MATCH($B44&amp;$AJ44,VAE!$C$5:$C$53&amp;VAE!$G$5:$G$53,0)),DD44)</f>
        <v/>
      </c>
      <c r="DK44" s="697">
        <f t="array" ref="DK44">IF(AG44="Yes",INDEX(VAE!$N$5:$N$53,MATCH($B44&amp;$AJ44,VAE!$C$5:$C$53&amp;VAE!$G$5:$G$53,0)),DE44)</f>
        <v/>
      </c>
      <c r="DL44" s="1058">
        <f>INDEX('Loan Tape - Settled'!$B$4:$BJ$55,MATCH($A44,'Loan Tape - Settled'!$E$4:$E$55,0),MATCH("Current Senior Net Leverage Senior",'Loan Tape - Settled'!$B$4:$BJ$4,0))</f>
        <v/>
      </c>
      <c r="DM44" s="1059">
        <f>INDEX('Loan Tape - Settled'!$B$4:$BJ$55,MATCH($A44,'Loan Tape - Settled'!$E$4:$E$55,0),MATCH("Current Total Net Leverage",'Loan Tape - Settled'!$B$4:$BJ$4,0))</f>
        <v/>
      </c>
      <c r="DN44" s="1044" t="n"/>
      <c r="DO44" s="1045">
        <f>INDEX('Loan Tape - Settled'!$B$4:$BJ$55,MATCH($A44,'Loan Tape - Settled'!$E$4:$E$55,0),MATCH("Initial Interest Coverage",'Loan Tape - Settled'!$B$4:$BJ$4,0))</f>
        <v/>
      </c>
      <c r="DP44" s="565">
        <f t="array" ref="DP44">IF(AG44="Yes",INDEX(VAE!$O$5:$O$53,MATCH($B44&amp;$AJ44,VAE!$C$5:$C$53&amp;VAE!$G$5:$G$53,0)),DO44)</f>
        <v/>
      </c>
      <c r="DQ44" s="1046">
        <f>INDEX('Loan Tape - Settled'!$B$4:$BJ$55,MATCH($A44,'Loan Tape - Settled'!$E$4:$E$55,0),MATCH("Current Interest Coverage",'Loan Tape - Settled'!$B$4:$BJ$4,0))</f>
        <v/>
      </c>
      <c r="DR44" s="462">
        <f>IF(OR(DU44="Yes",DU44="N/A",DV44="Yes",DV44="N/A",DW44="Yes",DX44="Yes",DY44="Yes",EF44="Yes",EG44="Yes",EH44="Yes"),"Yes","No")</f>
        <v/>
      </c>
      <c r="DS44" s="1047">
        <f>IF(AG44="Yes",DATEDIF(AJ44,Availability!$F$8,"m"),"")</f>
        <v/>
      </c>
      <c r="DT44" s="1047">
        <f>IF(DS44="","No",IF(DS44&gt;12,"Yes","No"))</f>
        <v/>
      </c>
      <c r="DU44" s="695">
        <f>IFERROR(IF(AND(DQ44/DP44&lt;0.75,DQ44&lt;1.5),"Yes","No"),"N/A")</f>
        <v/>
      </c>
      <c r="DV44" s="696">
        <f>IFERROR(IF(OR(D44="First Lien",D44="FILO"),IF(AND((DL44-DJ44)&gt;0.75,DL44&gt;4),"Yes","No"),"No"),"N/A")</f>
        <v/>
      </c>
      <c r="DW44" s="696">
        <f t="array" ref="DW44">_xlfn.IFS(D44&lt;&gt;"Second Lien","No",D44="Second Lien",IF(AND((DM44-DK44)&gt;0.5,DM44&gt;4.5),"Yes","No"))</f>
        <v/>
      </c>
      <c r="DX44" s="735" t="inlineStr">
        <is>
          <t>No</t>
        </is>
      </c>
      <c r="DY44" s="735" t="inlineStr">
        <is>
          <t>No</t>
        </is>
      </c>
      <c r="DZ44" s="1048" t="inlineStr">
        <is>
          <t>No</t>
        </is>
      </c>
      <c r="EA44" s="1048" t="inlineStr">
        <is>
          <t>No</t>
        </is>
      </c>
      <c r="EB44" s="1048" t="inlineStr">
        <is>
          <t>No</t>
        </is>
      </c>
      <c r="EC44" s="1048" t="inlineStr">
        <is>
          <t>No</t>
        </is>
      </c>
      <c r="ED44" s="1048" t="inlineStr">
        <is>
          <t>No</t>
        </is>
      </c>
      <c r="EE44" s="1048" t="inlineStr">
        <is>
          <t>No</t>
        </is>
      </c>
      <c r="EF44" s="442">
        <f>IF(OR(DZ44="Yes",EA44="Yes",EB44="Yes",EC44="Yes",ED44="Yes",EE44="Yes"),"Yes","No")</f>
        <v/>
      </c>
      <c r="EG44" s="1048" t="inlineStr">
        <is>
          <t>No</t>
        </is>
      </c>
      <c r="EH44" s="1049" t="inlineStr">
        <is>
          <t>No</t>
        </is>
      </c>
      <c r="EI44" s="1050">
        <f t="array" ref="EI44">IF(D44="First Lien",_xlfn.IFS(CY44&gt;AGENT!$B$23, "&gt; $20MM",CY44&lt;=AGENT!$C$25, "&lt;= $10MM",AND(CY44&lt;=AGENT!$C$24,CY44&gt;AGENT!$B$24),"&lt;= $20MM"), "N/A")</f>
        <v/>
      </c>
      <c r="EJ44" s="1050">
        <f t="array" ref="EJ44">IF(D44="FILO",_xlfn.IFS(DI44&gt;AGENT!$B$29, "&gt; 1.25x",DI44&lt;AGENT!$C$27, "&lt; 0.75x",AND(DI44&lt;=AGENT!$C$28,DI44&gt;=AGENT!$B$28),"&lt;= 1.25x"), "N/A")</f>
        <v/>
      </c>
      <c r="EK44" s="1051">
        <f>V44</f>
        <v/>
      </c>
      <c r="EL44" s="1051">
        <f>'Concentration Limits'!$J$49</f>
        <v/>
      </c>
      <c r="EM44" s="1051">
        <f>IF(OR(D44="Second Lien",AND(D44="FILO",DI44&gt;AGENT!$C$57)), "Yes", "No")</f>
        <v/>
      </c>
      <c r="EN44" s="1051">
        <f>IF(EM44="Yes",SUMIF(EM:EM,"Yes",EK:EK),0)</f>
        <v/>
      </c>
      <c r="EO44" s="1051">
        <f>IF(EN44&gt;EL44,(EN44-EL44)*(EK44/SUMIF(EM:EM,"Yes",EK:EK)),0)</f>
        <v/>
      </c>
      <c r="EP44" s="1051">
        <f>MAX(0,EK44-EO44)</f>
        <v/>
      </c>
      <c r="EQ44" s="1051">
        <f>'Concentration Limits'!$J$50</f>
        <v/>
      </c>
      <c r="ER44" s="1051">
        <f>IF(D44="Second Lien",SUMIF(D:D,D44,EP:EP),0)</f>
        <v/>
      </c>
      <c r="ES44" s="1051">
        <f>MAX(0,(ER44-EQ44)*IFERROR((EP44/SUMIF($D:$D,D44,EP:EP )),0) )</f>
        <v/>
      </c>
      <c r="ET44" s="1051">
        <f>MAX(0,EP44-ES44)</f>
        <v/>
      </c>
      <c r="EU44" s="1051">
        <f>'Concentration Limits'!$J$51</f>
        <v/>
      </c>
      <c r="EV44" s="1051">
        <f>IF(OR(D44="Second Lien", AND(D44="FILO",DI44&gt;AGENT!$C$59)), "Yes", "No")</f>
        <v/>
      </c>
      <c r="EW44" s="1051">
        <f>IF(EV44="Yes",SUMIF(EV:EV,"Yes",ET:ET),0)</f>
        <v/>
      </c>
      <c r="EX44" s="1051">
        <f>IF(EW44&gt;EU44,(EW44-EU44)*(ET44/SUMIF(EV:EV,"Yes",ET:ET)),0)</f>
        <v/>
      </c>
      <c r="EY44" s="1051">
        <f>MAX(0,ET44-EX44)</f>
        <v/>
      </c>
      <c r="EZ44" s="1051">
        <f>'Concentration Limits'!$J$52</f>
        <v/>
      </c>
      <c r="FA44" s="1051">
        <f>IF(CY44&gt;'Concentration Limits'!$E$52, "No", "Yes")</f>
        <v/>
      </c>
      <c r="FB44" s="1051">
        <f>IF(FA44="Yes",SUMIF(FA:FA,"Yes",EY:EY),0)</f>
        <v/>
      </c>
      <c r="FC44" s="1051">
        <f>IF(FB44&gt;EZ44,(FB44-EZ44)*(EY44/SUMIF(FA:FA,"Yes",EY:EY)),0)</f>
        <v/>
      </c>
      <c r="FD44" s="1051">
        <f>MAX(0,EY44-FC44)</f>
        <v/>
      </c>
      <c r="FE44" s="1052">
        <f>'Concentration Limits'!$J$54</f>
        <v/>
      </c>
      <c r="FF44" s="1052">
        <f>'Concentration Limits'!$J$55</f>
        <v/>
      </c>
      <c r="FG44" s="1052">
        <f>'Concentration Limits'!$J$56</f>
        <v/>
      </c>
      <c r="FH44" s="1053">
        <f>'Concentration Limits'!$J$57</f>
        <v/>
      </c>
      <c r="FI44" s="1053">
        <f>SUMIF($B:$B,$B44,$FD:$FD)</f>
        <v/>
      </c>
      <c r="FJ44" s="1053">
        <f>IF(MATCH($B44,$B:$B,0)=ROW(),$FI44,0)</f>
        <v/>
      </c>
      <c r="FK44" s="1053">
        <f>INDEX(FL$8:FL$60,MATCH(B44,B$8:B$60,0))</f>
        <v/>
      </c>
      <c r="FL44" s="1053">
        <f>IF(FJ44&gt;0,RANK(FJ44,$FJ$9:$FJ$60)+COUNTIF($FJ$9:FJ44,FJ44)-1,0)</f>
        <v/>
      </c>
      <c r="FM44" s="1052">
        <f>IF(FK44=1,IF(FI44&gt;FE44,(FI44-FE44)*(V44/SUMIF($B:$B,B44,$FD:$FD)),0),0)</f>
        <v/>
      </c>
      <c r="FN44" s="1052">
        <f>IF(FK44=2,IF(FI44&gt;FF44,(FI44-FF44)*(V44/SUMIF($B:$B,B44,$FD:$FD)),0),0)</f>
        <v/>
      </c>
      <c r="FO44" s="1052">
        <f>IF(FK44=3,IF(FI44&gt;FG44,(FI44-FG44)*(V44/SUMIF($B:$B,B44,$FD:$FD)),0),0)</f>
        <v/>
      </c>
      <c r="FP44" s="1053">
        <f>IF(FK44&gt;0,IF(FI44&gt;FH44,(FI44-FH44)*(FD44/(SUMIF($B:$B,$B44,$FD:$FD))),0),0)</f>
        <v/>
      </c>
      <c r="FQ44" s="1053">
        <f>MAX(0,FD44-FM44-FN44-FO44-FP44)</f>
        <v/>
      </c>
      <c r="FR44" s="1053">
        <f>'Concentration Limits'!$J$58</f>
        <v/>
      </c>
      <c r="FS44" s="1053">
        <f>SUMIF($BR:$BR,$BR44,FQ:FQ)</f>
        <v/>
      </c>
      <c r="FT44" s="1053">
        <f>VLOOKUP(BR44,'Concentration Limits'!$E$81:$H$153,4,FALSE)</f>
        <v/>
      </c>
      <c r="FU44" s="1053">
        <f>IF(FT44=1,MAX(0,(FS44-FR44)*(FQ44/SUMIF($BR:$BR,BR44,FQ:FQ))),0)</f>
        <v/>
      </c>
      <c r="FV44" s="1053">
        <f>MAX(0,FQ44-FU44)</f>
        <v/>
      </c>
      <c r="FW44" s="1053">
        <f>'Concentration Limits'!$J$59</f>
        <v/>
      </c>
      <c r="FX44" s="1053">
        <f>SUMIF($BR:$BR,$BR44,FV:FV)</f>
        <v/>
      </c>
      <c r="FY44" s="1053">
        <f>VLOOKUP(BR44,'Concentration Limits'!$E$81:$H$153,4,FALSE)</f>
        <v/>
      </c>
      <c r="FZ44" s="1053">
        <f>MAX(0,IF(FY44=2,(FX44-FW44)*(FV44/SUMIF($BR:$BR,BR44,FV:FV)),0))</f>
        <v/>
      </c>
      <c r="GA44" s="1053">
        <f>MAX(0,FV44-FZ44)</f>
        <v/>
      </c>
      <c r="GB44" s="1053">
        <f>'Concentration Limits'!$J$61</f>
        <v/>
      </c>
      <c r="GC44" s="1053">
        <f>SUMIF($BR:$BR,$BR44,GA:GA)</f>
        <v/>
      </c>
      <c r="GD44" s="1051">
        <f>VLOOKUP(BR44,'Concentration Limits'!$E$81:$H$153,4,FALSE)</f>
        <v/>
      </c>
      <c r="GE44" s="1053">
        <f>IF(GA44=0,0,MAX(0,IF(GD44&lt;3,0,(GC44-GB44)*($GA44/SUMIF($BR:$BR,BR44,GA:GA)))))</f>
        <v/>
      </c>
      <c r="GF44" s="1053">
        <f>MAX(0,GA44-GE44)</f>
        <v/>
      </c>
      <c r="GG44" s="1053">
        <f>'Concentration Limits'!$J$64</f>
        <v/>
      </c>
      <c r="GH44" s="1053">
        <f>IF(BY44="Yes",SUMIF(BY:BY,BY44,GF:GF),0)</f>
        <v/>
      </c>
      <c r="GI44" s="1053">
        <f>IFERROR(MAX(0,(GH44-GG44)*(GF44/SUMIF($T:$T,T44,GF:GF ))),0)</f>
        <v/>
      </c>
      <c r="GJ44" s="1053">
        <f>MAX(0,GF44-GI44)</f>
        <v/>
      </c>
      <c r="GK44" s="1053">
        <f>'Concentration Limits'!$J$67</f>
        <v/>
      </c>
      <c r="GL44" s="1051">
        <f>IF(OR(BV44="Yes",OR(ISNUMBER(SEARCH("Travel",BR44)),ISNUMBER(SEARCH("Energy",BR44)),ISNUMBER(SEARCH("Leisure",BR44)),ISNUMBER(SEARCH("hotel",BR44)))),"Yes","No")</f>
        <v/>
      </c>
      <c r="GM44" s="1053">
        <f>IF(GL44="Yes",SUMIF(GL:GL,"Yes",GJ:GJ),0)</f>
        <v/>
      </c>
      <c r="GN44" s="1053">
        <f>IF(GM44&gt;GK44,(GM44-GK44)*(GJ44/SUMIF(GL:GL,"Yes",GJ:GJ)),0)</f>
        <v/>
      </c>
      <c r="GO44" s="1053">
        <f>MAX(0,GJ44-GN44)</f>
        <v/>
      </c>
      <c r="GP44" s="1053">
        <f>'Concentration Limits'!$J$68</f>
        <v/>
      </c>
      <c r="GQ44" s="1051">
        <f>IF(BU44="Yes","Yes", "No")</f>
        <v/>
      </c>
      <c r="GR44" s="1053">
        <f>IF(GQ44="Yes",SUMIF(GQ:GQ,"Yes",GO:GO),0)</f>
        <v/>
      </c>
      <c r="GS44" s="1053">
        <f>IF(GR44&gt;GP44,(GR44-GP44)*(GO44/SUMIF(GQ:GQ,"Yes",GO:GO)),0)</f>
        <v/>
      </c>
      <c r="GT44" s="1053">
        <f>MAX(0,GO44-GS44)</f>
        <v/>
      </c>
      <c r="GU44" s="1051">
        <f>'Concentration Limits'!$J$69</f>
        <v/>
      </c>
      <c r="GV44" s="1051">
        <f>IF(BW44="Yes", "Yes", "No")</f>
        <v/>
      </c>
      <c r="GW44" s="1051">
        <f>IF(GV44="Yes",SUMIF(GV:GV,"Yes",GT:GT),0)</f>
        <v/>
      </c>
      <c r="GX44" s="1051">
        <f>IF(GW44&gt;GU44,(GW44-GU44)*(GT44/SUMIF(GV:GV,"Yes",GT:GT)),0)</f>
        <v/>
      </c>
      <c r="GY44" s="1051">
        <f>MAX(0,GT44-GX44)</f>
        <v/>
      </c>
      <c r="GZ44" s="1051">
        <f>'Concentration Limits'!$J$70</f>
        <v/>
      </c>
      <c r="HA44" s="1051">
        <f>IF(BX44="Yes", "Yes", "No")</f>
        <v/>
      </c>
      <c r="HB44" s="1051">
        <f>IF(HA44="Yes",SUMIF(HA:HA,"Yes",GY:GY),0)</f>
        <v/>
      </c>
      <c r="HC44" s="1051">
        <f>IF(HB44&gt;GZ44,(HB44-GZ44)*(GY44/SUMIF(HA:HA,"Yes",GY:GY)),0)</f>
        <v/>
      </c>
      <c r="HD44" s="1051">
        <f>MAX(0,GY44-HC44)</f>
        <v/>
      </c>
      <c r="HE44" s="1053">
        <f>IF(AQ44=0,0,HD44*AQ44/(AQ44+AR44))</f>
        <v/>
      </c>
      <c r="HF44" s="1053">
        <f>IF(AR44=0,0,HD44*AR44/(AQ44+AR44))</f>
        <v/>
      </c>
      <c r="HG44" s="1053">
        <f>IF(AW44=0,0,HD44*AW44/(AW44+AX44))</f>
        <v/>
      </c>
      <c r="HH44" s="1053">
        <f>IF(AX44=0,0,HD44*AX44/(AX44+AW44))</f>
        <v/>
      </c>
      <c r="HI44" s="1053">
        <f>IF(BE44=0,0,#REF!*BE44/(BE44+BG44))</f>
        <v/>
      </c>
      <c r="HJ44" s="1053">
        <f>IF(BG44=0,0,#REF!*BG44/(BG44+BE44))</f>
        <v/>
      </c>
      <c r="HK44" s="1054">
        <f>IF(BF44=0,0,#REF!*BF44/(BF44+BH44))</f>
        <v/>
      </c>
      <c r="HL44" s="1053">
        <f>IF(BH44=0,0,#REF!*BH44/(BH44+BF44))</f>
        <v/>
      </c>
      <c r="HM44" s="1053">
        <f>IF(D44="Second Lien",HD44,0)</f>
        <v/>
      </c>
      <c r="HN44" s="1053">
        <f>SUM(HE44:HM44)=HD44</f>
        <v/>
      </c>
    </row>
    <row r="45" ht="12.75" customFormat="1" customHeight="1" s="469">
      <c r="A45" s="55">
        <f>A44+1</f>
        <v/>
      </c>
      <c r="B45" s="437">
        <f>INDEX('Loan Tape - Settled'!$B$4:$AP$55,MATCH($A45,'Loan Tape - Settled'!$E$4:$E$55,0),MATCH("Obligor Name",'Loan Tape - Settled'!$B$4:$AM$4,0))</f>
        <v/>
      </c>
      <c r="C45" s="437">
        <f>INDEX('Loan Tape - Settled'!$B$4:$AP$55,MATCH($A45,'Loan Tape - Settled'!$E$4:$E$55,0),MATCH("Security",'Loan Tape - Settled'!$B$4:$AM$4,0))</f>
        <v/>
      </c>
      <c r="D45" s="438">
        <f>INDEX('Loan Tape - Settled'!$B$4:$AP$55,MATCH($A45,'Loan Tape - Settled'!$E$4:$E$55,0),MATCH("Loan Type",'Loan Tape - Settled'!$B$4:$AM$4,0))</f>
        <v/>
      </c>
      <c r="E45" s="439">
        <f>IF(ISERROR(MATCH(D45,AGENT!$A$4:$A$10,0))=FALSE, TRUE)</f>
        <v/>
      </c>
      <c r="F45" s="439">
        <f>IF(AND(BZ45="no",CA45="no"),TRUE)</f>
        <v/>
      </c>
      <c r="G45" s="439">
        <f>IF(D45&lt;&gt;"Second Lien",TRUE, IF(CY45&gt;=AGENT!$B$4,TRUE))</f>
        <v/>
      </c>
      <c r="H45" s="439">
        <f>IF(DE45&lt;=AGENT!$D$4,TRUE)</f>
        <v/>
      </c>
      <c r="I45" s="439">
        <f>IF(VLOOKUP(CONCATENATE($A$5,A45),'Loan Tape - Settled'!$A$5:$Q$55,17,FALSE)&gt;=AGENT!$E$4,TRUE)</f>
        <v/>
      </c>
      <c r="J45" s="439">
        <f>IF(INDEX('Loan Tape - Settled'!$B$4:$AP$55,MATCH($A45,'Loan Tape - Settled'!$E$4:$E$55,0),MATCH("Loan Denomination",'Loan Tape - Settled'!$B$4:$AP$4,0))="USD", TRUE)</f>
        <v/>
      </c>
      <c r="K45" s="439">
        <f>IF(INDEX('Loan Tape - Settled'!$B$4:$AP$55,MATCH($A45,'Loan Tape - Settled'!$E$4:$E$55,0),MATCH("Exposure Country",'Loan Tape - Settled'!$B$4:$AP$4,0))="United States", TRUE)</f>
        <v/>
      </c>
      <c r="L45" s="439">
        <f>IF(BS45="NO",TRUE)</f>
        <v/>
      </c>
      <c r="M45" s="439">
        <f>IF(((BM45-BL45)/365)&lt;=AGENT!$F$4,TRUE)</f>
        <v/>
      </c>
      <c r="N45" s="439">
        <f>IF(DX45="Yes",FALSE,TRUE)</f>
        <v/>
      </c>
      <c r="O45" s="493" t="n"/>
      <c r="P45" s="764">
        <f>IF($B45="","",IF(OR(O45=TRUE,COUNTIFS($E45:$N45,TRUE)=10),"Yes","No"))</f>
        <v/>
      </c>
      <c r="Q45" s="730" t="inlineStr">
        <is>
          <t>Yes</t>
        </is>
      </c>
      <c r="R45" s="440">
        <f>IF(P45="Yes",B45,"N/A")</f>
        <v/>
      </c>
      <c r="S45" s="440" t="n"/>
      <c r="T45" s="441">
        <f t="array" ref="T45">_xlfn.IFS(D45="Second Lien",D45,D45="First Lien",CONCATENATE(D45," ",EI45),D45="FILO",CONCATENATE(D45," ",EJ45))</f>
        <v/>
      </c>
      <c r="U45" s="442">
        <f>VLOOKUP(T45,'Concentration Limits'!D:G,4,FALSE)</f>
        <v/>
      </c>
      <c r="V45" s="1020">
        <f>AQ45+AW45+BI45</f>
        <v/>
      </c>
      <c r="W45" s="1021">
        <f>(SUMIFS('Loan Tape - Settled'!$AR$4:$AR$55,'Loan Tape - Settled'!$E$4:$E$55,$A45,'Loan Tape - Settled'!$C$4:$C$55,$A$5))</f>
        <v/>
      </c>
      <c r="X45" s="1022" t="n">
        <v>1</v>
      </c>
      <c r="Y45" s="1023">
        <f>W45*X45</f>
        <v/>
      </c>
      <c r="Z45" s="1022">
        <f>(SUMIFS('Loan Tape - Settled'!$AQ$4:$AQ$55,'Loan Tape - Settled'!$E$4:$E$55,$A45,'Loan Tape - Settled'!$C$4:$C$55,$A$5))</f>
        <v/>
      </c>
      <c r="AA45" s="1023">
        <f>Z45*X45</f>
        <v/>
      </c>
      <c r="AB45" s="1023">
        <f>AA45-Y45</f>
        <v/>
      </c>
      <c r="AC45" s="490">
        <f>VLOOKUP(CONCATENATE($A$5,A45),'Loan Tape - Settled'!$A$5:$Q$55,17,FALSE)</f>
        <v/>
      </c>
      <c r="AD45" s="445" t="n"/>
      <c r="AE45" s="446">
        <f>INDEX('Loan Tape - Settled'!$B$4:$AP$55,MATCH($A45,'Loan Tape - Settled'!$E$4:$E$55,0),MATCH("FMV",'Loan Tape - Settled'!$B$4:$AM$4,0))</f>
        <v/>
      </c>
      <c r="AF45" s="446">
        <f t="array" ref="AF45">_xlfn.IFS(D45="First Lien",
_xlfn.IFS(AND(DL45&gt;0,DL45&lt;Tier_1_1L),Tier_1_ApplicableValue,
AND(DL45&gt;=Tier_1_1L,DL45&lt;Tier_2_1L),((Tier_1_1L/DL45)*Tier_1_ApplicableValue)+((DL45-Tier_1_1L)/DL45*Tier_2_ApplicableValue),
AND(DL45&gt;=Tier_2_1L, DL45&lt;Tier_3_1L),((Tier_1_1L/DL45)*Tier_1_ApplicableValue+(Tier_2_1L-Tier_1_1L)/DL45*Tier_2_ApplicableValue+(DL45-Tier_2_1L)/DL45*Tier_3_ApplicableValue),
AND(DL45&gt;=Tier_3_1L, DL45&lt;=Tier_totalzerovalue),((Tier_1_1L/DL45)*Tier_1_ApplicableValue+(Tier_2_1L-Tier_1_1L)/DL45*Tier_2_ApplicableValue+(Tier_3_1L-Tier_2_1L)/DL45*Tier_3_ApplicableValue+(DL45-Tier_partialzerovalue)/DL45*0%),
DL45&gt;Tier_totalzerovalue,0%),
OR(D45="Second Lien", D45="FILO"),
_xlfn.IFS(AND(DM45&gt;0,DM45&lt;Tier_1_2L),Tier_1_ApplicableValue,
AND(DM45&gt;=Tier_1_2L,DM45&lt;Tier_2_2L),((Tier_1_2L/DM45)*Tier_1_ApplicableValue)+((DM45-Tier_1_2L)/DM45*Tier_2_ApplicableValue),
AND(DM45&gt;=Tier_2_2L, DM45&lt;Tier_3_2L),((Tier_1_2L/DM45)*Tier_1_ApplicableValue+(Tier_2_2L-Tier_1_2L)/DM45*Tier_2_ApplicableValue+(DM45-Tier_2_2L)/DM45*Tier_3_ApplicableValue),
AND(DM45&gt;=Tier_3_2L, DM45&lt;=Tier_totalzerovalue),((Tier_1_2L/DM45)*Tier_1_ApplicableValue+(Tier_2_2L-Tier_1_2L)/DM45*Tier_2_ApplicableValue+(Tier_3_2L-Tier_2_2L)/DM45*Tier_3_ApplicableValue+(DM45-Tier_partialzerovalue)/DM45*0%),
DM45&gt;Tier_totalzerovalue,0%))</f>
        <v/>
      </c>
      <c r="AG45" s="447">
        <f>IF(COUNTIFS(VAE!$C$5:$C$96,B45,VAE!$G$5:$G$96,"&lt;="&amp;Availability!$F$8)&gt;=1,"Yes","-")</f>
        <v/>
      </c>
      <c r="AH45" s="447">
        <f t="array" ref="AH45">IFERROR(IF(AG45="Yes",INDEX(VAE!$D$5:$D$96,MATCH(B45&amp;AJ45,VAE!$C$5:$C$96&amp;VAE!$G$5:$G$96,0)),"-"),0)</f>
        <v/>
      </c>
      <c r="AI45" s="447">
        <f t="array" ref="AI45">IFERROR(IF(AG45="Yes",INDEX(VAE!$F$5:$F$96,MATCH(B45&amp;AJ45,VAE!$C$5:$C$96&amp;VAE!$G$5:$G$96,0)),"-"),0)</f>
        <v/>
      </c>
      <c r="AJ45" s="448">
        <f>IF(AG45="-","-",_xlfn.MAXIFS(VAE!$G$5:$G$96,VAE!$C$5:$C$96,$B45))</f>
        <v/>
      </c>
      <c r="AK45" s="449">
        <f t="array" ref="AK45">IFERROR(IF(AG45="Yes",INDEX(VAE!$P$5:$P$96,MATCH(B45&amp;AJ45,VAE!$C$5:$C$96&amp;VAE!$G$5:$G$96,0)),"-"),0)</f>
        <v/>
      </c>
      <c r="AL45" s="446">
        <f>IF($A45="","",IF(P45="No",0,(IF(AG45="Yes",MIN(AE45,AK45,AF45),MIN(AE45,AF45)))))</f>
        <v/>
      </c>
      <c r="AM45" s="1020" t="n"/>
      <c r="AN45" s="1020" t="n"/>
      <c r="AO45" s="1020">
        <f>IF(AND(D45="First Lien",P45="No"),0,IF(D45&lt;&gt;"First Lien",0,Y45))</f>
        <v/>
      </c>
      <c r="AP45" s="1020">
        <f>IF(AND(D45="First Lien",P45="No"),W45,0)</f>
        <v/>
      </c>
      <c r="AQ45" s="1020">
        <f>AL45*AO45</f>
        <v/>
      </c>
      <c r="AR45" s="1020" t="n"/>
      <c r="AS45" s="1020" t="n"/>
      <c r="AT45" s="1020" t="n"/>
      <c r="AU45" s="1020">
        <f>IF(AND(D45="FILO",P45="No"),0,IF(D45&lt;&gt;"FILO",0,Y45))</f>
        <v/>
      </c>
      <c r="AV45" s="1020">
        <f>IF(AND(D45="FILO",P45="No"),W45,0)</f>
        <v/>
      </c>
      <c r="AW45" s="1020">
        <f>AU45*AL45</f>
        <v/>
      </c>
      <c r="AX45" s="1020" t="n"/>
      <c r="AY45" s="1020" t="n"/>
      <c r="AZ45" s="1020" t="n"/>
      <c r="BA45" s="1020">
        <f>IF(AND(OR(D45="First Lien",D45="FILO"),P45="No"),0,IF(OR(D45="First Lien",D45="FILO"),0,(Y45)))</f>
        <v/>
      </c>
      <c r="BB45" s="1020" t="n"/>
      <c r="BC45" s="1020" t="n"/>
      <c r="BD45" s="1020">
        <f>IF(AND(D45="Second Lien",P45="No"),W45,0)</f>
        <v/>
      </c>
      <c r="BE45" s="1020" t="n"/>
      <c r="BF45" s="1020" t="n"/>
      <c r="BG45" s="1020" t="n"/>
      <c r="BH45" s="1020" t="n"/>
      <c r="BI45" s="1020">
        <f>IF(D45="Second Lien",BA45*AL45,0)</f>
        <v/>
      </c>
      <c r="BJ45" s="1020">
        <f>SUM(AM45:AP45)+SUM(AZ45:BD45)+SUM(AS45:AV45)=Y45</f>
        <v/>
      </c>
      <c r="BK45" s="1026">
        <f>INDEX('Loan Tape - Settled'!$B$4:$AP$55,MATCH($A45,'Loan Tape - Settled'!$E$4:$E$55,0),MATCH("Inception Date",'Loan Tape - Settled'!$B$4:$AP$4,0))</f>
        <v/>
      </c>
      <c r="BL45" s="1026">
        <f>INDEX('Loan Tape - Settled'!$B$4:$AP$55,MATCH($A45,'Loan Tape - Settled'!$E$4:$E$55,0),MATCH("Inclusion Date",'Loan Tape - Settled'!$B$4:$AP$4,0))</f>
        <v/>
      </c>
      <c r="BM45" s="1026">
        <f>INDEX('Loan Tape - Settled'!$B$4:$AP$55,MATCH($A45,'Loan Tape - Settled'!$E$4:$E$55,0),MATCH("Maturity Date",'Loan Tape - Settled'!$B$4:$AP$4,0))</f>
        <v/>
      </c>
      <c r="BN45" s="556" t="n"/>
      <c r="BO45" s="556" t="n"/>
      <c r="BP45" s="1055" t="n"/>
      <c r="BQ45" s="556" t="n"/>
      <c r="BR45" s="554">
        <f>INDEX('Loan Tape - Settled'!$B$4:$AP$55,MATCH($A45,'Loan Tape - Settled'!$E$4:$E$55,0),MATCH("Industry Classification",'Loan Tape - Settled'!$B$4:$AP$4,0))</f>
        <v/>
      </c>
      <c r="BS45" s="556">
        <f>IF(INDEX('Loan Tape - Settled'!$B$4:$AP$55,MATCH($A45,'Loan Tape - Settled'!$E$4:$E$55,0),MATCH("Covenant Lite",'Loan Tape - Settled'!$B$4:$AP$4,0))=-1, "Yes", "No")</f>
        <v/>
      </c>
      <c r="BT45" s="1056">
        <f>INDEX('Loan Tape - Settled'!$B$4:$AP$55,MATCH($A45,'Loan Tape - Settled'!$E$4:$E$55,0),MATCH("Spread / Coupon (%)",'Loan Tape - Settled'!$B$4:$AP$4,0))</f>
        <v/>
      </c>
      <c r="BU45" s="556">
        <f>IF(INDEX('Loan Tape - Settled'!$B$4:$AP$55,MATCH($A45,'Loan Tape - Settled'!$E$4:$E$55,0),MATCH("Security Type",'Loan Tape - Settled'!$B$4:$AP$4,0))="Delayed Draw Term Loan", "Yes", "No")</f>
        <v/>
      </c>
      <c r="BV45" s="557" t="inlineStr">
        <is>
          <t>No</t>
        </is>
      </c>
      <c r="BW45" s="557" t="inlineStr">
        <is>
          <t>No</t>
        </is>
      </c>
      <c r="BX45" s="548" t="inlineStr">
        <is>
          <t>No</t>
        </is>
      </c>
      <c r="BY45" s="556">
        <f>IF(INDEX('Loan Tape - Settled'!$B$4:$AP$55,MATCH($A45,'Loan Tape - Settled'!$E$4:$E$55,0),MATCH("Fixed/Floating",'Loan Tape - Settled'!$B$4:$AP$4,0))="Fixed", "Yes", "No")</f>
        <v/>
      </c>
      <c r="BZ45" s="557" t="inlineStr">
        <is>
          <t>No</t>
        </is>
      </c>
      <c r="CA45" s="557" t="inlineStr">
        <is>
          <t>No</t>
        </is>
      </c>
      <c r="CB45" s="556">
        <f>IF(INDEX('Loan Tape - Settled'!$B$4:$AP$55,MATCH($A45,'Loan Tape - Settled'!$E$4:$E$55,0),MATCH("Loan Denomination",'Loan Tape - Settled'!$B$4:$AP$4,0))="CAD", "Yes", "No")</f>
        <v/>
      </c>
      <c r="CC45" s="556">
        <f>INDEX('Loan Tape - Settled'!$B$4:$AP$55,MATCH($A45,'Loan Tape - Settled'!$E$4:$E$55,0),MATCH("Payment Frequency",'Loan Tape - Settled'!$B$4:$AP$4,0))</f>
        <v/>
      </c>
      <c r="CD45" s="557" t="inlineStr">
        <is>
          <t>No</t>
        </is>
      </c>
      <c r="CE45" s="556">
        <f>INDEX('Loan Tape - Settled'!$B$4:$AP$55,MATCH($A45,'Loan Tape - Settled'!$E$4:$E$55,0),MATCH("S&amp;P Loan Rating (if applicable)",'Loan Tape - Settled'!$B$4:$AP$4,0))</f>
        <v/>
      </c>
      <c r="CF45" s="556">
        <f>INDEX('Loan Tape - Settled'!$B$4:$AP$55,MATCH($A45,'Loan Tape - Settled'!$E$4:$E$55,0),MATCH("Moody's Loan Rating (if applicable)",'Loan Tape - Settled'!$B$4:$AP$4,0))</f>
        <v/>
      </c>
      <c r="CG45" s="556" t="n"/>
      <c r="CH45" s="556" t="n"/>
      <c r="CI45" s="1057" t="n"/>
      <c r="CJ45" s="1030">
        <f>INDEX('Loan Tape - Settled'!$B$4:$BF$55,MATCH($A45,'Loan Tape - Settled'!$E$4:$E$55,0),MATCH("Last Financial Received",'Loan Tape - Settled'!$B$4:$BF$4,0))</f>
        <v/>
      </c>
      <c r="CK45" s="559">
        <f>INDEX('Loan Tape - Settled'!$B$4:$BJ$55,MATCH($A45,'Loan Tape - Settled'!$E$4:$E$55,0),MATCH("Initial Adjusted TTM EBITDA",'Loan Tape - Settled'!$B$4:$BJ$4,0))</f>
        <v/>
      </c>
      <c r="CL45" s="559">
        <f>INDEX('Loan Tape - Settled'!$B$4:$BJ$55,MATCH($A45,'Loan Tape - Settled'!$E$4:$E$55,0),MATCH("Initial TTM Non-adjusted EBITDA",'Loan Tape - Settled'!$B$4:$BJ$4,0))</f>
        <v/>
      </c>
      <c r="CM45" s="1031" t="n"/>
      <c r="CN45" s="451" t="n"/>
      <c r="CO45" s="451" t="n"/>
      <c r="CP45" s="1032" t="n"/>
      <c r="CQ45" s="1033" t="inlineStr">
        <is>
          <t>N</t>
        </is>
      </c>
      <c r="CR45" s="1032" t="n"/>
      <c r="CS45" s="454">
        <f>CK45-CP45+CR45</f>
        <v/>
      </c>
      <c r="CT45" s="455">
        <f>1-CS45/CK45</f>
        <v/>
      </c>
      <c r="CU45" s="559">
        <f>INDEX('Loan Tape - Settled'!$B$4:$BJ$55,MATCH($A45,'Loan Tape - Settled'!$E$4:$E$55,0),MATCH("Current TTM Non-adjusted EBITDA",'Loan Tape - Settled'!$B$4:$BJ$4,0))</f>
        <v/>
      </c>
      <c r="CV45" s="456">
        <f>CT45</f>
        <v/>
      </c>
      <c r="CW45" s="1034" t="inlineStr">
        <is>
          <t>N</t>
        </is>
      </c>
      <c r="CX45" s="1035" t="n"/>
      <c r="CY45" s="1036">
        <f>IF(CW45="N",(1-CV45)*CU45,(1-CX45)*CU45)</f>
        <v/>
      </c>
      <c r="CZ45" s="1037" t="n"/>
      <c r="DA45" s="1038" t="n"/>
      <c r="DB45" s="1039" t="n"/>
      <c r="DC45" s="1040" t="n"/>
      <c r="DD45" s="1040">
        <f>INDEX('Loan Tape - Settled'!$B$4:$BJ$55,MATCH($A45,'Loan Tape - Settled'!$E$4:$E$55,0),MATCH("Initial Senior Net Leverage Senior",'Loan Tape - Settled'!$B$4:$BJ$4,0))</f>
        <v/>
      </c>
      <c r="DE45" s="1041">
        <f>INDEX('Loan Tape - Settled'!$B$4:$BJ$55,MATCH($A45,'Loan Tape - Settled'!$E$4:$E$55,0),MATCH("Initial Total Net Leverage",'Loan Tape - Settled'!$B$4:$BJ$4,0))</f>
        <v/>
      </c>
      <c r="DF45" s="1037" t="n"/>
      <c r="DG45" s="1038" t="n"/>
      <c r="DH45" s="1039" t="n"/>
      <c r="DI45" s="1042">
        <f>INDEX('Loan Tape - Settled'!$B$4:$BJ$55,MATCH($A45,'Loan Tape - Settled'!$E$4:$E$55,0),MATCH("Net Attachment",'Loan Tape - Settled'!$B$4:$BJ$4,0))</f>
        <v/>
      </c>
      <c r="DJ45" s="566">
        <f t="array" ref="DJ45">IF(AG45="Yes",INDEX(VAE!$M$5:$M$53,MATCH($B45&amp;$AJ45,VAE!$C$5:$C$53&amp;VAE!$G$5:$G$53,0)),DD45)</f>
        <v/>
      </c>
      <c r="DK45" s="697">
        <f t="array" ref="DK45">IF(AG45="Yes",INDEX(VAE!$N$5:$N$53,MATCH($B45&amp;$AJ45,VAE!$C$5:$C$53&amp;VAE!$G$5:$G$53,0)),DE45)</f>
        <v/>
      </c>
      <c r="DL45" s="1058">
        <f>INDEX('Loan Tape - Settled'!$B$4:$BJ$55,MATCH($A45,'Loan Tape - Settled'!$E$4:$E$55,0),MATCH("Current Senior Net Leverage Senior",'Loan Tape - Settled'!$B$4:$BJ$4,0))</f>
        <v/>
      </c>
      <c r="DM45" s="1059">
        <f>INDEX('Loan Tape - Settled'!$B$4:$BJ$55,MATCH($A45,'Loan Tape - Settled'!$E$4:$E$55,0),MATCH("Current Total Net Leverage",'Loan Tape - Settled'!$B$4:$BJ$4,0))</f>
        <v/>
      </c>
      <c r="DN45" s="1044" t="n"/>
      <c r="DO45" s="1045">
        <f>INDEX('Loan Tape - Settled'!$B$4:$BJ$55,MATCH($A45,'Loan Tape - Settled'!$E$4:$E$55,0),MATCH("Initial Interest Coverage",'Loan Tape - Settled'!$B$4:$BJ$4,0))</f>
        <v/>
      </c>
      <c r="DP45" s="565">
        <f t="array" ref="DP45">IF(AG45="Yes",INDEX(VAE!$O$5:$O$53,MATCH($B45&amp;$AJ45,VAE!$C$5:$C$53&amp;VAE!$G$5:$G$53,0)),DO45)</f>
        <v/>
      </c>
      <c r="DQ45" s="1046">
        <f>INDEX('Loan Tape - Settled'!$B$4:$BJ$55,MATCH($A45,'Loan Tape - Settled'!$E$4:$E$55,0),MATCH("Current Interest Coverage",'Loan Tape - Settled'!$B$4:$BJ$4,0))</f>
        <v/>
      </c>
      <c r="DR45" s="462">
        <f>IF(OR(DU45="Yes",DU45="N/A",DV45="Yes",DV45="N/A",DW45="Yes",DX45="Yes",DY45="Yes",EF45="Yes",EG45="Yes",EH45="Yes"),"Yes","No")</f>
        <v/>
      </c>
      <c r="DS45" s="1047">
        <f>IF(AG45="Yes",DATEDIF(AJ45,Availability!$F$8,"m"),"")</f>
        <v/>
      </c>
      <c r="DT45" s="1047">
        <f>IF(DS45="","No",IF(DS45&gt;12,"Yes","No"))</f>
        <v/>
      </c>
      <c r="DU45" s="695">
        <f>IFERROR(IF(AND(DQ45/DP45&lt;0.75,DQ45&lt;1.5),"Yes","No"),"N/A")</f>
        <v/>
      </c>
      <c r="DV45" s="696">
        <f>IFERROR(IF(OR(D45="First Lien",D45="FILO"),IF(AND((DL45-DJ45)&gt;0.75,DL45&gt;4),"Yes","No"),"No"),"N/A")</f>
        <v/>
      </c>
      <c r="DW45" s="696">
        <f t="array" ref="DW45">_xlfn.IFS(D45&lt;&gt;"Second Lien","No",D45="Second Lien",IF(AND((DM45-DK45)&gt;0.5,DM45&gt;4.5),"Yes","No"))</f>
        <v/>
      </c>
      <c r="DX45" s="735" t="inlineStr">
        <is>
          <t>No</t>
        </is>
      </c>
      <c r="DY45" s="735" t="inlineStr">
        <is>
          <t>No</t>
        </is>
      </c>
      <c r="DZ45" s="1048" t="inlineStr">
        <is>
          <t>No</t>
        </is>
      </c>
      <c r="EA45" s="1048" t="inlineStr">
        <is>
          <t>No</t>
        </is>
      </c>
      <c r="EB45" s="1048" t="inlineStr">
        <is>
          <t>No</t>
        </is>
      </c>
      <c r="EC45" s="1048" t="inlineStr">
        <is>
          <t>No</t>
        </is>
      </c>
      <c r="ED45" s="1048" t="inlineStr">
        <is>
          <t>No</t>
        </is>
      </c>
      <c r="EE45" s="1048" t="inlineStr">
        <is>
          <t>No</t>
        </is>
      </c>
      <c r="EF45" s="442">
        <f>IF(OR(DZ45="Yes",EA45="Yes",EB45="Yes",EC45="Yes",ED45="Yes",EE45="Yes"),"Yes","No")</f>
        <v/>
      </c>
      <c r="EG45" s="1048" t="inlineStr">
        <is>
          <t>No</t>
        </is>
      </c>
      <c r="EH45" s="1049" t="inlineStr">
        <is>
          <t>No</t>
        </is>
      </c>
      <c r="EI45" s="1050">
        <f t="array" ref="EI45">IF(D45="First Lien",_xlfn.IFS(CY45&gt;AGENT!$B$23, "&gt; $20MM",CY45&lt;=AGENT!$C$25, "&lt;= $10MM",AND(CY45&lt;=AGENT!$C$24,CY45&gt;AGENT!$B$24),"&lt;= $20MM"), "N/A")</f>
        <v/>
      </c>
      <c r="EJ45" s="1050">
        <f t="array" ref="EJ45">IF(D45="FILO",_xlfn.IFS(DI45&gt;AGENT!$B$29, "&gt; 1.25x",DI45&lt;AGENT!$C$27, "&lt; 0.75x",AND(DI45&lt;=AGENT!$C$28,DI45&gt;=AGENT!$B$28),"&lt;= 1.25x"), "N/A")</f>
        <v/>
      </c>
      <c r="EK45" s="1051">
        <f>V45</f>
        <v/>
      </c>
      <c r="EL45" s="1051">
        <f>'Concentration Limits'!$J$49</f>
        <v/>
      </c>
      <c r="EM45" s="1051">
        <f>IF(OR(D45="Second Lien",AND(D45="FILO",DI45&gt;AGENT!$C$57)), "Yes", "No")</f>
        <v/>
      </c>
      <c r="EN45" s="1051">
        <f>IF(EM45="Yes",SUMIF(EM:EM,"Yes",EK:EK),0)</f>
        <v/>
      </c>
      <c r="EO45" s="1051">
        <f>IF(EN45&gt;EL45,(EN45-EL45)*(EK45/SUMIF(EM:EM,"Yes",EK:EK)),0)</f>
        <v/>
      </c>
      <c r="EP45" s="1051">
        <f>MAX(0,EK45-EO45)</f>
        <v/>
      </c>
      <c r="EQ45" s="1051">
        <f>'Concentration Limits'!$J$50</f>
        <v/>
      </c>
      <c r="ER45" s="1051">
        <f>IF(D45="Second Lien",SUMIF(D:D,D45,EP:EP),0)</f>
        <v/>
      </c>
      <c r="ES45" s="1051">
        <f>MAX(0,(ER45-EQ45)*IFERROR((EP45/SUMIF($D:$D,D45,EP:EP )),0) )</f>
        <v/>
      </c>
      <c r="ET45" s="1051">
        <f>MAX(0,EP45-ES45)</f>
        <v/>
      </c>
      <c r="EU45" s="1051">
        <f>'Concentration Limits'!$J$51</f>
        <v/>
      </c>
      <c r="EV45" s="1051">
        <f>IF(OR(D45="Second Lien", AND(D45="FILO",DI45&gt;AGENT!$C$59)), "Yes", "No")</f>
        <v/>
      </c>
      <c r="EW45" s="1051">
        <f>IF(EV45="Yes",SUMIF(EV:EV,"Yes",ET:ET),0)</f>
        <v/>
      </c>
      <c r="EX45" s="1051">
        <f>IF(EW45&gt;EU45,(EW45-EU45)*(ET45/SUMIF(EV:EV,"Yes",ET:ET)),0)</f>
        <v/>
      </c>
      <c r="EY45" s="1051">
        <f>MAX(0,ET45-EX45)</f>
        <v/>
      </c>
      <c r="EZ45" s="1051">
        <f>'Concentration Limits'!$J$52</f>
        <v/>
      </c>
      <c r="FA45" s="1051">
        <f>IF(CY45&gt;'Concentration Limits'!$E$52, "No", "Yes")</f>
        <v/>
      </c>
      <c r="FB45" s="1051">
        <f>IF(FA45="Yes",SUMIF(FA:FA,"Yes",EY:EY),0)</f>
        <v/>
      </c>
      <c r="FC45" s="1051">
        <f>IF(FB45&gt;EZ45,(FB45-EZ45)*(EY45/SUMIF(FA:FA,"Yes",EY:EY)),0)</f>
        <v/>
      </c>
      <c r="FD45" s="1051">
        <f>MAX(0,EY45-FC45)</f>
        <v/>
      </c>
      <c r="FE45" s="1052">
        <f>'Concentration Limits'!$J$54</f>
        <v/>
      </c>
      <c r="FF45" s="1052">
        <f>'Concentration Limits'!$J$55</f>
        <v/>
      </c>
      <c r="FG45" s="1052">
        <f>'Concentration Limits'!$J$56</f>
        <v/>
      </c>
      <c r="FH45" s="1053">
        <f>'Concentration Limits'!$J$57</f>
        <v/>
      </c>
      <c r="FI45" s="1053">
        <f>SUMIF($B:$B,$B45,$FD:$FD)</f>
        <v/>
      </c>
      <c r="FJ45" s="1053">
        <f>IF(MATCH($B45,$B:$B,0)=ROW(),$FI45,0)</f>
        <v/>
      </c>
      <c r="FK45" s="1053">
        <f>INDEX(FL$8:FL$60,MATCH(B45,B$8:B$60,0))</f>
        <v/>
      </c>
      <c r="FL45" s="1053">
        <f>IF(FJ45&gt;0,RANK(FJ45,$FJ$9:$FJ$60)+COUNTIF($FJ$9:FJ45,FJ45)-1,0)</f>
        <v/>
      </c>
      <c r="FM45" s="1052">
        <f>IF(FK45=1,IF(FI45&gt;FE45,(FI45-FE45)*(V45/SUMIF($B:$B,B45,$FD:$FD)),0),0)</f>
        <v/>
      </c>
      <c r="FN45" s="1052">
        <f>IF(FK45=2,IF(FI45&gt;FF45,(FI45-FF45)*(V45/SUMIF($B:$B,B45,$FD:$FD)),0),0)</f>
        <v/>
      </c>
      <c r="FO45" s="1052">
        <f>IF(FK45=3,IF(FI45&gt;FG45,(FI45-FG45)*(V45/SUMIF($B:$B,B45,$FD:$FD)),0),0)</f>
        <v/>
      </c>
      <c r="FP45" s="1053">
        <f>IF(FK45&gt;0,IF(FI45&gt;FH45,(FI45-FH45)*(FD45/(SUMIF($B:$B,$B45,$FD:$FD))),0),0)</f>
        <v/>
      </c>
      <c r="FQ45" s="1053">
        <f>MAX(0,FD45-FM45-FN45-FO45-FP45)</f>
        <v/>
      </c>
      <c r="FR45" s="1053">
        <f>'Concentration Limits'!$J$58</f>
        <v/>
      </c>
      <c r="FS45" s="1053">
        <f>SUMIF($BR:$BR,$BR45,FQ:FQ)</f>
        <v/>
      </c>
      <c r="FT45" s="1053">
        <f>VLOOKUP(BR45,'Concentration Limits'!$E$81:$H$153,4,FALSE)</f>
        <v/>
      </c>
      <c r="FU45" s="1053">
        <f>IF(FT45=1,MAX(0,(FS45-FR45)*(FQ45/SUMIF($BR:$BR,BR45,FQ:FQ))),0)</f>
        <v/>
      </c>
      <c r="FV45" s="1053">
        <f>MAX(0,FQ45-FU45)</f>
        <v/>
      </c>
      <c r="FW45" s="1053">
        <f>'Concentration Limits'!$J$59</f>
        <v/>
      </c>
      <c r="FX45" s="1053">
        <f>SUMIF($BR:$BR,$BR45,FV:FV)</f>
        <v/>
      </c>
      <c r="FY45" s="1053">
        <f>VLOOKUP(BR45,'Concentration Limits'!$E$81:$H$153,4,FALSE)</f>
        <v/>
      </c>
      <c r="FZ45" s="1053">
        <f>MAX(0,IF(FY45=2,(FX45-FW45)*(FV45/SUMIF($BR:$BR,BR45,FV:FV)),0))</f>
        <v/>
      </c>
      <c r="GA45" s="1053">
        <f>MAX(0,FV45-FZ45)</f>
        <v/>
      </c>
      <c r="GB45" s="1053">
        <f>'Concentration Limits'!$J$61</f>
        <v/>
      </c>
      <c r="GC45" s="1053">
        <f>SUMIF($BR:$BR,$BR45,GA:GA)</f>
        <v/>
      </c>
      <c r="GD45" s="1051">
        <f>VLOOKUP(BR45,'Concentration Limits'!$E$81:$H$153,4,FALSE)</f>
        <v/>
      </c>
      <c r="GE45" s="1053">
        <f>IF(GA45=0,0,MAX(0,IF(GD45&lt;3,0,(GC45-GB45)*($GA45/SUMIF($BR:$BR,BR45,GA:GA)))))</f>
        <v/>
      </c>
      <c r="GF45" s="1053">
        <f>MAX(0,GA45-GE45)</f>
        <v/>
      </c>
      <c r="GG45" s="1053">
        <f>'Concentration Limits'!$J$64</f>
        <v/>
      </c>
      <c r="GH45" s="1053">
        <f>IF(BY45="Yes",SUMIF(BY:BY,BY45,GF:GF),0)</f>
        <v/>
      </c>
      <c r="GI45" s="1053">
        <f>IFERROR(MAX(0,(GH45-GG45)*(GF45/SUMIF($T:$T,T45,GF:GF ))),0)</f>
        <v/>
      </c>
      <c r="GJ45" s="1053">
        <f>MAX(0,GF45-GI45)</f>
        <v/>
      </c>
      <c r="GK45" s="1053">
        <f>'Concentration Limits'!$J$67</f>
        <v/>
      </c>
      <c r="GL45" s="1051">
        <f>IF(OR(BV45="Yes",OR(ISNUMBER(SEARCH("Travel",BR45)),ISNUMBER(SEARCH("Energy",BR45)),ISNUMBER(SEARCH("Leisure",BR45)),ISNUMBER(SEARCH("hotel",BR45)))),"Yes","No")</f>
        <v/>
      </c>
      <c r="GM45" s="1053">
        <f>IF(GL45="Yes",SUMIF(GL:GL,"Yes",GJ:GJ),0)</f>
        <v/>
      </c>
      <c r="GN45" s="1053">
        <f>IF(GM45&gt;GK45,(GM45-GK45)*(GJ45/SUMIF(GL:GL,"Yes",GJ:GJ)),0)</f>
        <v/>
      </c>
      <c r="GO45" s="1053">
        <f>MAX(0,GJ45-GN45)</f>
        <v/>
      </c>
      <c r="GP45" s="1053">
        <f>'Concentration Limits'!$J$68</f>
        <v/>
      </c>
      <c r="GQ45" s="1051">
        <f>IF(BU45="Yes","Yes", "No")</f>
        <v/>
      </c>
      <c r="GR45" s="1053">
        <f>IF(GQ45="Yes",SUMIF(GQ:GQ,"Yes",GO:GO),0)</f>
        <v/>
      </c>
      <c r="GS45" s="1053">
        <f>IF(GR45&gt;GP45,(GR45-GP45)*(GO45/SUMIF(GQ:GQ,"Yes",GO:GO)),0)</f>
        <v/>
      </c>
      <c r="GT45" s="1053">
        <f>MAX(0,GO45-GS45)</f>
        <v/>
      </c>
      <c r="GU45" s="1051">
        <f>'Concentration Limits'!$J$69</f>
        <v/>
      </c>
      <c r="GV45" s="1051">
        <f>IF(BW45="Yes", "Yes", "No")</f>
        <v/>
      </c>
      <c r="GW45" s="1051">
        <f>IF(GV45="Yes",SUMIF(GV:GV,"Yes",GT:GT),0)</f>
        <v/>
      </c>
      <c r="GX45" s="1051">
        <f>IF(GW45&gt;GU45,(GW45-GU45)*(GT45/SUMIF(GV:GV,"Yes",GT:GT)),0)</f>
        <v/>
      </c>
      <c r="GY45" s="1051">
        <f>MAX(0,GT45-GX45)</f>
        <v/>
      </c>
      <c r="GZ45" s="1051">
        <f>'Concentration Limits'!$J$70</f>
        <v/>
      </c>
      <c r="HA45" s="1051">
        <f>IF(BX45="Yes", "Yes", "No")</f>
        <v/>
      </c>
      <c r="HB45" s="1051">
        <f>IF(HA45="Yes",SUMIF(HA:HA,"Yes",GY:GY),0)</f>
        <v/>
      </c>
      <c r="HC45" s="1051">
        <f>IF(HB45&gt;GZ45,(HB45-GZ45)*(GY45/SUMIF(HA:HA,"Yes",GY:GY)),0)</f>
        <v/>
      </c>
      <c r="HD45" s="1051">
        <f>MAX(0,GY45-HC45)</f>
        <v/>
      </c>
      <c r="HE45" s="1053">
        <f>IF(AQ45=0,0,HD45*AQ45/(AQ45+AR45))</f>
        <v/>
      </c>
      <c r="HF45" s="1053">
        <f>IF(AR45=0,0,HD45*AR45/(AQ45+AR45))</f>
        <v/>
      </c>
      <c r="HG45" s="1053">
        <f>IF(AW45=0,0,HD45*AW45/(AW45+AX45))</f>
        <v/>
      </c>
      <c r="HH45" s="1053">
        <f>IF(AX45=0,0,HD45*AX45/(AX45+AW45))</f>
        <v/>
      </c>
      <c r="HI45" s="1053">
        <f>IF(BE45=0,0,#REF!*BE45/(BE45+BG45))</f>
        <v/>
      </c>
      <c r="HJ45" s="1053">
        <f>IF(BG45=0,0,#REF!*BG45/(BG45+BE45))</f>
        <v/>
      </c>
      <c r="HK45" s="1054">
        <f>IF(BF45=0,0,#REF!*BF45/(BF45+BH45))</f>
        <v/>
      </c>
      <c r="HL45" s="1053">
        <f>IF(BH45=0,0,#REF!*BH45/(BH45+BF45))</f>
        <v/>
      </c>
      <c r="HM45" s="1053">
        <f>IF(D45="Second Lien",HD45,0)</f>
        <v/>
      </c>
      <c r="HN45" s="1053">
        <f>SUM(HE45:HM45)=HD45</f>
        <v/>
      </c>
    </row>
    <row r="46" ht="12.75" customFormat="1" customHeight="1" s="469">
      <c r="A46" s="55">
        <f>A45+1</f>
        <v/>
      </c>
      <c r="B46" s="437">
        <f>INDEX('Loan Tape - Settled'!$B$4:$AP$55,MATCH($A46,'Loan Tape - Settled'!$E$4:$E$55,0),MATCH("Obligor Name",'Loan Tape - Settled'!$B$4:$AM$4,0))</f>
        <v/>
      </c>
      <c r="C46" s="437">
        <f>INDEX('Loan Tape - Settled'!$B$4:$AP$55,MATCH($A46,'Loan Tape - Settled'!$E$4:$E$55,0),MATCH("Security",'Loan Tape - Settled'!$B$4:$AM$4,0))</f>
        <v/>
      </c>
      <c r="D46" s="438">
        <f>INDEX('Loan Tape - Settled'!$B$4:$AP$55,MATCH($A46,'Loan Tape - Settled'!$E$4:$E$55,0),MATCH("Loan Type",'Loan Tape - Settled'!$B$4:$AM$4,0))</f>
        <v/>
      </c>
      <c r="E46" s="439">
        <f>IF(ISERROR(MATCH(D46,AGENT!$A$4:$A$10,0))=FALSE, TRUE)</f>
        <v/>
      </c>
      <c r="F46" s="439">
        <f>IF(AND(BZ46="no",CA46="no"),TRUE)</f>
        <v/>
      </c>
      <c r="G46" s="439">
        <f>IF(D46&lt;&gt;"Second Lien",TRUE, IF(CY46&gt;=AGENT!$B$4,TRUE))</f>
        <v/>
      </c>
      <c r="H46" s="439">
        <f>IF(DE46&lt;=AGENT!$D$4,TRUE)</f>
        <v/>
      </c>
      <c r="I46" s="439">
        <f>IF(VLOOKUP(CONCATENATE($A$5,A46),'Loan Tape - Settled'!$A$5:$Q$55,17,FALSE)&gt;=AGENT!$E$4,TRUE)</f>
        <v/>
      </c>
      <c r="J46" s="439">
        <f>IF(INDEX('Loan Tape - Settled'!$B$4:$AP$55,MATCH($A46,'Loan Tape - Settled'!$E$4:$E$55,0),MATCH("Loan Denomination",'Loan Tape - Settled'!$B$4:$AP$4,0))="USD", TRUE)</f>
        <v/>
      </c>
      <c r="K46" s="439">
        <f>IF(INDEX('Loan Tape - Settled'!$B$4:$AP$55,MATCH($A46,'Loan Tape - Settled'!$E$4:$E$55,0),MATCH("Exposure Country",'Loan Tape - Settled'!$B$4:$AP$4,0))="United States", TRUE)</f>
        <v/>
      </c>
      <c r="L46" s="439">
        <f>IF(BS46="NO",TRUE)</f>
        <v/>
      </c>
      <c r="M46" s="439">
        <f>IF(((BM46-BL46)/365)&lt;=AGENT!$F$4,TRUE)</f>
        <v/>
      </c>
      <c r="N46" s="439">
        <f>IF(DX46="Yes",FALSE,TRUE)</f>
        <v/>
      </c>
      <c r="O46" s="493" t="n"/>
      <c r="P46" s="764">
        <f>IF($B46="","",IF(OR(O46=TRUE,COUNTIFS($E46:$N46,TRUE)=10),"Yes","No"))</f>
        <v/>
      </c>
      <c r="Q46" s="730" t="inlineStr">
        <is>
          <t>Yes</t>
        </is>
      </c>
      <c r="R46" s="440">
        <f>IF(P46="Yes",B46,"N/A")</f>
        <v/>
      </c>
      <c r="S46" s="440" t="n"/>
      <c r="T46" s="441">
        <f t="array" ref="T46">_xlfn.IFS(D46="Second Lien",D46,D46="First Lien",CONCATENATE(D46," ",EI46),D46="FILO",CONCATENATE(D46," ",EJ46))</f>
        <v/>
      </c>
      <c r="U46" s="442">
        <f>VLOOKUP(T46,'Concentration Limits'!D:G,4,FALSE)</f>
        <v/>
      </c>
      <c r="V46" s="1020">
        <f>AQ46+AW46+BI46</f>
        <v/>
      </c>
      <c r="W46" s="1021">
        <f>(SUMIFS('Loan Tape - Settled'!$AR$4:$AR$55,'Loan Tape - Settled'!$E$4:$E$55,$A46,'Loan Tape - Settled'!$C$4:$C$55,$A$5))</f>
        <v/>
      </c>
      <c r="X46" s="1022" t="n">
        <v>1</v>
      </c>
      <c r="Y46" s="1023">
        <f>W46*X46</f>
        <v/>
      </c>
      <c r="Z46" s="1022">
        <f>(SUMIFS('Loan Tape - Settled'!$AQ$4:$AQ$55,'Loan Tape - Settled'!$E$4:$E$55,$A46,'Loan Tape - Settled'!$C$4:$C$55,$A$5))</f>
        <v/>
      </c>
      <c r="AA46" s="1023">
        <f>Z46*X46</f>
        <v/>
      </c>
      <c r="AB46" s="1023">
        <f>AA46-Y46</f>
        <v/>
      </c>
      <c r="AC46" s="490">
        <f>VLOOKUP(CONCATENATE($A$5,A46),'Loan Tape - Settled'!$A$5:$Q$55,17,FALSE)</f>
        <v/>
      </c>
      <c r="AD46" s="445" t="n"/>
      <c r="AE46" s="446">
        <f>INDEX('Loan Tape - Settled'!$B$4:$AP$55,MATCH($A46,'Loan Tape - Settled'!$E$4:$E$55,0),MATCH("FMV",'Loan Tape - Settled'!$B$4:$AM$4,0))</f>
        <v/>
      </c>
      <c r="AF46" s="446">
        <f t="array" ref="AF46">_xlfn.IFS(D46="First Lien",
_xlfn.IFS(AND(DL46&gt;0,DL46&lt;Tier_1_1L),Tier_1_ApplicableValue,
AND(DL46&gt;=Tier_1_1L,DL46&lt;Tier_2_1L),((Tier_1_1L/DL46)*Tier_1_ApplicableValue)+((DL46-Tier_1_1L)/DL46*Tier_2_ApplicableValue),
AND(DL46&gt;=Tier_2_1L, DL46&lt;Tier_3_1L),((Tier_1_1L/DL46)*Tier_1_ApplicableValue+(Tier_2_1L-Tier_1_1L)/DL46*Tier_2_ApplicableValue+(DL46-Tier_2_1L)/DL46*Tier_3_ApplicableValue),
AND(DL46&gt;=Tier_3_1L, DL46&lt;=Tier_totalzerovalue),((Tier_1_1L/DL46)*Tier_1_ApplicableValue+(Tier_2_1L-Tier_1_1L)/DL46*Tier_2_ApplicableValue+(Tier_3_1L-Tier_2_1L)/DL46*Tier_3_ApplicableValue+(DL46-Tier_partialzerovalue)/DL46*0%),
DL46&gt;Tier_totalzerovalue,0%),
OR(D46="Second Lien", D46="FILO"),
_xlfn.IFS(AND(DM46&gt;0,DM46&lt;Tier_1_2L),Tier_1_ApplicableValue,
AND(DM46&gt;=Tier_1_2L,DM46&lt;Tier_2_2L),((Tier_1_2L/DM46)*Tier_1_ApplicableValue)+((DM46-Tier_1_2L)/DM46*Tier_2_ApplicableValue),
AND(DM46&gt;=Tier_2_2L, DM46&lt;Tier_3_2L),((Tier_1_2L/DM46)*Tier_1_ApplicableValue+(Tier_2_2L-Tier_1_2L)/DM46*Tier_2_ApplicableValue+(DM46-Tier_2_2L)/DM46*Tier_3_ApplicableValue),
AND(DM46&gt;=Tier_3_2L, DM46&lt;=Tier_totalzerovalue),((Tier_1_2L/DM46)*Tier_1_ApplicableValue+(Tier_2_2L-Tier_1_2L)/DM46*Tier_2_ApplicableValue+(Tier_3_2L-Tier_2_2L)/DM46*Tier_3_ApplicableValue+(DM46-Tier_partialzerovalue)/DM46*0%),
DM46&gt;Tier_totalzerovalue,0%))</f>
        <v/>
      </c>
      <c r="AG46" s="447">
        <f>IF(COUNTIFS(VAE!$C$5:$C$96,B46,VAE!$G$5:$G$96,"&lt;="&amp;Availability!$F$8)&gt;=1,"Yes","-")</f>
        <v/>
      </c>
      <c r="AH46" s="447">
        <f t="array" ref="AH46">IFERROR(IF(AG46="Yes",INDEX(VAE!$D$5:$D$96,MATCH(B46&amp;AJ46,VAE!$C$5:$C$96&amp;VAE!$G$5:$G$96,0)),"-"),0)</f>
        <v/>
      </c>
      <c r="AI46" s="447">
        <f t="array" ref="AI46">IFERROR(IF(AG46="Yes",INDEX(VAE!$F$5:$F$96,MATCH(B46&amp;AJ46,VAE!$C$5:$C$96&amp;VAE!$G$5:$G$96,0)),"-"),0)</f>
        <v/>
      </c>
      <c r="AJ46" s="448">
        <f>IF(AG46="-","-",_xlfn.MAXIFS(VAE!$G$5:$G$96,VAE!$C$5:$C$96,$B46))</f>
        <v/>
      </c>
      <c r="AK46" s="449">
        <f t="array" ref="AK46">IFERROR(IF(AG46="Yes",INDEX(VAE!$P$5:$P$96,MATCH(B46&amp;AJ46,VAE!$C$5:$C$96&amp;VAE!$G$5:$G$96,0)),"-"),0)</f>
        <v/>
      </c>
      <c r="AL46" s="446">
        <f>IF($A46="","",IF(P46="No",0,(IF(AG46="Yes",MIN(AE46,AK46,AF46),MIN(AE46,AF46)))))</f>
        <v/>
      </c>
      <c r="AM46" s="1020" t="n"/>
      <c r="AN46" s="1020" t="n"/>
      <c r="AO46" s="1020">
        <f>IF(AND(D46="First Lien",P46="No"),0,IF(D46&lt;&gt;"First Lien",0,Y46))</f>
        <v/>
      </c>
      <c r="AP46" s="1020">
        <f>IF(AND(D46="First Lien",P46="No"),W46,0)</f>
        <v/>
      </c>
      <c r="AQ46" s="1020">
        <f>AL46*AO46</f>
        <v/>
      </c>
      <c r="AR46" s="1020" t="n"/>
      <c r="AS46" s="1020" t="n"/>
      <c r="AT46" s="1020" t="n"/>
      <c r="AU46" s="1020">
        <f>IF(AND(D46="FILO",P46="No"),0,IF(D46&lt;&gt;"FILO",0,Y46))</f>
        <v/>
      </c>
      <c r="AV46" s="1020">
        <f>IF(AND(D46="FILO",P46="No"),W46,0)</f>
        <v/>
      </c>
      <c r="AW46" s="1020">
        <f>AU46*AL46</f>
        <v/>
      </c>
      <c r="AX46" s="1020" t="n"/>
      <c r="AY46" s="1020" t="n"/>
      <c r="AZ46" s="1020" t="n"/>
      <c r="BA46" s="1020">
        <f>IF(AND(OR(D46="First Lien",D46="FILO"),P46="No"),0,IF(OR(D46="First Lien",D46="FILO"),0,(Y46)))</f>
        <v/>
      </c>
      <c r="BB46" s="1020" t="n"/>
      <c r="BC46" s="1020" t="n"/>
      <c r="BD46" s="1020">
        <f>IF(AND(D46="Second Lien",P46="No"),W46,0)</f>
        <v/>
      </c>
      <c r="BE46" s="1020" t="n"/>
      <c r="BF46" s="1020" t="n"/>
      <c r="BG46" s="1020" t="n"/>
      <c r="BH46" s="1020" t="n"/>
      <c r="BI46" s="1020">
        <f>IF(D46="Second Lien",BA46*AL46,0)</f>
        <v/>
      </c>
      <c r="BJ46" s="1020">
        <f>SUM(AM46:AP46)+SUM(AZ46:BD46)+SUM(AS46:AV46)=Y46</f>
        <v/>
      </c>
      <c r="BK46" s="1026">
        <f>INDEX('Loan Tape - Settled'!$B$4:$AP$55,MATCH($A46,'Loan Tape - Settled'!$E$4:$E$55,0),MATCH("Inception Date",'Loan Tape - Settled'!$B$4:$AP$4,0))</f>
        <v/>
      </c>
      <c r="BL46" s="1026">
        <f>INDEX('Loan Tape - Settled'!$B$4:$AP$55,MATCH($A46,'Loan Tape - Settled'!$E$4:$E$55,0),MATCH("Inclusion Date",'Loan Tape - Settled'!$B$4:$AP$4,0))</f>
        <v/>
      </c>
      <c r="BM46" s="1026">
        <f>INDEX('Loan Tape - Settled'!$B$4:$AP$55,MATCH($A46,'Loan Tape - Settled'!$E$4:$E$55,0),MATCH("Maturity Date",'Loan Tape - Settled'!$B$4:$AP$4,0))</f>
        <v/>
      </c>
      <c r="BN46" s="556" t="n"/>
      <c r="BO46" s="556" t="n"/>
      <c r="BP46" s="1055" t="n"/>
      <c r="BQ46" s="556" t="n"/>
      <c r="BR46" s="554">
        <f>INDEX('Loan Tape - Settled'!$B$4:$AP$55,MATCH($A46,'Loan Tape - Settled'!$E$4:$E$55,0),MATCH("Industry Classification",'Loan Tape - Settled'!$B$4:$AP$4,0))</f>
        <v/>
      </c>
      <c r="BS46" s="556">
        <f>IF(INDEX('Loan Tape - Settled'!$B$4:$AP$55,MATCH($A46,'Loan Tape - Settled'!$E$4:$E$55,0),MATCH("Covenant Lite",'Loan Tape - Settled'!$B$4:$AP$4,0))=-1, "Yes", "No")</f>
        <v/>
      </c>
      <c r="BT46" s="1056">
        <f>INDEX('Loan Tape - Settled'!$B$4:$AP$55,MATCH($A46,'Loan Tape - Settled'!$E$4:$E$55,0),MATCH("Spread / Coupon (%)",'Loan Tape - Settled'!$B$4:$AP$4,0))</f>
        <v/>
      </c>
      <c r="BU46" s="556">
        <f>IF(INDEX('Loan Tape - Settled'!$B$4:$AP$55,MATCH($A46,'Loan Tape - Settled'!$E$4:$E$55,0),MATCH("Security Type",'Loan Tape - Settled'!$B$4:$AP$4,0))="Delayed Draw Term Loan", "Yes", "No")</f>
        <v/>
      </c>
      <c r="BV46" s="557" t="inlineStr">
        <is>
          <t>No</t>
        </is>
      </c>
      <c r="BW46" s="557" t="inlineStr">
        <is>
          <t>No</t>
        </is>
      </c>
      <c r="BX46" s="548" t="inlineStr">
        <is>
          <t>No</t>
        </is>
      </c>
      <c r="BY46" s="556">
        <f>IF(INDEX('Loan Tape - Settled'!$B$4:$AP$55,MATCH($A46,'Loan Tape - Settled'!$E$4:$E$55,0),MATCH("Fixed/Floating",'Loan Tape - Settled'!$B$4:$AP$4,0))="Fixed", "Yes", "No")</f>
        <v/>
      </c>
      <c r="BZ46" s="557" t="inlineStr">
        <is>
          <t>No</t>
        </is>
      </c>
      <c r="CA46" s="557" t="inlineStr">
        <is>
          <t>No</t>
        </is>
      </c>
      <c r="CB46" s="556">
        <f>IF(INDEX('Loan Tape - Settled'!$B$4:$AP$55,MATCH($A46,'Loan Tape - Settled'!$E$4:$E$55,0),MATCH("Loan Denomination",'Loan Tape - Settled'!$B$4:$AP$4,0))="CAD", "Yes", "No")</f>
        <v/>
      </c>
      <c r="CC46" s="556">
        <f>INDEX('Loan Tape - Settled'!$B$4:$AP$55,MATCH($A46,'Loan Tape - Settled'!$E$4:$E$55,0),MATCH("Payment Frequency",'Loan Tape - Settled'!$B$4:$AP$4,0))</f>
        <v/>
      </c>
      <c r="CD46" s="557" t="inlineStr">
        <is>
          <t>No</t>
        </is>
      </c>
      <c r="CE46" s="556">
        <f>INDEX('Loan Tape - Settled'!$B$4:$AP$55,MATCH($A46,'Loan Tape - Settled'!$E$4:$E$55,0),MATCH("S&amp;P Loan Rating (if applicable)",'Loan Tape - Settled'!$B$4:$AP$4,0))</f>
        <v/>
      </c>
      <c r="CF46" s="556">
        <f>INDEX('Loan Tape - Settled'!$B$4:$AP$55,MATCH($A46,'Loan Tape - Settled'!$E$4:$E$55,0),MATCH("Moody's Loan Rating (if applicable)",'Loan Tape - Settled'!$B$4:$AP$4,0))</f>
        <v/>
      </c>
      <c r="CG46" s="556" t="n"/>
      <c r="CH46" s="556" t="n"/>
      <c r="CI46" s="1057" t="n"/>
      <c r="CJ46" s="1030">
        <f>INDEX('Loan Tape - Settled'!$B$4:$BF$55,MATCH($A46,'Loan Tape - Settled'!$E$4:$E$55,0),MATCH("Last Financial Received",'Loan Tape - Settled'!$B$4:$BF$4,0))</f>
        <v/>
      </c>
      <c r="CK46" s="559">
        <f>INDEX('Loan Tape - Settled'!$B$4:$BJ$55,MATCH($A46,'Loan Tape - Settled'!$E$4:$E$55,0),MATCH("Initial Adjusted TTM EBITDA",'Loan Tape - Settled'!$B$4:$BJ$4,0))</f>
        <v/>
      </c>
      <c r="CL46" s="559">
        <f>INDEX('Loan Tape - Settled'!$B$4:$BJ$55,MATCH($A46,'Loan Tape - Settled'!$E$4:$E$55,0),MATCH("Initial TTM Non-adjusted EBITDA",'Loan Tape - Settled'!$B$4:$BJ$4,0))</f>
        <v/>
      </c>
      <c r="CM46" s="1031" t="n"/>
      <c r="CN46" s="451" t="n"/>
      <c r="CO46" s="451" t="n"/>
      <c r="CP46" s="1032" t="n"/>
      <c r="CQ46" s="1033" t="inlineStr">
        <is>
          <t>N</t>
        </is>
      </c>
      <c r="CR46" s="1032" t="n"/>
      <c r="CS46" s="454">
        <f>CK46-CP46+CR46</f>
        <v/>
      </c>
      <c r="CT46" s="455">
        <f>1-CS46/CK46</f>
        <v/>
      </c>
      <c r="CU46" s="559">
        <f>INDEX('Loan Tape - Settled'!$B$4:$BJ$55,MATCH($A46,'Loan Tape - Settled'!$E$4:$E$55,0),MATCH("Current TTM Non-adjusted EBITDA",'Loan Tape - Settled'!$B$4:$BJ$4,0))</f>
        <v/>
      </c>
      <c r="CV46" s="456">
        <f>CT46</f>
        <v/>
      </c>
      <c r="CW46" s="1034" t="inlineStr">
        <is>
          <t>N</t>
        </is>
      </c>
      <c r="CX46" s="1035" t="n"/>
      <c r="CY46" s="1036">
        <f>IF(CW46="N",(1-CV46)*CU46,(1-CX46)*CU46)</f>
        <v/>
      </c>
      <c r="CZ46" s="1037" t="n"/>
      <c r="DA46" s="1038" t="n"/>
      <c r="DB46" s="1039" t="n"/>
      <c r="DC46" s="1040" t="n"/>
      <c r="DD46" s="1040">
        <f>INDEX('Loan Tape - Settled'!$B$4:$BJ$55,MATCH($A46,'Loan Tape - Settled'!$E$4:$E$55,0),MATCH("Initial Senior Net Leverage Senior",'Loan Tape - Settled'!$B$4:$BJ$4,0))</f>
        <v/>
      </c>
      <c r="DE46" s="1041">
        <f>INDEX('Loan Tape - Settled'!$B$4:$BJ$55,MATCH($A46,'Loan Tape - Settled'!$E$4:$E$55,0),MATCH("Initial Total Net Leverage",'Loan Tape - Settled'!$B$4:$BJ$4,0))</f>
        <v/>
      </c>
      <c r="DF46" s="1037" t="n"/>
      <c r="DG46" s="1038" t="n"/>
      <c r="DH46" s="1039" t="n"/>
      <c r="DI46" s="1042">
        <f>INDEX('Loan Tape - Settled'!$B$4:$BJ$55,MATCH($A46,'Loan Tape - Settled'!$E$4:$E$55,0),MATCH("Net Attachment",'Loan Tape - Settled'!$B$4:$BJ$4,0))</f>
        <v/>
      </c>
      <c r="DJ46" s="566">
        <f t="array" ref="DJ46">IF(AG46="Yes",INDEX(VAE!$M$5:$M$53,MATCH($B46&amp;$AJ46,VAE!$C$5:$C$53&amp;VAE!$G$5:$G$53,0)),DD46)</f>
        <v/>
      </c>
      <c r="DK46" s="697">
        <f t="array" ref="DK46">IF(AG46="Yes",INDEX(VAE!$N$5:$N$53,MATCH($B46&amp;$AJ46,VAE!$C$5:$C$53&amp;VAE!$G$5:$G$53,0)),DE46)</f>
        <v/>
      </c>
      <c r="DL46" s="1058">
        <f>INDEX('Loan Tape - Settled'!$B$4:$BJ$55,MATCH($A46,'Loan Tape - Settled'!$E$4:$E$55,0),MATCH("Current Senior Net Leverage Senior",'Loan Tape - Settled'!$B$4:$BJ$4,0))</f>
        <v/>
      </c>
      <c r="DM46" s="1059">
        <f>INDEX('Loan Tape - Settled'!$B$4:$BJ$55,MATCH($A46,'Loan Tape - Settled'!$E$4:$E$55,0),MATCH("Current Total Net Leverage",'Loan Tape - Settled'!$B$4:$BJ$4,0))</f>
        <v/>
      </c>
      <c r="DN46" s="1044" t="n"/>
      <c r="DO46" s="1045">
        <f>INDEX('Loan Tape - Settled'!$B$4:$BJ$55,MATCH($A46,'Loan Tape - Settled'!$E$4:$E$55,0),MATCH("Initial Interest Coverage",'Loan Tape - Settled'!$B$4:$BJ$4,0))</f>
        <v/>
      </c>
      <c r="DP46" s="565">
        <f t="array" ref="DP46">IF(AG46="Yes",INDEX(VAE!$O$5:$O$53,MATCH($B46&amp;$AJ46,VAE!$C$5:$C$53&amp;VAE!$G$5:$G$53,0)),DO46)</f>
        <v/>
      </c>
      <c r="DQ46" s="1046">
        <f>INDEX('Loan Tape - Settled'!$B$4:$BJ$55,MATCH($A46,'Loan Tape - Settled'!$E$4:$E$55,0),MATCH("Current Interest Coverage",'Loan Tape - Settled'!$B$4:$BJ$4,0))</f>
        <v/>
      </c>
      <c r="DR46" s="462">
        <f>IF(OR(DU46="Yes",DU46="N/A",DV46="Yes",DV46="N/A",DW46="Yes",DX46="Yes",DY46="Yes",EF46="Yes",EG46="Yes",EH46="Yes"),"Yes","No")</f>
        <v/>
      </c>
      <c r="DS46" s="1047">
        <f>IF(AG46="Yes",DATEDIF(AJ46,Availability!$F$8,"m"),"")</f>
        <v/>
      </c>
      <c r="DT46" s="1047">
        <f>IF(DS46="","No",IF(DS46&gt;12,"Yes","No"))</f>
        <v/>
      </c>
      <c r="DU46" s="695">
        <f>IFERROR(IF(AND(DQ46/DP46&lt;0.75,DQ46&lt;1.5),"Yes","No"),"N/A")</f>
        <v/>
      </c>
      <c r="DV46" s="696">
        <f>IFERROR(IF(OR(D46="First Lien",D46="FILO"),IF(AND((DL46-DJ46)&gt;0.75,DL46&gt;4),"Yes","No"),"No"),"N/A")</f>
        <v/>
      </c>
      <c r="DW46" s="696">
        <f t="array" ref="DW46">_xlfn.IFS(D46&lt;&gt;"Second Lien","No",D46="Second Lien",IF(AND((DM46-DK46)&gt;0.5,DM46&gt;4.5),"Yes","No"))</f>
        <v/>
      </c>
      <c r="DX46" s="735" t="inlineStr">
        <is>
          <t>No</t>
        </is>
      </c>
      <c r="DY46" s="735" t="inlineStr">
        <is>
          <t>No</t>
        </is>
      </c>
      <c r="DZ46" s="1048" t="inlineStr">
        <is>
          <t>No</t>
        </is>
      </c>
      <c r="EA46" s="1048" t="inlineStr">
        <is>
          <t>No</t>
        </is>
      </c>
      <c r="EB46" s="1048" t="inlineStr">
        <is>
          <t>No</t>
        </is>
      </c>
      <c r="EC46" s="1048" t="inlineStr">
        <is>
          <t>No</t>
        </is>
      </c>
      <c r="ED46" s="1048" t="inlineStr">
        <is>
          <t>No</t>
        </is>
      </c>
      <c r="EE46" s="1048" t="inlineStr">
        <is>
          <t>No</t>
        </is>
      </c>
      <c r="EF46" s="442">
        <f>IF(OR(DZ46="Yes",EA46="Yes",EB46="Yes",EC46="Yes",ED46="Yes",EE46="Yes"),"Yes","No")</f>
        <v/>
      </c>
      <c r="EG46" s="1048" t="inlineStr">
        <is>
          <t>No</t>
        </is>
      </c>
      <c r="EH46" s="1049" t="inlineStr">
        <is>
          <t>No</t>
        </is>
      </c>
      <c r="EI46" s="1050">
        <f t="array" ref="EI46">IF(D46="First Lien",_xlfn.IFS(CY46&gt;AGENT!$B$23, "&gt; $20MM",CY46&lt;=AGENT!$C$25, "&lt;= $10MM",AND(CY46&lt;=AGENT!$C$24,CY46&gt;AGENT!$B$24),"&lt;= $20MM"), "N/A")</f>
        <v/>
      </c>
      <c r="EJ46" s="1050">
        <f t="array" ref="EJ46">IF(D46="FILO",_xlfn.IFS(DI46&gt;AGENT!$B$29, "&gt; 1.25x",DI46&lt;AGENT!$C$27, "&lt; 0.75x",AND(DI46&lt;=AGENT!$C$28,DI46&gt;=AGENT!$B$28),"&lt;= 1.25x"), "N/A")</f>
        <v/>
      </c>
      <c r="EK46" s="1051">
        <f>V46</f>
        <v/>
      </c>
      <c r="EL46" s="1051">
        <f>'Concentration Limits'!$J$49</f>
        <v/>
      </c>
      <c r="EM46" s="1051">
        <f>IF(OR(D46="Second Lien",AND(D46="FILO",DI46&gt;AGENT!$C$57)), "Yes", "No")</f>
        <v/>
      </c>
      <c r="EN46" s="1051">
        <f>IF(EM46="Yes",SUMIF(EM:EM,"Yes",EK:EK),0)</f>
        <v/>
      </c>
      <c r="EO46" s="1051">
        <f>IF(EN46&gt;EL46,(EN46-EL46)*(EK46/SUMIF(EM:EM,"Yes",EK:EK)),0)</f>
        <v/>
      </c>
      <c r="EP46" s="1051">
        <f>MAX(0,EK46-EO46)</f>
        <v/>
      </c>
      <c r="EQ46" s="1051">
        <f>'Concentration Limits'!$J$50</f>
        <v/>
      </c>
      <c r="ER46" s="1051">
        <f>IF(D46="Second Lien",SUMIF(D:D,D46,EP:EP),0)</f>
        <v/>
      </c>
      <c r="ES46" s="1051">
        <f>MAX(0,(ER46-EQ46)*IFERROR((EP46/SUMIF($D:$D,D46,EP:EP )),0) )</f>
        <v/>
      </c>
      <c r="ET46" s="1051">
        <f>MAX(0,EP46-ES46)</f>
        <v/>
      </c>
      <c r="EU46" s="1051">
        <f>'Concentration Limits'!$J$51</f>
        <v/>
      </c>
      <c r="EV46" s="1051">
        <f>IF(OR(D46="Second Lien", AND(D46="FILO",DI46&gt;AGENT!$C$59)), "Yes", "No")</f>
        <v/>
      </c>
      <c r="EW46" s="1051">
        <f>IF(EV46="Yes",SUMIF(EV:EV,"Yes",ET:ET),0)</f>
        <v/>
      </c>
      <c r="EX46" s="1051">
        <f>IF(EW46&gt;EU46,(EW46-EU46)*(ET46/SUMIF(EV:EV,"Yes",ET:ET)),0)</f>
        <v/>
      </c>
      <c r="EY46" s="1051">
        <f>MAX(0,ET46-EX46)</f>
        <v/>
      </c>
      <c r="EZ46" s="1051">
        <f>'Concentration Limits'!$J$52</f>
        <v/>
      </c>
      <c r="FA46" s="1051">
        <f>IF(CY46&gt;'Concentration Limits'!$E$52, "No", "Yes")</f>
        <v/>
      </c>
      <c r="FB46" s="1051">
        <f>IF(FA46="Yes",SUMIF(FA:FA,"Yes",EY:EY),0)</f>
        <v/>
      </c>
      <c r="FC46" s="1051">
        <f>IF(FB46&gt;EZ46,(FB46-EZ46)*(EY46/SUMIF(FA:FA,"Yes",EY:EY)),0)</f>
        <v/>
      </c>
      <c r="FD46" s="1051">
        <f>MAX(0,EY46-FC46)</f>
        <v/>
      </c>
      <c r="FE46" s="1052">
        <f>'Concentration Limits'!$J$54</f>
        <v/>
      </c>
      <c r="FF46" s="1052">
        <f>'Concentration Limits'!$J$55</f>
        <v/>
      </c>
      <c r="FG46" s="1052">
        <f>'Concentration Limits'!$J$56</f>
        <v/>
      </c>
      <c r="FH46" s="1053">
        <f>'Concentration Limits'!$J$57</f>
        <v/>
      </c>
      <c r="FI46" s="1053">
        <f>SUMIF($B:$B,$B46,$FD:$FD)</f>
        <v/>
      </c>
      <c r="FJ46" s="1053">
        <f>IF(MATCH($B46,$B:$B,0)=ROW(),$FI46,0)</f>
        <v/>
      </c>
      <c r="FK46" s="1053">
        <f>INDEX(FL$8:FL$60,MATCH(B46,B$8:B$60,0))</f>
        <v/>
      </c>
      <c r="FL46" s="1053">
        <f>IF(FJ46&gt;0,RANK(FJ46,$FJ$9:$FJ$60)+COUNTIF($FJ$9:FJ46,FJ46)-1,0)</f>
        <v/>
      </c>
      <c r="FM46" s="1052">
        <f>IF(FK46=1,IF(FI46&gt;FE46,(FI46-FE46)*(V46/SUMIF($B:$B,B46,$FD:$FD)),0),0)</f>
        <v/>
      </c>
      <c r="FN46" s="1052">
        <f>IF(FK46=2,IF(FI46&gt;FF46,(FI46-FF46)*(V46/SUMIF($B:$B,B46,$FD:$FD)),0),0)</f>
        <v/>
      </c>
      <c r="FO46" s="1052">
        <f>IF(FK46=3,IF(FI46&gt;FG46,(FI46-FG46)*(V46/SUMIF($B:$B,B46,$FD:$FD)),0),0)</f>
        <v/>
      </c>
      <c r="FP46" s="1053">
        <f>IF(FK46&gt;0,IF(FI46&gt;FH46,(FI46-FH46)*(FD46/(SUMIF($B:$B,$B46,$FD:$FD))),0),0)</f>
        <v/>
      </c>
      <c r="FQ46" s="1053">
        <f>MAX(0,FD46-FM46-FN46-FO46-FP46)</f>
        <v/>
      </c>
      <c r="FR46" s="1053">
        <f>'Concentration Limits'!$J$58</f>
        <v/>
      </c>
      <c r="FS46" s="1053">
        <f>SUMIF($BR:$BR,$BR46,FQ:FQ)</f>
        <v/>
      </c>
      <c r="FT46" s="1053">
        <f>VLOOKUP(BR46,'Concentration Limits'!$E$81:$H$153,4,FALSE)</f>
        <v/>
      </c>
      <c r="FU46" s="1053">
        <f>IF(FT46=1,MAX(0,(FS46-FR46)*(FQ46/SUMIF($BR:$BR,BR46,FQ:FQ))),0)</f>
        <v/>
      </c>
      <c r="FV46" s="1053">
        <f>MAX(0,FQ46-FU46)</f>
        <v/>
      </c>
      <c r="FW46" s="1053">
        <f>'Concentration Limits'!$J$59</f>
        <v/>
      </c>
      <c r="FX46" s="1053">
        <f>SUMIF($BR:$BR,$BR46,FV:FV)</f>
        <v/>
      </c>
      <c r="FY46" s="1053">
        <f>VLOOKUP(BR46,'Concentration Limits'!$E$81:$H$153,4,FALSE)</f>
        <v/>
      </c>
      <c r="FZ46" s="1053">
        <f>MAX(0,IF(FY46=2,(FX46-FW46)*(FV46/SUMIF($BR:$BR,BR46,FV:FV)),0))</f>
        <v/>
      </c>
      <c r="GA46" s="1053">
        <f>MAX(0,FV46-FZ46)</f>
        <v/>
      </c>
      <c r="GB46" s="1053">
        <f>'Concentration Limits'!$J$61</f>
        <v/>
      </c>
      <c r="GC46" s="1053">
        <f>SUMIF($BR:$BR,$BR46,GA:GA)</f>
        <v/>
      </c>
      <c r="GD46" s="1051">
        <f>VLOOKUP(BR46,'Concentration Limits'!$E$81:$H$153,4,FALSE)</f>
        <v/>
      </c>
      <c r="GE46" s="1053">
        <f>IF(GA46=0,0,MAX(0,IF(GD46&lt;3,0,(GC46-GB46)*($GA46/SUMIF($BR:$BR,BR46,GA:GA)))))</f>
        <v/>
      </c>
      <c r="GF46" s="1053">
        <f>MAX(0,GA46-GE46)</f>
        <v/>
      </c>
      <c r="GG46" s="1053">
        <f>'Concentration Limits'!$J$64</f>
        <v/>
      </c>
      <c r="GH46" s="1053">
        <f>IF(BY46="Yes",SUMIF(BY:BY,BY46,GF:GF),0)</f>
        <v/>
      </c>
      <c r="GI46" s="1053">
        <f>IFERROR(MAX(0,(GH46-GG46)*(GF46/SUMIF($T:$T,T46,GF:GF ))),0)</f>
        <v/>
      </c>
      <c r="GJ46" s="1053">
        <f>MAX(0,GF46-GI46)</f>
        <v/>
      </c>
      <c r="GK46" s="1053">
        <f>'Concentration Limits'!$J$67</f>
        <v/>
      </c>
      <c r="GL46" s="1051">
        <f>IF(OR(BV46="Yes",OR(ISNUMBER(SEARCH("Travel",BR46)),ISNUMBER(SEARCH("Energy",BR46)),ISNUMBER(SEARCH("Leisure",BR46)),ISNUMBER(SEARCH("hotel",BR46)))),"Yes","No")</f>
        <v/>
      </c>
      <c r="GM46" s="1053">
        <f>IF(GL46="Yes",SUMIF(GL:GL,"Yes",GJ:GJ),0)</f>
        <v/>
      </c>
      <c r="GN46" s="1053">
        <f>IF(GM46&gt;GK46,(GM46-GK46)*(GJ46/SUMIF(GL:GL,"Yes",GJ:GJ)),0)</f>
        <v/>
      </c>
      <c r="GO46" s="1053">
        <f>MAX(0,GJ46-GN46)</f>
        <v/>
      </c>
      <c r="GP46" s="1053">
        <f>'Concentration Limits'!$J$68</f>
        <v/>
      </c>
      <c r="GQ46" s="1051">
        <f>IF(BU46="Yes","Yes", "No")</f>
        <v/>
      </c>
      <c r="GR46" s="1053">
        <f>IF(GQ46="Yes",SUMIF(GQ:GQ,"Yes",GO:GO),0)</f>
        <v/>
      </c>
      <c r="GS46" s="1053">
        <f>IF(GR46&gt;GP46,(GR46-GP46)*(GO46/SUMIF(GQ:GQ,"Yes",GO:GO)),0)</f>
        <v/>
      </c>
      <c r="GT46" s="1053">
        <f>MAX(0,GO46-GS46)</f>
        <v/>
      </c>
      <c r="GU46" s="1051">
        <f>'Concentration Limits'!$J$69</f>
        <v/>
      </c>
      <c r="GV46" s="1051">
        <f>IF(BW46="Yes", "Yes", "No")</f>
        <v/>
      </c>
      <c r="GW46" s="1051">
        <f>IF(GV46="Yes",SUMIF(GV:GV,"Yes",GT:GT),0)</f>
        <v/>
      </c>
      <c r="GX46" s="1051">
        <f>IF(GW46&gt;GU46,(GW46-GU46)*(GT46/SUMIF(GV:GV,"Yes",GT:GT)),0)</f>
        <v/>
      </c>
      <c r="GY46" s="1051">
        <f>MAX(0,GT46-GX46)</f>
        <v/>
      </c>
      <c r="GZ46" s="1051">
        <f>'Concentration Limits'!$J$70</f>
        <v/>
      </c>
      <c r="HA46" s="1051">
        <f>IF(BX46="Yes", "Yes", "No")</f>
        <v/>
      </c>
      <c r="HB46" s="1051">
        <f>IF(HA46="Yes",SUMIF(HA:HA,"Yes",GY:GY),0)</f>
        <v/>
      </c>
      <c r="HC46" s="1051">
        <f>IF(HB46&gt;GZ46,(HB46-GZ46)*(GY46/SUMIF(HA:HA,"Yes",GY:GY)),0)</f>
        <v/>
      </c>
      <c r="HD46" s="1051">
        <f>MAX(0,GY46-HC46)</f>
        <v/>
      </c>
      <c r="HE46" s="1053">
        <f>IF(AQ46=0,0,HD46*AQ46/(AQ46+AR46))</f>
        <v/>
      </c>
      <c r="HF46" s="1053">
        <f>IF(AR46=0,0,HD46*AR46/(AQ46+AR46))</f>
        <v/>
      </c>
      <c r="HG46" s="1053">
        <f>IF(AW46=0,0,HD46*AW46/(AW46+AX46))</f>
        <v/>
      </c>
      <c r="HH46" s="1053">
        <f>IF(AX46=0,0,HD46*AX46/(AX46+AW46))</f>
        <v/>
      </c>
      <c r="HI46" s="1053">
        <f>IF(BE46=0,0,#REF!*BE46/(BE46+BG46))</f>
        <v/>
      </c>
      <c r="HJ46" s="1053">
        <f>IF(BG46=0,0,#REF!*BG46/(BG46+BE46))</f>
        <v/>
      </c>
      <c r="HK46" s="1054">
        <f>IF(BF46=0,0,#REF!*BF46/(BF46+BH46))</f>
        <v/>
      </c>
      <c r="HL46" s="1053">
        <f>IF(BH46=0,0,#REF!*BH46/(BH46+BF46))</f>
        <v/>
      </c>
      <c r="HM46" s="1053">
        <f>IF(D46="Second Lien",HD46,0)</f>
        <v/>
      </c>
      <c r="HN46" s="1053">
        <f>SUM(HE46:HM46)=HD46</f>
        <v/>
      </c>
    </row>
    <row r="47" ht="12.75" customFormat="1" customHeight="1" s="469">
      <c r="A47" s="55">
        <f>A46+1</f>
        <v/>
      </c>
      <c r="B47" s="437">
        <f>INDEX('Loan Tape - Settled'!$B$4:$AP$55,MATCH($A47,'Loan Tape - Settled'!$E$4:$E$55,0),MATCH("Obligor Name",'Loan Tape - Settled'!$B$4:$AM$4,0))</f>
        <v/>
      </c>
      <c r="C47" s="437">
        <f>INDEX('Loan Tape - Settled'!$B$4:$AP$55,MATCH($A47,'Loan Tape - Settled'!$E$4:$E$55,0),MATCH("Security",'Loan Tape - Settled'!$B$4:$AM$4,0))</f>
        <v/>
      </c>
      <c r="D47" s="438">
        <f>INDEX('Loan Tape - Settled'!$B$4:$AP$55,MATCH($A47,'Loan Tape - Settled'!$E$4:$E$55,0),MATCH("Loan Type",'Loan Tape - Settled'!$B$4:$AM$4,0))</f>
        <v/>
      </c>
      <c r="E47" s="439">
        <f>IF(ISERROR(MATCH(D47,AGENT!$A$4:$A$10,0))=FALSE, TRUE)</f>
        <v/>
      </c>
      <c r="F47" s="439">
        <f>IF(AND(BZ47="no",CA47="no"),TRUE)</f>
        <v/>
      </c>
      <c r="G47" s="439">
        <f>IF(D47&lt;&gt;"Second Lien",TRUE, IF(CY47&gt;=AGENT!$B$4,TRUE))</f>
        <v/>
      </c>
      <c r="H47" s="439">
        <f>IF(DE47&lt;=AGENT!$D$4,TRUE)</f>
        <v/>
      </c>
      <c r="I47" s="439">
        <f>IF(VLOOKUP(CONCATENATE($A$5,A47),'Loan Tape - Settled'!$A$5:$Q$55,17,FALSE)&gt;=AGENT!$E$4,TRUE)</f>
        <v/>
      </c>
      <c r="J47" s="439">
        <f>IF(INDEX('Loan Tape - Settled'!$B$4:$AP$55,MATCH($A47,'Loan Tape - Settled'!$E$4:$E$55,0),MATCH("Loan Denomination",'Loan Tape - Settled'!$B$4:$AP$4,0))="USD", TRUE)</f>
        <v/>
      </c>
      <c r="K47" s="439">
        <f>IF(INDEX('Loan Tape - Settled'!$B$4:$AP$55,MATCH($A47,'Loan Tape - Settled'!$E$4:$E$55,0),MATCH("Exposure Country",'Loan Tape - Settled'!$B$4:$AP$4,0))="United States", TRUE)</f>
        <v/>
      </c>
      <c r="L47" s="439">
        <f>IF(BS47="NO",TRUE)</f>
        <v/>
      </c>
      <c r="M47" s="439">
        <f>IF(((BM47-BL47)/365)&lt;=AGENT!$F$4,TRUE)</f>
        <v/>
      </c>
      <c r="N47" s="439">
        <f>IF(DX47="Yes",FALSE,TRUE)</f>
        <v/>
      </c>
      <c r="O47" s="493" t="n"/>
      <c r="P47" s="764">
        <f>IF($B47="","",IF(OR(O47=TRUE,COUNTIFS($E47:$N47,TRUE)=10),"Yes","No"))</f>
        <v/>
      </c>
      <c r="Q47" s="730" t="inlineStr">
        <is>
          <t>Yes</t>
        </is>
      </c>
      <c r="R47" s="440">
        <f>IF(P47="Yes",B47,"N/A")</f>
        <v/>
      </c>
      <c r="S47" s="440" t="n"/>
      <c r="T47" s="441">
        <f t="array" ref="T47">_xlfn.IFS(D47="Second Lien",D47,D47="First Lien",CONCATENATE(D47," ",EI47),D47="FILO",CONCATENATE(D47," ",EJ47))</f>
        <v/>
      </c>
      <c r="U47" s="442">
        <f>VLOOKUP(T47,'Concentration Limits'!D:G,4,FALSE)</f>
        <v/>
      </c>
      <c r="V47" s="1020">
        <f>AQ47+AW47+BI47</f>
        <v/>
      </c>
      <c r="W47" s="1021">
        <f>(SUMIFS('Loan Tape - Settled'!$AR$4:$AR$55,'Loan Tape - Settled'!$E$4:$E$55,$A47,'Loan Tape - Settled'!$C$4:$C$55,$A$5))</f>
        <v/>
      </c>
      <c r="X47" s="1022" t="n">
        <v>1</v>
      </c>
      <c r="Y47" s="1023">
        <f>W47*X47</f>
        <v/>
      </c>
      <c r="Z47" s="1022">
        <f>(SUMIFS('Loan Tape - Settled'!$AQ$4:$AQ$55,'Loan Tape - Settled'!$E$4:$E$55,$A47,'Loan Tape - Settled'!$C$4:$C$55,$A$5))</f>
        <v/>
      </c>
      <c r="AA47" s="1023">
        <f>Z47*X47</f>
        <v/>
      </c>
      <c r="AB47" s="1023">
        <f>AA47-Y47</f>
        <v/>
      </c>
      <c r="AC47" s="490">
        <f>VLOOKUP(CONCATENATE($A$5,A47),'Loan Tape - Settled'!$A$5:$Q$55,17,FALSE)</f>
        <v/>
      </c>
      <c r="AD47" s="445" t="n"/>
      <c r="AE47" s="446">
        <f>INDEX('Loan Tape - Settled'!$B$4:$AP$55,MATCH($A47,'Loan Tape - Settled'!$E$4:$E$55,0),MATCH("FMV",'Loan Tape - Settled'!$B$4:$AM$4,0))</f>
        <v/>
      </c>
      <c r="AF47" s="446">
        <f t="array" ref="AF47">_xlfn.IFS(D47="First Lien",
_xlfn.IFS(AND(DL47&gt;0,DL47&lt;Tier_1_1L),Tier_1_ApplicableValue,
AND(DL47&gt;=Tier_1_1L,DL47&lt;Tier_2_1L),((Tier_1_1L/DL47)*Tier_1_ApplicableValue)+((DL47-Tier_1_1L)/DL47*Tier_2_ApplicableValue),
AND(DL47&gt;=Tier_2_1L, DL47&lt;Tier_3_1L),((Tier_1_1L/DL47)*Tier_1_ApplicableValue+(Tier_2_1L-Tier_1_1L)/DL47*Tier_2_ApplicableValue+(DL47-Tier_2_1L)/DL47*Tier_3_ApplicableValue),
AND(DL47&gt;=Tier_3_1L, DL47&lt;=Tier_totalzerovalue),((Tier_1_1L/DL47)*Tier_1_ApplicableValue+(Tier_2_1L-Tier_1_1L)/DL47*Tier_2_ApplicableValue+(Tier_3_1L-Tier_2_1L)/DL47*Tier_3_ApplicableValue+(DL47-Tier_partialzerovalue)/DL47*0%),
DL47&gt;Tier_totalzerovalue,0%),
OR(D47="Second Lien", D47="FILO"),
_xlfn.IFS(AND(DM47&gt;0,DM47&lt;Tier_1_2L),Tier_1_ApplicableValue,
AND(DM47&gt;=Tier_1_2L,DM47&lt;Tier_2_2L),((Tier_1_2L/DM47)*Tier_1_ApplicableValue)+((DM47-Tier_1_2L)/DM47*Tier_2_ApplicableValue),
AND(DM47&gt;=Tier_2_2L, DM47&lt;Tier_3_2L),((Tier_1_2L/DM47)*Tier_1_ApplicableValue+(Tier_2_2L-Tier_1_2L)/DM47*Tier_2_ApplicableValue+(DM47-Tier_2_2L)/DM47*Tier_3_ApplicableValue),
AND(DM47&gt;=Tier_3_2L, DM47&lt;=Tier_totalzerovalue),((Tier_1_2L/DM47)*Tier_1_ApplicableValue+(Tier_2_2L-Tier_1_2L)/DM47*Tier_2_ApplicableValue+(Tier_3_2L-Tier_2_2L)/DM47*Tier_3_ApplicableValue+(DM47-Tier_partialzerovalue)/DM47*0%),
DM47&gt;Tier_totalzerovalue,0%))</f>
        <v/>
      </c>
      <c r="AG47" s="447">
        <f>IF(COUNTIFS(VAE!$C$5:$C$96,B47,VAE!$G$5:$G$96,"&lt;="&amp;Availability!$F$8)&gt;=1,"Yes","-")</f>
        <v/>
      </c>
      <c r="AH47" s="447">
        <f t="array" ref="AH47">IFERROR(IF(AG47="Yes",INDEX(VAE!$D$5:$D$96,MATCH(B47&amp;AJ47,VAE!$C$5:$C$96&amp;VAE!$G$5:$G$96,0)),"-"),0)</f>
        <v/>
      </c>
      <c r="AI47" s="447">
        <f t="array" ref="AI47">IFERROR(IF(AG47="Yes",INDEX(VAE!$F$5:$F$96,MATCH(B47&amp;AJ47,VAE!$C$5:$C$96&amp;VAE!$G$5:$G$96,0)),"-"),0)</f>
        <v/>
      </c>
      <c r="AJ47" s="448">
        <f>IF(AG47="-","-",_xlfn.MAXIFS(VAE!$G$5:$G$96,VAE!$C$5:$C$96,$B47))</f>
        <v/>
      </c>
      <c r="AK47" s="449">
        <f t="array" ref="AK47">IFERROR(IF(AG47="Yes",INDEX(VAE!$P$5:$P$96,MATCH(B47&amp;AJ47,VAE!$C$5:$C$96&amp;VAE!$G$5:$G$96,0)),"-"),0)</f>
        <v/>
      </c>
      <c r="AL47" s="446">
        <f>IF($A47="","",IF(P47="No",0,(IF(AG47="Yes",MIN(AE47,AK47,AF47),MIN(AE47,AF47)))))</f>
        <v/>
      </c>
      <c r="AM47" s="1020" t="n"/>
      <c r="AN47" s="1020" t="n"/>
      <c r="AO47" s="1020">
        <f>IF(AND(D47="First Lien",P47="No"),0,IF(D47&lt;&gt;"First Lien",0,Y47))</f>
        <v/>
      </c>
      <c r="AP47" s="1020">
        <f>IF(AND(D47="First Lien",P47="No"),W47,0)</f>
        <v/>
      </c>
      <c r="AQ47" s="1020">
        <f>AL47*AO47</f>
        <v/>
      </c>
      <c r="AR47" s="1020" t="n"/>
      <c r="AS47" s="1020" t="n"/>
      <c r="AT47" s="1020" t="n"/>
      <c r="AU47" s="1020">
        <f>IF(AND(D47="FILO",P47="No"),0,IF(D47&lt;&gt;"FILO",0,Y47))</f>
        <v/>
      </c>
      <c r="AV47" s="1020">
        <f>IF(AND(D47="FILO",P47="No"),W47,0)</f>
        <v/>
      </c>
      <c r="AW47" s="1020">
        <f>AU47*AL47</f>
        <v/>
      </c>
      <c r="AX47" s="1020" t="n"/>
      <c r="AY47" s="1020" t="n"/>
      <c r="AZ47" s="1020" t="n"/>
      <c r="BA47" s="1020">
        <f>IF(AND(OR(D47="First Lien",D47="FILO"),P47="No"),0,IF(OR(D47="First Lien",D47="FILO"),0,(Y47)))</f>
        <v/>
      </c>
      <c r="BB47" s="1020" t="n"/>
      <c r="BC47" s="1020" t="n"/>
      <c r="BD47" s="1020">
        <f>IF(AND(D47="Second Lien",P47="No"),W47,0)</f>
        <v/>
      </c>
      <c r="BE47" s="1020" t="n"/>
      <c r="BF47" s="1020" t="n"/>
      <c r="BG47" s="1020" t="n"/>
      <c r="BH47" s="1020" t="n"/>
      <c r="BI47" s="1020">
        <f>IF(D47="Second Lien",BA47*AL47,0)</f>
        <v/>
      </c>
      <c r="BJ47" s="1020">
        <f>SUM(AM47:AP47)+SUM(AZ47:BD47)+SUM(AS47:AV47)=Y47</f>
        <v/>
      </c>
      <c r="BK47" s="1026">
        <f>INDEX('Loan Tape - Settled'!$B$4:$AP$55,MATCH($A47,'Loan Tape - Settled'!$E$4:$E$55,0),MATCH("Inception Date",'Loan Tape - Settled'!$B$4:$AP$4,0))</f>
        <v/>
      </c>
      <c r="BL47" s="1026">
        <f>INDEX('Loan Tape - Settled'!$B$4:$AP$55,MATCH($A47,'Loan Tape - Settled'!$E$4:$E$55,0),MATCH("Inclusion Date",'Loan Tape - Settled'!$B$4:$AP$4,0))</f>
        <v/>
      </c>
      <c r="BM47" s="1026">
        <f>INDEX('Loan Tape - Settled'!$B$4:$AP$55,MATCH($A47,'Loan Tape - Settled'!$E$4:$E$55,0),MATCH("Maturity Date",'Loan Tape - Settled'!$B$4:$AP$4,0))</f>
        <v/>
      </c>
      <c r="BN47" s="556" t="n"/>
      <c r="BO47" s="556" t="n"/>
      <c r="BP47" s="1055" t="n"/>
      <c r="BQ47" s="556" t="n"/>
      <c r="BR47" s="554">
        <f>INDEX('Loan Tape - Settled'!$B$4:$AP$55,MATCH($A47,'Loan Tape - Settled'!$E$4:$E$55,0),MATCH("Industry Classification",'Loan Tape - Settled'!$B$4:$AP$4,0))</f>
        <v/>
      </c>
      <c r="BS47" s="556">
        <f>IF(INDEX('Loan Tape - Settled'!$B$4:$AP$55,MATCH($A47,'Loan Tape - Settled'!$E$4:$E$55,0),MATCH("Covenant Lite",'Loan Tape - Settled'!$B$4:$AP$4,0))=-1, "Yes", "No")</f>
        <v/>
      </c>
      <c r="BT47" s="1056">
        <f>INDEX('Loan Tape - Settled'!$B$4:$AP$55,MATCH($A47,'Loan Tape - Settled'!$E$4:$E$55,0),MATCH("Spread / Coupon (%)",'Loan Tape - Settled'!$B$4:$AP$4,0))</f>
        <v/>
      </c>
      <c r="BU47" s="556">
        <f>IF(INDEX('Loan Tape - Settled'!$B$4:$AP$55,MATCH($A47,'Loan Tape - Settled'!$E$4:$E$55,0),MATCH("Security Type",'Loan Tape - Settled'!$B$4:$AP$4,0))="Delayed Draw Term Loan", "Yes", "No")</f>
        <v/>
      </c>
      <c r="BV47" s="557" t="inlineStr">
        <is>
          <t>No</t>
        </is>
      </c>
      <c r="BW47" s="557" t="inlineStr">
        <is>
          <t>No</t>
        </is>
      </c>
      <c r="BX47" s="548" t="inlineStr">
        <is>
          <t>No</t>
        </is>
      </c>
      <c r="BY47" s="556">
        <f>IF(INDEX('Loan Tape - Settled'!$B$4:$AP$55,MATCH($A47,'Loan Tape - Settled'!$E$4:$E$55,0),MATCH("Fixed/Floating",'Loan Tape - Settled'!$B$4:$AP$4,0))="Fixed", "Yes", "No")</f>
        <v/>
      </c>
      <c r="BZ47" s="557" t="inlineStr">
        <is>
          <t>No</t>
        </is>
      </c>
      <c r="CA47" s="557" t="inlineStr">
        <is>
          <t>No</t>
        </is>
      </c>
      <c r="CB47" s="556">
        <f>IF(INDEX('Loan Tape - Settled'!$B$4:$AP$55,MATCH($A47,'Loan Tape - Settled'!$E$4:$E$55,0),MATCH("Loan Denomination",'Loan Tape - Settled'!$B$4:$AP$4,0))="CAD", "Yes", "No")</f>
        <v/>
      </c>
      <c r="CC47" s="556">
        <f>INDEX('Loan Tape - Settled'!$B$4:$AP$55,MATCH($A47,'Loan Tape - Settled'!$E$4:$E$55,0),MATCH("Payment Frequency",'Loan Tape - Settled'!$B$4:$AP$4,0))</f>
        <v/>
      </c>
      <c r="CD47" s="557" t="inlineStr">
        <is>
          <t>No</t>
        </is>
      </c>
      <c r="CE47" s="556">
        <f>INDEX('Loan Tape - Settled'!$B$4:$AP$55,MATCH($A47,'Loan Tape - Settled'!$E$4:$E$55,0),MATCH("S&amp;P Loan Rating (if applicable)",'Loan Tape - Settled'!$B$4:$AP$4,0))</f>
        <v/>
      </c>
      <c r="CF47" s="556">
        <f>INDEX('Loan Tape - Settled'!$B$4:$AP$55,MATCH($A47,'Loan Tape - Settled'!$E$4:$E$55,0),MATCH("Moody's Loan Rating (if applicable)",'Loan Tape - Settled'!$B$4:$AP$4,0))</f>
        <v/>
      </c>
      <c r="CG47" s="556" t="n"/>
      <c r="CH47" s="556" t="n"/>
      <c r="CI47" s="1057" t="n"/>
      <c r="CJ47" s="1030">
        <f>INDEX('Loan Tape - Settled'!$B$4:$BF$55,MATCH($A47,'Loan Tape - Settled'!$E$4:$E$55,0),MATCH("Last Financial Received",'Loan Tape - Settled'!$B$4:$BF$4,0))</f>
        <v/>
      </c>
      <c r="CK47" s="559">
        <f>INDEX('Loan Tape - Settled'!$B$4:$BJ$55,MATCH($A47,'Loan Tape - Settled'!$E$4:$E$55,0),MATCH("Initial Adjusted TTM EBITDA",'Loan Tape - Settled'!$B$4:$BJ$4,0))</f>
        <v/>
      </c>
      <c r="CL47" s="559">
        <f>INDEX('Loan Tape - Settled'!$B$4:$BJ$55,MATCH($A47,'Loan Tape - Settled'!$E$4:$E$55,0),MATCH("Initial TTM Non-adjusted EBITDA",'Loan Tape - Settled'!$B$4:$BJ$4,0))</f>
        <v/>
      </c>
      <c r="CM47" s="1031" t="n"/>
      <c r="CN47" s="451" t="n"/>
      <c r="CO47" s="451" t="n"/>
      <c r="CP47" s="1032" t="n"/>
      <c r="CQ47" s="1033" t="inlineStr">
        <is>
          <t>N</t>
        </is>
      </c>
      <c r="CR47" s="1032" t="n"/>
      <c r="CS47" s="454">
        <f>CK47-CP47+CR47</f>
        <v/>
      </c>
      <c r="CT47" s="455">
        <f>1-CS47/CK47</f>
        <v/>
      </c>
      <c r="CU47" s="559">
        <f>INDEX('Loan Tape - Settled'!$B$4:$BJ$55,MATCH($A47,'Loan Tape - Settled'!$E$4:$E$55,0),MATCH("Current TTM Non-adjusted EBITDA",'Loan Tape - Settled'!$B$4:$BJ$4,0))</f>
        <v/>
      </c>
      <c r="CV47" s="456">
        <f>CT47</f>
        <v/>
      </c>
      <c r="CW47" s="1034" t="inlineStr">
        <is>
          <t>N</t>
        </is>
      </c>
      <c r="CX47" s="1035" t="n"/>
      <c r="CY47" s="1036">
        <f>IF(CW47="N",(1-CV47)*CU47,(1-CX47)*CU47)</f>
        <v/>
      </c>
      <c r="CZ47" s="1037" t="n"/>
      <c r="DA47" s="1038" t="n"/>
      <c r="DB47" s="1039" t="n"/>
      <c r="DC47" s="1040" t="n"/>
      <c r="DD47" s="1040">
        <f>INDEX('Loan Tape - Settled'!$B$4:$BJ$55,MATCH($A47,'Loan Tape - Settled'!$E$4:$E$55,0),MATCH("Initial Senior Net Leverage Senior",'Loan Tape - Settled'!$B$4:$BJ$4,0))</f>
        <v/>
      </c>
      <c r="DE47" s="1041">
        <f>INDEX('Loan Tape - Settled'!$B$4:$BJ$55,MATCH($A47,'Loan Tape - Settled'!$E$4:$E$55,0),MATCH("Initial Total Net Leverage",'Loan Tape - Settled'!$B$4:$BJ$4,0))</f>
        <v/>
      </c>
      <c r="DF47" s="1037" t="n"/>
      <c r="DG47" s="1038" t="n"/>
      <c r="DH47" s="1039" t="n"/>
      <c r="DI47" s="1042">
        <f>INDEX('Loan Tape - Settled'!$B$4:$BJ$55,MATCH($A47,'Loan Tape - Settled'!$E$4:$E$55,0),MATCH("Net Attachment",'Loan Tape - Settled'!$B$4:$BJ$4,0))</f>
        <v/>
      </c>
      <c r="DJ47" s="566">
        <f t="array" ref="DJ47">IF(AG47="Yes",INDEX(VAE!$M$5:$M$53,MATCH($B47&amp;$AJ47,VAE!$C$5:$C$53&amp;VAE!$G$5:$G$53,0)),DD47)</f>
        <v/>
      </c>
      <c r="DK47" s="697">
        <f t="array" ref="DK47">IF(AG47="Yes",INDEX(VAE!$N$5:$N$53,MATCH($B47&amp;$AJ47,VAE!$C$5:$C$53&amp;VAE!$G$5:$G$53,0)),DE47)</f>
        <v/>
      </c>
      <c r="DL47" s="1058">
        <f>INDEX('Loan Tape - Settled'!$B$4:$BJ$55,MATCH($A47,'Loan Tape - Settled'!$E$4:$E$55,0),MATCH("Current Senior Net Leverage Senior",'Loan Tape - Settled'!$B$4:$BJ$4,0))</f>
        <v/>
      </c>
      <c r="DM47" s="1059">
        <f>INDEX('Loan Tape - Settled'!$B$4:$BJ$55,MATCH($A47,'Loan Tape - Settled'!$E$4:$E$55,0),MATCH("Current Total Net Leverage",'Loan Tape - Settled'!$B$4:$BJ$4,0))</f>
        <v/>
      </c>
      <c r="DN47" s="1044" t="n"/>
      <c r="DO47" s="1045">
        <f>INDEX('Loan Tape - Settled'!$B$4:$BJ$55,MATCH($A47,'Loan Tape - Settled'!$E$4:$E$55,0),MATCH("Initial Interest Coverage",'Loan Tape - Settled'!$B$4:$BJ$4,0))</f>
        <v/>
      </c>
      <c r="DP47" s="565">
        <f t="array" ref="DP47">IF(AG47="Yes",INDEX(VAE!$O$5:$O$53,MATCH($B47&amp;$AJ47,VAE!$C$5:$C$53&amp;VAE!$G$5:$G$53,0)),DO47)</f>
        <v/>
      </c>
      <c r="DQ47" s="1046">
        <f>INDEX('Loan Tape - Settled'!$B$4:$BJ$55,MATCH($A47,'Loan Tape - Settled'!$E$4:$E$55,0),MATCH("Current Interest Coverage",'Loan Tape - Settled'!$B$4:$BJ$4,0))</f>
        <v/>
      </c>
      <c r="DR47" s="462">
        <f>IF(OR(DU47="Yes",DU47="N/A",DV47="Yes",DV47="N/A",DW47="Yes",DX47="Yes",DY47="Yes",EF47="Yes",EG47="Yes",EH47="Yes"),"Yes","No")</f>
        <v/>
      </c>
      <c r="DS47" s="1047">
        <f>IF(AG47="Yes",DATEDIF(AJ47,Availability!$F$8,"m"),"")</f>
        <v/>
      </c>
      <c r="DT47" s="1047">
        <f>IF(DS47="","No",IF(DS47&gt;12,"Yes","No"))</f>
        <v/>
      </c>
      <c r="DU47" s="695">
        <f>IFERROR(IF(AND(DQ47/DP47&lt;0.75,DQ47&lt;1.5),"Yes","No"),"N/A")</f>
        <v/>
      </c>
      <c r="DV47" s="696">
        <f>IFERROR(IF(OR(D47="First Lien",D47="FILO"),IF(AND((DL47-DJ47)&gt;0.75,DL47&gt;4),"Yes","No"),"No"),"N/A")</f>
        <v/>
      </c>
      <c r="DW47" s="696">
        <f t="array" ref="DW47">_xlfn.IFS(D47&lt;&gt;"Second Lien","No",D47="Second Lien",IF(AND((DM47-DK47)&gt;0.5,DM47&gt;4.5),"Yes","No"))</f>
        <v/>
      </c>
      <c r="DX47" s="735" t="inlineStr">
        <is>
          <t>No</t>
        </is>
      </c>
      <c r="DY47" s="735" t="inlineStr">
        <is>
          <t>No</t>
        </is>
      </c>
      <c r="DZ47" s="1048" t="inlineStr">
        <is>
          <t>No</t>
        </is>
      </c>
      <c r="EA47" s="1048" t="inlineStr">
        <is>
          <t>No</t>
        </is>
      </c>
      <c r="EB47" s="1048" t="inlineStr">
        <is>
          <t>No</t>
        </is>
      </c>
      <c r="EC47" s="1048" t="inlineStr">
        <is>
          <t>No</t>
        </is>
      </c>
      <c r="ED47" s="1048" t="inlineStr">
        <is>
          <t>No</t>
        </is>
      </c>
      <c r="EE47" s="1048" t="inlineStr">
        <is>
          <t>No</t>
        </is>
      </c>
      <c r="EF47" s="442">
        <f>IF(OR(DZ47="Yes",EA47="Yes",EB47="Yes",EC47="Yes",ED47="Yes",EE47="Yes"),"Yes","No")</f>
        <v/>
      </c>
      <c r="EG47" s="1048" t="inlineStr">
        <is>
          <t>No</t>
        </is>
      </c>
      <c r="EH47" s="1049" t="inlineStr">
        <is>
          <t>No</t>
        </is>
      </c>
      <c r="EI47" s="1050">
        <f t="array" ref="EI47">IF(D47="First Lien",_xlfn.IFS(CY47&gt;AGENT!$B$23, "&gt; $20MM",CY47&lt;=AGENT!$C$25, "&lt;= $10MM",AND(CY47&lt;=AGENT!$C$24,CY47&gt;AGENT!$B$24),"&lt;= $20MM"), "N/A")</f>
        <v/>
      </c>
      <c r="EJ47" s="1050">
        <f t="array" ref="EJ47">IF(D47="FILO",_xlfn.IFS(DI47&gt;AGENT!$B$29, "&gt; 1.25x",DI47&lt;AGENT!$C$27, "&lt; 0.75x",AND(DI47&lt;=AGENT!$C$28,DI47&gt;=AGENT!$B$28),"&lt;= 1.25x"), "N/A")</f>
        <v/>
      </c>
      <c r="EK47" s="1051">
        <f>V47</f>
        <v/>
      </c>
      <c r="EL47" s="1051">
        <f>'Concentration Limits'!$J$49</f>
        <v/>
      </c>
      <c r="EM47" s="1051">
        <f>IF(OR(D47="Second Lien",AND(D47="FILO",DI47&gt;AGENT!$C$57)), "Yes", "No")</f>
        <v/>
      </c>
      <c r="EN47" s="1051">
        <f>IF(EM47="Yes",SUMIF(EM:EM,"Yes",EK:EK),0)</f>
        <v/>
      </c>
      <c r="EO47" s="1051">
        <f>IF(EN47&gt;EL47,(EN47-EL47)*(EK47/SUMIF(EM:EM,"Yes",EK:EK)),0)</f>
        <v/>
      </c>
      <c r="EP47" s="1051">
        <f>MAX(0,EK47-EO47)</f>
        <v/>
      </c>
      <c r="EQ47" s="1051">
        <f>'Concentration Limits'!$J$50</f>
        <v/>
      </c>
      <c r="ER47" s="1051">
        <f>IF(D47="Second Lien",SUMIF(D:D,D47,EP:EP),0)</f>
        <v/>
      </c>
      <c r="ES47" s="1051">
        <f>MAX(0,(ER47-EQ47)*IFERROR((EP47/SUMIF($D:$D,D47,EP:EP )),0) )</f>
        <v/>
      </c>
      <c r="ET47" s="1051">
        <f>MAX(0,EP47-ES47)</f>
        <v/>
      </c>
      <c r="EU47" s="1051">
        <f>'Concentration Limits'!$J$51</f>
        <v/>
      </c>
      <c r="EV47" s="1051">
        <f>IF(OR(D47="Second Lien", AND(D47="FILO",DI47&gt;AGENT!$C$59)), "Yes", "No")</f>
        <v/>
      </c>
      <c r="EW47" s="1051">
        <f>IF(EV47="Yes",SUMIF(EV:EV,"Yes",ET:ET),0)</f>
        <v/>
      </c>
      <c r="EX47" s="1051">
        <f>IF(EW47&gt;EU47,(EW47-EU47)*(ET47/SUMIF(EV:EV,"Yes",ET:ET)),0)</f>
        <v/>
      </c>
      <c r="EY47" s="1051">
        <f>MAX(0,ET47-EX47)</f>
        <v/>
      </c>
      <c r="EZ47" s="1051">
        <f>'Concentration Limits'!$J$52</f>
        <v/>
      </c>
      <c r="FA47" s="1051">
        <f>IF(CY47&gt;'Concentration Limits'!$E$52, "No", "Yes")</f>
        <v/>
      </c>
      <c r="FB47" s="1051">
        <f>IF(FA47="Yes",SUMIF(FA:FA,"Yes",EY:EY),0)</f>
        <v/>
      </c>
      <c r="FC47" s="1051">
        <f>IF(FB47&gt;EZ47,(FB47-EZ47)*(EY47/SUMIF(FA:FA,"Yes",EY:EY)),0)</f>
        <v/>
      </c>
      <c r="FD47" s="1051">
        <f>MAX(0,EY47-FC47)</f>
        <v/>
      </c>
      <c r="FE47" s="1052">
        <f>'Concentration Limits'!$J$54</f>
        <v/>
      </c>
      <c r="FF47" s="1052">
        <f>'Concentration Limits'!$J$55</f>
        <v/>
      </c>
      <c r="FG47" s="1052">
        <f>'Concentration Limits'!$J$56</f>
        <v/>
      </c>
      <c r="FH47" s="1053">
        <f>'Concentration Limits'!$J$57</f>
        <v/>
      </c>
      <c r="FI47" s="1053">
        <f>SUMIF($B:$B,$B47,$FD:$FD)</f>
        <v/>
      </c>
      <c r="FJ47" s="1053">
        <f>IF(MATCH($B47,$B:$B,0)=ROW(),$FI47,0)</f>
        <v/>
      </c>
      <c r="FK47" s="1053">
        <f>INDEX(FL$8:FL$60,MATCH(B47,B$8:B$60,0))</f>
        <v/>
      </c>
      <c r="FL47" s="1053">
        <f>IF(FJ47&gt;0,RANK(FJ47,$FJ$9:$FJ$60)+COUNTIF($FJ$9:FJ47,FJ47)-1,0)</f>
        <v/>
      </c>
      <c r="FM47" s="1052">
        <f>IF(FK47=1,IF(FI47&gt;FE47,(FI47-FE47)*(V47/SUMIF($B:$B,B47,$FD:$FD)),0),0)</f>
        <v/>
      </c>
      <c r="FN47" s="1052">
        <f>IF(FK47=2,IF(FI47&gt;FF47,(FI47-FF47)*(V47/SUMIF($B:$B,B47,$FD:$FD)),0),0)</f>
        <v/>
      </c>
      <c r="FO47" s="1052">
        <f>IF(FK47=3,IF(FI47&gt;FG47,(FI47-FG47)*(V47/SUMIF($B:$B,B47,$FD:$FD)),0),0)</f>
        <v/>
      </c>
      <c r="FP47" s="1053">
        <f>IF(FK47&gt;0,IF(FI47&gt;FH47,(FI47-FH47)*(FD47/(SUMIF($B:$B,$B47,$FD:$FD))),0),0)</f>
        <v/>
      </c>
      <c r="FQ47" s="1053">
        <f>MAX(0,FD47-FM47-FN47-FO47-FP47)</f>
        <v/>
      </c>
      <c r="FR47" s="1053">
        <f>'Concentration Limits'!$J$58</f>
        <v/>
      </c>
      <c r="FS47" s="1053">
        <f>SUMIF($BR:$BR,$BR47,FQ:FQ)</f>
        <v/>
      </c>
      <c r="FT47" s="1053">
        <f>VLOOKUP(BR47,'Concentration Limits'!$E$81:$H$153,4,FALSE)</f>
        <v/>
      </c>
      <c r="FU47" s="1053">
        <f>IF(FT47=1,MAX(0,(FS47-FR47)*(FQ47/SUMIF($BR:$BR,BR47,FQ:FQ))),0)</f>
        <v/>
      </c>
      <c r="FV47" s="1053">
        <f>MAX(0,FQ47-FU47)</f>
        <v/>
      </c>
      <c r="FW47" s="1053">
        <f>'Concentration Limits'!$J$59</f>
        <v/>
      </c>
      <c r="FX47" s="1053">
        <f>SUMIF($BR:$BR,$BR47,FV:FV)</f>
        <v/>
      </c>
      <c r="FY47" s="1053">
        <f>VLOOKUP(BR47,'Concentration Limits'!$E$81:$H$153,4,FALSE)</f>
        <v/>
      </c>
      <c r="FZ47" s="1053">
        <f>MAX(0,IF(FY47=2,(FX47-FW47)*(FV47/SUMIF($BR:$BR,BR47,FV:FV)),0))</f>
        <v/>
      </c>
      <c r="GA47" s="1053">
        <f>MAX(0,FV47-FZ47)</f>
        <v/>
      </c>
      <c r="GB47" s="1053">
        <f>'Concentration Limits'!$J$61</f>
        <v/>
      </c>
      <c r="GC47" s="1053">
        <f>SUMIF($BR:$BR,$BR47,GA:GA)</f>
        <v/>
      </c>
      <c r="GD47" s="1051">
        <f>VLOOKUP(BR47,'Concentration Limits'!$E$81:$H$153,4,FALSE)</f>
        <v/>
      </c>
      <c r="GE47" s="1053">
        <f>IF(GA47=0,0,MAX(0,IF(GD47&lt;3,0,(GC47-GB47)*($GA47/SUMIF($BR:$BR,BR47,GA:GA)))))</f>
        <v/>
      </c>
      <c r="GF47" s="1053">
        <f>MAX(0,GA47-GE47)</f>
        <v/>
      </c>
      <c r="GG47" s="1053">
        <f>'Concentration Limits'!$J$64</f>
        <v/>
      </c>
      <c r="GH47" s="1053">
        <f>IF(BY47="Yes",SUMIF(BY:BY,BY47,GF:GF),0)</f>
        <v/>
      </c>
      <c r="GI47" s="1053">
        <f>IFERROR(MAX(0,(GH47-GG47)*(GF47/SUMIF($T:$T,T47,GF:GF ))),0)</f>
        <v/>
      </c>
      <c r="GJ47" s="1053">
        <f>MAX(0,GF47-GI47)</f>
        <v/>
      </c>
      <c r="GK47" s="1053">
        <f>'Concentration Limits'!$J$67</f>
        <v/>
      </c>
      <c r="GL47" s="1051">
        <f>IF(OR(BV47="Yes",OR(ISNUMBER(SEARCH("Travel",BR47)),ISNUMBER(SEARCH("Energy",BR47)),ISNUMBER(SEARCH("Leisure",BR47)),ISNUMBER(SEARCH("hotel",BR47)))),"Yes","No")</f>
        <v/>
      </c>
      <c r="GM47" s="1053">
        <f>IF(GL47="Yes",SUMIF(GL:GL,"Yes",GJ:GJ),0)</f>
        <v/>
      </c>
      <c r="GN47" s="1053">
        <f>IF(GM47&gt;GK47,(GM47-GK47)*(GJ47/SUMIF(GL:GL,"Yes",GJ:GJ)),0)</f>
        <v/>
      </c>
      <c r="GO47" s="1053">
        <f>MAX(0,GJ47-GN47)</f>
        <v/>
      </c>
      <c r="GP47" s="1053">
        <f>'Concentration Limits'!$J$68</f>
        <v/>
      </c>
      <c r="GQ47" s="1051">
        <f>IF(BU47="Yes","Yes", "No")</f>
        <v/>
      </c>
      <c r="GR47" s="1053">
        <f>IF(GQ47="Yes",SUMIF(GQ:GQ,"Yes",GO:GO),0)</f>
        <v/>
      </c>
      <c r="GS47" s="1053">
        <f>IF(GR47&gt;GP47,(GR47-GP47)*(GO47/SUMIF(GQ:GQ,"Yes",GO:GO)),0)</f>
        <v/>
      </c>
      <c r="GT47" s="1053">
        <f>MAX(0,GO47-GS47)</f>
        <v/>
      </c>
      <c r="GU47" s="1051">
        <f>'Concentration Limits'!$J$69</f>
        <v/>
      </c>
      <c r="GV47" s="1051">
        <f>IF(BW47="Yes", "Yes", "No")</f>
        <v/>
      </c>
      <c r="GW47" s="1051">
        <f>IF(GV47="Yes",SUMIF(GV:GV,"Yes",GT:GT),0)</f>
        <v/>
      </c>
      <c r="GX47" s="1051">
        <f>IF(GW47&gt;GU47,(GW47-GU47)*(GT47/SUMIF(GV:GV,"Yes",GT:GT)),0)</f>
        <v/>
      </c>
      <c r="GY47" s="1051">
        <f>MAX(0,GT47-GX47)</f>
        <v/>
      </c>
      <c r="GZ47" s="1051">
        <f>'Concentration Limits'!$J$70</f>
        <v/>
      </c>
      <c r="HA47" s="1051">
        <f>IF(BX47="Yes", "Yes", "No")</f>
        <v/>
      </c>
      <c r="HB47" s="1051">
        <f>IF(HA47="Yes",SUMIF(HA:HA,"Yes",GY:GY),0)</f>
        <v/>
      </c>
      <c r="HC47" s="1051">
        <f>IF(HB47&gt;GZ47,(HB47-GZ47)*(GY47/SUMIF(HA:HA,"Yes",GY:GY)),0)</f>
        <v/>
      </c>
      <c r="HD47" s="1051">
        <f>MAX(0,GY47-HC47)</f>
        <v/>
      </c>
      <c r="HE47" s="1053">
        <f>IF(AQ47=0,0,HD47*AQ47/(AQ47+AR47))</f>
        <v/>
      </c>
      <c r="HF47" s="1053">
        <f>IF(AR47=0,0,HD47*AR47/(AQ47+AR47))</f>
        <v/>
      </c>
      <c r="HG47" s="1053">
        <f>IF(AW47=0,0,HD47*AW47/(AW47+AX47))</f>
        <v/>
      </c>
      <c r="HH47" s="1053">
        <f>IF(AX47=0,0,HD47*AX47/(AX47+AW47))</f>
        <v/>
      </c>
      <c r="HI47" s="1053">
        <f>IF(BE47=0,0,#REF!*BE47/(BE47+BG47))</f>
        <v/>
      </c>
      <c r="HJ47" s="1053">
        <f>IF(BG47=0,0,#REF!*BG47/(BG47+BE47))</f>
        <v/>
      </c>
      <c r="HK47" s="1054">
        <f>IF(BF47=0,0,#REF!*BF47/(BF47+BH47))</f>
        <v/>
      </c>
      <c r="HL47" s="1053">
        <f>IF(BH47=0,0,#REF!*BH47/(BH47+BF47))</f>
        <v/>
      </c>
      <c r="HM47" s="1053">
        <f>IF(D47="Second Lien",HD47,0)</f>
        <v/>
      </c>
      <c r="HN47" s="1053">
        <f>SUM(HE47:HM47)=HD47</f>
        <v/>
      </c>
    </row>
    <row r="48" ht="12.75" customFormat="1" customHeight="1" s="469">
      <c r="A48" s="55">
        <f>A47+1</f>
        <v/>
      </c>
      <c r="B48" s="437">
        <f>INDEX('Loan Tape - Settled'!$B$4:$AP$55,MATCH($A48,'Loan Tape - Settled'!$E$4:$E$55,0),MATCH("Obligor Name",'Loan Tape - Settled'!$B$4:$AM$4,0))</f>
        <v/>
      </c>
      <c r="C48" s="437">
        <f>INDEX('Loan Tape - Settled'!$B$4:$AP$55,MATCH($A48,'Loan Tape - Settled'!$E$4:$E$55,0),MATCH("Security",'Loan Tape - Settled'!$B$4:$AM$4,0))</f>
        <v/>
      </c>
      <c r="D48" s="438">
        <f>INDEX('Loan Tape - Settled'!$B$4:$AP$55,MATCH($A48,'Loan Tape - Settled'!$E$4:$E$55,0),MATCH("Loan Type",'Loan Tape - Settled'!$B$4:$AM$4,0))</f>
        <v/>
      </c>
      <c r="E48" s="439">
        <f>IF(ISERROR(MATCH(D48,AGENT!$A$4:$A$10,0))=FALSE, TRUE)</f>
        <v/>
      </c>
      <c r="F48" s="439">
        <f>IF(AND(BZ48="no",CA48="no"),TRUE)</f>
        <v/>
      </c>
      <c r="G48" s="439">
        <f>IF(D48&lt;&gt;"Second Lien",TRUE, IF(CY48&gt;=AGENT!$B$4,TRUE))</f>
        <v/>
      </c>
      <c r="H48" s="439">
        <f>IF(DE48&lt;=AGENT!$D$4,TRUE)</f>
        <v/>
      </c>
      <c r="I48" s="439">
        <f>IF(VLOOKUP(CONCATENATE($A$5,A48),'Loan Tape - Settled'!$A$5:$Q$55,17,FALSE)&gt;=AGENT!$E$4,TRUE)</f>
        <v/>
      </c>
      <c r="J48" s="439">
        <f>IF(INDEX('Loan Tape - Settled'!$B$4:$AP$55,MATCH($A48,'Loan Tape - Settled'!$E$4:$E$55,0),MATCH("Loan Denomination",'Loan Tape - Settled'!$B$4:$AP$4,0))="USD", TRUE)</f>
        <v/>
      </c>
      <c r="K48" s="439">
        <f>IF(INDEX('Loan Tape - Settled'!$B$4:$AP$55,MATCH($A48,'Loan Tape - Settled'!$E$4:$E$55,0),MATCH("Exposure Country",'Loan Tape - Settled'!$B$4:$AP$4,0))="United States", TRUE)</f>
        <v/>
      </c>
      <c r="L48" s="439">
        <f>IF(BS48="NO",TRUE)</f>
        <v/>
      </c>
      <c r="M48" s="439">
        <f>IF(((BM48-BL48)/365)&lt;=AGENT!$F$4,TRUE)</f>
        <v/>
      </c>
      <c r="N48" s="439">
        <f>IF(DX48="Yes",FALSE,TRUE)</f>
        <v/>
      </c>
      <c r="O48" s="493" t="n"/>
      <c r="P48" s="764">
        <f>IF($B48="","",IF(OR(O48=TRUE,COUNTIFS($E48:$N48,TRUE)=10),"Yes","No"))</f>
        <v/>
      </c>
      <c r="Q48" s="730" t="inlineStr">
        <is>
          <t>Yes</t>
        </is>
      </c>
      <c r="R48" s="440">
        <f>IF(P48="Yes",B48,"N/A")</f>
        <v/>
      </c>
      <c r="S48" s="440" t="n"/>
      <c r="T48" s="441">
        <f t="array" ref="T48">_xlfn.IFS(D48="Second Lien",D48,D48="First Lien",CONCATENATE(D48," ",EI48),D48="FILO",CONCATENATE(D48," ",EJ48))</f>
        <v/>
      </c>
      <c r="U48" s="442">
        <f>VLOOKUP(T48,'Concentration Limits'!D:G,4,FALSE)</f>
        <v/>
      </c>
      <c r="V48" s="1020">
        <f>AQ48+AW48+BI48</f>
        <v/>
      </c>
      <c r="W48" s="1021">
        <f>(SUMIFS('Loan Tape - Settled'!$AR$4:$AR$55,'Loan Tape - Settled'!$E$4:$E$55,$A48,'Loan Tape - Settled'!$C$4:$C$55,$A$5))</f>
        <v/>
      </c>
      <c r="X48" s="1022" t="n">
        <v>1</v>
      </c>
      <c r="Y48" s="1023">
        <f>W48*X48</f>
        <v/>
      </c>
      <c r="Z48" s="1022">
        <f>(SUMIFS('Loan Tape - Settled'!$AQ$4:$AQ$55,'Loan Tape - Settled'!$E$4:$E$55,$A48,'Loan Tape - Settled'!$C$4:$C$55,$A$5))</f>
        <v/>
      </c>
      <c r="AA48" s="1023">
        <f>Z48*X48</f>
        <v/>
      </c>
      <c r="AB48" s="1023">
        <f>AA48-Y48</f>
        <v/>
      </c>
      <c r="AC48" s="490">
        <f>VLOOKUP(CONCATENATE($A$5,A48),'Loan Tape - Settled'!$A$5:$Q$55,17,FALSE)</f>
        <v/>
      </c>
      <c r="AD48" s="445" t="n"/>
      <c r="AE48" s="446">
        <f>INDEX('Loan Tape - Settled'!$B$4:$AP$55,MATCH($A48,'Loan Tape - Settled'!$E$4:$E$55,0),MATCH("FMV",'Loan Tape - Settled'!$B$4:$AM$4,0))</f>
        <v/>
      </c>
      <c r="AF48" s="446">
        <f t="array" ref="AF48">_xlfn.IFS(D48="First Lien",
_xlfn.IFS(AND(DL48&gt;0,DL48&lt;Tier_1_1L),Tier_1_ApplicableValue,
AND(DL48&gt;=Tier_1_1L,DL48&lt;Tier_2_1L),((Tier_1_1L/DL48)*Tier_1_ApplicableValue)+((DL48-Tier_1_1L)/DL48*Tier_2_ApplicableValue),
AND(DL48&gt;=Tier_2_1L, DL48&lt;Tier_3_1L),((Tier_1_1L/DL48)*Tier_1_ApplicableValue+(Tier_2_1L-Tier_1_1L)/DL48*Tier_2_ApplicableValue+(DL48-Tier_2_1L)/DL48*Tier_3_ApplicableValue),
AND(DL48&gt;=Tier_3_1L, DL48&lt;=Tier_totalzerovalue),((Tier_1_1L/DL48)*Tier_1_ApplicableValue+(Tier_2_1L-Tier_1_1L)/DL48*Tier_2_ApplicableValue+(Tier_3_1L-Tier_2_1L)/DL48*Tier_3_ApplicableValue+(DL48-Tier_partialzerovalue)/DL48*0%),
DL48&gt;Tier_totalzerovalue,0%),
OR(D48="Second Lien", D48="FILO"),
_xlfn.IFS(AND(DM48&gt;0,DM48&lt;Tier_1_2L),Tier_1_ApplicableValue,
AND(DM48&gt;=Tier_1_2L,DM48&lt;Tier_2_2L),((Tier_1_2L/DM48)*Tier_1_ApplicableValue)+((DM48-Tier_1_2L)/DM48*Tier_2_ApplicableValue),
AND(DM48&gt;=Tier_2_2L, DM48&lt;Tier_3_2L),((Tier_1_2L/DM48)*Tier_1_ApplicableValue+(Tier_2_2L-Tier_1_2L)/DM48*Tier_2_ApplicableValue+(DM48-Tier_2_2L)/DM48*Tier_3_ApplicableValue),
AND(DM48&gt;=Tier_3_2L, DM48&lt;=Tier_totalzerovalue),((Tier_1_2L/DM48)*Tier_1_ApplicableValue+(Tier_2_2L-Tier_1_2L)/DM48*Tier_2_ApplicableValue+(Tier_3_2L-Tier_2_2L)/DM48*Tier_3_ApplicableValue+(DM48-Tier_partialzerovalue)/DM48*0%),
DM48&gt;Tier_totalzerovalue,0%))</f>
        <v/>
      </c>
      <c r="AG48" s="447">
        <f>IF(COUNTIFS(VAE!$C$5:$C$96,B48,VAE!$G$5:$G$96,"&lt;="&amp;Availability!$F$8)&gt;=1,"Yes","-")</f>
        <v/>
      </c>
      <c r="AH48" s="447">
        <f t="array" ref="AH48">IFERROR(IF(AG48="Yes",INDEX(VAE!$D$5:$D$96,MATCH(B48&amp;AJ48,VAE!$C$5:$C$96&amp;VAE!$G$5:$G$96,0)),"-"),0)</f>
        <v/>
      </c>
      <c r="AI48" s="447">
        <f t="array" ref="AI48">IFERROR(IF(AG48="Yes",INDEX(VAE!$F$5:$F$96,MATCH(B48&amp;AJ48,VAE!$C$5:$C$96&amp;VAE!$G$5:$G$96,0)),"-"),0)</f>
        <v/>
      </c>
      <c r="AJ48" s="448">
        <f>IF(AG48="-","-",_xlfn.MAXIFS(VAE!$G$5:$G$96,VAE!$C$5:$C$96,$B48))</f>
        <v/>
      </c>
      <c r="AK48" s="449">
        <f t="array" ref="AK48">IFERROR(IF(AG48="Yes",INDEX(VAE!$P$5:$P$96,MATCH(B48&amp;AJ48,VAE!$C$5:$C$96&amp;VAE!$G$5:$G$96,0)),"-"),0)</f>
        <v/>
      </c>
      <c r="AL48" s="446">
        <f>IF($A48="","",IF(P48="No",0,(IF(AG48="Yes",MIN(AE48,AK48,AF48),MIN(AE48,AF48)))))</f>
        <v/>
      </c>
      <c r="AM48" s="1020" t="n"/>
      <c r="AN48" s="1020" t="n"/>
      <c r="AO48" s="1020">
        <f>IF(AND(D48="First Lien",P48="No"),0,IF(D48&lt;&gt;"First Lien",0,Y48))</f>
        <v/>
      </c>
      <c r="AP48" s="1020">
        <f>IF(AND(D48="First Lien",P48="No"),W48,0)</f>
        <v/>
      </c>
      <c r="AQ48" s="1020">
        <f>AL48*AO48</f>
        <v/>
      </c>
      <c r="AR48" s="1020" t="n"/>
      <c r="AS48" s="1020" t="n"/>
      <c r="AT48" s="1020" t="n"/>
      <c r="AU48" s="1020">
        <f>IF(AND(D48="FILO",P48="No"),0,IF(D48&lt;&gt;"FILO",0,Y48))</f>
        <v/>
      </c>
      <c r="AV48" s="1020">
        <f>IF(AND(D48="FILO",P48="No"),W48,0)</f>
        <v/>
      </c>
      <c r="AW48" s="1020">
        <f>AU48*AL48</f>
        <v/>
      </c>
      <c r="AX48" s="1020" t="n"/>
      <c r="AY48" s="1020" t="n"/>
      <c r="AZ48" s="1020" t="n"/>
      <c r="BA48" s="1020">
        <f>IF(AND(OR(D48="First Lien",D48="FILO"),P48="No"),0,IF(OR(D48="First Lien",D48="FILO"),0,(Y48)))</f>
        <v/>
      </c>
      <c r="BB48" s="1020" t="n"/>
      <c r="BC48" s="1020" t="n"/>
      <c r="BD48" s="1020">
        <f>IF(AND(D48="Second Lien",P48="No"),W48,0)</f>
        <v/>
      </c>
      <c r="BE48" s="1020" t="n"/>
      <c r="BF48" s="1020" t="n"/>
      <c r="BG48" s="1020" t="n"/>
      <c r="BH48" s="1020" t="n"/>
      <c r="BI48" s="1020">
        <f>IF(D48="Second Lien",BA48*AL48,0)</f>
        <v/>
      </c>
      <c r="BJ48" s="1020">
        <f>SUM(AM48:AP48)+SUM(AZ48:BD48)+SUM(AS48:AV48)=Y48</f>
        <v/>
      </c>
      <c r="BK48" s="1026">
        <f>INDEX('Loan Tape - Settled'!$B$4:$AP$55,MATCH($A48,'Loan Tape - Settled'!$E$4:$E$55,0),MATCH("Inception Date",'Loan Tape - Settled'!$B$4:$AP$4,0))</f>
        <v/>
      </c>
      <c r="BL48" s="1026">
        <f>INDEX('Loan Tape - Settled'!$B$4:$AP$55,MATCH($A48,'Loan Tape - Settled'!$E$4:$E$55,0),MATCH("Inclusion Date",'Loan Tape - Settled'!$B$4:$AP$4,0))</f>
        <v/>
      </c>
      <c r="BM48" s="1026">
        <f>INDEX('Loan Tape - Settled'!$B$4:$AP$55,MATCH($A48,'Loan Tape - Settled'!$E$4:$E$55,0),MATCH("Maturity Date",'Loan Tape - Settled'!$B$4:$AP$4,0))</f>
        <v/>
      </c>
      <c r="BN48" s="556" t="n"/>
      <c r="BO48" s="556" t="n"/>
      <c r="BP48" s="1055" t="n"/>
      <c r="BQ48" s="556" t="n"/>
      <c r="BR48" s="554">
        <f>INDEX('Loan Tape - Settled'!$B$4:$AP$55,MATCH($A48,'Loan Tape - Settled'!$E$4:$E$55,0),MATCH("Industry Classification",'Loan Tape - Settled'!$B$4:$AP$4,0))</f>
        <v/>
      </c>
      <c r="BS48" s="556">
        <f>IF(INDEX('Loan Tape - Settled'!$B$4:$AP$55,MATCH($A48,'Loan Tape - Settled'!$E$4:$E$55,0),MATCH("Covenant Lite",'Loan Tape - Settled'!$B$4:$AP$4,0))=-1, "Yes", "No")</f>
        <v/>
      </c>
      <c r="BT48" s="1056">
        <f>INDEX('Loan Tape - Settled'!$B$4:$AP$55,MATCH($A48,'Loan Tape - Settled'!$E$4:$E$55,0),MATCH("Spread / Coupon (%)",'Loan Tape - Settled'!$B$4:$AP$4,0))</f>
        <v/>
      </c>
      <c r="BU48" s="556">
        <f>IF(INDEX('Loan Tape - Settled'!$B$4:$AP$55,MATCH($A48,'Loan Tape - Settled'!$E$4:$E$55,0),MATCH("Security Type",'Loan Tape - Settled'!$B$4:$AP$4,0))="Delayed Draw Term Loan", "Yes", "No")</f>
        <v/>
      </c>
      <c r="BV48" s="557" t="inlineStr">
        <is>
          <t>No</t>
        </is>
      </c>
      <c r="BW48" s="557" t="inlineStr">
        <is>
          <t>No</t>
        </is>
      </c>
      <c r="BX48" s="548" t="inlineStr">
        <is>
          <t>No</t>
        </is>
      </c>
      <c r="BY48" s="556">
        <f>IF(INDEX('Loan Tape - Settled'!$B$4:$AP$55,MATCH($A48,'Loan Tape - Settled'!$E$4:$E$55,0),MATCH("Fixed/Floating",'Loan Tape - Settled'!$B$4:$AP$4,0))="Fixed", "Yes", "No")</f>
        <v/>
      </c>
      <c r="BZ48" s="557" t="inlineStr">
        <is>
          <t>No</t>
        </is>
      </c>
      <c r="CA48" s="557" t="inlineStr">
        <is>
          <t>No</t>
        </is>
      </c>
      <c r="CB48" s="556">
        <f>IF(INDEX('Loan Tape - Settled'!$B$4:$AP$55,MATCH($A48,'Loan Tape - Settled'!$E$4:$E$55,0),MATCH("Loan Denomination",'Loan Tape - Settled'!$B$4:$AP$4,0))="CAD", "Yes", "No")</f>
        <v/>
      </c>
      <c r="CC48" s="556">
        <f>INDEX('Loan Tape - Settled'!$B$4:$AP$55,MATCH($A48,'Loan Tape - Settled'!$E$4:$E$55,0),MATCH("Payment Frequency",'Loan Tape - Settled'!$B$4:$AP$4,0))</f>
        <v/>
      </c>
      <c r="CD48" s="557" t="inlineStr">
        <is>
          <t>No</t>
        </is>
      </c>
      <c r="CE48" s="556">
        <f>INDEX('Loan Tape - Settled'!$B$4:$AP$55,MATCH($A48,'Loan Tape - Settled'!$E$4:$E$55,0),MATCH("S&amp;P Loan Rating (if applicable)",'Loan Tape - Settled'!$B$4:$AP$4,0))</f>
        <v/>
      </c>
      <c r="CF48" s="556">
        <f>INDEX('Loan Tape - Settled'!$B$4:$AP$55,MATCH($A48,'Loan Tape - Settled'!$E$4:$E$55,0),MATCH("Moody's Loan Rating (if applicable)",'Loan Tape - Settled'!$B$4:$AP$4,0))</f>
        <v/>
      </c>
      <c r="CG48" s="556" t="n"/>
      <c r="CH48" s="556" t="n"/>
      <c r="CI48" s="1057" t="n"/>
      <c r="CJ48" s="1030">
        <f>INDEX('Loan Tape - Settled'!$B$4:$BF$55,MATCH($A48,'Loan Tape - Settled'!$E$4:$E$55,0),MATCH("Last Financial Received",'Loan Tape - Settled'!$B$4:$BF$4,0))</f>
        <v/>
      </c>
      <c r="CK48" s="559">
        <f>INDEX('Loan Tape - Settled'!$B$4:$BJ$55,MATCH($A48,'Loan Tape - Settled'!$E$4:$E$55,0),MATCH("Initial Adjusted TTM EBITDA",'Loan Tape - Settled'!$B$4:$BJ$4,0))</f>
        <v/>
      </c>
      <c r="CL48" s="559">
        <f>INDEX('Loan Tape - Settled'!$B$4:$BJ$55,MATCH($A48,'Loan Tape - Settled'!$E$4:$E$55,0),MATCH("Initial TTM Non-adjusted EBITDA",'Loan Tape - Settled'!$B$4:$BJ$4,0))</f>
        <v/>
      </c>
      <c r="CM48" s="1031" t="n"/>
      <c r="CN48" s="451" t="n"/>
      <c r="CO48" s="451" t="n"/>
      <c r="CP48" s="1032" t="n"/>
      <c r="CQ48" s="1033" t="inlineStr">
        <is>
          <t>N</t>
        </is>
      </c>
      <c r="CR48" s="1032" t="n"/>
      <c r="CS48" s="454">
        <f>CK48-CP48+CR48</f>
        <v/>
      </c>
      <c r="CT48" s="455">
        <f>1-CS48/CK48</f>
        <v/>
      </c>
      <c r="CU48" s="559">
        <f>INDEX('Loan Tape - Settled'!$B$4:$BJ$55,MATCH($A48,'Loan Tape - Settled'!$E$4:$E$55,0),MATCH("Current TTM Non-adjusted EBITDA",'Loan Tape - Settled'!$B$4:$BJ$4,0))</f>
        <v/>
      </c>
      <c r="CV48" s="456">
        <f>CT48</f>
        <v/>
      </c>
      <c r="CW48" s="1034" t="inlineStr">
        <is>
          <t>N</t>
        </is>
      </c>
      <c r="CX48" s="1035" t="n"/>
      <c r="CY48" s="1036">
        <f>IF(CW48="N",(1-CV48)*CU48,(1-CX48)*CU48)</f>
        <v/>
      </c>
      <c r="CZ48" s="1037" t="n"/>
      <c r="DA48" s="1038" t="n"/>
      <c r="DB48" s="1039" t="n"/>
      <c r="DC48" s="1040" t="n"/>
      <c r="DD48" s="1040">
        <f>INDEX('Loan Tape - Settled'!$B$4:$BJ$55,MATCH($A48,'Loan Tape - Settled'!$E$4:$E$55,0),MATCH("Initial Senior Net Leverage Senior",'Loan Tape - Settled'!$B$4:$BJ$4,0))</f>
        <v/>
      </c>
      <c r="DE48" s="1041">
        <f>INDEX('Loan Tape - Settled'!$B$4:$BJ$55,MATCH($A48,'Loan Tape - Settled'!$E$4:$E$55,0),MATCH("Initial Total Net Leverage",'Loan Tape - Settled'!$B$4:$BJ$4,0))</f>
        <v/>
      </c>
      <c r="DF48" s="1037" t="n"/>
      <c r="DG48" s="1038" t="n"/>
      <c r="DH48" s="1039" t="n"/>
      <c r="DI48" s="1042">
        <f>INDEX('Loan Tape - Settled'!$B$4:$BJ$55,MATCH($A48,'Loan Tape - Settled'!$E$4:$E$55,0),MATCH("Net Attachment",'Loan Tape - Settled'!$B$4:$BJ$4,0))</f>
        <v/>
      </c>
      <c r="DJ48" s="566">
        <f t="array" ref="DJ48">IF(AG48="Yes",INDEX(VAE!$M$5:$M$53,MATCH($B48&amp;$AJ48,VAE!$C$5:$C$53&amp;VAE!$G$5:$G$53,0)),DD48)</f>
        <v/>
      </c>
      <c r="DK48" s="697">
        <f t="array" ref="DK48">IF(AG48="Yes",INDEX(VAE!$N$5:$N$53,MATCH($B48&amp;$AJ48,VAE!$C$5:$C$53&amp;VAE!$G$5:$G$53,0)),DE48)</f>
        <v/>
      </c>
      <c r="DL48" s="1058">
        <f>INDEX('Loan Tape - Settled'!$B$4:$BJ$55,MATCH($A48,'Loan Tape - Settled'!$E$4:$E$55,0),MATCH("Current Senior Net Leverage Senior",'Loan Tape - Settled'!$B$4:$BJ$4,0))</f>
        <v/>
      </c>
      <c r="DM48" s="1059">
        <f>INDEX('Loan Tape - Settled'!$B$4:$BJ$55,MATCH($A48,'Loan Tape - Settled'!$E$4:$E$55,0),MATCH("Current Total Net Leverage",'Loan Tape - Settled'!$B$4:$BJ$4,0))</f>
        <v/>
      </c>
      <c r="DN48" s="1044" t="n"/>
      <c r="DO48" s="1045">
        <f>INDEX('Loan Tape - Settled'!$B$4:$BJ$55,MATCH($A48,'Loan Tape - Settled'!$E$4:$E$55,0),MATCH("Initial Interest Coverage",'Loan Tape - Settled'!$B$4:$BJ$4,0))</f>
        <v/>
      </c>
      <c r="DP48" s="565">
        <f t="array" ref="DP48">IF(AG48="Yes",INDEX(VAE!$O$5:$O$53,MATCH($B48&amp;$AJ48,VAE!$C$5:$C$53&amp;VAE!$G$5:$G$53,0)),DO48)</f>
        <v/>
      </c>
      <c r="DQ48" s="1046">
        <f>INDEX('Loan Tape - Settled'!$B$4:$BJ$55,MATCH($A48,'Loan Tape - Settled'!$E$4:$E$55,0),MATCH("Current Interest Coverage",'Loan Tape - Settled'!$B$4:$BJ$4,0))</f>
        <v/>
      </c>
      <c r="DR48" s="462">
        <f>IF(OR(DU48="Yes",DU48="N/A",DV48="Yes",DV48="N/A",DW48="Yes",DX48="Yes",DY48="Yes",EF48="Yes",EG48="Yes",EH48="Yes"),"Yes","No")</f>
        <v/>
      </c>
      <c r="DS48" s="1047">
        <f>IF(AG48="Yes",DATEDIF(AJ48,Availability!$F$8,"m"),"")</f>
        <v/>
      </c>
      <c r="DT48" s="1047">
        <f>IF(DS48="","No",IF(DS48&gt;12,"Yes","No"))</f>
        <v/>
      </c>
      <c r="DU48" s="695">
        <f>IFERROR(IF(AND(DQ48/DP48&lt;0.75,DQ48&lt;1.5),"Yes","No"),"N/A")</f>
        <v/>
      </c>
      <c r="DV48" s="696">
        <f>IFERROR(IF(OR(D48="First Lien",D48="FILO"),IF(AND((DL48-DJ48)&gt;0.75,DL48&gt;4),"Yes","No"),"No"),"N/A")</f>
        <v/>
      </c>
      <c r="DW48" s="696">
        <f t="array" ref="DW48">_xlfn.IFS(D48&lt;&gt;"Second Lien","No",D48="Second Lien",IF(AND((DM48-DK48)&gt;0.5,DM48&gt;4.5),"Yes","No"))</f>
        <v/>
      </c>
      <c r="DX48" s="735" t="inlineStr">
        <is>
          <t>No</t>
        </is>
      </c>
      <c r="DY48" s="735" t="inlineStr">
        <is>
          <t>No</t>
        </is>
      </c>
      <c r="DZ48" s="1048" t="inlineStr">
        <is>
          <t>No</t>
        </is>
      </c>
      <c r="EA48" s="1048" t="inlineStr">
        <is>
          <t>No</t>
        </is>
      </c>
      <c r="EB48" s="1048" t="inlineStr">
        <is>
          <t>No</t>
        </is>
      </c>
      <c r="EC48" s="1048" t="inlineStr">
        <is>
          <t>No</t>
        </is>
      </c>
      <c r="ED48" s="1048" t="inlineStr">
        <is>
          <t>No</t>
        </is>
      </c>
      <c r="EE48" s="1048" t="inlineStr">
        <is>
          <t>No</t>
        </is>
      </c>
      <c r="EF48" s="442">
        <f>IF(OR(DZ48="Yes",EA48="Yes",EB48="Yes",EC48="Yes",ED48="Yes",EE48="Yes"),"Yes","No")</f>
        <v/>
      </c>
      <c r="EG48" s="1048" t="inlineStr">
        <is>
          <t>No</t>
        </is>
      </c>
      <c r="EH48" s="1049" t="inlineStr">
        <is>
          <t>No</t>
        </is>
      </c>
      <c r="EI48" s="1050">
        <f t="array" ref="EI48">IF(D48="First Lien",_xlfn.IFS(CY48&gt;AGENT!$B$23, "&gt; $20MM",CY48&lt;=AGENT!$C$25, "&lt;= $10MM",AND(CY48&lt;=AGENT!$C$24,CY48&gt;AGENT!$B$24),"&lt;= $20MM"), "N/A")</f>
        <v/>
      </c>
      <c r="EJ48" s="1050">
        <f t="array" ref="EJ48">IF(D48="FILO",_xlfn.IFS(DI48&gt;AGENT!$B$29, "&gt; 1.25x",DI48&lt;AGENT!$C$27, "&lt; 0.75x",AND(DI48&lt;=AGENT!$C$28,DI48&gt;=AGENT!$B$28),"&lt;= 1.25x"), "N/A")</f>
        <v/>
      </c>
      <c r="EK48" s="1051">
        <f>V48</f>
        <v/>
      </c>
      <c r="EL48" s="1051">
        <f>'Concentration Limits'!$J$49</f>
        <v/>
      </c>
      <c r="EM48" s="1051">
        <f>IF(OR(D48="Second Lien",AND(D48="FILO",DI48&gt;AGENT!$C$57)), "Yes", "No")</f>
        <v/>
      </c>
      <c r="EN48" s="1051">
        <f>IF(EM48="Yes",SUMIF(EM:EM,"Yes",EK:EK),0)</f>
        <v/>
      </c>
      <c r="EO48" s="1051">
        <f>IF(EN48&gt;EL48,(EN48-EL48)*(EK48/SUMIF(EM:EM,"Yes",EK:EK)),0)</f>
        <v/>
      </c>
      <c r="EP48" s="1051">
        <f>MAX(0,EK48-EO48)</f>
        <v/>
      </c>
      <c r="EQ48" s="1051">
        <f>'Concentration Limits'!$J$50</f>
        <v/>
      </c>
      <c r="ER48" s="1051">
        <f>IF(D48="Second Lien",SUMIF(D:D,D48,EP:EP),0)</f>
        <v/>
      </c>
      <c r="ES48" s="1051">
        <f>MAX(0,(ER48-EQ48)*IFERROR((EP48/SUMIF($D:$D,D48,EP:EP )),0) )</f>
        <v/>
      </c>
      <c r="ET48" s="1051">
        <f>MAX(0,EP48-ES48)</f>
        <v/>
      </c>
      <c r="EU48" s="1051">
        <f>'Concentration Limits'!$J$51</f>
        <v/>
      </c>
      <c r="EV48" s="1051">
        <f>IF(OR(D48="Second Lien", AND(D48="FILO",DI48&gt;AGENT!$C$59)), "Yes", "No")</f>
        <v/>
      </c>
      <c r="EW48" s="1051">
        <f>IF(EV48="Yes",SUMIF(EV:EV,"Yes",ET:ET),0)</f>
        <v/>
      </c>
      <c r="EX48" s="1051">
        <f>IF(EW48&gt;EU48,(EW48-EU48)*(ET48/SUMIF(EV:EV,"Yes",ET:ET)),0)</f>
        <v/>
      </c>
      <c r="EY48" s="1051">
        <f>MAX(0,ET48-EX48)</f>
        <v/>
      </c>
      <c r="EZ48" s="1051">
        <f>'Concentration Limits'!$J$52</f>
        <v/>
      </c>
      <c r="FA48" s="1051">
        <f>IF(CY48&gt;'Concentration Limits'!$E$52, "No", "Yes")</f>
        <v/>
      </c>
      <c r="FB48" s="1051">
        <f>IF(FA48="Yes",SUMIF(FA:FA,"Yes",EY:EY),0)</f>
        <v/>
      </c>
      <c r="FC48" s="1051">
        <f>IF(FB48&gt;EZ48,(FB48-EZ48)*(EY48/SUMIF(FA:FA,"Yes",EY:EY)),0)</f>
        <v/>
      </c>
      <c r="FD48" s="1051">
        <f>MAX(0,EY48-FC48)</f>
        <v/>
      </c>
      <c r="FE48" s="1052">
        <f>'Concentration Limits'!$J$54</f>
        <v/>
      </c>
      <c r="FF48" s="1052">
        <f>'Concentration Limits'!$J$55</f>
        <v/>
      </c>
      <c r="FG48" s="1052">
        <f>'Concentration Limits'!$J$56</f>
        <v/>
      </c>
      <c r="FH48" s="1053">
        <f>'Concentration Limits'!$J$57</f>
        <v/>
      </c>
      <c r="FI48" s="1053">
        <f>SUMIF($B:$B,$B48,$FD:$FD)</f>
        <v/>
      </c>
      <c r="FJ48" s="1053">
        <f>IF(MATCH($B48,$B:$B,0)=ROW(),$FI48,0)</f>
        <v/>
      </c>
      <c r="FK48" s="1053">
        <f>INDEX(FL$8:FL$60,MATCH(B48,B$8:B$60,0))</f>
        <v/>
      </c>
      <c r="FL48" s="1053">
        <f>IF(FJ48&gt;0,RANK(FJ48,$FJ$9:$FJ$60)+COUNTIF($FJ$9:FJ48,FJ48)-1,0)</f>
        <v/>
      </c>
      <c r="FM48" s="1052">
        <f>IF(FK48=1,IF(FI48&gt;FE48,(FI48-FE48)*(V48/SUMIF($B:$B,B48,$FD:$FD)),0),0)</f>
        <v/>
      </c>
      <c r="FN48" s="1052">
        <f>IF(FK48=2,IF(FI48&gt;FF48,(FI48-FF48)*(V48/SUMIF($B:$B,B48,$FD:$FD)),0),0)</f>
        <v/>
      </c>
      <c r="FO48" s="1052">
        <f>IF(FK48=3,IF(FI48&gt;FG48,(FI48-FG48)*(V48/SUMIF($B:$B,B48,$FD:$FD)),0),0)</f>
        <v/>
      </c>
      <c r="FP48" s="1053">
        <f>IF(FK48&gt;0,IF(FI48&gt;FH48,(FI48-FH48)*(FD48/(SUMIF($B:$B,$B48,$FD:$FD))),0),0)</f>
        <v/>
      </c>
      <c r="FQ48" s="1053">
        <f>MAX(0,FD48-FM48-FN48-FO48-FP48)</f>
        <v/>
      </c>
      <c r="FR48" s="1053">
        <f>'Concentration Limits'!$J$58</f>
        <v/>
      </c>
      <c r="FS48" s="1053">
        <f>SUMIF($BR:$BR,$BR48,FQ:FQ)</f>
        <v/>
      </c>
      <c r="FT48" s="1053">
        <f>VLOOKUP(BR48,'Concentration Limits'!$E$81:$H$153,4,FALSE)</f>
        <v/>
      </c>
      <c r="FU48" s="1053">
        <f>IF(FT48=1,MAX(0,(FS48-FR48)*(FQ48/SUMIF($BR:$BR,BR48,FQ:FQ))),0)</f>
        <v/>
      </c>
      <c r="FV48" s="1053">
        <f>MAX(0,FQ48-FU48)</f>
        <v/>
      </c>
      <c r="FW48" s="1053">
        <f>'Concentration Limits'!$J$59</f>
        <v/>
      </c>
      <c r="FX48" s="1053">
        <f>SUMIF($BR:$BR,$BR48,FV:FV)</f>
        <v/>
      </c>
      <c r="FY48" s="1053">
        <f>VLOOKUP(BR48,'Concentration Limits'!$E$81:$H$153,4,FALSE)</f>
        <v/>
      </c>
      <c r="FZ48" s="1053">
        <f>MAX(0,IF(FY48=2,(FX48-FW48)*(FV48/SUMIF($BR:$BR,BR48,FV:FV)),0))</f>
        <v/>
      </c>
      <c r="GA48" s="1053">
        <f>MAX(0,FV48-FZ48)</f>
        <v/>
      </c>
      <c r="GB48" s="1053">
        <f>'Concentration Limits'!$J$61</f>
        <v/>
      </c>
      <c r="GC48" s="1053">
        <f>SUMIF($BR:$BR,$BR48,GA:GA)</f>
        <v/>
      </c>
      <c r="GD48" s="1051">
        <f>VLOOKUP(BR48,'Concentration Limits'!$E$81:$H$153,4,FALSE)</f>
        <v/>
      </c>
      <c r="GE48" s="1053">
        <f>IF(GA48=0,0,MAX(0,IF(GD48&lt;3,0,(GC48-GB48)*($GA48/SUMIF($BR:$BR,BR48,GA:GA)))))</f>
        <v/>
      </c>
      <c r="GF48" s="1053">
        <f>MAX(0,GA48-GE48)</f>
        <v/>
      </c>
      <c r="GG48" s="1053">
        <f>'Concentration Limits'!$J$64</f>
        <v/>
      </c>
      <c r="GH48" s="1053">
        <f>IF(BY48="Yes",SUMIF(BY:BY,BY48,GF:GF),0)</f>
        <v/>
      </c>
      <c r="GI48" s="1053">
        <f>IFERROR(MAX(0,(GH48-GG48)*(GF48/SUMIF($T:$T,T48,GF:GF ))),0)</f>
        <v/>
      </c>
      <c r="GJ48" s="1053">
        <f>MAX(0,GF48-GI48)</f>
        <v/>
      </c>
      <c r="GK48" s="1053">
        <f>'Concentration Limits'!$J$67</f>
        <v/>
      </c>
      <c r="GL48" s="1051">
        <f>IF(OR(BV48="Yes",OR(ISNUMBER(SEARCH("Travel",BR48)),ISNUMBER(SEARCH("Energy",BR48)),ISNUMBER(SEARCH("Leisure",BR48)),ISNUMBER(SEARCH("hotel",BR48)))),"Yes","No")</f>
        <v/>
      </c>
      <c r="GM48" s="1053">
        <f>IF(GL48="Yes",SUMIF(GL:GL,"Yes",GJ:GJ),0)</f>
        <v/>
      </c>
      <c r="GN48" s="1053">
        <f>IF(GM48&gt;GK48,(GM48-GK48)*(GJ48/SUMIF(GL:GL,"Yes",GJ:GJ)),0)</f>
        <v/>
      </c>
      <c r="GO48" s="1053">
        <f>MAX(0,GJ48-GN48)</f>
        <v/>
      </c>
      <c r="GP48" s="1053">
        <f>'Concentration Limits'!$J$68</f>
        <v/>
      </c>
      <c r="GQ48" s="1051">
        <f>IF(BU48="Yes","Yes", "No")</f>
        <v/>
      </c>
      <c r="GR48" s="1053">
        <f>IF(GQ48="Yes",SUMIF(GQ:GQ,"Yes",GO:GO),0)</f>
        <v/>
      </c>
      <c r="GS48" s="1053">
        <f>IF(GR48&gt;GP48,(GR48-GP48)*(GO48/SUMIF(GQ:GQ,"Yes",GO:GO)),0)</f>
        <v/>
      </c>
      <c r="GT48" s="1053">
        <f>MAX(0,GO48-GS48)</f>
        <v/>
      </c>
      <c r="GU48" s="1051">
        <f>'Concentration Limits'!$J$69</f>
        <v/>
      </c>
      <c r="GV48" s="1051">
        <f>IF(BW48="Yes", "Yes", "No")</f>
        <v/>
      </c>
      <c r="GW48" s="1051">
        <f>IF(GV48="Yes",SUMIF(GV:GV,"Yes",GT:GT),0)</f>
        <v/>
      </c>
      <c r="GX48" s="1051">
        <f>IF(GW48&gt;GU48,(GW48-GU48)*(GT48/SUMIF(GV:GV,"Yes",GT:GT)),0)</f>
        <v/>
      </c>
      <c r="GY48" s="1051">
        <f>MAX(0,GT48-GX48)</f>
        <v/>
      </c>
      <c r="GZ48" s="1051">
        <f>'Concentration Limits'!$J$70</f>
        <v/>
      </c>
      <c r="HA48" s="1051">
        <f>IF(BX48="Yes", "Yes", "No")</f>
        <v/>
      </c>
      <c r="HB48" s="1051">
        <f>IF(HA48="Yes",SUMIF(HA:HA,"Yes",GY:GY),0)</f>
        <v/>
      </c>
      <c r="HC48" s="1051">
        <f>IF(HB48&gt;GZ48,(HB48-GZ48)*(GY48/SUMIF(HA:HA,"Yes",GY:GY)),0)</f>
        <v/>
      </c>
      <c r="HD48" s="1051">
        <f>MAX(0,GY48-HC48)</f>
        <v/>
      </c>
      <c r="HE48" s="1053">
        <f>IF(AQ48=0,0,HD48*AQ48/(AQ48+AR48))</f>
        <v/>
      </c>
      <c r="HF48" s="1053">
        <f>IF(AR48=0,0,HD48*AR48/(AQ48+AR48))</f>
        <v/>
      </c>
      <c r="HG48" s="1053">
        <f>IF(AW48=0,0,HD48*AW48/(AW48+AX48))</f>
        <v/>
      </c>
      <c r="HH48" s="1053">
        <f>IF(AX48=0,0,HD48*AX48/(AX48+AW48))</f>
        <v/>
      </c>
      <c r="HI48" s="1053">
        <f>IF(BE48=0,0,#REF!*BE48/(BE48+BG48))</f>
        <v/>
      </c>
      <c r="HJ48" s="1053">
        <f>IF(BG48=0,0,#REF!*BG48/(BG48+BE48))</f>
        <v/>
      </c>
      <c r="HK48" s="1054">
        <f>IF(BF48=0,0,#REF!*BF48/(BF48+BH48))</f>
        <v/>
      </c>
      <c r="HL48" s="1053">
        <f>IF(BH48=0,0,#REF!*BH48/(BH48+BF48))</f>
        <v/>
      </c>
      <c r="HM48" s="1053">
        <f>IF(D48="Second Lien",HD48,0)</f>
        <v/>
      </c>
      <c r="HN48" s="1053">
        <f>SUM(HE48:HM48)=HD48</f>
        <v/>
      </c>
    </row>
    <row r="49" ht="12.75" customFormat="1" customHeight="1" s="469">
      <c r="A49" s="55">
        <f>A48+1</f>
        <v/>
      </c>
      <c r="B49" s="437">
        <f>INDEX('Loan Tape - Settled'!$B$4:$AP$55,MATCH($A49,'Loan Tape - Settled'!$E$4:$E$55,0),MATCH("Obligor Name",'Loan Tape - Settled'!$B$4:$AM$4,0))</f>
        <v/>
      </c>
      <c r="C49" s="437">
        <f>INDEX('Loan Tape - Settled'!$B$4:$AP$55,MATCH($A49,'Loan Tape - Settled'!$E$4:$E$55,0),MATCH("Security",'Loan Tape - Settled'!$B$4:$AM$4,0))</f>
        <v/>
      </c>
      <c r="D49" s="438">
        <f>INDEX('Loan Tape - Settled'!$B$4:$AP$55,MATCH($A49,'Loan Tape - Settled'!$E$4:$E$55,0),MATCH("Loan Type",'Loan Tape - Settled'!$B$4:$AM$4,0))</f>
        <v/>
      </c>
      <c r="E49" s="439">
        <f>IF(ISERROR(MATCH(D49,AGENT!$A$4:$A$10,0))=FALSE, TRUE)</f>
        <v/>
      </c>
      <c r="F49" s="439">
        <f>IF(AND(BZ49="no",CA49="no"),TRUE)</f>
        <v/>
      </c>
      <c r="G49" s="439">
        <f>IF(D49&lt;&gt;"Second Lien",TRUE, IF(CY49&gt;=AGENT!$B$4,TRUE))</f>
        <v/>
      </c>
      <c r="H49" s="439">
        <f>IF(DE49&lt;=AGENT!$D$4,TRUE)</f>
        <v/>
      </c>
      <c r="I49" s="439">
        <f>IF(VLOOKUP(CONCATENATE($A$5,A49),'Loan Tape - Settled'!$A$5:$Q$55,17,FALSE)&gt;=AGENT!$E$4,TRUE)</f>
        <v/>
      </c>
      <c r="J49" s="439">
        <f>IF(INDEX('Loan Tape - Settled'!$B$4:$AP$55,MATCH($A49,'Loan Tape - Settled'!$E$4:$E$55,0),MATCH("Loan Denomination",'Loan Tape - Settled'!$B$4:$AP$4,0))="USD", TRUE)</f>
        <v/>
      </c>
      <c r="K49" s="439">
        <f>IF(INDEX('Loan Tape - Settled'!$B$4:$AP$55,MATCH($A49,'Loan Tape - Settled'!$E$4:$E$55,0),MATCH("Exposure Country",'Loan Tape - Settled'!$B$4:$AP$4,0))="United States", TRUE)</f>
        <v/>
      </c>
      <c r="L49" s="439">
        <f>IF(BS49="NO",TRUE)</f>
        <v/>
      </c>
      <c r="M49" s="439">
        <f>IF(((BM49-BL49)/365)&lt;=AGENT!$F$4,TRUE)</f>
        <v/>
      </c>
      <c r="N49" s="439">
        <f>IF(DX49="Yes",FALSE,TRUE)</f>
        <v/>
      </c>
      <c r="O49" s="493" t="n"/>
      <c r="P49" s="764">
        <f>IF($B49="","",IF(OR(O49=TRUE,COUNTIFS($E49:$N49,TRUE)=10),"Yes","No"))</f>
        <v/>
      </c>
      <c r="Q49" s="730" t="inlineStr">
        <is>
          <t>Yes</t>
        </is>
      </c>
      <c r="R49" s="440">
        <f>IF(P49="Yes",B49,"N/A")</f>
        <v/>
      </c>
      <c r="S49" s="440" t="n"/>
      <c r="T49" s="441">
        <f t="array" ref="T49">_xlfn.IFS(D49="Second Lien",D49,D49="First Lien",CONCATENATE(D49," ",EI49),D49="FILO",CONCATENATE(D49," ",EJ49))</f>
        <v/>
      </c>
      <c r="U49" s="442">
        <f>VLOOKUP(T49,'Concentration Limits'!D:G,4,FALSE)</f>
        <v/>
      </c>
      <c r="V49" s="1020">
        <f>AQ49+AW49+BI49</f>
        <v/>
      </c>
      <c r="W49" s="1021">
        <f>(SUMIFS('Loan Tape - Settled'!$AR$4:$AR$55,'Loan Tape - Settled'!$E$4:$E$55,$A49,'Loan Tape - Settled'!$C$4:$C$55,$A$5))</f>
        <v/>
      </c>
      <c r="X49" s="1022" t="n">
        <v>1</v>
      </c>
      <c r="Y49" s="1023">
        <f>W49*X49</f>
        <v/>
      </c>
      <c r="Z49" s="1022">
        <f>(SUMIFS('Loan Tape - Settled'!$AQ$4:$AQ$55,'Loan Tape - Settled'!$E$4:$E$55,$A49,'Loan Tape - Settled'!$C$4:$C$55,$A$5))</f>
        <v/>
      </c>
      <c r="AA49" s="1023">
        <f>Z49*X49</f>
        <v/>
      </c>
      <c r="AB49" s="1023">
        <f>AA49-Y49</f>
        <v/>
      </c>
      <c r="AC49" s="490">
        <f>VLOOKUP(CONCATENATE($A$5,A49),'Loan Tape - Settled'!$A$5:$Q$55,17,FALSE)</f>
        <v/>
      </c>
      <c r="AD49" s="445" t="n"/>
      <c r="AE49" s="446">
        <f>INDEX('Loan Tape - Settled'!$B$4:$AP$55,MATCH($A49,'Loan Tape - Settled'!$E$4:$E$55,0),MATCH("FMV",'Loan Tape - Settled'!$B$4:$AM$4,0))</f>
        <v/>
      </c>
      <c r="AF49" s="446">
        <f t="array" ref="AF49">_xlfn.IFS(D49="First Lien",
_xlfn.IFS(AND(DL49&gt;0,DL49&lt;Tier_1_1L),Tier_1_ApplicableValue,
AND(DL49&gt;=Tier_1_1L,DL49&lt;Tier_2_1L),((Tier_1_1L/DL49)*Tier_1_ApplicableValue)+((DL49-Tier_1_1L)/DL49*Tier_2_ApplicableValue),
AND(DL49&gt;=Tier_2_1L, DL49&lt;Tier_3_1L),((Tier_1_1L/DL49)*Tier_1_ApplicableValue+(Tier_2_1L-Tier_1_1L)/DL49*Tier_2_ApplicableValue+(DL49-Tier_2_1L)/DL49*Tier_3_ApplicableValue),
AND(DL49&gt;=Tier_3_1L, DL49&lt;=Tier_totalzerovalue),((Tier_1_1L/DL49)*Tier_1_ApplicableValue+(Tier_2_1L-Tier_1_1L)/DL49*Tier_2_ApplicableValue+(Tier_3_1L-Tier_2_1L)/DL49*Tier_3_ApplicableValue+(DL49-Tier_partialzerovalue)/DL49*0%),
DL49&gt;Tier_totalzerovalue,0%),
OR(D49="Second Lien", D49="FILO"),
_xlfn.IFS(AND(DM49&gt;0,DM49&lt;Tier_1_2L),Tier_1_ApplicableValue,
AND(DM49&gt;=Tier_1_2L,DM49&lt;Tier_2_2L),((Tier_1_2L/DM49)*Tier_1_ApplicableValue)+((DM49-Tier_1_2L)/DM49*Tier_2_ApplicableValue),
AND(DM49&gt;=Tier_2_2L, DM49&lt;Tier_3_2L),((Tier_1_2L/DM49)*Tier_1_ApplicableValue+(Tier_2_2L-Tier_1_2L)/DM49*Tier_2_ApplicableValue+(DM49-Tier_2_2L)/DM49*Tier_3_ApplicableValue),
AND(DM49&gt;=Tier_3_2L, DM49&lt;=Tier_totalzerovalue),((Tier_1_2L/DM49)*Tier_1_ApplicableValue+(Tier_2_2L-Tier_1_2L)/DM49*Tier_2_ApplicableValue+(Tier_3_2L-Tier_2_2L)/DM49*Tier_3_ApplicableValue+(DM49-Tier_partialzerovalue)/DM49*0%),
DM49&gt;Tier_totalzerovalue,0%))</f>
        <v/>
      </c>
      <c r="AG49" s="447">
        <f>IF(COUNTIFS(VAE!$C$5:$C$96,B49,VAE!$G$5:$G$96,"&lt;="&amp;Availability!$F$8)&gt;=1,"Yes","-")</f>
        <v/>
      </c>
      <c r="AH49" s="447">
        <f t="array" ref="AH49">IFERROR(IF(AG49="Yes",INDEX(VAE!$D$5:$D$96,MATCH(B49&amp;AJ49,VAE!$C$5:$C$96&amp;VAE!$G$5:$G$96,0)),"-"),0)</f>
        <v/>
      </c>
      <c r="AI49" s="447">
        <f t="array" ref="AI49">IFERROR(IF(AG49="Yes",INDEX(VAE!$F$5:$F$96,MATCH(B49&amp;AJ49,VAE!$C$5:$C$96&amp;VAE!$G$5:$G$96,0)),"-"),0)</f>
        <v/>
      </c>
      <c r="AJ49" s="448">
        <f>IF(AG49="-","-",_xlfn.MAXIFS(VAE!$G$5:$G$96,VAE!$C$5:$C$96,$B49))</f>
        <v/>
      </c>
      <c r="AK49" s="449">
        <f t="array" ref="AK49">IFERROR(IF(AG49="Yes",INDEX(VAE!$P$5:$P$96,MATCH(B49&amp;AJ49,VAE!$C$5:$C$96&amp;VAE!$G$5:$G$96,0)),"-"),0)</f>
        <v/>
      </c>
      <c r="AL49" s="446">
        <f>IF($A49="","",IF(P49="No",0,(IF(AG49="Yes",MIN(AE49,AK49,AF49),MIN(AE49,AF49)))))</f>
        <v/>
      </c>
      <c r="AM49" s="1020" t="n"/>
      <c r="AN49" s="1020" t="n"/>
      <c r="AO49" s="1020">
        <f>IF(AND(D49="First Lien",P49="No"),0,IF(D49&lt;&gt;"First Lien",0,Y49))</f>
        <v/>
      </c>
      <c r="AP49" s="1020">
        <f>IF(AND(D49="First Lien",P49="No"),W49,0)</f>
        <v/>
      </c>
      <c r="AQ49" s="1020">
        <f>AL49*AO49</f>
        <v/>
      </c>
      <c r="AR49" s="1020" t="n"/>
      <c r="AS49" s="1020" t="n"/>
      <c r="AT49" s="1020" t="n"/>
      <c r="AU49" s="1020">
        <f>IF(AND(D49="FILO",P49="No"),0,IF(D49&lt;&gt;"FILO",0,Y49))</f>
        <v/>
      </c>
      <c r="AV49" s="1020">
        <f>IF(AND(D49="FILO",P49="No"),W49,0)</f>
        <v/>
      </c>
      <c r="AW49" s="1020">
        <f>AU49*AL49</f>
        <v/>
      </c>
      <c r="AX49" s="1020" t="n"/>
      <c r="AY49" s="1020" t="n"/>
      <c r="AZ49" s="1020" t="n"/>
      <c r="BA49" s="1020">
        <f>IF(AND(OR(D49="First Lien",D49="FILO"),P49="No"),0,IF(OR(D49="First Lien",D49="FILO"),0,(Y49)))</f>
        <v/>
      </c>
      <c r="BB49" s="1020" t="n"/>
      <c r="BC49" s="1020" t="n"/>
      <c r="BD49" s="1020">
        <f>IF(AND(D49="Second Lien",P49="No"),W49,0)</f>
        <v/>
      </c>
      <c r="BE49" s="1020" t="n"/>
      <c r="BF49" s="1020" t="n"/>
      <c r="BG49" s="1020" t="n"/>
      <c r="BH49" s="1020" t="n"/>
      <c r="BI49" s="1020">
        <f>IF(D49="Second Lien",BA49*AL49,0)</f>
        <v/>
      </c>
      <c r="BJ49" s="1020">
        <f>SUM(AM49:AP49)+SUM(AZ49:BD49)+SUM(AS49:AV49)=Y49</f>
        <v/>
      </c>
      <c r="BK49" s="1026">
        <f>INDEX('Loan Tape - Settled'!$B$4:$AP$55,MATCH($A49,'Loan Tape - Settled'!$E$4:$E$55,0),MATCH("Inception Date",'Loan Tape - Settled'!$B$4:$AP$4,0))</f>
        <v/>
      </c>
      <c r="BL49" s="1026">
        <f>INDEX('Loan Tape - Settled'!$B$4:$AP$55,MATCH($A49,'Loan Tape - Settled'!$E$4:$E$55,0),MATCH("Inclusion Date",'Loan Tape - Settled'!$B$4:$AP$4,0))</f>
        <v/>
      </c>
      <c r="BM49" s="1026">
        <f>INDEX('Loan Tape - Settled'!$B$4:$AP$55,MATCH($A49,'Loan Tape - Settled'!$E$4:$E$55,0),MATCH("Maturity Date",'Loan Tape - Settled'!$B$4:$AP$4,0))</f>
        <v/>
      </c>
      <c r="BN49" s="556" t="n"/>
      <c r="BO49" s="556" t="n"/>
      <c r="BP49" s="1055" t="n"/>
      <c r="BQ49" s="556" t="n"/>
      <c r="BR49" s="554">
        <f>INDEX('Loan Tape - Settled'!$B$4:$AP$55,MATCH($A49,'Loan Tape - Settled'!$E$4:$E$55,0),MATCH("Industry Classification",'Loan Tape - Settled'!$B$4:$AP$4,0))</f>
        <v/>
      </c>
      <c r="BS49" s="556">
        <f>IF(INDEX('Loan Tape - Settled'!$B$4:$AP$55,MATCH($A49,'Loan Tape - Settled'!$E$4:$E$55,0),MATCH("Covenant Lite",'Loan Tape - Settled'!$B$4:$AP$4,0))=-1, "Yes", "No")</f>
        <v/>
      </c>
      <c r="BT49" s="1056">
        <f>INDEX('Loan Tape - Settled'!$B$4:$AP$55,MATCH($A49,'Loan Tape - Settled'!$E$4:$E$55,0),MATCH("Spread / Coupon (%)",'Loan Tape - Settled'!$B$4:$AP$4,0))</f>
        <v/>
      </c>
      <c r="BU49" s="556">
        <f>IF(INDEX('Loan Tape - Settled'!$B$4:$AP$55,MATCH($A49,'Loan Tape - Settled'!$E$4:$E$55,0),MATCH("Security Type",'Loan Tape - Settled'!$B$4:$AP$4,0))="Delayed Draw Term Loan", "Yes", "No")</f>
        <v/>
      </c>
      <c r="BV49" s="557" t="inlineStr">
        <is>
          <t>No</t>
        </is>
      </c>
      <c r="BW49" s="557" t="inlineStr">
        <is>
          <t>No</t>
        </is>
      </c>
      <c r="BX49" s="548" t="inlineStr">
        <is>
          <t>No</t>
        </is>
      </c>
      <c r="BY49" s="556">
        <f>IF(INDEX('Loan Tape - Settled'!$B$4:$AP$55,MATCH($A49,'Loan Tape - Settled'!$E$4:$E$55,0),MATCH("Fixed/Floating",'Loan Tape - Settled'!$B$4:$AP$4,0))="Fixed", "Yes", "No")</f>
        <v/>
      </c>
      <c r="BZ49" s="557" t="inlineStr">
        <is>
          <t>No</t>
        </is>
      </c>
      <c r="CA49" s="557" t="inlineStr">
        <is>
          <t>No</t>
        </is>
      </c>
      <c r="CB49" s="556">
        <f>IF(INDEX('Loan Tape - Settled'!$B$4:$AP$55,MATCH($A49,'Loan Tape - Settled'!$E$4:$E$55,0),MATCH("Loan Denomination",'Loan Tape - Settled'!$B$4:$AP$4,0))="CAD", "Yes", "No")</f>
        <v/>
      </c>
      <c r="CC49" s="556">
        <f>INDEX('Loan Tape - Settled'!$B$4:$AP$55,MATCH($A49,'Loan Tape - Settled'!$E$4:$E$55,0),MATCH("Payment Frequency",'Loan Tape - Settled'!$B$4:$AP$4,0))</f>
        <v/>
      </c>
      <c r="CD49" s="557" t="inlineStr">
        <is>
          <t>No</t>
        </is>
      </c>
      <c r="CE49" s="556">
        <f>INDEX('Loan Tape - Settled'!$B$4:$AP$55,MATCH($A49,'Loan Tape - Settled'!$E$4:$E$55,0),MATCH("S&amp;P Loan Rating (if applicable)",'Loan Tape - Settled'!$B$4:$AP$4,0))</f>
        <v/>
      </c>
      <c r="CF49" s="556">
        <f>INDEX('Loan Tape - Settled'!$B$4:$AP$55,MATCH($A49,'Loan Tape - Settled'!$E$4:$E$55,0),MATCH("Moody's Loan Rating (if applicable)",'Loan Tape - Settled'!$B$4:$AP$4,0))</f>
        <v/>
      </c>
      <c r="CG49" s="556" t="n"/>
      <c r="CH49" s="556" t="n"/>
      <c r="CI49" s="1057" t="n"/>
      <c r="CJ49" s="1030">
        <f>INDEX('Loan Tape - Settled'!$B$4:$BF$55,MATCH($A49,'Loan Tape - Settled'!$E$4:$E$55,0),MATCH("Last Financial Received",'Loan Tape - Settled'!$B$4:$BF$4,0))</f>
        <v/>
      </c>
      <c r="CK49" s="559">
        <f>INDEX('Loan Tape - Settled'!$B$4:$BJ$55,MATCH($A49,'Loan Tape - Settled'!$E$4:$E$55,0),MATCH("Initial Adjusted TTM EBITDA",'Loan Tape - Settled'!$B$4:$BJ$4,0))</f>
        <v/>
      </c>
      <c r="CL49" s="559">
        <f>INDEX('Loan Tape - Settled'!$B$4:$BJ$55,MATCH($A49,'Loan Tape - Settled'!$E$4:$E$55,0),MATCH("Initial TTM Non-adjusted EBITDA",'Loan Tape - Settled'!$B$4:$BJ$4,0))</f>
        <v/>
      </c>
      <c r="CM49" s="1031" t="n"/>
      <c r="CN49" s="451" t="n"/>
      <c r="CO49" s="451" t="n"/>
      <c r="CP49" s="1032" t="n"/>
      <c r="CQ49" s="1033" t="inlineStr">
        <is>
          <t>N</t>
        </is>
      </c>
      <c r="CR49" s="1032" t="n"/>
      <c r="CS49" s="454">
        <f>CK49-CP49+CR49</f>
        <v/>
      </c>
      <c r="CT49" s="455">
        <f>1-CS49/CK49</f>
        <v/>
      </c>
      <c r="CU49" s="559">
        <f>INDEX('Loan Tape - Settled'!$B$4:$BJ$55,MATCH($A49,'Loan Tape - Settled'!$E$4:$E$55,0),MATCH("Current TTM Non-adjusted EBITDA",'Loan Tape - Settled'!$B$4:$BJ$4,0))</f>
        <v/>
      </c>
      <c r="CV49" s="456">
        <f>CT49</f>
        <v/>
      </c>
      <c r="CW49" s="1034" t="inlineStr">
        <is>
          <t>N</t>
        </is>
      </c>
      <c r="CX49" s="1035" t="n"/>
      <c r="CY49" s="1036">
        <f>IF(CW49="N",(1-CV49)*CU49,(1-CX49)*CU49)</f>
        <v/>
      </c>
      <c r="CZ49" s="1037" t="n"/>
      <c r="DA49" s="1038" t="n"/>
      <c r="DB49" s="1039" t="n"/>
      <c r="DC49" s="1040" t="n"/>
      <c r="DD49" s="1040">
        <f>INDEX('Loan Tape - Settled'!$B$4:$BJ$55,MATCH($A49,'Loan Tape - Settled'!$E$4:$E$55,0),MATCH("Initial Senior Net Leverage Senior",'Loan Tape - Settled'!$B$4:$BJ$4,0))</f>
        <v/>
      </c>
      <c r="DE49" s="1041">
        <f>INDEX('Loan Tape - Settled'!$B$4:$BJ$55,MATCH($A49,'Loan Tape - Settled'!$E$4:$E$55,0),MATCH("Initial Total Net Leverage",'Loan Tape - Settled'!$B$4:$BJ$4,0))</f>
        <v/>
      </c>
      <c r="DF49" s="1037" t="n"/>
      <c r="DG49" s="1038" t="n"/>
      <c r="DH49" s="1039" t="n"/>
      <c r="DI49" s="1042">
        <f>INDEX('Loan Tape - Settled'!$B$4:$BJ$55,MATCH($A49,'Loan Tape - Settled'!$E$4:$E$55,0),MATCH("Net Attachment",'Loan Tape - Settled'!$B$4:$BJ$4,0))</f>
        <v/>
      </c>
      <c r="DJ49" s="566">
        <f t="array" ref="DJ49">IF(AG49="Yes",INDEX(VAE!$M$5:$M$53,MATCH($B49&amp;$AJ49,VAE!$C$5:$C$53&amp;VAE!$G$5:$G$53,0)),DD49)</f>
        <v/>
      </c>
      <c r="DK49" s="697">
        <f t="array" ref="DK49">IF(AG49="Yes",INDEX(VAE!$N$5:$N$53,MATCH($B49&amp;$AJ49,VAE!$C$5:$C$53&amp;VAE!$G$5:$G$53,0)),DE49)</f>
        <v/>
      </c>
      <c r="DL49" s="1058">
        <f>INDEX('Loan Tape - Settled'!$B$4:$BJ$55,MATCH($A49,'Loan Tape - Settled'!$E$4:$E$55,0),MATCH("Current Senior Net Leverage Senior",'Loan Tape - Settled'!$B$4:$BJ$4,0))</f>
        <v/>
      </c>
      <c r="DM49" s="1059">
        <f>INDEX('Loan Tape - Settled'!$B$4:$BJ$55,MATCH($A49,'Loan Tape - Settled'!$E$4:$E$55,0),MATCH("Current Total Net Leverage",'Loan Tape - Settled'!$B$4:$BJ$4,0))</f>
        <v/>
      </c>
      <c r="DN49" s="1044" t="n"/>
      <c r="DO49" s="1045">
        <f>INDEX('Loan Tape - Settled'!$B$4:$BJ$55,MATCH($A49,'Loan Tape - Settled'!$E$4:$E$55,0),MATCH("Initial Interest Coverage",'Loan Tape - Settled'!$B$4:$BJ$4,0))</f>
        <v/>
      </c>
      <c r="DP49" s="565">
        <f t="array" ref="DP49">IF(AG49="Yes",INDEX(VAE!$O$5:$O$53,MATCH($B49&amp;$AJ49,VAE!$C$5:$C$53&amp;VAE!$G$5:$G$53,0)),DO49)</f>
        <v/>
      </c>
      <c r="DQ49" s="1046">
        <f>INDEX('Loan Tape - Settled'!$B$4:$BJ$55,MATCH($A49,'Loan Tape - Settled'!$E$4:$E$55,0),MATCH("Current Interest Coverage",'Loan Tape - Settled'!$B$4:$BJ$4,0))</f>
        <v/>
      </c>
      <c r="DR49" s="462">
        <f>IF(OR(DU49="Yes",DU49="N/A",DV49="Yes",DV49="N/A",DW49="Yes",DX49="Yes",DY49="Yes",EF49="Yes",EG49="Yes",EH49="Yes"),"Yes","No")</f>
        <v/>
      </c>
      <c r="DS49" s="1047">
        <f>IF(AG49="Yes",DATEDIF(AJ49,Availability!$F$8,"m"),"")</f>
        <v/>
      </c>
      <c r="DT49" s="1047">
        <f>IF(DS49="","No",IF(DS49&gt;12,"Yes","No"))</f>
        <v/>
      </c>
      <c r="DU49" s="695">
        <f>IFERROR(IF(AND(DQ49/DP49&lt;0.75,DQ49&lt;1.5),"Yes","No"),"N/A")</f>
        <v/>
      </c>
      <c r="DV49" s="696">
        <f>IFERROR(IF(OR(D49="First Lien",D49="FILO"),IF(AND((DL49-DJ49)&gt;0.75,DL49&gt;4),"Yes","No"),"No"),"N/A")</f>
        <v/>
      </c>
      <c r="DW49" s="696">
        <f t="array" ref="DW49">_xlfn.IFS(D49&lt;&gt;"Second Lien","No",D49="Second Lien",IF(AND((DM49-DK49)&gt;0.5,DM49&gt;4.5),"Yes","No"))</f>
        <v/>
      </c>
      <c r="DX49" s="735" t="inlineStr">
        <is>
          <t>No</t>
        </is>
      </c>
      <c r="DY49" s="735" t="inlineStr">
        <is>
          <t>No</t>
        </is>
      </c>
      <c r="DZ49" s="1048" t="inlineStr">
        <is>
          <t>No</t>
        </is>
      </c>
      <c r="EA49" s="1048" t="inlineStr">
        <is>
          <t>No</t>
        </is>
      </c>
      <c r="EB49" s="1048" t="inlineStr">
        <is>
          <t>No</t>
        </is>
      </c>
      <c r="EC49" s="1048" t="inlineStr">
        <is>
          <t>No</t>
        </is>
      </c>
      <c r="ED49" s="1048" t="inlineStr">
        <is>
          <t>No</t>
        </is>
      </c>
      <c r="EE49" s="1048" t="inlineStr">
        <is>
          <t>No</t>
        </is>
      </c>
      <c r="EF49" s="442">
        <f>IF(OR(DZ49="Yes",EA49="Yes",EB49="Yes",EC49="Yes",ED49="Yes",EE49="Yes"),"Yes","No")</f>
        <v/>
      </c>
      <c r="EG49" s="1048" t="inlineStr">
        <is>
          <t>No</t>
        </is>
      </c>
      <c r="EH49" s="1049" t="inlineStr">
        <is>
          <t>No</t>
        </is>
      </c>
      <c r="EI49" s="1050">
        <f t="array" ref="EI49">IF(D49="First Lien",_xlfn.IFS(CY49&gt;AGENT!$B$23, "&gt; $20MM",CY49&lt;=AGENT!$C$25, "&lt;= $10MM",AND(CY49&lt;=AGENT!$C$24,CY49&gt;AGENT!$B$24),"&lt;= $20MM"), "N/A")</f>
        <v/>
      </c>
      <c r="EJ49" s="1050">
        <f t="array" ref="EJ49">IF(D49="FILO",_xlfn.IFS(DI49&gt;AGENT!$B$29, "&gt; 1.25x",DI49&lt;AGENT!$C$27, "&lt; 0.75x",AND(DI49&lt;=AGENT!$C$28,DI49&gt;=AGENT!$B$28),"&lt;= 1.25x"), "N/A")</f>
        <v/>
      </c>
      <c r="EK49" s="1051">
        <f>V49</f>
        <v/>
      </c>
      <c r="EL49" s="1051">
        <f>'Concentration Limits'!$J$49</f>
        <v/>
      </c>
      <c r="EM49" s="1051">
        <f>IF(OR(D49="Second Lien",AND(D49="FILO",DI49&gt;AGENT!$C$57)), "Yes", "No")</f>
        <v/>
      </c>
      <c r="EN49" s="1051">
        <f>IF(EM49="Yes",SUMIF(EM:EM,"Yes",EK:EK),0)</f>
        <v/>
      </c>
      <c r="EO49" s="1051">
        <f>IF(EN49&gt;EL49,(EN49-EL49)*(EK49/SUMIF(EM:EM,"Yes",EK:EK)),0)</f>
        <v/>
      </c>
      <c r="EP49" s="1051">
        <f>MAX(0,EK49-EO49)</f>
        <v/>
      </c>
      <c r="EQ49" s="1051">
        <f>'Concentration Limits'!$J$50</f>
        <v/>
      </c>
      <c r="ER49" s="1051">
        <f>IF(D49="Second Lien",SUMIF(D:D,D49,EP:EP),0)</f>
        <v/>
      </c>
      <c r="ES49" s="1051">
        <f>MAX(0,(ER49-EQ49)*IFERROR((EP49/SUMIF($D:$D,D49,EP:EP )),0) )</f>
        <v/>
      </c>
      <c r="ET49" s="1051">
        <f>MAX(0,EP49-ES49)</f>
        <v/>
      </c>
      <c r="EU49" s="1051">
        <f>'Concentration Limits'!$J$51</f>
        <v/>
      </c>
      <c r="EV49" s="1051">
        <f>IF(OR(D49="Second Lien", AND(D49="FILO",DI49&gt;AGENT!$C$59)), "Yes", "No")</f>
        <v/>
      </c>
      <c r="EW49" s="1051">
        <f>IF(EV49="Yes",SUMIF(EV:EV,"Yes",ET:ET),0)</f>
        <v/>
      </c>
      <c r="EX49" s="1051">
        <f>IF(EW49&gt;EU49,(EW49-EU49)*(ET49/SUMIF(EV:EV,"Yes",ET:ET)),0)</f>
        <v/>
      </c>
      <c r="EY49" s="1051">
        <f>MAX(0,ET49-EX49)</f>
        <v/>
      </c>
      <c r="EZ49" s="1051">
        <f>'Concentration Limits'!$J$52</f>
        <v/>
      </c>
      <c r="FA49" s="1051">
        <f>IF(CY49&gt;'Concentration Limits'!$E$52, "No", "Yes")</f>
        <v/>
      </c>
      <c r="FB49" s="1051">
        <f>IF(FA49="Yes",SUMIF(FA:FA,"Yes",EY:EY),0)</f>
        <v/>
      </c>
      <c r="FC49" s="1051">
        <f>IF(FB49&gt;EZ49,(FB49-EZ49)*(EY49/SUMIF(FA:FA,"Yes",EY:EY)),0)</f>
        <v/>
      </c>
      <c r="FD49" s="1051">
        <f>MAX(0,EY49-FC49)</f>
        <v/>
      </c>
      <c r="FE49" s="1052">
        <f>'Concentration Limits'!$J$54</f>
        <v/>
      </c>
      <c r="FF49" s="1052">
        <f>'Concentration Limits'!$J$55</f>
        <v/>
      </c>
      <c r="FG49" s="1052">
        <f>'Concentration Limits'!$J$56</f>
        <v/>
      </c>
      <c r="FH49" s="1053">
        <f>'Concentration Limits'!$J$57</f>
        <v/>
      </c>
      <c r="FI49" s="1053">
        <f>SUMIF($B:$B,$B49,$FD:$FD)</f>
        <v/>
      </c>
      <c r="FJ49" s="1053">
        <f>IF(MATCH($B49,$B:$B,0)=ROW(),$FI49,0)</f>
        <v/>
      </c>
      <c r="FK49" s="1053">
        <f>INDEX(FL$8:FL$60,MATCH(B49,B$8:B$60,0))</f>
        <v/>
      </c>
      <c r="FL49" s="1053">
        <f>IF(FJ49&gt;0,RANK(FJ49,$FJ$9:$FJ$60)+COUNTIF($FJ$9:FJ49,FJ49)-1,0)</f>
        <v/>
      </c>
      <c r="FM49" s="1052">
        <f>IF(FK49=1,IF(FI49&gt;FE49,(FI49-FE49)*(V49/SUMIF($B:$B,B49,$FD:$FD)),0),0)</f>
        <v/>
      </c>
      <c r="FN49" s="1052">
        <f>IF(FK49=2,IF(FI49&gt;FF49,(FI49-FF49)*(V49/SUMIF($B:$B,B49,$FD:$FD)),0),0)</f>
        <v/>
      </c>
      <c r="FO49" s="1052">
        <f>IF(FK49=3,IF(FI49&gt;FG49,(FI49-FG49)*(V49/SUMIF($B:$B,B49,$FD:$FD)),0),0)</f>
        <v/>
      </c>
      <c r="FP49" s="1053">
        <f>IF(FK49&gt;0,IF(FI49&gt;FH49,(FI49-FH49)*(FD49/(SUMIF($B:$B,$B49,$FD:$FD))),0),0)</f>
        <v/>
      </c>
      <c r="FQ49" s="1053">
        <f>MAX(0,FD49-FM49-FN49-FO49-FP49)</f>
        <v/>
      </c>
      <c r="FR49" s="1053">
        <f>'Concentration Limits'!$J$58</f>
        <v/>
      </c>
      <c r="FS49" s="1053">
        <f>SUMIF($BR:$BR,$BR49,FQ:FQ)</f>
        <v/>
      </c>
      <c r="FT49" s="1053">
        <f>VLOOKUP(BR49,'Concentration Limits'!$E$81:$H$153,4,FALSE)</f>
        <v/>
      </c>
      <c r="FU49" s="1053">
        <f>IF(FT49=1,MAX(0,(FS49-FR49)*(FQ49/SUMIF($BR:$BR,BR49,FQ:FQ))),0)</f>
        <v/>
      </c>
      <c r="FV49" s="1053">
        <f>MAX(0,FQ49-FU49)</f>
        <v/>
      </c>
      <c r="FW49" s="1053">
        <f>'Concentration Limits'!$J$59</f>
        <v/>
      </c>
      <c r="FX49" s="1053">
        <f>SUMIF($BR:$BR,$BR49,FV:FV)</f>
        <v/>
      </c>
      <c r="FY49" s="1053">
        <f>VLOOKUP(BR49,'Concentration Limits'!$E$81:$H$153,4,FALSE)</f>
        <v/>
      </c>
      <c r="FZ49" s="1053">
        <f>MAX(0,IF(FY49=2,(FX49-FW49)*(FV49/SUMIF($BR:$BR,BR49,FV:FV)),0))</f>
        <v/>
      </c>
      <c r="GA49" s="1053">
        <f>MAX(0,FV49-FZ49)</f>
        <v/>
      </c>
      <c r="GB49" s="1053">
        <f>'Concentration Limits'!$J$61</f>
        <v/>
      </c>
      <c r="GC49" s="1053">
        <f>SUMIF($BR:$BR,$BR49,GA:GA)</f>
        <v/>
      </c>
      <c r="GD49" s="1051">
        <f>VLOOKUP(BR49,'Concentration Limits'!$E$81:$H$153,4,FALSE)</f>
        <v/>
      </c>
      <c r="GE49" s="1053">
        <f>IF(GA49=0,0,MAX(0,IF(GD49&lt;3,0,(GC49-GB49)*($GA49/SUMIF($BR:$BR,BR49,GA:GA)))))</f>
        <v/>
      </c>
      <c r="GF49" s="1053">
        <f>MAX(0,GA49-GE49)</f>
        <v/>
      </c>
      <c r="GG49" s="1053">
        <f>'Concentration Limits'!$J$64</f>
        <v/>
      </c>
      <c r="GH49" s="1053">
        <f>IF(BY49="Yes",SUMIF(BY:BY,BY49,GF:GF),0)</f>
        <v/>
      </c>
      <c r="GI49" s="1053">
        <f>IFERROR(MAX(0,(GH49-GG49)*(GF49/SUMIF($T:$T,T49,GF:GF ))),0)</f>
        <v/>
      </c>
      <c r="GJ49" s="1053">
        <f>MAX(0,GF49-GI49)</f>
        <v/>
      </c>
      <c r="GK49" s="1053">
        <f>'Concentration Limits'!$J$67</f>
        <v/>
      </c>
      <c r="GL49" s="1051">
        <f>IF(OR(BV49="Yes",OR(ISNUMBER(SEARCH("Travel",BR49)),ISNUMBER(SEARCH("Energy",BR49)),ISNUMBER(SEARCH("Leisure",BR49)),ISNUMBER(SEARCH("hotel",BR49)))),"Yes","No")</f>
        <v/>
      </c>
      <c r="GM49" s="1053">
        <f>IF(GL49="Yes",SUMIF(GL:GL,"Yes",GJ:GJ),0)</f>
        <v/>
      </c>
      <c r="GN49" s="1053">
        <f>IF(GM49&gt;GK49,(GM49-GK49)*(GJ49/SUMIF(GL:GL,"Yes",GJ:GJ)),0)</f>
        <v/>
      </c>
      <c r="GO49" s="1053">
        <f>MAX(0,GJ49-GN49)</f>
        <v/>
      </c>
      <c r="GP49" s="1053">
        <f>'Concentration Limits'!$J$68</f>
        <v/>
      </c>
      <c r="GQ49" s="1051">
        <f>IF(BU49="Yes","Yes", "No")</f>
        <v/>
      </c>
      <c r="GR49" s="1053">
        <f>IF(GQ49="Yes",SUMIF(GQ:GQ,"Yes",GO:GO),0)</f>
        <v/>
      </c>
      <c r="GS49" s="1053">
        <f>IF(GR49&gt;GP49,(GR49-GP49)*(GO49/SUMIF(GQ:GQ,"Yes",GO:GO)),0)</f>
        <v/>
      </c>
      <c r="GT49" s="1053">
        <f>MAX(0,GO49-GS49)</f>
        <v/>
      </c>
      <c r="GU49" s="1051">
        <f>'Concentration Limits'!$J$69</f>
        <v/>
      </c>
      <c r="GV49" s="1051">
        <f>IF(BW49="Yes", "Yes", "No")</f>
        <v/>
      </c>
      <c r="GW49" s="1051">
        <f>IF(GV49="Yes",SUMIF(GV:GV,"Yes",GT:GT),0)</f>
        <v/>
      </c>
      <c r="GX49" s="1051">
        <f>IF(GW49&gt;GU49,(GW49-GU49)*(GT49/SUMIF(GV:GV,"Yes",GT:GT)),0)</f>
        <v/>
      </c>
      <c r="GY49" s="1051">
        <f>MAX(0,GT49-GX49)</f>
        <v/>
      </c>
      <c r="GZ49" s="1051">
        <f>'Concentration Limits'!$J$70</f>
        <v/>
      </c>
      <c r="HA49" s="1051">
        <f>IF(BX49="Yes", "Yes", "No")</f>
        <v/>
      </c>
      <c r="HB49" s="1051">
        <f>IF(HA49="Yes",SUMIF(HA:HA,"Yes",GY:GY),0)</f>
        <v/>
      </c>
      <c r="HC49" s="1051">
        <f>IF(HB49&gt;GZ49,(HB49-GZ49)*(GY49/SUMIF(HA:HA,"Yes",GY:GY)),0)</f>
        <v/>
      </c>
      <c r="HD49" s="1051">
        <f>MAX(0,GY49-HC49)</f>
        <v/>
      </c>
      <c r="HE49" s="1053">
        <f>IF(AQ49=0,0,HD49*AQ49/(AQ49+AR49))</f>
        <v/>
      </c>
      <c r="HF49" s="1053">
        <f>IF(AR49=0,0,HD49*AR49/(AQ49+AR49))</f>
        <v/>
      </c>
      <c r="HG49" s="1053">
        <f>IF(AW49=0,0,HD49*AW49/(AW49+AX49))</f>
        <v/>
      </c>
      <c r="HH49" s="1053">
        <f>IF(AX49=0,0,HD49*AX49/(AX49+AW49))</f>
        <v/>
      </c>
      <c r="HI49" s="1053">
        <f>IF(BE49=0,0,#REF!*BE49/(BE49+BG49))</f>
        <v/>
      </c>
      <c r="HJ49" s="1053">
        <f>IF(BG49=0,0,#REF!*BG49/(BG49+BE49))</f>
        <v/>
      </c>
      <c r="HK49" s="1054">
        <f>IF(BF49=0,0,#REF!*BF49/(BF49+BH49))</f>
        <v/>
      </c>
      <c r="HL49" s="1053">
        <f>IF(BH49=0,0,#REF!*BH49/(BH49+BF49))</f>
        <v/>
      </c>
      <c r="HM49" s="1053">
        <f>IF(D49="Second Lien",HD49,0)</f>
        <v/>
      </c>
      <c r="HN49" s="1053">
        <f>SUM(HE49:HM49)=HD49</f>
        <v/>
      </c>
    </row>
    <row r="50" ht="12.75" customFormat="1" customHeight="1" s="469">
      <c r="A50" s="318" t="n"/>
      <c r="B50" s="437" t="n"/>
      <c r="C50" s="437" t="n"/>
      <c r="D50" s="438" t="n"/>
      <c r="E50" s="439" t="n"/>
      <c r="F50" s="439" t="n"/>
      <c r="G50" s="439" t="n"/>
      <c r="H50" s="439" t="n"/>
      <c r="I50" s="439" t="n"/>
      <c r="J50" s="439" t="n"/>
      <c r="K50" s="439" t="n"/>
      <c r="L50" s="439" t="n"/>
      <c r="M50" s="439" t="n"/>
      <c r="N50" s="439" t="n"/>
      <c r="O50" s="493" t="n"/>
      <c r="P50" s="764" t="n"/>
      <c r="Q50" s="730" t="n"/>
      <c r="R50" s="440" t="n"/>
      <c r="S50" s="440" t="n"/>
      <c r="T50" s="441" t="n"/>
      <c r="U50" s="442" t="n"/>
      <c r="V50" s="1020" t="n"/>
      <c r="W50" s="1021" t="n"/>
      <c r="X50" s="1022" t="n"/>
      <c r="Y50" s="1023" t="n"/>
      <c r="Z50" s="1022" t="n"/>
      <c r="AA50" s="1023" t="n"/>
      <c r="AB50" s="1023" t="n"/>
      <c r="AC50" s="490" t="n"/>
      <c r="AD50" s="445" t="n"/>
      <c r="AE50" s="446" t="n"/>
      <c r="AF50" s="446" t="n"/>
      <c r="AG50" s="447" t="n"/>
      <c r="AH50" s="447" t="n"/>
      <c r="AI50" s="447" t="n"/>
      <c r="AJ50" s="448" t="n"/>
      <c r="AK50" s="449" t="n"/>
      <c r="AL50" s="446" t="n"/>
      <c r="AM50" s="1020" t="n"/>
      <c r="AN50" s="1020" t="n"/>
      <c r="AO50" s="1020" t="n"/>
      <c r="AP50" s="1020" t="n"/>
      <c r="AQ50" s="1020" t="n"/>
      <c r="AR50" s="1020" t="n"/>
      <c r="AS50" s="1020" t="n"/>
      <c r="AT50" s="1020" t="n"/>
      <c r="AU50" s="1020" t="n"/>
      <c r="AV50" s="1020" t="n"/>
      <c r="AW50" s="1020" t="n"/>
      <c r="AX50" s="1020" t="n"/>
      <c r="AY50" s="1020" t="n"/>
      <c r="AZ50" s="1020" t="n"/>
      <c r="BA50" s="1020" t="n"/>
      <c r="BB50" s="1020" t="n"/>
      <c r="BC50" s="1020" t="n"/>
      <c r="BD50" s="1020" t="n"/>
      <c r="BE50" s="1020" t="n"/>
      <c r="BF50" s="1020" t="n"/>
      <c r="BG50" s="1020" t="n"/>
      <c r="BH50" s="1020" t="n"/>
      <c r="BI50" s="1020" t="n"/>
      <c r="BJ50" s="1020" t="n"/>
      <c r="BK50" s="1026" t="n"/>
      <c r="BL50" s="1026" t="n"/>
      <c r="BM50" s="1026" t="n"/>
      <c r="BN50" s="556" t="n"/>
      <c r="BO50" s="556" t="n"/>
      <c r="BP50" s="1055" t="n"/>
      <c r="BQ50" s="556" t="n"/>
      <c r="BR50" s="554" t="n"/>
      <c r="BS50" s="556" t="n"/>
      <c r="BT50" s="1056" t="n"/>
      <c r="BU50" s="556" t="n"/>
      <c r="BV50" s="557" t="n"/>
      <c r="BW50" s="557" t="n"/>
      <c r="BX50" s="548" t="n"/>
      <c r="BY50" s="556" t="n"/>
      <c r="BZ50" s="557" t="n"/>
      <c r="CA50" s="557" t="n"/>
      <c r="CB50" s="556" t="n"/>
      <c r="CC50" s="556" t="n"/>
      <c r="CD50" s="557" t="n"/>
      <c r="CE50" s="556" t="n"/>
      <c r="CF50" s="556" t="n"/>
      <c r="CG50" s="556" t="n"/>
      <c r="CH50" s="556" t="n"/>
      <c r="CI50" s="1057" t="n"/>
      <c r="CJ50" s="1030" t="n"/>
      <c r="CK50" s="559" t="n"/>
      <c r="CL50" s="559" t="n"/>
      <c r="CM50" s="1031" t="n"/>
      <c r="CN50" s="451" t="n"/>
      <c r="CO50" s="451" t="n"/>
      <c r="CP50" s="1032" t="n"/>
      <c r="CQ50" s="1033" t="n"/>
      <c r="CR50" s="1032" t="n"/>
      <c r="CS50" s="454" t="n"/>
      <c r="CT50" s="455" t="n"/>
      <c r="CU50" s="559" t="n"/>
      <c r="CV50" s="456" t="n"/>
      <c r="CW50" s="1034" t="n"/>
      <c r="CX50" s="1035" t="n"/>
      <c r="CY50" s="1036" t="n"/>
      <c r="CZ50" s="1037" t="n"/>
      <c r="DA50" s="1038" t="n"/>
      <c r="DB50" s="1039" t="n"/>
      <c r="DC50" s="1040" t="n"/>
      <c r="DD50" s="1040" t="n"/>
      <c r="DE50" s="1041" t="n"/>
      <c r="DF50" s="1037" t="n"/>
      <c r="DG50" s="1038" t="n"/>
      <c r="DH50" s="1039" t="n"/>
      <c r="DI50" s="1042" t="n"/>
      <c r="DJ50" s="566" t="n"/>
      <c r="DK50" s="697" t="n"/>
      <c r="DL50" s="1058" t="n"/>
      <c r="DM50" s="1059" t="n"/>
      <c r="DN50" s="1044" t="n"/>
      <c r="DO50" s="1045" t="n"/>
      <c r="DP50" s="565" t="n"/>
      <c r="DQ50" s="1046" t="n"/>
      <c r="DR50" s="462" t="n"/>
      <c r="DS50" s="1047" t="n"/>
      <c r="DT50" s="1047" t="n"/>
      <c r="DU50" s="695" t="n"/>
      <c r="DV50" s="696" t="n"/>
      <c r="DW50" s="696" t="n"/>
      <c r="DX50" s="735" t="n"/>
      <c r="DY50" s="735" t="n"/>
      <c r="DZ50" s="1048" t="n"/>
      <c r="EA50" s="1048" t="n"/>
      <c r="EB50" s="1048" t="n"/>
      <c r="EC50" s="1048" t="n"/>
      <c r="ED50" s="1048" t="n"/>
      <c r="EE50" s="1048" t="n"/>
      <c r="EF50" s="442" t="n"/>
      <c r="EG50" s="1048" t="n"/>
      <c r="EH50" s="1049" t="n"/>
      <c r="EI50" s="1050" t="n"/>
      <c r="EJ50" s="1050" t="n"/>
      <c r="EK50" s="1051" t="n"/>
      <c r="EL50" s="1051" t="n"/>
      <c r="EM50" s="1051" t="n"/>
      <c r="EN50" s="1051" t="n"/>
      <c r="EO50" s="1051" t="n"/>
      <c r="EP50" s="1051" t="n"/>
      <c r="EQ50" s="1051" t="n"/>
      <c r="ER50" s="1051" t="n"/>
      <c r="ES50" s="1051" t="n"/>
      <c r="ET50" s="1051" t="n"/>
      <c r="EU50" s="1051" t="n"/>
      <c r="EV50" s="1051" t="n"/>
      <c r="EW50" s="1051" t="n"/>
      <c r="EX50" s="1051" t="n"/>
      <c r="EY50" s="1051" t="n"/>
      <c r="EZ50" s="1051" t="n"/>
      <c r="FA50" s="1051" t="n"/>
      <c r="FB50" s="1051" t="n"/>
      <c r="FC50" s="1051" t="n"/>
      <c r="FD50" s="1051" t="n"/>
      <c r="FE50" s="1052" t="n"/>
      <c r="FF50" s="1052" t="n"/>
      <c r="FG50" s="1052" t="n"/>
      <c r="FH50" s="1053" t="n"/>
      <c r="FI50" s="1053" t="n"/>
      <c r="FJ50" s="1053" t="n"/>
      <c r="FK50" s="1053" t="n"/>
      <c r="FL50" s="1053" t="n"/>
      <c r="FM50" s="1052" t="n"/>
      <c r="FN50" s="1052" t="n"/>
      <c r="FO50" s="1052" t="n"/>
      <c r="FP50" s="1053" t="n"/>
      <c r="FQ50" s="1053" t="n"/>
      <c r="FR50" s="1053" t="n"/>
      <c r="FS50" s="1053" t="n"/>
      <c r="FT50" s="1053" t="n"/>
      <c r="FU50" s="1053" t="n"/>
      <c r="FV50" s="1053" t="n"/>
      <c r="FW50" s="1053" t="n"/>
      <c r="FX50" s="1053" t="n"/>
      <c r="FY50" s="1053" t="n"/>
      <c r="FZ50" s="1053" t="n"/>
      <c r="GA50" s="1053" t="n"/>
      <c r="GB50" s="1053" t="n"/>
      <c r="GC50" s="1053" t="n"/>
      <c r="GD50" s="1051" t="n"/>
      <c r="GE50" s="1053" t="n"/>
      <c r="GF50" s="1053" t="n"/>
      <c r="GG50" s="1053" t="n"/>
      <c r="GH50" s="1053" t="n"/>
      <c r="GI50" s="1053" t="n"/>
      <c r="GJ50" s="1053" t="n"/>
      <c r="GK50" s="1053" t="n"/>
      <c r="GL50" s="1051" t="n"/>
      <c r="GM50" s="1053" t="n"/>
      <c r="GN50" s="1053" t="n"/>
      <c r="GO50" s="1053" t="n"/>
      <c r="GP50" s="1053" t="n"/>
      <c r="GQ50" s="1051" t="n"/>
      <c r="GR50" s="1053" t="n"/>
      <c r="GS50" s="1053" t="n"/>
      <c r="GT50" s="1053" t="n"/>
      <c r="GU50" s="1051" t="n"/>
      <c r="GV50" s="1051" t="n"/>
      <c r="GW50" s="1051" t="n"/>
      <c r="GX50" s="1051" t="n"/>
      <c r="GY50" s="1051" t="n"/>
      <c r="GZ50" s="1051" t="n"/>
      <c r="HA50" s="1051" t="n"/>
      <c r="HB50" s="1051" t="n"/>
      <c r="HC50" s="1051" t="n"/>
      <c r="HD50" s="1051" t="n"/>
      <c r="HE50" s="1053" t="n"/>
      <c r="HF50" s="1053" t="n"/>
      <c r="HG50" s="1053" t="n"/>
      <c r="HH50" s="1053" t="n"/>
      <c r="HI50" s="1053" t="n"/>
      <c r="HJ50" s="1053" t="n"/>
      <c r="HK50" s="1054" t="n"/>
      <c r="HL50" s="1053" t="n"/>
      <c r="HM50" s="1053" t="n"/>
      <c r="HN50" s="1053" t="n"/>
    </row>
    <row r="51" ht="12.75" customFormat="1" customHeight="1" s="469">
      <c r="A51" s="318" t="n"/>
      <c r="B51" s="437" t="n"/>
      <c r="C51" s="437" t="n"/>
      <c r="D51" s="438" t="n"/>
      <c r="E51" s="439" t="n"/>
      <c r="F51" s="439" t="n"/>
      <c r="G51" s="439" t="n"/>
      <c r="H51" s="439" t="n"/>
      <c r="I51" s="439" t="n"/>
      <c r="J51" s="439" t="n"/>
      <c r="K51" s="439" t="n"/>
      <c r="L51" s="439" t="n"/>
      <c r="M51" s="439" t="n"/>
      <c r="N51" s="439" t="n"/>
      <c r="O51" s="493" t="n"/>
      <c r="P51" s="764" t="n"/>
      <c r="Q51" s="730" t="n"/>
      <c r="R51" s="440" t="n"/>
      <c r="S51" s="440" t="n"/>
      <c r="T51" s="441" t="n"/>
      <c r="U51" s="442" t="n"/>
      <c r="V51" s="1020" t="n"/>
      <c r="W51" s="1021" t="n"/>
      <c r="X51" s="1022" t="n"/>
      <c r="Y51" s="1023" t="n"/>
      <c r="Z51" s="1022" t="n"/>
      <c r="AA51" s="1023" t="n"/>
      <c r="AB51" s="1023" t="n"/>
      <c r="AC51" s="490" t="n"/>
      <c r="AD51" s="445" t="n"/>
      <c r="AE51" s="446" t="n"/>
      <c r="AF51" s="446" t="n"/>
      <c r="AG51" s="447" t="n"/>
      <c r="AH51" s="447" t="n"/>
      <c r="AI51" s="447" t="n"/>
      <c r="AJ51" s="448" t="n"/>
      <c r="AK51" s="449" t="n"/>
      <c r="AL51" s="446" t="n"/>
      <c r="AM51" s="1020" t="n"/>
      <c r="AN51" s="1020" t="n"/>
      <c r="AO51" s="1020" t="n"/>
      <c r="AP51" s="1020" t="n"/>
      <c r="AQ51" s="1020" t="n"/>
      <c r="AR51" s="1020" t="n"/>
      <c r="AS51" s="1020" t="n"/>
      <c r="AT51" s="1020" t="n"/>
      <c r="AU51" s="1020" t="n"/>
      <c r="AV51" s="1020" t="n"/>
      <c r="AW51" s="1020" t="n"/>
      <c r="AX51" s="1020" t="n"/>
      <c r="AY51" s="1020" t="n"/>
      <c r="AZ51" s="1020" t="n"/>
      <c r="BA51" s="1020" t="n"/>
      <c r="BB51" s="1020" t="n"/>
      <c r="BC51" s="1020" t="n"/>
      <c r="BD51" s="1020" t="n"/>
      <c r="BE51" s="1020" t="n"/>
      <c r="BF51" s="1020" t="n"/>
      <c r="BG51" s="1020" t="n"/>
      <c r="BH51" s="1020" t="n"/>
      <c r="BI51" s="1020" t="n"/>
      <c r="BJ51" s="1020" t="n"/>
      <c r="BK51" s="1026" t="n"/>
      <c r="BL51" s="1026" t="n"/>
      <c r="BM51" s="1026" t="n"/>
      <c r="BN51" s="556" t="n"/>
      <c r="BO51" s="556" t="n"/>
      <c r="BP51" s="1055" t="n"/>
      <c r="BQ51" s="556" t="n"/>
      <c r="BR51" s="554" t="n"/>
      <c r="BS51" s="556" t="n"/>
      <c r="BT51" s="1056" t="n"/>
      <c r="BU51" s="556" t="n"/>
      <c r="BV51" s="557" t="n"/>
      <c r="BW51" s="557" t="n"/>
      <c r="BX51" s="548" t="n"/>
      <c r="BY51" s="556" t="n"/>
      <c r="BZ51" s="557" t="n"/>
      <c r="CA51" s="557" t="n"/>
      <c r="CB51" s="556" t="n"/>
      <c r="CC51" s="556" t="n"/>
      <c r="CD51" s="557" t="n"/>
      <c r="CE51" s="556" t="n"/>
      <c r="CF51" s="556" t="n"/>
      <c r="CG51" s="556" t="n"/>
      <c r="CH51" s="556" t="n"/>
      <c r="CI51" s="1057" t="n"/>
      <c r="CJ51" s="1030" t="n"/>
      <c r="CK51" s="559" t="n"/>
      <c r="CL51" s="559" t="n"/>
      <c r="CM51" s="1031" t="n"/>
      <c r="CN51" s="451" t="n"/>
      <c r="CO51" s="451" t="n"/>
      <c r="CP51" s="1032" t="n"/>
      <c r="CQ51" s="1033" t="n"/>
      <c r="CR51" s="1032" t="n"/>
      <c r="CS51" s="454" t="n"/>
      <c r="CT51" s="455" t="n"/>
      <c r="CU51" s="559" t="n"/>
      <c r="CV51" s="456" t="n"/>
      <c r="CW51" s="1034" t="n"/>
      <c r="CX51" s="1035" t="n"/>
      <c r="CY51" s="1036" t="n"/>
      <c r="CZ51" s="1037" t="n"/>
      <c r="DA51" s="1038" t="n"/>
      <c r="DB51" s="1039" t="n"/>
      <c r="DC51" s="1040" t="n"/>
      <c r="DD51" s="1040" t="n"/>
      <c r="DE51" s="1041" t="n"/>
      <c r="DF51" s="1037" t="n"/>
      <c r="DG51" s="1038" t="n"/>
      <c r="DH51" s="1039" t="n"/>
      <c r="DI51" s="1042" t="n"/>
      <c r="DJ51" s="566" t="n"/>
      <c r="DK51" s="697" t="n"/>
      <c r="DL51" s="1058" t="n"/>
      <c r="DM51" s="1059" t="n"/>
      <c r="DN51" s="1044" t="n"/>
      <c r="DO51" s="1045" t="n"/>
      <c r="DP51" s="565" t="n"/>
      <c r="DQ51" s="1046" t="n"/>
      <c r="DR51" s="462" t="n"/>
      <c r="DS51" s="1047" t="n"/>
      <c r="DT51" s="1047" t="n"/>
      <c r="DU51" s="695" t="n"/>
      <c r="DV51" s="696" t="n"/>
      <c r="DW51" s="696" t="n"/>
      <c r="DX51" s="735" t="n"/>
      <c r="DY51" s="735" t="n"/>
      <c r="DZ51" s="1048" t="n"/>
      <c r="EA51" s="1048" t="n"/>
      <c r="EB51" s="1048" t="n"/>
      <c r="EC51" s="1048" t="n"/>
      <c r="ED51" s="1048" t="n"/>
      <c r="EE51" s="1048" t="n"/>
      <c r="EF51" s="442" t="n"/>
      <c r="EG51" s="1048" t="n"/>
      <c r="EH51" s="1049" t="n"/>
      <c r="EI51" s="1050" t="n"/>
      <c r="EJ51" s="1050" t="n"/>
      <c r="EK51" s="1051" t="n"/>
      <c r="EL51" s="1051" t="n"/>
      <c r="EM51" s="1051" t="n"/>
      <c r="EN51" s="1051" t="n"/>
      <c r="EO51" s="1051" t="n"/>
      <c r="EP51" s="1051" t="n"/>
      <c r="EQ51" s="1051" t="n"/>
      <c r="ER51" s="1051" t="n"/>
      <c r="ES51" s="1051" t="n"/>
      <c r="ET51" s="1051" t="n"/>
      <c r="EU51" s="1051" t="n"/>
      <c r="EV51" s="1051" t="n"/>
      <c r="EW51" s="1051" t="n"/>
      <c r="EX51" s="1051" t="n"/>
      <c r="EY51" s="1051" t="n"/>
      <c r="EZ51" s="1051" t="n"/>
      <c r="FA51" s="1051" t="n"/>
      <c r="FB51" s="1051" t="n"/>
      <c r="FC51" s="1051" t="n"/>
      <c r="FD51" s="1051" t="n"/>
      <c r="FE51" s="1052" t="n"/>
      <c r="FF51" s="1052" t="n"/>
      <c r="FG51" s="1052" t="n"/>
      <c r="FH51" s="1053" t="n"/>
      <c r="FI51" s="1053" t="n"/>
      <c r="FJ51" s="1053" t="n"/>
      <c r="FK51" s="1053" t="n"/>
      <c r="FL51" s="1053" t="n"/>
      <c r="FM51" s="1052" t="n"/>
      <c r="FN51" s="1052" t="n"/>
      <c r="FO51" s="1052" t="n"/>
      <c r="FP51" s="1053" t="n"/>
      <c r="FQ51" s="1053" t="n"/>
      <c r="FR51" s="1053" t="n"/>
      <c r="FS51" s="1053" t="n"/>
      <c r="FT51" s="1053" t="n"/>
      <c r="FU51" s="1053" t="n"/>
      <c r="FV51" s="1053" t="n"/>
      <c r="FW51" s="1053" t="n"/>
      <c r="FX51" s="1053" t="n"/>
      <c r="FY51" s="1053" t="n"/>
      <c r="FZ51" s="1053" t="n"/>
      <c r="GA51" s="1053" t="n"/>
      <c r="GB51" s="1053" t="n"/>
      <c r="GC51" s="1053" t="n"/>
      <c r="GD51" s="1051" t="n"/>
      <c r="GE51" s="1053" t="n"/>
      <c r="GF51" s="1053" t="n"/>
      <c r="GG51" s="1053" t="n"/>
      <c r="GH51" s="1053" t="n"/>
      <c r="GI51" s="1053" t="n"/>
      <c r="GJ51" s="1053" t="n"/>
      <c r="GK51" s="1053" t="n"/>
      <c r="GL51" s="1051" t="n"/>
      <c r="GM51" s="1053" t="n"/>
      <c r="GN51" s="1053" t="n"/>
      <c r="GO51" s="1053" t="n"/>
      <c r="GP51" s="1053" t="n"/>
      <c r="GQ51" s="1051" t="n"/>
      <c r="GR51" s="1053" t="n"/>
      <c r="GS51" s="1053" t="n"/>
      <c r="GT51" s="1053" t="n"/>
      <c r="GU51" s="1051" t="n"/>
      <c r="GV51" s="1051" t="n"/>
      <c r="GW51" s="1051" t="n"/>
      <c r="GX51" s="1051" t="n"/>
      <c r="GY51" s="1051" t="n"/>
      <c r="GZ51" s="1051" t="n"/>
      <c r="HA51" s="1051" t="n"/>
      <c r="HB51" s="1051" t="n"/>
      <c r="HC51" s="1051" t="n"/>
      <c r="HD51" s="1051" t="n"/>
      <c r="HE51" s="1053" t="n"/>
      <c r="HF51" s="1053" t="n"/>
      <c r="HG51" s="1053" t="n"/>
      <c r="HH51" s="1053" t="n"/>
      <c r="HI51" s="1053" t="n"/>
      <c r="HJ51" s="1053" t="n"/>
      <c r="HK51" s="1054" t="n"/>
      <c r="HL51" s="1053" t="n"/>
      <c r="HM51" s="1053" t="n"/>
      <c r="HN51" s="1053" t="n"/>
    </row>
    <row r="52" ht="12.75" customFormat="1" customHeight="1" s="469">
      <c r="A52" s="318" t="n"/>
      <c r="B52" s="437" t="n"/>
      <c r="C52" s="437" t="n"/>
      <c r="D52" s="438" t="n"/>
      <c r="E52" s="439" t="n"/>
      <c r="F52" s="439" t="n"/>
      <c r="G52" s="439" t="n"/>
      <c r="H52" s="439" t="n"/>
      <c r="I52" s="439" t="n"/>
      <c r="J52" s="439" t="n"/>
      <c r="K52" s="439" t="n"/>
      <c r="L52" s="439" t="n"/>
      <c r="M52" s="439" t="n"/>
      <c r="N52" s="439" t="n"/>
      <c r="O52" s="493" t="n"/>
      <c r="P52" s="764" t="n"/>
      <c r="Q52" s="730" t="n"/>
      <c r="R52" s="440" t="n"/>
      <c r="S52" s="440" t="n"/>
      <c r="T52" s="441" t="n"/>
      <c r="U52" s="442" t="n"/>
      <c r="V52" s="1020" t="n"/>
      <c r="W52" s="1021" t="n"/>
      <c r="X52" s="1022" t="n"/>
      <c r="Y52" s="1023" t="n"/>
      <c r="Z52" s="1022" t="n"/>
      <c r="AA52" s="1023" t="n"/>
      <c r="AB52" s="1023" t="n"/>
      <c r="AC52" s="490" t="n"/>
      <c r="AD52" s="445" t="n"/>
      <c r="AE52" s="446" t="n"/>
      <c r="AF52" s="446" t="n"/>
      <c r="AG52" s="447" t="n"/>
      <c r="AH52" s="447" t="n"/>
      <c r="AI52" s="447" t="n"/>
      <c r="AJ52" s="448" t="n"/>
      <c r="AK52" s="449" t="n"/>
      <c r="AL52" s="446" t="n"/>
      <c r="AM52" s="1020" t="n"/>
      <c r="AN52" s="1020" t="n"/>
      <c r="AO52" s="1020" t="n"/>
      <c r="AP52" s="1020" t="n"/>
      <c r="AQ52" s="1020" t="n"/>
      <c r="AR52" s="1020" t="n"/>
      <c r="AS52" s="1020" t="n"/>
      <c r="AT52" s="1020" t="n"/>
      <c r="AU52" s="1020" t="n"/>
      <c r="AV52" s="1020" t="n"/>
      <c r="AW52" s="1020" t="n"/>
      <c r="AX52" s="1020" t="n"/>
      <c r="AY52" s="1020" t="n"/>
      <c r="AZ52" s="1020" t="n"/>
      <c r="BA52" s="1020" t="n"/>
      <c r="BB52" s="1020" t="n"/>
      <c r="BC52" s="1020" t="n"/>
      <c r="BD52" s="1020" t="n"/>
      <c r="BE52" s="1020" t="n"/>
      <c r="BF52" s="1020" t="n"/>
      <c r="BG52" s="1020" t="n"/>
      <c r="BH52" s="1020" t="n"/>
      <c r="BI52" s="1020" t="n"/>
      <c r="BJ52" s="1020" t="n"/>
      <c r="BK52" s="1026" t="n"/>
      <c r="BL52" s="1026" t="n"/>
      <c r="BM52" s="1026" t="n"/>
      <c r="BN52" s="556" t="n"/>
      <c r="BO52" s="556" t="n"/>
      <c r="BP52" s="1055" t="n"/>
      <c r="BQ52" s="556" t="n"/>
      <c r="BR52" s="554" t="n"/>
      <c r="BS52" s="556" t="n"/>
      <c r="BT52" s="1056" t="n"/>
      <c r="BU52" s="556" t="n"/>
      <c r="BV52" s="557" t="n"/>
      <c r="BW52" s="557" t="n"/>
      <c r="BX52" s="548" t="n"/>
      <c r="BY52" s="556" t="n"/>
      <c r="BZ52" s="557" t="n"/>
      <c r="CA52" s="557" t="n"/>
      <c r="CB52" s="556" t="n"/>
      <c r="CC52" s="556" t="n"/>
      <c r="CD52" s="557" t="n"/>
      <c r="CE52" s="556" t="n"/>
      <c r="CF52" s="556" t="n"/>
      <c r="CG52" s="556" t="n"/>
      <c r="CH52" s="556" t="n"/>
      <c r="CI52" s="1057" t="n"/>
      <c r="CJ52" s="1030" t="n"/>
      <c r="CK52" s="559" t="n"/>
      <c r="CL52" s="559" t="n"/>
      <c r="CM52" s="1031" t="n"/>
      <c r="CN52" s="451" t="n"/>
      <c r="CO52" s="451" t="n"/>
      <c r="CP52" s="1032" t="n"/>
      <c r="CQ52" s="1033" t="n"/>
      <c r="CR52" s="1032" t="n"/>
      <c r="CS52" s="454" t="n"/>
      <c r="CT52" s="455" t="n"/>
      <c r="CU52" s="559" t="n"/>
      <c r="CV52" s="456" t="n"/>
      <c r="CW52" s="1034" t="n"/>
      <c r="CX52" s="1035" t="n"/>
      <c r="CY52" s="1036" t="n"/>
      <c r="CZ52" s="1037" t="n"/>
      <c r="DA52" s="1038" t="n"/>
      <c r="DB52" s="1039" t="n"/>
      <c r="DC52" s="1040" t="n"/>
      <c r="DD52" s="1040" t="n"/>
      <c r="DE52" s="1041" t="n"/>
      <c r="DF52" s="1037" t="n"/>
      <c r="DG52" s="1038" t="n"/>
      <c r="DH52" s="1039" t="n"/>
      <c r="DI52" s="1042" t="n"/>
      <c r="DJ52" s="566" t="n"/>
      <c r="DK52" s="697" t="n"/>
      <c r="DL52" s="1058" t="n"/>
      <c r="DM52" s="1059" t="n"/>
      <c r="DN52" s="1044" t="n"/>
      <c r="DO52" s="1045" t="n"/>
      <c r="DP52" s="565" t="n"/>
      <c r="DQ52" s="1046" t="n"/>
      <c r="DR52" s="462" t="n"/>
      <c r="DS52" s="1047" t="n"/>
      <c r="DT52" s="1047" t="n"/>
      <c r="DU52" s="695" t="n"/>
      <c r="DV52" s="696" t="n"/>
      <c r="DW52" s="696" t="n"/>
      <c r="DX52" s="735" t="n"/>
      <c r="DY52" s="735" t="n"/>
      <c r="DZ52" s="1048" t="n"/>
      <c r="EA52" s="1048" t="n"/>
      <c r="EB52" s="1048" t="n"/>
      <c r="EC52" s="1048" t="n"/>
      <c r="ED52" s="1048" t="n"/>
      <c r="EE52" s="1048" t="n"/>
      <c r="EF52" s="442" t="n"/>
      <c r="EG52" s="1048" t="n"/>
      <c r="EH52" s="1049" t="n"/>
      <c r="EI52" s="1050" t="n"/>
      <c r="EJ52" s="1050" t="n"/>
      <c r="EK52" s="1051" t="n"/>
      <c r="EL52" s="1051" t="n"/>
      <c r="EM52" s="1051" t="n"/>
      <c r="EN52" s="1051" t="n"/>
      <c r="EO52" s="1051" t="n"/>
      <c r="EP52" s="1051" t="n"/>
      <c r="EQ52" s="1051" t="n"/>
      <c r="ER52" s="1051" t="n"/>
      <c r="ES52" s="1051" t="n"/>
      <c r="ET52" s="1051" t="n"/>
      <c r="EU52" s="1051" t="n"/>
      <c r="EV52" s="1051" t="n"/>
      <c r="EW52" s="1051" t="n"/>
      <c r="EX52" s="1051" t="n"/>
      <c r="EY52" s="1051" t="n"/>
      <c r="EZ52" s="1051" t="n"/>
      <c r="FA52" s="1051" t="n"/>
      <c r="FB52" s="1051" t="n"/>
      <c r="FC52" s="1051" t="n"/>
      <c r="FD52" s="1051" t="n"/>
      <c r="FE52" s="1052" t="n"/>
      <c r="FF52" s="1052" t="n"/>
      <c r="FG52" s="1052" t="n"/>
      <c r="FH52" s="1053" t="n"/>
      <c r="FI52" s="1053" t="n"/>
      <c r="FJ52" s="1053" t="n"/>
      <c r="FK52" s="1053" t="n"/>
      <c r="FL52" s="1053" t="n"/>
      <c r="FM52" s="1052" t="n"/>
      <c r="FN52" s="1052" t="n"/>
      <c r="FO52" s="1052" t="n"/>
      <c r="FP52" s="1053" t="n"/>
      <c r="FQ52" s="1053" t="n"/>
      <c r="FR52" s="1053" t="n"/>
      <c r="FS52" s="1053" t="n"/>
      <c r="FT52" s="1053" t="n"/>
      <c r="FU52" s="1053" t="n"/>
      <c r="FV52" s="1053" t="n"/>
      <c r="FW52" s="1053" t="n"/>
      <c r="FX52" s="1053" t="n"/>
      <c r="FY52" s="1053" t="n"/>
      <c r="FZ52" s="1053" t="n"/>
      <c r="GA52" s="1053" t="n"/>
      <c r="GB52" s="1053" t="n"/>
      <c r="GC52" s="1053" t="n"/>
      <c r="GD52" s="1051" t="n"/>
      <c r="GE52" s="1053" t="n"/>
      <c r="GF52" s="1053" t="n"/>
      <c r="GG52" s="1053" t="n"/>
      <c r="GH52" s="1053" t="n"/>
      <c r="GI52" s="1053" t="n"/>
      <c r="GJ52" s="1053" t="n"/>
      <c r="GK52" s="1053" t="n"/>
      <c r="GL52" s="1051" t="n"/>
      <c r="GM52" s="1053" t="n"/>
      <c r="GN52" s="1053" t="n"/>
      <c r="GO52" s="1053" t="n"/>
      <c r="GP52" s="1053" t="n"/>
      <c r="GQ52" s="1051" t="n"/>
      <c r="GR52" s="1053" t="n"/>
      <c r="GS52" s="1053" t="n"/>
      <c r="GT52" s="1053" t="n"/>
      <c r="GU52" s="1051" t="n"/>
      <c r="GV52" s="1051" t="n"/>
      <c r="GW52" s="1051" t="n"/>
      <c r="GX52" s="1051" t="n"/>
      <c r="GY52" s="1051" t="n"/>
      <c r="GZ52" s="1051" t="n"/>
      <c r="HA52" s="1051" t="n"/>
      <c r="HB52" s="1051" t="n"/>
      <c r="HC52" s="1051" t="n"/>
      <c r="HD52" s="1051" t="n"/>
      <c r="HE52" s="1053" t="n"/>
      <c r="HF52" s="1053" t="n"/>
      <c r="HG52" s="1053" t="n"/>
      <c r="HH52" s="1053" t="n"/>
      <c r="HI52" s="1053" t="n"/>
      <c r="HJ52" s="1053" t="n"/>
      <c r="HK52" s="1054" t="n"/>
      <c r="HL52" s="1053" t="n"/>
      <c r="HM52" s="1053" t="n"/>
      <c r="HN52" s="1053" t="n"/>
    </row>
    <row r="53" ht="12.75" customFormat="1" customHeight="1" s="469">
      <c r="A53" s="318" t="n"/>
      <c r="B53" s="437" t="n"/>
      <c r="C53" s="437" t="n"/>
      <c r="D53" s="438" t="n"/>
      <c r="E53" s="439" t="n"/>
      <c r="F53" s="439" t="n"/>
      <c r="G53" s="439" t="n"/>
      <c r="H53" s="439" t="n"/>
      <c r="I53" s="439" t="n"/>
      <c r="J53" s="439" t="n"/>
      <c r="K53" s="439" t="n"/>
      <c r="L53" s="439" t="n"/>
      <c r="M53" s="439" t="n"/>
      <c r="N53" s="439" t="n"/>
      <c r="O53" s="493" t="n"/>
      <c r="P53" s="764" t="n"/>
      <c r="Q53" s="730" t="n"/>
      <c r="R53" s="440" t="n"/>
      <c r="S53" s="440" t="n"/>
      <c r="T53" s="441" t="n"/>
      <c r="U53" s="442" t="n"/>
      <c r="V53" s="1020" t="n"/>
      <c r="W53" s="1021" t="n"/>
      <c r="X53" s="1022" t="n"/>
      <c r="Y53" s="1023" t="n"/>
      <c r="Z53" s="1022" t="n"/>
      <c r="AA53" s="1023" t="n"/>
      <c r="AB53" s="1023" t="n"/>
      <c r="AC53" s="490" t="n"/>
      <c r="AD53" s="445" t="n"/>
      <c r="AE53" s="446" t="n"/>
      <c r="AF53" s="446" t="n"/>
      <c r="AG53" s="447" t="n"/>
      <c r="AH53" s="447" t="n"/>
      <c r="AI53" s="447" t="n"/>
      <c r="AJ53" s="448" t="n"/>
      <c r="AK53" s="449" t="n"/>
      <c r="AL53" s="446" t="n"/>
      <c r="AM53" s="1020" t="n"/>
      <c r="AN53" s="1020" t="n"/>
      <c r="AO53" s="1020" t="n"/>
      <c r="AP53" s="1020" t="n"/>
      <c r="AQ53" s="1020" t="n"/>
      <c r="AR53" s="1020" t="n"/>
      <c r="AS53" s="1020" t="n"/>
      <c r="AT53" s="1020" t="n"/>
      <c r="AU53" s="1020" t="n"/>
      <c r="AV53" s="1020" t="n"/>
      <c r="AW53" s="1020" t="n"/>
      <c r="AX53" s="1020" t="n"/>
      <c r="AY53" s="1020" t="n"/>
      <c r="AZ53" s="1020" t="n"/>
      <c r="BA53" s="1020" t="n"/>
      <c r="BB53" s="1020" t="n"/>
      <c r="BC53" s="1020" t="n"/>
      <c r="BD53" s="1020" t="n"/>
      <c r="BE53" s="1020" t="n"/>
      <c r="BF53" s="1020" t="n"/>
      <c r="BG53" s="1020" t="n"/>
      <c r="BH53" s="1020" t="n"/>
      <c r="BI53" s="1020" t="n"/>
      <c r="BJ53" s="1020" t="n"/>
      <c r="BK53" s="1026" t="n"/>
      <c r="BL53" s="1026" t="n"/>
      <c r="BM53" s="1026" t="n"/>
      <c r="BN53" s="556" t="n"/>
      <c r="BO53" s="556" t="n"/>
      <c r="BP53" s="1055" t="n"/>
      <c r="BQ53" s="556" t="n"/>
      <c r="BR53" s="554" t="n"/>
      <c r="BS53" s="556" t="n"/>
      <c r="BT53" s="1056" t="n"/>
      <c r="BU53" s="556" t="n"/>
      <c r="BV53" s="557" t="n"/>
      <c r="BW53" s="557" t="n"/>
      <c r="BX53" s="548" t="n"/>
      <c r="BY53" s="556" t="n"/>
      <c r="BZ53" s="557" t="n"/>
      <c r="CA53" s="557" t="n"/>
      <c r="CB53" s="556" t="n"/>
      <c r="CC53" s="556" t="n"/>
      <c r="CD53" s="557" t="n"/>
      <c r="CE53" s="556" t="n"/>
      <c r="CF53" s="556" t="n"/>
      <c r="CG53" s="556" t="n"/>
      <c r="CH53" s="556" t="n"/>
      <c r="CI53" s="1057" t="n"/>
      <c r="CJ53" s="1030" t="n"/>
      <c r="CK53" s="559" t="n"/>
      <c r="CL53" s="559" t="n"/>
      <c r="CM53" s="1031" t="n"/>
      <c r="CN53" s="451" t="n"/>
      <c r="CO53" s="451" t="n"/>
      <c r="CP53" s="1032" t="n"/>
      <c r="CQ53" s="1033" t="n"/>
      <c r="CR53" s="1032" t="n"/>
      <c r="CS53" s="454" t="n"/>
      <c r="CT53" s="455" t="n"/>
      <c r="CU53" s="559" t="n"/>
      <c r="CV53" s="456" t="n"/>
      <c r="CW53" s="1034" t="n"/>
      <c r="CX53" s="1035" t="n"/>
      <c r="CY53" s="1036" t="n"/>
      <c r="CZ53" s="1037" t="n"/>
      <c r="DA53" s="1038" t="n"/>
      <c r="DB53" s="1039" t="n"/>
      <c r="DC53" s="1040" t="n"/>
      <c r="DD53" s="1040" t="n"/>
      <c r="DE53" s="1041" t="n"/>
      <c r="DF53" s="1037" t="n"/>
      <c r="DG53" s="1038" t="n"/>
      <c r="DH53" s="1039" t="n"/>
      <c r="DI53" s="1042" t="n"/>
      <c r="DJ53" s="566" t="n"/>
      <c r="DK53" s="697" t="n"/>
      <c r="DL53" s="1058" t="n"/>
      <c r="DM53" s="1059" t="n"/>
      <c r="DN53" s="1044" t="n"/>
      <c r="DO53" s="1045" t="n"/>
      <c r="DP53" s="565" t="n"/>
      <c r="DQ53" s="1046" t="n"/>
      <c r="DR53" s="462" t="n"/>
      <c r="DS53" s="1047" t="n"/>
      <c r="DT53" s="1047" t="n"/>
      <c r="DU53" s="695" t="n"/>
      <c r="DV53" s="696" t="n"/>
      <c r="DW53" s="696" t="n"/>
      <c r="DX53" s="735" t="n"/>
      <c r="DY53" s="735" t="n"/>
      <c r="DZ53" s="1048" t="n"/>
      <c r="EA53" s="1048" t="n"/>
      <c r="EB53" s="1048" t="n"/>
      <c r="EC53" s="1048" t="n"/>
      <c r="ED53" s="1048" t="n"/>
      <c r="EE53" s="1048" t="n"/>
      <c r="EF53" s="442" t="n"/>
      <c r="EG53" s="1048" t="n"/>
      <c r="EH53" s="1049" t="n"/>
      <c r="EI53" s="1050" t="n"/>
      <c r="EJ53" s="1050" t="n"/>
      <c r="EK53" s="1051" t="n"/>
      <c r="EL53" s="1051" t="n"/>
      <c r="EM53" s="1051" t="n"/>
      <c r="EN53" s="1051" t="n"/>
      <c r="EO53" s="1051" t="n"/>
      <c r="EP53" s="1051" t="n"/>
      <c r="EQ53" s="1051" t="n"/>
      <c r="ER53" s="1051" t="n"/>
      <c r="ES53" s="1051" t="n"/>
      <c r="ET53" s="1051" t="n"/>
      <c r="EU53" s="1051" t="n"/>
      <c r="EV53" s="1051" t="n"/>
      <c r="EW53" s="1051" t="n"/>
      <c r="EX53" s="1051" t="n"/>
      <c r="EY53" s="1051" t="n"/>
      <c r="EZ53" s="1051" t="n"/>
      <c r="FA53" s="1051" t="n"/>
      <c r="FB53" s="1051" t="n"/>
      <c r="FC53" s="1051" t="n"/>
      <c r="FD53" s="1051" t="n"/>
      <c r="FE53" s="1052" t="n"/>
      <c r="FF53" s="1052" t="n"/>
      <c r="FG53" s="1052" t="n"/>
      <c r="FH53" s="1053" t="n"/>
      <c r="FI53" s="1053" t="n"/>
      <c r="FJ53" s="1053" t="n"/>
      <c r="FK53" s="1053" t="n"/>
      <c r="FL53" s="1053" t="n"/>
      <c r="FM53" s="1052" t="n"/>
      <c r="FN53" s="1052" t="n"/>
      <c r="FO53" s="1052" t="n"/>
      <c r="FP53" s="1053" t="n"/>
      <c r="FQ53" s="1053" t="n"/>
      <c r="FR53" s="1053" t="n"/>
      <c r="FS53" s="1053" t="n"/>
      <c r="FT53" s="1053" t="n"/>
      <c r="FU53" s="1053" t="n"/>
      <c r="FV53" s="1053" t="n"/>
      <c r="FW53" s="1053" t="n"/>
      <c r="FX53" s="1053" t="n"/>
      <c r="FY53" s="1053" t="n"/>
      <c r="FZ53" s="1053" t="n"/>
      <c r="GA53" s="1053" t="n"/>
      <c r="GB53" s="1053" t="n"/>
      <c r="GC53" s="1053" t="n"/>
      <c r="GD53" s="1051" t="n"/>
      <c r="GE53" s="1053" t="n"/>
      <c r="GF53" s="1053" t="n"/>
      <c r="GG53" s="1053" t="n"/>
      <c r="GH53" s="1053" t="n"/>
      <c r="GI53" s="1053" t="n"/>
      <c r="GJ53" s="1053" t="n"/>
      <c r="GK53" s="1053" t="n"/>
      <c r="GL53" s="1051" t="n"/>
      <c r="GM53" s="1053" t="n"/>
      <c r="GN53" s="1053" t="n"/>
      <c r="GO53" s="1053" t="n"/>
      <c r="GP53" s="1053" t="n"/>
      <c r="GQ53" s="1051" t="n"/>
      <c r="GR53" s="1053" t="n"/>
      <c r="GS53" s="1053" t="n"/>
      <c r="GT53" s="1053" t="n"/>
      <c r="GU53" s="1051" t="n"/>
      <c r="GV53" s="1051" t="n"/>
      <c r="GW53" s="1051" t="n"/>
      <c r="GX53" s="1051" t="n"/>
      <c r="GY53" s="1051" t="n"/>
      <c r="GZ53" s="1051" t="n"/>
      <c r="HA53" s="1051" t="n"/>
      <c r="HB53" s="1051" t="n"/>
      <c r="HC53" s="1051" t="n"/>
      <c r="HD53" s="1051" t="n"/>
      <c r="HE53" s="1053" t="n"/>
      <c r="HF53" s="1053" t="n"/>
      <c r="HG53" s="1053" t="n"/>
      <c r="HH53" s="1053" t="n"/>
      <c r="HI53" s="1053" t="n"/>
      <c r="HJ53" s="1053" t="n"/>
      <c r="HK53" s="1054" t="n"/>
      <c r="HL53" s="1053" t="n"/>
      <c r="HM53" s="1053" t="n"/>
      <c r="HN53" s="1053" t="n"/>
    </row>
    <row r="54" ht="12.75" customFormat="1" customHeight="1" s="469">
      <c r="A54" s="318" t="n"/>
      <c r="B54" s="437" t="n"/>
      <c r="C54" s="437" t="n"/>
      <c r="D54" s="438" t="n"/>
      <c r="E54" s="439" t="n"/>
      <c r="F54" s="439" t="n"/>
      <c r="G54" s="439" t="n"/>
      <c r="H54" s="439" t="n"/>
      <c r="I54" s="439" t="n"/>
      <c r="J54" s="439" t="n"/>
      <c r="K54" s="439" t="n"/>
      <c r="L54" s="439" t="n"/>
      <c r="M54" s="439" t="n"/>
      <c r="N54" s="439" t="n"/>
      <c r="O54" s="493" t="n"/>
      <c r="P54" s="764" t="n"/>
      <c r="Q54" s="730" t="n"/>
      <c r="R54" s="440" t="n"/>
      <c r="S54" s="440" t="n"/>
      <c r="T54" s="441" t="n"/>
      <c r="U54" s="442" t="n"/>
      <c r="V54" s="1020" t="n"/>
      <c r="W54" s="1021" t="n"/>
      <c r="X54" s="1022" t="n"/>
      <c r="Y54" s="1023" t="n"/>
      <c r="Z54" s="1022" t="n"/>
      <c r="AA54" s="1023" t="n"/>
      <c r="AB54" s="1023" t="n"/>
      <c r="AC54" s="490" t="n"/>
      <c r="AD54" s="445" t="n"/>
      <c r="AE54" s="446" t="n"/>
      <c r="AF54" s="446" t="n"/>
      <c r="AG54" s="447" t="n"/>
      <c r="AH54" s="447" t="n"/>
      <c r="AI54" s="447" t="n"/>
      <c r="AJ54" s="448" t="n"/>
      <c r="AK54" s="449" t="n"/>
      <c r="AL54" s="446" t="n"/>
      <c r="AM54" s="1020" t="n"/>
      <c r="AN54" s="1020" t="n"/>
      <c r="AO54" s="1020" t="n"/>
      <c r="AP54" s="1020" t="n"/>
      <c r="AQ54" s="1020" t="n"/>
      <c r="AR54" s="1020" t="n"/>
      <c r="AS54" s="1020" t="n"/>
      <c r="AT54" s="1020" t="n"/>
      <c r="AU54" s="1020" t="n"/>
      <c r="AV54" s="1020" t="n"/>
      <c r="AW54" s="1020" t="n"/>
      <c r="AX54" s="1020" t="n"/>
      <c r="AY54" s="1020" t="n"/>
      <c r="AZ54" s="1020" t="n"/>
      <c r="BA54" s="1020" t="n"/>
      <c r="BB54" s="1020" t="n"/>
      <c r="BC54" s="1020" t="n"/>
      <c r="BD54" s="1020" t="n"/>
      <c r="BE54" s="1020" t="n"/>
      <c r="BF54" s="1020" t="n"/>
      <c r="BG54" s="1020" t="n"/>
      <c r="BH54" s="1020" t="n"/>
      <c r="BI54" s="1020" t="n"/>
      <c r="BJ54" s="1020" t="n"/>
      <c r="BK54" s="1026" t="n"/>
      <c r="BL54" s="1026" t="n"/>
      <c r="BM54" s="1026" t="n"/>
      <c r="BN54" s="556" t="n"/>
      <c r="BO54" s="556" t="n"/>
      <c r="BP54" s="1055" t="n"/>
      <c r="BQ54" s="556" t="n"/>
      <c r="BR54" s="554" t="n"/>
      <c r="BS54" s="556" t="n"/>
      <c r="BT54" s="1056" t="n"/>
      <c r="BU54" s="556" t="n"/>
      <c r="BV54" s="557" t="n"/>
      <c r="BW54" s="557" t="n"/>
      <c r="BX54" s="548" t="n"/>
      <c r="BY54" s="556" t="n"/>
      <c r="BZ54" s="557" t="n"/>
      <c r="CA54" s="557" t="n"/>
      <c r="CB54" s="556" t="n"/>
      <c r="CC54" s="556" t="n"/>
      <c r="CD54" s="557" t="n"/>
      <c r="CE54" s="556" t="n"/>
      <c r="CF54" s="556" t="n"/>
      <c r="CG54" s="556" t="n"/>
      <c r="CH54" s="556" t="n"/>
      <c r="CI54" s="1057" t="n"/>
      <c r="CJ54" s="1030" t="n"/>
      <c r="CK54" s="559" t="n"/>
      <c r="CL54" s="559" t="n"/>
      <c r="CM54" s="1031" t="n"/>
      <c r="CN54" s="451" t="n"/>
      <c r="CO54" s="451" t="n"/>
      <c r="CP54" s="1032" t="n"/>
      <c r="CQ54" s="1033" t="n"/>
      <c r="CR54" s="1032" t="n"/>
      <c r="CS54" s="454" t="n"/>
      <c r="CT54" s="455" t="n"/>
      <c r="CU54" s="559" t="n"/>
      <c r="CV54" s="456" t="n"/>
      <c r="CW54" s="1034" t="n"/>
      <c r="CX54" s="1035" t="n"/>
      <c r="CY54" s="1036" t="n"/>
      <c r="CZ54" s="1037" t="n"/>
      <c r="DA54" s="1038" t="n"/>
      <c r="DB54" s="1039" t="n"/>
      <c r="DC54" s="1040" t="n"/>
      <c r="DD54" s="1040" t="n"/>
      <c r="DE54" s="1041" t="n"/>
      <c r="DF54" s="1037" t="n"/>
      <c r="DG54" s="1038" t="n"/>
      <c r="DH54" s="1039" t="n"/>
      <c r="DI54" s="1042" t="n"/>
      <c r="DJ54" s="566" t="n"/>
      <c r="DK54" s="697" t="n"/>
      <c r="DL54" s="1058" t="n"/>
      <c r="DM54" s="1059" t="n"/>
      <c r="DN54" s="1044" t="n"/>
      <c r="DO54" s="1045" t="n"/>
      <c r="DP54" s="565" t="n"/>
      <c r="DQ54" s="1046" t="n"/>
      <c r="DR54" s="462" t="n"/>
      <c r="DS54" s="1047" t="n"/>
      <c r="DT54" s="1047" t="n"/>
      <c r="DU54" s="695" t="n"/>
      <c r="DV54" s="696" t="n"/>
      <c r="DW54" s="696" t="n"/>
      <c r="DX54" s="735" t="n"/>
      <c r="DY54" s="735" t="n"/>
      <c r="DZ54" s="1048" t="n"/>
      <c r="EA54" s="1048" t="n"/>
      <c r="EB54" s="1048" t="n"/>
      <c r="EC54" s="1048" t="n"/>
      <c r="ED54" s="1048" t="n"/>
      <c r="EE54" s="1048" t="n"/>
      <c r="EF54" s="442" t="n"/>
      <c r="EG54" s="1048" t="n"/>
      <c r="EH54" s="1049" t="n"/>
      <c r="EI54" s="1050" t="n"/>
      <c r="EJ54" s="1050" t="n"/>
      <c r="EK54" s="1051" t="n"/>
      <c r="EL54" s="1051" t="n"/>
      <c r="EM54" s="1051" t="n"/>
      <c r="EN54" s="1051" t="n"/>
      <c r="EO54" s="1051" t="n"/>
      <c r="EP54" s="1051" t="n"/>
      <c r="EQ54" s="1051" t="n"/>
      <c r="ER54" s="1051" t="n"/>
      <c r="ES54" s="1051" t="n"/>
      <c r="ET54" s="1051" t="n"/>
      <c r="EU54" s="1051" t="n"/>
      <c r="EV54" s="1051" t="n"/>
      <c r="EW54" s="1051" t="n"/>
      <c r="EX54" s="1051" t="n"/>
      <c r="EY54" s="1051" t="n"/>
      <c r="EZ54" s="1051" t="n"/>
      <c r="FA54" s="1051" t="n"/>
      <c r="FB54" s="1051" t="n"/>
      <c r="FC54" s="1051" t="n"/>
      <c r="FD54" s="1051" t="n"/>
      <c r="FE54" s="1052" t="n"/>
      <c r="FF54" s="1052" t="n"/>
      <c r="FG54" s="1052" t="n"/>
      <c r="FH54" s="1053" t="n"/>
      <c r="FI54" s="1053" t="n"/>
      <c r="FJ54" s="1053" t="n"/>
      <c r="FK54" s="1053" t="n"/>
      <c r="FL54" s="1053" t="n"/>
      <c r="FM54" s="1052" t="n"/>
      <c r="FN54" s="1052" t="n"/>
      <c r="FO54" s="1052" t="n"/>
      <c r="FP54" s="1053" t="n"/>
      <c r="FQ54" s="1053" t="n"/>
      <c r="FR54" s="1053" t="n"/>
      <c r="FS54" s="1053" t="n"/>
      <c r="FT54" s="1053" t="n"/>
      <c r="FU54" s="1053" t="n"/>
      <c r="FV54" s="1053" t="n"/>
      <c r="FW54" s="1053" t="n"/>
      <c r="FX54" s="1053" t="n"/>
      <c r="FY54" s="1053" t="n"/>
      <c r="FZ54" s="1053" t="n"/>
      <c r="GA54" s="1053" t="n"/>
      <c r="GB54" s="1053" t="n"/>
      <c r="GC54" s="1053" t="n"/>
      <c r="GD54" s="1051" t="n"/>
      <c r="GE54" s="1053" t="n"/>
      <c r="GF54" s="1053" t="n"/>
      <c r="GG54" s="1053" t="n"/>
      <c r="GH54" s="1053" t="n"/>
      <c r="GI54" s="1053" t="n"/>
      <c r="GJ54" s="1053" t="n"/>
      <c r="GK54" s="1053" t="n"/>
      <c r="GL54" s="1051" t="n"/>
      <c r="GM54" s="1053" t="n"/>
      <c r="GN54" s="1053" t="n"/>
      <c r="GO54" s="1053" t="n"/>
      <c r="GP54" s="1053" t="n"/>
      <c r="GQ54" s="1051" t="n"/>
      <c r="GR54" s="1053" t="n"/>
      <c r="GS54" s="1053" t="n"/>
      <c r="GT54" s="1053" t="n"/>
      <c r="GU54" s="1051" t="n"/>
      <c r="GV54" s="1051" t="n"/>
      <c r="GW54" s="1051" t="n"/>
      <c r="GX54" s="1051" t="n"/>
      <c r="GY54" s="1051" t="n"/>
      <c r="GZ54" s="1051" t="n"/>
      <c r="HA54" s="1051" t="n"/>
      <c r="HB54" s="1051" t="n"/>
      <c r="HC54" s="1051" t="n"/>
      <c r="HD54" s="1051" t="n"/>
      <c r="HE54" s="1053" t="n"/>
      <c r="HF54" s="1053" t="n"/>
      <c r="HG54" s="1053" t="n"/>
      <c r="HH54" s="1053" t="n"/>
      <c r="HI54" s="1053" t="n"/>
      <c r="HJ54" s="1053" t="n"/>
      <c r="HK54" s="1054" t="n"/>
      <c r="HL54" s="1053" t="n"/>
      <c r="HM54" s="1053" t="n"/>
      <c r="HN54" s="1053" t="n"/>
    </row>
    <row r="55" ht="12.75" customFormat="1" customHeight="1" s="469">
      <c r="A55" s="318" t="n"/>
      <c r="B55" s="437" t="n"/>
      <c r="C55" s="437" t="n"/>
      <c r="D55" s="438" t="n"/>
      <c r="E55" s="439" t="n"/>
      <c r="F55" s="439" t="n"/>
      <c r="G55" s="439" t="n"/>
      <c r="H55" s="439" t="n"/>
      <c r="I55" s="439" t="n"/>
      <c r="J55" s="439" t="n"/>
      <c r="K55" s="439" t="n"/>
      <c r="L55" s="439" t="n"/>
      <c r="M55" s="439" t="n"/>
      <c r="N55" s="439" t="n"/>
      <c r="O55" s="493" t="n"/>
      <c r="P55" s="764" t="n"/>
      <c r="Q55" s="730" t="n"/>
      <c r="R55" s="440" t="n"/>
      <c r="S55" s="440" t="n"/>
      <c r="T55" s="441" t="n"/>
      <c r="U55" s="442" t="n"/>
      <c r="V55" s="1020" t="n"/>
      <c r="W55" s="1021" t="n"/>
      <c r="X55" s="1022" t="n"/>
      <c r="Y55" s="1023" t="n"/>
      <c r="Z55" s="1022" t="n"/>
      <c r="AA55" s="1023" t="n"/>
      <c r="AB55" s="1023" t="n"/>
      <c r="AC55" s="490" t="n"/>
      <c r="AD55" s="445" t="n"/>
      <c r="AE55" s="446" t="n"/>
      <c r="AF55" s="446" t="n"/>
      <c r="AG55" s="447" t="n"/>
      <c r="AH55" s="447" t="n"/>
      <c r="AI55" s="447" t="n"/>
      <c r="AJ55" s="448" t="n"/>
      <c r="AK55" s="449" t="n"/>
      <c r="AL55" s="446" t="n"/>
      <c r="AM55" s="1020" t="n"/>
      <c r="AN55" s="1020" t="n"/>
      <c r="AO55" s="1020" t="n"/>
      <c r="AP55" s="1020" t="n"/>
      <c r="AQ55" s="1020" t="n"/>
      <c r="AR55" s="1020" t="n"/>
      <c r="AS55" s="1020" t="n"/>
      <c r="AT55" s="1020" t="n"/>
      <c r="AU55" s="1020" t="n"/>
      <c r="AV55" s="1020" t="n"/>
      <c r="AW55" s="1020" t="n"/>
      <c r="AX55" s="1020" t="n"/>
      <c r="AY55" s="1020" t="n"/>
      <c r="AZ55" s="1020" t="n"/>
      <c r="BA55" s="1020" t="n"/>
      <c r="BB55" s="1020" t="n"/>
      <c r="BC55" s="1020" t="n"/>
      <c r="BD55" s="1020" t="n"/>
      <c r="BE55" s="1020" t="n"/>
      <c r="BF55" s="1020" t="n"/>
      <c r="BG55" s="1020" t="n"/>
      <c r="BH55" s="1020" t="n"/>
      <c r="BI55" s="1020" t="n"/>
      <c r="BJ55" s="1020" t="n"/>
      <c r="BK55" s="1026" t="n"/>
      <c r="BL55" s="1026" t="n"/>
      <c r="BM55" s="1026" t="n"/>
      <c r="BN55" s="556" t="n"/>
      <c r="BO55" s="556" t="n"/>
      <c r="BP55" s="1055" t="n"/>
      <c r="BQ55" s="556" t="n"/>
      <c r="BR55" s="554" t="n"/>
      <c r="BS55" s="556" t="n"/>
      <c r="BT55" s="1056" t="n"/>
      <c r="BU55" s="556" t="n"/>
      <c r="BV55" s="557" t="n"/>
      <c r="BW55" s="557" t="n"/>
      <c r="BX55" s="548" t="n"/>
      <c r="BY55" s="556" t="n"/>
      <c r="BZ55" s="557" t="n"/>
      <c r="CA55" s="557" t="n"/>
      <c r="CB55" s="556" t="n"/>
      <c r="CC55" s="556" t="n"/>
      <c r="CD55" s="557" t="n"/>
      <c r="CE55" s="556" t="n"/>
      <c r="CF55" s="556" t="n"/>
      <c r="CG55" s="556" t="n"/>
      <c r="CH55" s="556" t="n"/>
      <c r="CI55" s="1057" t="n"/>
      <c r="CJ55" s="1030" t="n"/>
      <c r="CK55" s="559" t="n"/>
      <c r="CL55" s="559" t="n"/>
      <c r="CM55" s="1031" t="n"/>
      <c r="CN55" s="451" t="n"/>
      <c r="CO55" s="451" t="n"/>
      <c r="CP55" s="1032" t="n"/>
      <c r="CQ55" s="1033" t="n"/>
      <c r="CR55" s="1032" t="n"/>
      <c r="CS55" s="454" t="n"/>
      <c r="CT55" s="455" t="n"/>
      <c r="CU55" s="559" t="n"/>
      <c r="CV55" s="456" t="n"/>
      <c r="CW55" s="1034" t="n"/>
      <c r="CX55" s="1035" t="n"/>
      <c r="CY55" s="1036" t="n"/>
      <c r="CZ55" s="1037" t="n"/>
      <c r="DA55" s="1038" t="n"/>
      <c r="DB55" s="1039" t="n"/>
      <c r="DC55" s="1040" t="n"/>
      <c r="DD55" s="1040" t="n"/>
      <c r="DE55" s="1041" t="n"/>
      <c r="DF55" s="1037" t="n"/>
      <c r="DG55" s="1038" t="n"/>
      <c r="DH55" s="1039" t="n"/>
      <c r="DI55" s="1042" t="n"/>
      <c r="DJ55" s="566" t="n"/>
      <c r="DK55" s="697" t="n"/>
      <c r="DL55" s="1058" t="n"/>
      <c r="DM55" s="1059" t="n"/>
      <c r="DN55" s="1044" t="n"/>
      <c r="DO55" s="1045" t="n"/>
      <c r="DP55" s="565" t="n"/>
      <c r="DQ55" s="1046" t="n"/>
      <c r="DR55" s="462" t="n"/>
      <c r="DS55" s="1047" t="n"/>
      <c r="DT55" s="1047" t="n"/>
      <c r="DU55" s="695" t="n"/>
      <c r="DV55" s="696" t="n"/>
      <c r="DW55" s="696" t="n"/>
      <c r="DX55" s="735" t="n"/>
      <c r="DY55" s="735" t="n"/>
      <c r="DZ55" s="1048" t="n"/>
      <c r="EA55" s="1048" t="n"/>
      <c r="EB55" s="1048" t="n"/>
      <c r="EC55" s="1048" t="n"/>
      <c r="ED55" s="1048" t="n"/>
      <c r="EE55" s="1048" t="n"/>
      <c r="EF55" s="442" t="n"/>
      <c r="EG55" s="1048" t="n"/>
      <c r="EH55" s="1049" t="n"/>
      <c r="EI55" s="1050" t="n"/>
      <c r="EJ55" s="1050" t="n"/>
      <c r="EK55" s="1051" t="n"/>
      <c r="EL55" s="1051" t="n"/>
      <c r="EM55" s="1051" t="n"/>
      <c r="EN55" s="1051" t="n"/>
      <c r="EO55" s="1051" t="n"/>
      <c r="EP55" s="1051" t="n"/>
      <c r="EQ55" s="1051" t="n"/>
      <c r="ER55" s="1051" t="n"/>
      <c r="ES55" s="1051" t="n"/>
      <c r="ET55" s="1051" t="n"/>
      <c r="EU55" s="1051" t="n"/>
      <c r="EV55" s="1051" t="n"/>
      <c r="EW55" s="1051" t="n"/>
      <c r="EX55" s="1051" t="n"/>
      <c r="EY55" s="1051" t="n"/>
      <c r="EZ55" s="1051" t="n"/>
      <c r="FA55" s="1051" t="n"/>
      <c r="FB55" s="1051" t="n"/>
      <c r="FC55" s="1051" t="n"/>
      <c r="FD55" s="1051" t="n"/>
      <c r="FE55" s="1052" t="n"/>
      <c r="FF55" s="1052" t="n"/>
      <c r="FG55" s="1052" t="n"/>
      <c r="FH55" s="1053" t="n"/>
      <c r="FI55" s="1053" t="n"/>
      <c r="FJ55" s="1053" t="n"/>
      <c r="FK55" s="1053" t="n"/>
      <c r="FL55" s="1053" t="n"/>
      <c r="FM55" s="1052" t="n"/>
      <c r="FN55" s="1052" t="n"/>
      <c r="FO55" s="1052" t="n"/>
      <c r="FP55" s="1053" t="n"/>
      <c r="FQ55" s="1053" t="n"/>
      <c r="FR55" s="1053" t="n"/>
      <c r="FS55" s="1053" t="n"/>
      <c r="FT55" s="1053" t="n"/>
      <c r="FU55" s="1053" t="n"/>
      <c r="FV55" s="1053" t="n"/>
      <c r="FW55" s="1053" t="n"/>
      <c r="FX55" s="1053" t="n"/>
      <c r="FY55" s="1053" t="n"/>
      <c r="FZ55" s="1053" t="n"/>
      <c r="GA55" s="1053" t="n"/>
      <c r="GB55" s="1053" t="n"/>
      <c r="GC55" s="1053" t="n"/>
      <c r="GD55" s="1051" t="n"/>
      <c r="GE55" s="1053" t="n"/>
      <c r="GF55" s="1053" t="n"/>
      <c r="GG55" s="1053" t="n"/>
      <c r="GH55" s="1053" t="n"/>
      <c r="GI55" s="1053" t="n"/>
      <c r="GJ55" s="1053" t="n"/>
      <c r="GK55" s="1053" t="n"/>
      <c r="GL55" s="1051" t="n"/>
      <c r="GM55" s="1053" t="n"/>
      <c r="GN55" s="1053" t="n"/>
      <c r="GO55" s="1053" t="n"/>
      <c r="GP55" s="1053" t="n"/>
      <c r="GQ55" s="1051" t="n"/>
      <c r="GR55" s="1053" t="n"/>
      <c r="GS55" s="1053" t="n"/>
      <c r="GT55" s="1053" t="n"/>
      <c r="GU55" s="1051" t="n"/>
      <c r="GV55" s="1051" t="n"/>
      <c r="GW55" s="1051" t="n"/>
      <c r="GX55" s="1051" t="n"/>
      <c r="GY55" s="1051" t="n"/>
      <c r="GZ55" s="1051" t="n"/>
      <c r="HA55" s="1051" t="n"/>
      <c r="HB55" s="1051" t="n"/>
      <c r="HC55" s="1051" t="n"/>
      <c r="HD55" s="1051" t="n"/>
      <c r="HE55" s="1053" t="n"/>
      <c r="HF55" s="1053" t="n"/>
      <c r="HG55" s="1053" t="n"/>
      <c r="HH55" s="1053" t="n"/>
      <c r="HI55" s="1053" t="n"/>
      <c r="HJ55" s="1053" t="n"/>
      <c r="HK55" s="1054" t="n"/>
      <c r="HL55" s="1053" t="n"/>
      <c r="HM55" s="1053" t="n"/>
      <c r="HN55" s="1053" t="n"/>
    </row>
    <row r="56" ht="12.75" customFormat="1" customHeight="1" s="469">
      <c r="A56" s="318" t="n"/>
      <c r="B56" s="437" t="n"/>
      <c r="C56" s="437" t="n"/>
      <c r="D56" s="438" t="n"/>
      <c r="E56" s="439" t="n"/>
      <c r="F56" s="439" t="n"/>
      <c r="G56" s="439" t="n"/>
      <c r="H56" s="439" t="n"/>
      <c r="I56" s="439" t="n"/>
      <c r="J56" s="439" t="n"/>
      <c r="K56" s="439" t="n"/>
      <c r="L56" s="439" t="n"/>
      <c r="M56" s="439" t="n"/>
      <c r="N56" s="439" t="n"/>
      <c r="O56" s="493" t="n"/>
      <c r="P56" s="764" t="n"/>
      <c r="Q56" s="730" t="n"/>
      <c r="R56" s="440" t="n"/>
      <c r="S56" s="440" t="n"/>
      <c r="T56" s="441" t="n"/>
      <c r="U56" s="442" t="n"/>
      <c r="V56" s="1020" t="n"/>
      <c r="W56" s="1021" t="n"/>
      <c r="X56" s="1022" t="n"/>
      <c r="Y56" s="1023" t="n"/>
      <c r="Z56" s="1022" t="n"/>
      <c r="AA56" s="1023" t="n"/>
      <c r="AB56" s="1023" t="n"/>
      <c r="AC56" s="490" t="n"/>
      <c r="AD56" s="445" t="n"/>
      <c r="AE56" s="446" t="n"/>
      <c r="AF56" s="446" t="n"/>
      <c r="AG56" s="447" t="n"/>
      <c r="AH56" s="447" t="n"/>
      <c r="AI56" s="447" t="n"/>
      <c r="AJ56" s="448" t="n"/>
      <c r="AK56" s="449" t="n"/>
      <c r="AL56" s="446" t="n"/>
      <c r="AM56" s="1020" t="n"/>
      <c r="AN56" s="1020" t="n"/>
      <c r="AO56" s="1020" t="n"/>
      <c r="AP56" s="1020" t="n"/>
      <c r="AQ56" s="1020" t="n"/>
      <c r="AR56" s="1020" t="n"/>
      <c r="AS56" s="1020" t="n"/>
      <c r="AT56" s="1020" t="n"/>
      <c r="AU56" s="1020" t="n"/>
      <c r="AV56" s="1020" t="n"/>
      <c r="AW56" s="1020" t="n"/>
      <c r="AX56" s="1020" t="n"/>
      <c r="AY56" s="1020" t="n"/>
      <c r="AZ56" s="1020" t="n"/>
      <c r="BA56" s="1020" t="n"/>
      <c r="BB56" s="1020" t="n"/>
      <c r="BC56" s="1020" t="n"/>
      <c r="BD56" s="1020" t="n"/>
      <c r="BE56" s="1020" t="n"/>
      <c r="BF56" s="1020" t="n"/>
      <c r="BG56" s="1020" t="n"/>
      <c r="BH56" s="1020" t="n"/>
      <c r="BI56" s="1020" t="n"/>
      <c r="BJ56" s="1020" t="n"/>
      <c r="BK56" s="1026" t="n"/>
      <c r="BL56" s="1026" t="n"/>
      <c r="BM56" s="1026" t="n"/>
      <c r="BN56" s="556" t="n"/>
      <c r="BO56" s="556" t="n"/>
      <c r="BP56" s="1055" t="n"/>
      <c r="BQ56" s="556" t="n"/>
      <c r="BR56" s="554" t="n"/>
      <c r="BS56" s="556" t="n"/>
      <c r="BT56" s="1056" t="n"/>
      <c r="BU56" s="556" t="n"/>
      <c r="BV56" s="557" t="n"/>
      <c r="BW56" s="557" t="n"/>
      <c r="BX56" s="548" t="n"/>
      <c r="BY56" s="556" t="n"/>
      <c r="BZ56" s="557" t="n"/>
      <c r="CA56" s="557" t="n"/>
      <c r="CB56" s="556" t="n"/>
      <c r="CC56" s="556" t="n"/>
      <c r="CD56" s="557" t="n"/>
      <c r="CE56" s="556" t="n"/>
      <c r="CF56" s="556" t="n"/>
      <c r="CG56" s="556" t="n"/>
      <c r="CH56" s="556" t="n"/>
      <c r="CI56" s="1057" t="n"/>
      <c r="CJ56" s="1030" t="n"/>
      <c r="CK56" s="559" t="n"/>
      <c r="CL56" s="559" t="n"/>
      <c r="CM56" s="1031" t="n"/>
      <c r="CN56" s="451" t="n"/>
      <c r="CO56" s="451" t="n"/>
      <c r="CP56" s="1032" t="n"/>
      <c r="CQ56" s="1033" t="n"/>
      <c r="CR56" s="1032" t="n"/>
      <c r="CS56" s="454" t="n"/>
      <c r="CT56" s="455" t="n"/>
      <c r="CU56" s="559" t="n"/>
      <c r="CV56" s="456" t="n"/>
      <c r="CW56" s="1034" t="n"/>
      <c r="CX56" s="1035" t="n"/>
      <c r="CY56" s="1036" t="n"/>
      <c r="CZ56" s="1037" t="n"/>
      <c r="DA56" s="1038" t="n"/>
      <c r="DB56" s="1039" t="n"/>
      <c r="DC56" s="1040" t="n"/>
      <c r="DD56" s="1040" t="n"/>
      <c r="DE56" s="1041" t="n"/>
      <c r="DF56" s="1037" t="n"/>
      <c r="DG56" s="1038" t="n"/>
      <c r="DH56" s="1039" t="n"/>
      <c r="DI56" s="1042" t="n"/>
      <c r="DJ56" s="566" t="n"/>
      <c r="DK56" s="697" t="n"/>
      <c r="DL56" s="1058" t="n"/>
      <c r="DM56" s="1059" t="n"/>
      <c r="DN56" s="1044" t="n"/>
      <c r="DO56" s="1045" t="n"/>
      <c r="DP56" s="565" t="n"/>
      <c r="DQ56" s="1046" t="n"/>
      <c r="DR56" s="462" t="n"/>
      <c r="DS56" s="1047" t="n"/>
      <c r="DT56" s="1047" t="n"/>
      <c r="DU56" s="695" t="n"/>
      <c r="DV56" s="696" t="n"/>
      <c r="DW56" s="696" t="n"/>
      <c r="DX56" s="735" t="n"/>
      <c r="DY56" s="735" t="n"/>
      <c r="DZ56" s="1048" t="n"/>
      <c r="EA56" s="1048" t="n"/>
      <c r="EB56" s="1048" t="n"/>
      <c r="EC56" s="1048" t="n"/>
      <c r="ED56" s="1048" t="n"/>
      <c r="EE56" s="1048" t="n"/>
      <c r="EF56" s="442" t="n"/>
      <c r="EG56" s="1048" t="n"/>
      <c r="EH56" s="1049" t="n"/>
      <c r="EI56" s="1050" t="n"/>
      <c r="EJ56" s="1050" t="n"/>
      <c r="EK56" s="1051" t="n"/>
      <c r="EL56" s="1051" t="n"/>
      <c r="EM56" s="1051" t="n"/>
      <c r="EN56" s="1051" t="n"/>
      <c r="EO56" s="1051" t="n"/>
      <c r="EP56" s="1051" t="n"/>
      <c r="EQ56" s="1051" t="n"/>
      <c r="ER56" s="1051" t="n"/>
      <c r="ES56" s="1051" t="n"/>
      <c r="ET56" s="1051" t="n"/>
      <c r="EU56" s="1051" t="n"/>
      <c r="EV56" s="1051" t="n"/>
      <c r="EW56" s="1051" t="n"/>
      <c r="EX56" s="1051" t="n"/>
      <c r="EY56" s="1051" t="n"/>
      <c r="EZ56" s="1051" t="n"/>
      <c r="FA56" s="1051" t="n"/>
      <c r="FB56" s="1051" t="n"/>
      <c r="FC56" s="1051" t="n"/>
      <c r="FD56" s="1051" t="n"/>
      <c r="FE56" s="1052" t="n"/>
      <c r="FF56" s="1052" t="n"/>
      <c r="FG56" s="1052" t="n"/>
      <c r="FH56" s="1053" t="n"/>
      <c r="FI56" s="1053" t="n"/>
      <c r="FJ56" s="1053" t="n"/>
      <c r="FK56" s="1053" t="n"/>
      <c r="FL56" s="1053" t="n"/>
      <c r="FM56" s="1052" t="n"/>
      <c r="FN56" s="1052" t="n"/>
      <c r="FO56" s="1052" t="n"/>
      <c r="FP56" s="1053" t="n"/>
      <c r="FQ56" s="1053" t="n"/>
      <c r="FR56" s="1053" t="n"/>
      <c r="FS56" s="1053" t="n"/>
      <c r="FT56" s="1053" t="n"/>
      <c r="FU56" s="1053" t="n"/>
      <c r="FV56" s="1053" t="n"/>
      <c r="FW56" s="1053" t="n"/>
      <c r="FX56" s="1053" t="n"/>
      <c r="FY56" s="1053" t="n"/>
      <c r="FZ56" s="1053" t="n"/>
      <c r="GA56" s="1053" t="n"/>
      <c r="GB56" s="1053" t="n"/>
      <c r="GC56" s="1053" t="n"/>
      <c r="GD56" s="1051" t="n"/>
      <c r="GE56" s="1053" t="n"/>
      <c r="GF56" s="1053" t="n"/>
      <c r="GG56" s="1053" t="n"/>
      <c r="GH56" s="1053" t="n"/>
      <c r="GI56" s="1053" t="n"/>
      <c r="GJ56" s="1053" t="n"/>
      <c r="GK56" s="1053" t="n"/>
      <c r="GL56" s="1051" t="n"/>
      <c r="GM56" s="1053" t="n"/>
      <c r="GN56" s="1053" t="n"/>
      <c r="GO56" s="1053" t="n"/>
      <c r="GP56" s="1053" t="n"/>
      <c r="GQ56" s="1051" t="n"/>
      <c r="GR56" s="1053" t="n"/>
      <c r="GS56" s="1053" t="n"/>
      <c r="GT56" s="1053" t="n"/>
      <c r="GU56" s="1051" t="n"/>
      <c r="GV56" s="1051" t="n"/>
      <c r="GW56" s="1051" t="n"/>
      <c r="GX56" s="1051" t="n"/>
      <c r="GY56" s="1051" t="n"/>
      <c r="GZ56" s="1051" t="n"/>
      <c r="HA56" s="1051" t="n"/>
      <c r="HB56" s="1051" t="n"/>
      <c r="HC56" s="1051" t="n"/>
      <c r="HD56" s="1051" t="n"/>
      <c r="HE56" s="1053" t="n"/>
      <c r="HF56" s="1053" t="n"/>
      <c r="HG56" s="1053" t="n"/>
      <c r="HH56" s="1053" t="n"/>
      <c r="HI56" s="1053" t="n"/>
      <c r="HJ56" s="1053" t="n"/>
      <c r="HK56" s="1054" t="n"/>
      <c r="HL56" s="1053" t="n"/>
      <c r="HM56" s="1053" t="n"/>
      <c r="HN56" s="1053" t="n"/>
    </row>
    <row r="57" ht="12.75" customFormat="1" customHeight="1" s="469">
      <c r="A57" s="318" t="n"/>
      <c r="B57" s="437" t="n"/>
      <c r="C57" s="437" t="n"/>
      <c r="D57" s="438" t="n"/>
      <c r="E57" s="439" t="n"/>
      <c r="F57" s="439" t="n"/>
      <c r="G57" s="439" t="n"/>
      <c r="H57" s="439" t="n"/>
      <c r="I57" s="439" t="n"/>
      <c r="J57" s="439" t="n"/>
      <c r="K57" s="439" t="n"/>
      <c r="L57" s="439" t="n"/>
      <c r="M57" s="439" t="n"/>
      <c r="N57" s="439" t="n"/>
      <c r="O57" s="493" t="n"/>
      <c r="P57" s="764" t="n"/>
      <c r="Q57" s="730" t="n"/>
      <c r="R57" s="440" t="n"/>
      <c r="S57" s="440" t="n"/>
      <c r="T57" s="441" t="n"/>
      <c r="U57" s="442" t="n"/>
      <c r="V57" s="1020" t="n"/>
      <c r="W57" s="1021" t="n"/>
      <c r="X57" s="1022" t="n"/>
      <c r="Y57" s="1023" t="n"/>
      <c r="Z57" s="1022" t="n"/>
      <c r="AA57" s="1023" t="n"/>
      <c r="AB57" s="1023" t="n"/>
      <c r="AC57" s="490" t="n"/>
      <c r="AD57" s="445" t="n"/>
      <c r="AE57" s="446" t="n"/>
      <c r="AF57" s="446" t="n"/>
      <c r="AG57" s="447" t="n"/>
      <c r="AH57" s="447" t="n"/>
      <c r="AI57" s="447" t="n"/>
      <c r="AJ57" s="448" t="n"/>
      <c r="AK57" s="449" t="n"/>
      <c r="AL57" s="446" t="n"/>
      <c r="AM57" s="1020" t="n"/>
      <c r="AN57" s="1020" t="n"/>
      <c r="AO57" s="1020" t="n"/>
      <c r="AP57" s="1020" t="n"/>
      <c r="AQ57" s="1020" t="n"/>
      <c r="AR57" s="1020" t="n"/>
      <c r="AS57" s="1020" t="n"/>
      <c r="AT57" s="1020" t="n"/>
      <c r="AU57" s="1020" t="n"/>
      <c r="AV57" s="1020" t="n"/>
      <c r="AW57" s="1020" t="n"/>
      <c r="AX57" s="1020" t="n"/>
      <c r="AY57" s="1020" t="n"/>
      <c r="AZ57" s="1020" t="n"/>
      <c r="BA57" s="1020" t="n"/>
      <c r="BB57" s="1020" t="n"/>
      <c r="BC57" s="1020" t="n"/>
      <c r="BD57" s="1020" t="n"/>
      <c r="BE57" s="1020" t="n"/>
      <c r="BF57" s="1020" t="n"/>
      <c r="BG57" s="1020" t="n"/>
      <c r="BH57" s="1020" t="n"/>
      <c r="BI57" s="1020" t="n"/>
      <c r="BJ57" s="1020" t="n"/>
      <c r="BK57" s="1026" t="n"/>
      <c r="BL57" s="1026" t="n"/>
      <c r="BM57" s="1026" t="n"/>
      <c r="BN57" s="556" t="n"/>
      <c r="BO57" s="556" t="n"/>
      <c r="BP57" s="1055" t="n"/>
      <c r="BQ57" s="556" t="n"/>
      <c r="BR57" s="554" t="n"/>
      <c r="BS57" s="556" t="n"/>
      <c r="BT57" s="1056" t="n"/>
      <c r="BU57" s="556" t="n"/>
      <c r="BV57" s="557" t="n"/>
      <c r="BW57" s="557" t="n"/>
      <c r="BX57" s="548" t="n"/>
      <c r="BY57" s="556" t="n"/>
      <c r="BZ57" s="557" t="n"/>
      <c r="CA57" s="557" t="n"/>
      <c r="CB57" s="556" t="n"/>
      <c r="CC57" s="556" t="n"/>
      <c r="CD57" s="557" t="n"/>
      <c r="CE57" s="556" t="n"/>
      <c r="CF57" s="556" t="n"/>
      <c r="CG57" s="556" t="n"/>
      <c r="CH57" s="556" t="n"/>
      <c r="CI57" s="1057" t="n"/>
      <c r="CJ57" s="1030" t="n"/>
      <c r="CK57" s="559" t="n"/>
      <c r="CL57" s="559" t="n"/>
      <c r="CM57" s="1031" t="n"/>
      <c r="CN57" s="451" t="n"/>
      <c r="CO57" s="451" t="n"/>
      <c r="CP57" s="1032" t="n"/>
      <c r="CQ57" s="1033" t="n"/>
      <c r="CR57" s="1032" t="n"/>
      <c r="CS57" s="454" t="n"/>
      <c r="CT57" s="455" t="n"/>
      <c r="CU57" s="559" t="n"/>
      <c r="CV57" s="456" t="n"/>
      <c r="CW57" s="1034" t="n"/>
      <c r="CX57" s="1035" t="n"/>
      <c r="CY57" s="1036" t="n"/>
      <c r="CZ57" s="1037" t="n"/>
      <c r="DA57" s="1038" t="n"/>
      <c r="DB57" s="1039" t="n"/>
      <c r="DC57" s="1040" t="n"/>
      <c r="DD57" s="1040" t="n"/>
      <c r="DE57" s="1041" t="n"/>
      <c r="DF57" s="1037" t="n"/>
      <c r="DG57" s="1038" t="n"/>
      <c r="DH57" s="1039" t="n"/>
      <c r="DI57" s="1042" t="n"/>
      <c r="DJ57" s="566" t="n"/>
      <c r="DK57" s="697" t="n"/>
      <c r="DL57" s="1058" t="n"/>
      <c r="DM57" s="1059" t="n"/>
      <c r="DN57" s="1044" t="n"/>
      <c r="DO57" s="1045" t="n"/>
      <c r="DP57" s="565" t="n"/>
      <c r="DQ57" s="1046" t="n"/>
      <c r="DR57" s="462" t="n"/>
      <c r="DS57" s="1047" t="n"/>
      <c r="DT57" s="1047" t="n"/>
      <c r="DU57" s="695" t="n"/>
      <c r="DV57" s="696" t="n"/>
      <c r="DW57" s="696" t="n"/>
      <c r="DX57" s="735" t="n"/>
      <c r="DY57" s="735" t="n"/>
      <c r="DZ57" s="1048" t="n"/>
      <c r="EA57" s="1048" t="n"/>
      <c r="EB57" s="1048" t="n"/>
      <c r="EC57" s="1048" t="n"/>
      <c r="ED57" s="1048" t="n"/>
      <c r="EE57" s="1048" t="n"/>
      <c r="EF57" s="442" t="n"/>
      <c r="EG57" s="1048" t="n"/>
      <c r="EH57" s="1049" t="n"/>
      <c r="EI57" s="1050" t="n"/>
      <c r="EJ57" s="1050" t="n"/>
      <c r="EK57" s="1051" t="n"/>
      <c r="EL57" s="1051" t="n"/>
      <c r="EM57" s="1051" t="n"/>
      <c r="EN57" s="1051" t="n"/>
      <c r="EO57" s="1051" t="n"/>
      <c r="EP57" s="1051" t="n"/>
      <c r="EQ57" s="1051" t="n"/>
      <c r="ER57" s="1051" t="n"/>
      <c r="ES57" s="1051" t="n"/>
      <c r="ET57" s="1051" t="n"/>
      <c r="EU57" s="1051" t="n"/>
      <c r="EV57" s="1051" t="n"/>
      <c r="EW57" s="1051" t="n"/>
      <c r="EX57" s="1051" t="n"/>
      <c r="EY57" s="1051" t="n"/>
      <c r="EZ57" s="1051" t="n"/>
      <c r="FA57" s="1051" t="n"/>
      <c r="FB57" s="1051" t="n"/>
      <c r="FC57" s="1051" t="n"/>
      <c r="FD57" s="1051" t="n"/>
      <c r="FE57" s="1052" t="n"/>
      <c r="FF57" s="1052" t="n"/>
      <c r="FG57" s="1052" t="n"/>
      <c r="FH57" s="1053" t="n"/>
      <c r="FI57" s="1053" t="n"/>
      <c r="FJ57" s="1053" t="n"/>
      <c r="FK57" s="1053" t="n"/>
      <c r="FL57" s="1053" t="n"/>
      <c r="FM57" s="1052" t="n"/>
      <c r="FN57" s="1052" t="n"/>
      <c r="FO57" s="1052" t="n"/>
      <c r="FP57" s="1053" t="n"/>
      <c r="FQ57" s="1053" t="n"/>
      <c r="FR57" s="1053" t="n"/>
      <c r="FS57" s="1053" t="n"/>
      <c r="FT57" s="1053" t="n"/>
      <c r="FU57" s="1053" t="n"/>
      <c r="FV57" s="1053" t="n"/>
      <c r="FW57" s="1053" t="n"/>
      <c r="FX57" s="1053" t="n"/>
      <c r="FY57" s="1053" t="n"/>
      <c r="FZ57" s="1053" t="n"/>
      <c r="GA57" s="1053" t="n"/>
      <c r="GB57" s="1053" t="n"/>
      <c r="GC57" s="1053" t="n"/>
      <c r="GD57" s="1051" t="n"/>
      <c r="GE57" s="1053" t="n"/>
      <c r="GF57" s="1053" t="n"/>
      <c r="GG57" s="1053" t="n"/>
      <c r="GH57" s="1053" t="n"/>
      <c r="GI57" s="1053" t="n"/>
      <c r="GJ57" s="1053" t="n"/>
      <c r="GK57" s="1053" t="n"/>
      <c r="GL57" s="1051" t="n"/>
      <c r="GM57" s="1053" t="n"/>
      <c r="GN57" s="1053" t="n"/>
      <c r="GO57" s="1053" t="n"/>
      <c r="GP57" s="1053" t="n"/>
      <c r="GQ57" s="1051" t="n"/>
      <c r="GR57" s="1053" t="n"/>
      <c r="GS57" s="1053" t="n"/>
      <c r="GT57" s="1053" t="n"/>
      <c r="GU57" s="1051" t="n"/>
      <c r="GV57" s="1051" t="n"/>
      <c r="GW57" s="1051" t="n"/>
      <c r="GX57" s="1051" t="n"/>
      <c r="GY57" s="1051" t="n"/>
      <c r="GZ57" s="1051" t="n"/>
      <c r="HA57" s="1051" t="n"/>
      <c r="HB57" s="1051" t="n"/>
      <c r="HC57" s="1051" t="n"/>
      <c r="HD57" s="1051" t="n"/>
      <c r="HE57" s="1053" t="n"/>
      <c r="HF57" s="1053" t="n"/>
      <c r="HG57" s="1053" t="n"/>
      <c r="HH57" s="1053" t="n"/>
      <c r="HI57" s="1053" t="n"/>
      <c r="HJ57" s="1053" t="n"/>
      <c r="HK57" s="1054" t="n"/>
      <c r="HL57" s="1053" t="n"/>
      <c r="HM57" s="1053" t="n"/>
      <c r="HN57" s="1053" t="n"/>
    </row>
    <row r="58" ht="12.75" customFormat="1" customHeight="1" s="469">
      <c r="A58" s="318" t="n"/>
      <c r="B58" s="437" t="n"/>
      <c r="C58" s="437" t="n"/>
      <c r="D58" s="438" t="n"/>
      <c r="E58" s="439" t="n"/>
      <c r="F58" s="439" t="n"/>
      <c r="G58" s="439" t="n"/>
      <c r="H58" s="439" t="n"/>
      <c r="I58" s="439" t="n"/>
      <c r="J58" s="439" t="n"/>
      <c r="K58" s="439" t="n"/>
      <c r="L58" s="439" t="n"/>
      <c r="M58" s="439" t="n"/>
      <c r="N58" s="439" t="n"/>
      <c r="O58" s="493" t="n"/>
      <c r="P58" s="764" t="n"/>
      <c r="Q58" s="730" t="n"/>
      <c r="R58" s="440" t="n"/>
      <c r="S58" s="440" t="n"/>
      <c r="T58" s="441" t="n"/>
      <c r="U58" s="442" t="n"/>
      <c r="V58" s="1020" t="n"/>
      <c r="W58" s="1021" t="n"/>
      <c r="X58" s="1022" t="n"/>
      <c r="Y58" s="1023" t="n"/>
      <c r="Z58" s="1022" t="n"/>
      <c r="AA58" s="1023" t="n"/>
      <c r="AB58" s="1023" t="n"/>
      <c r="AC58" s="490" t="n"/>
      <c r="AD58" s="445" t="n"/>
      <c r="AE58" s="446" t="n"/>
      <c r="AF58" s="446" t="n"/>
      <c r="AG58" s="447" t="n"/>
      <c r="AH58" s="447" t="n"/>
      <c r="AI58" s="447" t="n"/>
      <c r="AJ58" s="448" t="n"/>
      <c r="AK58" s="449" t="n"/>
      <c r="AL58" s="446" t="n"/>
      <c r="AM58" s="1020" t="n"/>
      <c r="AN58" s="1020" t="n"/>
      <c r="AO58" s="1020" t="n"/>
      <c r="AP58" s="1020" t="n"/>
      <c r="AQ58" s="1020" t="n"/>
      <c r="AR58" s="1020" t="n"/>
      <c r="AS58" s="1020" t="n"/>
      <c r="AT58" s="1020" t="n"/>
      <c r="AU58" s="1020" t="n"/>
      <c r="AV58" s="1020" t="n"/>
      <c r="AW58" s="1020" t="n"/>
      <c r="AX58" s="1020" t="n"/>
      <c r="AY58" s="1020" t="n"/>
      <c r="AZ58" s="1020" t="n"/>
      <c r="BA58" s="1020" t="n"/>
      <c r="BB58" s="1020" t="n"/>
      <c r="BC58" s="1020" t="n"/>
      <c r="BD58" s="1020" t="n"/>
      <c r="BE58" s="1020" t="n"/>
      <c r="BF58" s="1020" t="n"/>
      <c r="BG58" s="1020" t="n"/>
      <c r="BH58" s="1020" t="n"/>
      <c r="BI58" s="1020" t="n"/>
      <c r="BJ58" s="1020" t="n"/>
      <c r="BK58" s="1026" t="n"/>
      <c r="BL58" s="1026" t="n"/>
      <c r="BM58" s="1026" t="n"/>
      <c r="BN58" s="556" t="n"/>
      <c r="BO58" s="556" t="n"/>
      <c r="BP58" s="1055" t="n"/>
      <c r="BQ58" s="556" t="n"/>
      <c r="BR58" s="554" t="n"/>
      <c r="BS58" s="556" t="n"/>
      <c r="BT58" s="1056" t="n"/>
      <c r="BU58" s="556" t="n"/>
      <c r="BV58" s="557" t="n"/>
      <c r="BW58" s="557" t="n"/>
      <c r="BX58" s="548" t="n"/>
      <c r="BY58" s="556" t="n"/>
      <c r="BZ58" s="557" t="n"/>
      <c r="CA58" s="557" t="n"/>
      <c r="CB58" s="556" t="n"/>
      <c r="CC58" s="556" t="n"/>
      <c r="CD58" s="557" t="n"/>
      <c r="CE58" s="556" t="n"/>
      <c r="CF58" s="556" t="n"/>
      <c r="CG58" s="556" t="n"/>
      <c r="CH58" s="556" t="n"/>
      <c r="CI58" s="1057" t="n"/>
      <c r="CJ58" s="1030" t="n"/>
      <c r="CK58" s="559" t="n"/>
      <c r="CL58" s="559" t="n"/>
      <c r="CM58" s="1031" t="n"/>
      <c r="CN58" s="451" t="n"/>
      <c r="CO58" s="451" t="n"/>
      <c r="CP58" s="1032" t="n"/>
      <c r="CQ58" s="1033" t="n"/>
      <c r="CR58" s="1032" t="n"/>
      <c r="CS58" s="454" t="n"/>
      <c r="CT58" s="455" t="n"/>
      <c r="CU58" s="559" t="n"/>
      <c r="CV58" s="456" t="n"/>
      <c r="CW58" s="1034" t="n"/>
      <c r="CX58" s="1035" t="n"/>
      <c r="CY58" s="1036" t="n"/>
      <c r="CZ58" s="1037" t="n"/>
      <c r="DA58" s="1038" t="n"/>
      <c r="DB58" s="1039" t="n"/>
      <c r="DC58" s="1040" t="n"/>
      <c r="DD58" s="1040" t="n"/>
      <c r="DE58" s="1041" t="n"/>
      <c r="DF58" s="1037" t="n"/>
      <c r="DG58" s="1038" t="n"/>
      <c r="DH58" s="1039" t="n"/>
      <c r="DI58" s="1042" t="n"/>
      <c r="DJ58" s="566" t="n"/>
      <c r="DK58" s="697" t="n"/>
      <c r="DL58" s="1058" t="n"/>
      <c r="DM58" s="1059" t="n"/>
      <c r="DN58" s="1044" t="n"/>
      <c r="DO58" s="1045" t="n"/>
      <c r="DP58" s="565" t="n"/>
      <c r="DQ58" s="1046" t="n"/>
      <c r="DR58" s="462" t="n"/>
      <c r="DS58" s="1047" t="n"/>
      <c r="DT58" s="1047" t="n"/>
      <c r="DU58" s="695" t="n"/>
      <c r="DV58" s="696" t="n"/>
      <c r="DW58" s="696" t="n"/>
      <c r="DX58" s="735" t="n"/>
      <c r="DY58" s="735" t="n"/>
      <c r="DZ58" s="1048" t="n"/>
      <c r="EA58" s="1048" t="n"/>
      <c r="EB58" s="1048" t="n"/>
      <c r="EC58" s="1048" t="n"/>
      <c r="ED58" s="1048" t="n"/>
      <c r="EE58" s="1048" t="n"/>
      <c r="EF58" s="442" t="n"/>
      <c r="EG58" s="1048" t="n"/>
      <c r="EH58" s="1049" t="n"/>
      <c r="EI58" s="1050" t="n"/>
      <c r="EJ58" s="1050" t="n"/>
      <c r="EK58" s="1051" t="n"/>
      <c r="EL58" s="1051" t="n"/>
      <c r="EM58" s="1051" t="n"/>
      <c r="EN58" s="1051" t="n"/>
      <c r="EO58" s="1051" t="n"/>
      <c r="EP58" s="1051" t="n"/>
      <c r="EQ58" s="1051" t="n"/>
      <c r="ER58" s="1051" t="n"/>
      <c r="ES58" s="1051" t="n"/>
      <c r="ET58" s="1051" t="n"/>
      <c r="EU58" s="1051" t="n"/>
      <c r="EV58" s="1051" t="n"/>
      <c r="EW58" s="1051" t="n"/>
      <c r="EX58" s="1051" t="n"/>
      <c r="EY58" s="1051" t="n"/>
      <c r="EZ58" s="1051" t="n"/>
      <c r="FA58" s="1051" t="n"/>
      <c r="FB58" s="1051" t="n"/>
      <c r="FC58" s="1051" t="n"/>
      <c r="FD58" s="1051" t="n"/>
      <c r="FE58" s="1052" t="n"/>
      <c r="FF58" s="1052" t="n"/>
      <c r="FG58" s="1052" t="n"/>
      <c r="FH58" s="1053" t="n"/>
      <c r="FI58" s="1053" t="n"/>
      <c r="FJ58" s="1053" t="n"/>
      <c r="FK58" s="1053" t="n"/>
      <c r="FL58" s="1053" t="n"/>
      <c r="FM58" s="1052" t="n"/>
      <c r="FN58" s="1052" t="n"/>
      <c r="FO58" s="1052" t="n"/>
      <c r="FP58" s="1053" t="n"/>
      <c r="FQ58" s="1053" t="n"/>
      <c r="FR58" s="1053" t="n"/>
      <c r="FS58" s="1053" t="n"/>
      <c r="FT58" s="1053" t="n"/>
      <c r="FU58" s="1053" t="n"/>
      <c r="FV58" s="1053" t="n"/>
      <c r="FW58" s="1053" t="n"/>
      <c r="FX58" s="1053" t="n"/>
      <c r="FY58" s="1053" t="n"/>
      <c r="FZ58" s="1053" t="n"/>
      <c r="GA58" s="1053" t="n"/>
      <c r="GB58" s="1053" t="n"/>
      <c r="GC58" s="1053" t="n"/>
      <c r="GD58" s="1051" t="n"/>
      <c r="GE58" s="1053" t="n"/>
      <c r="GF58" s="1053" t="n"/>
      <c r="GG58" s="1053" t="n"/>
      <c r="GH58" s="1053" t="n"/>
      <c r="GI58" s="1053" t="n"/>
      <c r="GJ58" s="1053" t="n"/>
      <c r="GK58" s="1053" t="n"/>
      <c r="GL58" s="1051" t="n"/>
      <c r="GM58" s="1053" t="n"/>
      <c r="GN58" s="1053" t="n"/>
      <c r="GO58" s="1053" t="n"/>
      <c r="GP58" s="1053" t="n"/>
      <c r="GQ58" s="1051" t="n"/>
      <c r="GR58" s="1053" t="n"/>
      <c r="GS58" s="1053" t="n"/>
      <c r="GT58" s="1053" t="n"/>
      <c r="GU58" s="1051" t="n"/>
      <c r="GV58" s="1051" t="n"/>
      <c r="GW58" s="1051" t="n"/>
      <c r="GX58" s="1051" t="n"/>
      <c r="GY58" s="1051" t="n"/>
      <c r="GZ58" s="1051" t="n"/>
      <c r="HA58" s="1051" t="n"/>
      <c r="HB58" s="1051" t="n"/>
      <c r="HC58" s="1051" t="n"/>
      <c r="HD58" s="1051" t="n"/>
      <c r="HE58" s="1053" t="n"/>
      <c r="HF58" s="1053" t="n"/>
      <c r="HG58" s="1053" t="n"/>
      <c r="HH58" s="1053" t="n"/>
      <c r="HI58" s="1053" t="n"/>
      <c r="HJ58" s="1053" t="n"/>
      <c r="HK58" s="1054" t="n"/>
      <c r="HL58" s="1053" t="n"/>
      <c r="HM58" s="1053" t="n"/>
      <c r="HN58" s="1053" t="n"/>
    </row>
    <row r="59" ht="12.75" customFormat="1" customHeight="1" s="469">
      <c r="A59" s="54" t="n"/>
      <c r="B59" s="437" t="n"/>
      <c r="C59" s="437" t="n"/>
      <c r="D59" s="438" t="n"/>
      <c r="E59" s="439" t="n"/>
      <c r="F59" s="439" t="n"/>
      <c r="G59" s="439" t="n"/>
      <c r="H59" s="439" t="n"/>
      <c r="I59" s="439" t="n"/>
      <c r="J59" s="439" t="n"/>
      <c r="K59" s="439" t="n"/>
      <c r="L59" s="439" t="n"/>
      <c r="M59" s="439" t="n"/>
      <c r="N59" s="439" t="n"/>
      <c r="O59" s="493" t="n"/>
      <c r="P59" s="764" t="n"/>
      <c r="Q59" s="730" t="n"/>
      <c r="R59" s="440" t="n"/>
      <c r="S59" s="440" t="n"/>
      <c r="T59" s="441" t="n"/>
      <c r="U59" s="442" t="n"/>
      <c r="V59" s="1020" t="n"/>
      <c r="W59" s="1021" t="n"/>
      <c r="X59" s="1022" t="n"/>
      <c r="Y59" s="1023" t="n"/>
      <c r="Z59" s="1022" t="n"/>
      <c r="AA59" s="1023" t="n"/>
      <c r="AB59" s="1023" t="n"/>
      <c r="AC59" s="490" t="n"/>
      <c r="AD59" s="445" t="n"/>
      <c r="AE59" s="446" t="n"/>
      <c r="AF59" s="446" t="n"/>
      <c r="AG59" s="447" t="n"/>
      <c r="AH59" s="447" t="n"/>
      <c r="AI59" s="447" t="n"/>
      <c r="AJ59" s="448" t="n"/>
      <c r="AK59" s="449" t="n"/>
      <c r="AL59" s="446" t="n"/>
      <c r="AM59" s="1020" t="n"/>
      <c r="AN59" s="1020" t="n"/>
      <c r="AO59" s="1020" t="n"/>
      <c r="AP59" s="1020" t="n"/>
      <c r="AQ59" s="1020" t="n"/>
      <c r="AR59" s="1020" t="n"/>
      <c r="AS59" s="1020" t="n"/>
      <c r="AT59" s="1020" t="n"/>
      <c r="AU59" s="1020" t="n"/>
      <c r="AV59" s="1020" t="n"/>
      <c r="AW59" s="1020" t="n"/>
      <c r="AX59" s="1020" t="n"/>
      <c r="AY59" s="1020" t="n"/>
      <c r="AZ59" s="1020" t="n"/>
      <c r="BA59" s="1020" t="n"/>
      <c r="BB59" s="1020" t="n"/>
      <c r="BC59" s="1020" t="n"/>
      <c r="BD59" s="1020" t="n"/>
      <c r="BE59" s="1020" t="n"/>
      <c r="BF59" s="1020" t="n"/>
      <c r="BG59" s="1020" t="n"/>
      <c r="BH59" s="1020" t="n"/>
      <c r="BI59" s="1020" t="n"/>
      <c r="BJ59" s="1020" t="n"/>
      <c r="BK59" s="1026" t="n"/>
      <c r="BL59" s="1026" t="n"/>
      <c r="BM59" s="1026" t="n"/>
      <c r="BN59" s="556" t="n"/>
      <c r="BO59" s="556" t="n"/>
      <c r="BP59" s="1055" t="n"/>
      <c r="BQ59" s="556" t="n"/>
      <c r="BR59" s="554" t="n"/>
      <c r="BS59" s="556" t="n"/>
      <c r="BT59" s="1056" t="n"/>
      <c r="BU59" s="556" t="n"/>
      <c r="BV59" s="557" t="n"/>
      <c r="BW59" s="557" t="n"/>
      <c r="BX59" s="548" t="n"/>
      <c r="BY59" s="556" t="n"/>
      <c r="BZ59" s="557" t="n"/>
      <c r="CA59" s="557" t="n"/>
      <c r="CB59" s="556" t="n"/>
      <c r="CC59" s="556" t="n"/>
      <c r="CD59" s="557" t="n"/>
      <c r="CE59" s="556" t="n"/>
      <c r="CF59" s="556" t="n"/>
      <c r="CG59" s="556" t="n"/>
      <c r="CH59" s="556" t="n"/>
      <c r="CI59" s="1057" t="n"/>
      <c r="CJ59" s="1030" t="n"/>
      <c r="CK59" s="559" t="n"/>
      <c r="CL59" s="559" t="n"/>
      <c r="CM59" s="1031" t="n"/>
      <c r="CN59" s="451" t="n"/>
      <c r="CO59" s="451" t="n"/>
      <c r="CP59" s="1032" t="n"/>
      <c r="CQ59" s="1033" t="n"/>
      <c r="CR59" s="1032" t="n"/>
      <c r="CS59" s="454" t="n"/>
      <c r="CT59" s="455" t="n"/>
      <c r="CU59" s="559" t="n"/>
      <c r="CV59" s="456" t="n"/>
      <c r="CW59" s="1034" t="n"/>
      <c r="CX59" s="1035" t="n"/>
      <c r="CY59" s="1036" t="n"/>
      <c r="CZ59" s="1037" t="n"/>
      <c r="DA59" s="1038" t="n"/>
      <c r="DB59" s="1039" t="n"/>
      <c r="DC59" s="1040" t="n"/>
      <c r="DD59" s="1040" t="n"/>
      <c r="DE59" s="1041" t="n"/>
      <c r="DF59" s="1037" t="n"/>
      <c r="DG59" s="1038" t="n"/>
      <c r="DH59" s="1039" t="n"/>
      <c r="DI59" s="1042" t="n"/>
      <c r="DJ59" s="566" t="n"/>
      <c r="DK59" s="697" t="n"/>
      <c r="DL59" s="1058" t="n"/>
      <c r="DM59" s="1059" t="n"/>
      <c r="DN59" s="1044" t="n"/>
      <c r="DO59" s="1045" t="n"/>
      <c r="DP59" s="565" t="n"/>
      <c r="DQ59" s="1046" t="n"/>
      <c r="DR59" s="462" t="n"/>
      <c r="DS59" s="1047" t="n"/>
      <c r="DT59" s="1047" t="n"/>
      <c r="DU59" s="695" t="n"/>
      <c r="DV59" s="696" t="n"/>
      <c r="DW59" s="696" t="n"/>
      <c r="DX59" s="735" t="n"/>
      <c r="DY59" s="735" t="n"/>
      <c r="DZ59" s="1048" t="n"/>
      <c r="EA59" s="1048" t="n"/>
      <c r="EB59" s="1048" t="n"/>
      <c r="EC59" s="1048" t="n"/>
      <c r="ED59" s="1048" t="n"/>
      <c r="EE59" s="1048" t="n"/>
      <c r="EF59" s="442" t="n"/>
      <c r="EG59" s="1048" t="n"/>
      <c r="EH59" s="1049" t="n"/>
      <c r="EI59" s="1050" t="n"/>
      <c r="EJ59" s="1050" t="n"/>
      <c r="EK59" s="1051" t="n"/>
      <c r="EL59" s="1051" t="n"/>
      <c r="EM59" s="1051" t="n"/>
      <c r="EN59" s="1051" t="n"/>
      <c r="EO59" s="1051" t="n"/>
      <c r="EP59" s="1051" t="n"/>
      <c r="EQ59" s="1051" t="n"/>
      <c r="ER59" s="1051" t="n"/>
      <c r="ES59" s="1051" t="n"/>
      <c r="ET59" s="1051" t="n"/>
      <c r="EU59" s="1051" t="n"/>
      <c r="EV59" s="1051" t="n"/>
      <c r="EW59" s="1051" t="n"/>
      <c r="EX59" s="1051" t="n"/>
      <c r="EY59" s="1051" t="n"/>
      <c r="EZ59" s="1051" t="n"/>
      <c r="FA59" s="1051" t="n"/>
      <c r="FB59" s="1051" t="n"/>
      <c r="FC59" s="1051" t="n"/>
      <c r="FD59" s="1051" t="n"/>
      <c r="FE59" s="1052" t="n"/>
      <c r="FF59" s="1052" t="n"/>
      <c r="FG59" s="1052" t="n"/>
      <c r="FH59" s="1053" t="n"/>
      <c r="FI59" s="1053" t="n"/>
      <c r="FJ59" s="1053" t="n"/>
      <c r="FK59" s="1053" t="n"/>
      <c r="FL59" s="1053" t="n"/>
      <c r="FM59" s="1052" t="n"/>
      <c r="FN59" s="1052" t="n"/>
      <c r="FO59" s="1052" t="n"/>
      <c r="FP59" s="1053" t="n"/>
      <c r="FQ59" s="1053" t="n"/>
      <c r="FR59" s="1053" t="n"/>
      <c r="FS59" s="1053" t="n"/>
      <c r="FT59" s="1053" t="n"/>
      <c r="FU59" s="1053" t="n"/>
      <c r="FV59" s="1053" t="n"/>
      <c r="FW59" s="1053" t="n"/>
      <c r="FX59" s="1053" t="n"/>
      <c r="FY59" s="1053" t="n"/>
      <c r="FZ59" s="1053" t="n"/>
      <c r="GA59" s="1053" t="n"/>
      <c r="GB59" s="1053" t="n"/>
      <c r="GC59" s="1053" t="n"/>
      <c r="GD59" s="1051" t="n"/>
      <c r="GE59" s="1053" t="n"/>
      <c r="GF59" s="1053" t="n"/>
      <c r="GG59" s="1053" t="n"/>
      <c r="GH59" s="1053" t="n"/>
      <c r="GI59" s="1053" t="n"/>
      <c r="GJ59" s="1053" t="n"/>
      <c r="GK59" s="1053" t="n"/>
      <c r="GL59" s="1051" t="n"/>
      <c r="GM59" s="1053" t="n"/>
      <c r="GN59" s="1053" t="n"/>
      <c r="GO59" s="1053" t="n"/>
      <c r="GP59" s="1053" t="n"/>
      <c r="GQ59" s="1051" t="n"/>
      <c r="GR59" s="1053" t="n"/>
      <c r="GS59" s="1053" t="n"/>
      <c r="GT59" s="1053" t="n"/>
      <c r="GU59" s="1051" t="n"/>
      <c r="GV59" s="1051" t="n"/>
      <c r="GW59" s="1051" t="n"/>
      <c r="GX59" s="1051" t="n"/>
      <c r="GY59" s="1051" t="n"/>
      <c r="GZ59" s="1051" t="n"/>
      <c r="HA59" s="1051" t="n"/>
      <c r="HB59" s="1051" t="n"/>
      <c r="HC59" s="1051" t="n"/>
      <c r="HD59" s="1051" t="n"/>
      <c r="HE59" s="1053" t="n"/>
      <c r="HF59" s="1053" t="n"/>
      <c r="HG59" s="1053" t="n"/>
      <c r="HH59" s="1053" t="n"/>
      <c r="HI59" s="1053" t="n"/>
      <c r="HJ59" s="1053" t="n"/>
      <c r="HK59" s="1054" t="n"/>
      <c r="HL59" s="1053" t="n"/>
      <c r="HM59" s="1053" t="n"/>
      <c r="HN59" s="1053" t="n"/>
    </row>
    <row r="60" ht="12.75" customFormat="1" customHeight="1" s="527">
      <c r="A60" s="494" t="inlineStr">
        <is>
          <t xml:space="preserve">PLACE CURSER HERE, THEN INPUT ROW HERE AND DRAG ALL FORMULAS DOWN (to add collateral loans) </t>
        </is>
      </c>
      <c r="B60" s="494" t="n"/>
      <c r="C60" s="494" t="n"/>
      <c r="D60" s="494" t="n"/>
      <c r="E60" s="368" t="n"/>
      <c r="F60" s="368" t="n"/>
      <c r="G60" s="368" t="n"/>
      <c r="H60" s="368" t="n"/>
      <c r="I60" s="368" t="n"/>
      <c r="J60" s="368" t="n"/>
      <c r="K60" s="368" t="n"/>
      <c r="L60" s="368" t="n"/>
      <c r="M60" s="368" t="n"/>
      <c r="N60" s="368" t="n"/>
      <c r="O60" s="368" t="n"/>
      <c r="P60" s="731" t="n"/>
      <c r="Q60" s="731" t="n"/>
      <c r="R60" s="495" t="n"/>
      <c r="S60" s="495" t="n"/>
      <c r="T60" s="496" t="n"/>
      <c r="U60" s="497" t="n"/>
      <c r="V60" s="1060" t="n"/>
      <c r="W60" s="1061" t="n"/>
      <c r="X60" s="1061" t="n"/>
      <c r="Y60" s="1061" t="n"/>
      <c r="Z60" s="1061" t="n"/>
      <c r="AA60" s="1062" t="n"/>
      <c r="AB60" s="1063" t="n"/>
      <c r="AC60" s="502" t="n"/>
      <c r="AD60" s="1063" t="n">
        <v>0</v>
      </c>
      <c r="AE60" s="1063" t="n"/>
      <c r="AF60" s="1063" t="n"/>
      <c r="AG60" s="1063" t="n"/>
      <c r="AH60" s="1063" t="n"/>
      <c r="AI60" s="1063" t="n"/>
      <c r="AJ60" s="1063" t="n"/>
      <c r="AK60" s="1063" t="n"/>
      <c r="AL60" s="1063" t="n"/>
      <c r="AM60" s="1063" t="n"/>
      <c r="AN60" s="1064" t="n"/>
      <c r="AO60" s="1064" t="n"/>
      <c r="AP60" s="1064" t="n"/>
      <c r="AQ60" s="1064" t="n"/>
      <c r="AR60" s="1064" t="n"/>
      <c r="AS60" s="1063" t="n"/>
      <c r="AT60" s="1064" t="n"/>
      <c r="AU60" s="1064" t="n"/>
      <c r="AV60" s="1064" t="n"/>
      <c r="AW60" s="1064" t="n"/>
      <c r="AX60" s="1064" t="n"/>
      <c r="AY60" s="1064" t="n"/>
      <c r="AZ60" s="1064" t="n"/>
      <c r="BA60" s="1064" t="n"/>
      <c r="BB60" s="1064" t="n"/>
      <c r="BC60" s="1064" t="n"/>
      <c r="BD60" s="1064" t="n"/>
      <c r="BE60" s="1064" t="n"/>
      <c r="BF60" s="1064" t="n"/>
      <c r="BG60" s="1064" t="n"/>
      <c r="BH60" s="1064" t="n"/>
      <c r="BI60" s="1064" t="n"/>
      <c r="BJ60" s="1064" t="n"/>
      <c r="BK60" s="1065" t="n"/>
      <c r="BL60" s="1065" t="n"/>
      <c r="BM60" s="505" t="n"/>
      <c r="BN60" s="506" t="n"/>
      <c r="BO60" s="506" t="n"/>
      <c r="BP60" s="506" t="n"/>
      <c r="BQ60" s="506" t="n"/>
      <c r="BR60" s="507" t="n"/>
      <c r="BS60" s="507" t="n"/>
      <c r="BT60" s="507" t="n"/>
      <c r="BU60" s="508" t="n"/>
      <c r="BV60" s="508" t="n"/>
      <c r="BW60" s="508" t="n"/>
      <c r="BX60" s="508" t="n"/>
      <c r="BY60" s="507" t="n"/>
      <c r="BZ60" s="507" t="n"/>
      <c r="CA60" s="507" t="n"/>
      <c r="CB60" s="507" t="n"/>
      <c r="CC60" s="507" t="n"/>
      <c r="CD60" s="507" t="n"/>
      <c r="CE60" s="507" t="n"/>
      <c r="CF60" s="507" t="n"/>
      <c r="CG60" s="1061" t="n"/>
      <c r="CH60" s="1061" t="n"/>
      <c r="CI60" s="1061" t="n"/>
      <c r="CJ60" s="1061" t="n"/>
      <c r="CK60" s="507" t="n"/>
      <c r="CL60" s="507" t="n"/>
      <c r="CM60" s="507" t="n"/>
      <c r="CN60" s="509" t="n"/>
      <c r="CO60" s="509" t="n"/>
      <c r="CP60" s="1066" t="n"/>
      <c r="CQ60" s="1066" t="n"/>
      <c r="CR60" s="1066" t="n"/>
      <c r="CS60" s="1066" t="n"/>
      <c r="CT60" s="1065" t="n"/>
      <c r="CU60" s="507" t="n"/>
      <c r="CV60" s="509" t="n"/>
      <c r="CW60" s="509" t="n"/>
      <c r="CX60" s="509" t="n"/>
      <c r="CY60" s="1066" t="n"/>
      <c r="CZ60" s="1065" t="n"/>
      <c r="DA60" s="1065" t="n"/>
      <c r="DB60" s="1065" t="n"/>
      <c r="DC60" s="1065" t="n"/>
      <c r="DD60" s="507" t="n"/>
      <c r="DE60" s="507" t="n"/>
      <c r="DF60" s="507" t="n"/>
      <c r="DG60" s="507" t="n"/>
      <c r="DH60" s="507" t="n"/>
      <c r="DI60" s="507" t="n"/>
      <c r="DJ60" s="507" t="n"/>
      <c r="DK60" s="507" t="n"/>
      <c r="DL60" s="507" t="n"/>
      <c r="DM60" s="507" t="n"/>
      <c r="DN60" s="511" t="n"/>
      <c r="DO60" s="507" t="n"/>
      <c r="DP60" s="507" t="n"/>
      <c r="DQ60" s="507" t="n"/>
      <c r="DR60" s="512" t="n"/>
      <c r="DS60" s="513" t="n"/>
      <c r="DT60" s="513" t="n"/>
      <c r="DU60" s="514" t="n"/>
      <c r="DV60" s="507" t="n"/>
      <c r="DW60" s="515" t="n"/>
      <c r="DX60" s="737" t="n"/>
      <c r="DY60" s="737" t="n"/>
      <c r="DZ60" s="738" t="n"/>
      <c r="EA60" s="738" t="n"/>
      <c r="EB60" s="738" t="n"/>
      <c r="EC60" s="738" t="n"/>
      <c r="ED60" s="738" t="n"/>
      <c r="EE60" s="738" t="n"/>
      <c r="EF60" s="516" t="n"/>
      <c r="EG60" s="738" t="n"/>
      <c r="EH60" s="738" t="n"/>
      <c r="EI60" s="1060" t="n"/>
      <c r="EJ60" s="1067" t="n"/>
      <c r="EK60" s="1068" t="n"/>
      <c r="EL60" s="1069" t="n"/>
      <c r="EM60" s="1069" t="n"/>
      <c r="EN60" s="1069" t="n"/>
      <c r="EO60" s="1069" t="n"/>
      <c r="EP60" s="1069" t="n"/>
      <c r="EQ60" s="1069" t="n"/>
      <c r="ER60" s="1069" t="n"/>
      <c r="ES60" s="1069" t="n"/>
      <c r="ET60" s="1069" t="n"/>
      <c r="EU60" s="1061" t="n"/>
      <c r="EV60" s="1061" t="n"/>
      <c r="EW60" s="1061" t="n"/>
      <c r="EX60" s="1061" t="n"/>
      <c r="EY60" s="1061" t="n"/>
      <c r="EZ60" s="1061" t="n"/>
      <c r="FA60" s="1061" t="n"/>
      <c r="FB60" s="1061" t="n"/>
      <c r="FC60" s="1061" t="n"/>
      <c r="FD60" s="1061" t="n"/>
      <c r="FE60" s="520" t="n"/>
      <c r="FF60" s="520" t="n"/>
      <c r="FG60" s="520" t="n"/>
      <c r="FH60" s="521" t="n"/>
      <c r="FI60" s="522" t="n"/>
      <c r="FJ60" s="522" t="n"/>
      <c r="FK60" s="522" t="n"/>
      <c r="FL60" s="522" t="n"/>
      <c r="FM60" s="522" t="n"/>
      <c r="FN60" s="522" t="n"/>
      <c r="FO60" s="522" t="n"/>
      <c r="FP60" s="522" t="n"/>
      <c r="FQ60" s="522" t="n"/>
      <c r="FR60" s="522" t="n"/>
      <c r="FS60" s="522" t="n"/>
      <c r="FT60" s="522" t="n"/>
      <c r="FU60" s="522" t="n"/>
      <c r="FV60" s="522" t="n"/>
      <c r="FW60" s="522" t="n"/>
      <c r="FX60" s="522" t="n"/>
      <c r="FY60" s="522" t="n"/>
      <c r="FZ60" s="522" t="n"/>
      <c r="GA60" s="522" t="n"/>
      <c r="GB60" s="522" t="n"/>
      <c r="GC60" s="522" t="n"/>
      <c r="GD60" s="522" t="n"/>
      <c r="GE60" s="522" t="n"/>
      <c r="GF60" s="522" t="n"/>
      <c r="GG60" s="1070" t="n"/>
      <c r="GH60" s="1069" t="n"/>
      <c r="GI60" s="1069" t="n"/>
      <c r="GJ60" s="1071" t="n"/>
      <c r="GK60" s="522" t="n"/>
      <c r="GL60" s="522" t="n"/>
      <c r="GM60" s="522" t="n"/>
      <c r="GN60" s="522" t="n"/>
      <c r="GO60" s="522" t="n"/>
      <c r="GP60" s="522" t="n"/>
      <c r="GQ60" s="522" t="n"/>
      <c r="GR60" s="522" t="n"/>
      <c r="GS60" s="522" t="n"/>
      <c r="GT60" s="522" t="n"/>
      <c r="GU60" s="522" t="n"/>
      <c r="GV60" s="522" t="n"/>
      <c r="GW60" s="522" t="n"/>
      <c r="GX60" s="522" t="n"/>
      <c r="GY60" s="522" t="n"/>
      <c r="GZ60" s="522" t="n"/>
      <c r="HA60" s="522" t="n"/>
      <c r="HB60" s="522" t="n"/>
      <c r="HC60" s="522" t="n"/>
      <c r="HD60" s="522" t="n"/>
      <c r="HE60" s="526" t="n"/>
      <c r="HF60" s="526" t="n"/>
      <c r="HG60" s="526" t="n"/>
      <c r="HH60" s="526" t="n"/>
      <c r="HI60" s="526" t="n"/>
      <c r="HJ60" s="526" t="n"/>
      <c r="HK60" s="526" t="n"/>
      <c r="HL60" s="526" t="n"/>
      <c r="HM60" s="526" t="n"/>
      <c r="HN60" s="1069" t="n"/>
      <c r="HO60" s="526" t="n"/>
      <c r="HP60" s="526" t="n"/>
    </row>
    <row r="61" ht="14.25" customFormat="1" customHeight="1" s="322">
      <c r="C61" s="322" t="inlineStr">
        <is>
          <t>Totals</t>
        </is>
      </c>
      <c r="P61" s="732" t="n"/>
      <c r="Q61" s="732" t="n"/>
      <c r="U61" s="471">
        <f>SUMPRODUCT(U9:U60,Y9:Y60)/SUM(Y9:Y60)</f>
        <v/>
      </c>
      <c r="V61" s="472">
        <f>SUM(V9:V60)</f>
        <v/>
      </c>
      <c r="W61" s="472">
        <f>SUM(W9:W60)</f>
        <v/>
      </c>
      <c r="X61" s="472" t="n"/>
      <c r="Y61" s="472">
        <f>SUM(Y9:Y60)</f>
        <v/>
      </c>
      <c r="Z61" s="472" t="n"/>
      <c r="AA61" s="472" t="n"/>
      <c r="AB61" s="472" t="n"/>
      <c r="AC61" s="472" t="n"/>
      <c r="AE61" s="991" t="n"/>
      <c r="AF61" s="991" t="n"/>
      <c r="AG61" s="374" t="n"/>
      <c r="AH61" s="374" t="n"/>
      <c r="AI61" s="374" t="n"/>
      <c r="AJ61" s="374" t="n"/>
      <c r="AK61" s="374" t="n"/>
      <c r="AL61" s="471">
        <f>AVERAGE(AL9:AL60)</f>
        <v/>
      </c>
      <c r="AM61" s="991">
        <f>SUM(AM9:AM60)</f>
        <v/>
      </c>
      <c r="AN61" s="991">
        <f>SUM(AN9:AN60)</f>
        <v/>
      </c>
      <c r="AO61" s="991">
        <f>SUM(AO9:AO60)</f>
        <v/>
      </c>
      <c r="AP61" s="991">
        <f>SUM(AP9:AP60)</f>
        <v/>
      </c>
      <c r="AQ61" s="991">
        <f>SUM(AQ9:AQ60)</f>
        <v/>
      </c>
      <c r="AR61" s="991">
        <f>SUM(AR9:AR60)</f>
        <v/>
      </c>
      <c r="AS61" s="991">
        <f>SUM(AS9:AS60)</f>
        <v/>
      </c>
      <c r="AT61" s="991">
        <f>SUM(AT9:AT60)</f>
        <v/>
      </c>
      <c r="AU61" s="991">
        <f>SUM(AU9:AU60)</f>
        <v/>
      </c>
      <c r="AV61" s="991">
        <f>SUM(AV9:AV60)</f>
        <v/>
      </c>
      <c r="AW61" s="991">
        <f>SUM(AW9:AW60)</f>
        <v/>
      </c>
      <c r="AX61" s="991">
        <f>SUM(AX9:AX60)</f>
        <v/>
      </c>
      <c r="AY61" s="991">
        <f>SUM(AY9:AY60)</f>
        <v/>
      </c>
      <c r="AZ61" s="991">
        <f>SUM(AZ9:AZ60)</f>
        <v/>
      </c>
      <c r="BA61" s="991">
        <f>SUM(BA9:BA60)</f>
        <v/>
      </c>
      <c r="BB61" s="991">
        <f>SUM(BB9:BB60)</f>
        <v/>
      </c>
      <c r="BC61" s="991">
        <f>SUM(BC9:BC60)</f>
        <v/>
      </c>
      <c r="BD61" s="991">
        <f>SUM(BD9:BD60)</f>
        <v/>
      </c>
      <c r="BE61" s="991">
        <f>SUM(BE9:BE60)</f>
        <v/>
      </c>
      <c r="BF61" s="991">
        <f>SUM(BF9:BF60)</f>
        <v/>
      </c>
      <c r="BG61" s="991">
        <f>SUM(BG9:BG60)</f>
        <v/>
      </c>
      <c r="BH61" s="991">
        <f>SUM(BH9:BH60)</f>
        <v/>
      </c>
      <c r="BI61" s="991">
        <f>SUM(BI9:BI60)</f>
        <v/>
      </c>
      <c r="BJ61" s="991" t="n"/>
      <c r="BK61" s="991" t="n"/>
      <c r="BL61" s="991" t="n"/>
      <c r="BM61" s="991" t="n"/>
      <c r="BN61" s="373" t="n"/>
      <c r="BO61" s="373" t="n"/>
      <c r="BP61" s="373" t="n"/>
      <c r="BQ61" s="373" t="n"/>
      <c r="BS61" s="992" t="n"/>
      <c r="BT61" s="992" t="n"/>
      <c r="BU61" s="373" t="n"/>
      <c r="BV61" s="373" t="n"/>
      <c r="BW61" s="373" t="n"/>
      <c r="BX61" s="373" t="n"/>
      <c r="BY61" s="992" t="n"/>
      <c r="BZ61" s="992" t="n"/>
      <c r="CA61" s="992" t="n"/>
      <c r="CB61" s="992" t="n"/>
      <c r="CC61" s="992" t="n"/>
      <c r="CD61" s="992" t="n"/>
      <c r="CE61" s="992" t="n"/>
      <c r="CF61" s="992" t="n"/>
      <c r="CG61" s="472" t="n"/>
      <c r="CH61" s="472" t="n"/>
      <c r="CI61" s="472" t="n"/>
      <c r="CJ61" s="472" t="n"/>
      <c r="CK61" s="992" t="n"/>
      <c r="CL61" s="992" t="n"/>
      <c r="CM61" s="992" t="n"/>
      <c r="CN61" s="992" t="n"/>
      <c r="CO61" s="992" t="n"/>
      <c r="CP61" s="992" t="n"/>
      <c r="CQ61" s="992" t="n"/>
      <c r="CR61" s="992" t="n"/>
      <c r="CS61" s="992" t="n"/>
      <c r="CT61" s="992" t="n"/>
      <c r="CU61" s="992" t="n"/>
      <c r="CV61" s="992" t="n"/>
      <c r="CW61" s="992" t="n"/>
      <c r="CX61" s="992" t="n"/>
      <c r="CY61" s="992" t="n"/>
      <c r="CZ61" s="992" t="n"/>
      <c r="DA61" s="992" t="n"/>
      <c r="DB61" s="992" t="n"/>
      <c r="DC61" s="992" t="n"/>
      <c r="DD61" s="992" t="n"/>
      <c r="DE61" s="992" t="n"/>
      <c r="DF61" s="992" t="n"/>
      <c r="DG61" s="992" t="n"/>
      <c r="DH61" s="992" t="n"/>
      <c r="DI61" s="992" t="n"/>
      <c r="DJ61" s="992" t="n"/>
      <c r="DK61" s="992" t="n"/>
      <c r="DL61" s="475" t="n"/>
      <c r="DM61" s="992" t="n"/>
      <c r="DN61" s="992" t="n"/>
      <c r="DO61" s="992" t="n"/>
      <c r="DP61" s="992" t="n"/>
      <c r="DQ61" s="992" t="n"/>
      <c r="DR61" s="991" t="n"/>
      <c r="DS61" s="991" t="n"/>
      <c r="DT61" s="991" t="n"/>
      <c r="DU61" s="992" t="n"/>
      <c r="DV61" s="992" t="n"/>
      <c r="DW61" s="992" t="n"/>
      <c r="DX61" s="1072" t="n"/>
      <c r="DY61" s="1072" t="n"/>
      <c r="DZ61" s="1072" t="n"/>
      <c r="EA61" s="1072" t="n"/>
      <c r="EB61" s="1072" t="n"/>
      <c r="EC61" s="1072" t="n"/>
      <c r="ED61" s="1072" t="n"/>
      <c r="EE61" s="1072" t="n"/>
      <c r="EF61" s="992" t="n"/>
      <c r="EG61" s="1072" t="n"/>
      <c r="EH61" s="1072" t="n"/>
      <c r="EI61" s="472" t="n"/>
      <c r="EJ61" s="472" t="n"/>
      <c r="EK61" s="472">
        <f>SUM(EK9:EK60)</f>
        <v/>
      </c>
      <c r="EL61" s="472" t="n"/>
      <c r="EM61" s="472" t="n"/>
      <c r="EN61" s="472">
        <f>MAX(EN9:EN60)</f>
        <v/>
      </c>
      <c r="EO61" s="472">
        <f>SUM(EO9:EO60)</f>
        <v/>
      </c>
      <c r="EP61" s="472" t="n"/>
      <c r="EQ61" s="472" t="n"/>
      <c r="ER61" s="472">
        <f>MAX(ER9:ER60)</f>
        <v/>
      </c>
      <c r="ES61" s="472">
        <f>SUM(ES9:ES60)</f>
        <v/>
      </c>
      <c r="ET61" s="472">
        <f>SUM(ET9:ET60)</f>
        <v/>
      </c>
      <c r="EU61" s="472" t="n"/>
      <c r="EV61" s="472" t="n"/>
      <c r="EW61" s="472">
        <f>MAX(EW9:EW60)</f>
        <v/>
      </c>
      <c r="EX61" s="472">
        <f>SUM(EX9:EX60)</f>
        <v/>
      </c>
      <c r="EY61" s="472">
        <f>SUM(EY9:EY60)</f>
        <v/>
      </c>
      <c r="EZ61" s="472" t="n"/>
      <c r="FA61" s="472" t="n"/>
      <c r="FB61" s="472">
        <f>MAX(FB9:FB60)</f>
        <v/>
      </c>
      <c r="FC61" s="472">
        <f>SUM(FC9:FC60)</f>
        <v/>
      </c>
      <c r="FD61" s="472">
        <f>SUM(FD9:FD60)</f>
        <v/>
      </c>
      <c r="FE61" s="472" t="n"/>
      <c r="FF61" s="472" t="n"/>
      <c r="FG61" s="472" t="n"/>
      <c r="FH61" s="366" t="n"/>
      <c r="FI61" s="992">
        <f>MAX(FI9:FI60)</f>
        <v/>
      </c>
      <c r="FJ61" s="992" t="n"/>
      <c r="FK61" s="992" t="n"/>
      <c r="FL61" s="992" t="n"/>
      <c r="FM61" s="472">
        <f>SUM(FM9:FM60)</f>
        <v/>
      </c>
      <c r="FN61" s="472">
        <f>SUM(FN9:FN60)</f>
        <v/>
      </c>
      <c r="FO61" s="472">
        <f>SUM(FO9:FO60)</f>
        <v/>
      </c>
      <c r="FP61" s="472">
        <f>SUM(FP9:FP60)</f>
        <v/>
      </c>
      <c r="FQ61" s="472">
        <f>SUM(FQ9:FQ60)</f>
        <v/>
      </c>
      <c r="FR61" s="992" t="n"/>
      <c r="FS61" s="992">
        <f>INDEX(FS9:FS60,MATCH(1,FT9:FT60,0))</f>
        <v/>
      </c>
      <c r="FT61" s="992" t="n"/>
      <c r="FU61" s="472">
        <f>SUM(FU9:FU60)</f>
        <v/>
      </c>
      <c r="FV61" s="472">
        <f>SUM(FV9:FV60)</f>
        <v/>
      </c>
      <c r="FW61" s="992" t="n"/>
      <c r="FX61" s="992">
        <f>INDEX(FX9:FX60,MATCH(2,FY9:FY60,0))</f>
        <v/>
      </c>
      <c r="FY61" s="992" t="n"/>
      <c r="FZ61" s="472">
        <f>SUM(FZ9:FZ60)</f>
        <v/>
      </c>
      <c r="GA61" s="472">
        <f>SUM(GA9:GA60)</f>
        <v/>
      </c>
      <c r="GB61" s="992" t="n"/>
      <c r="GC61" s="992">
        <f>INDEX(GC9:GC60,MATCH(3,GD9:GD60,0))</f>
        <v/>
      </c>
      <c r="GD61" s="992" t="n"/>
      <c r="GE61" s="472">
        <f>SUM(GE9:GE60)</f>
        <v/>
      </c>
      <c r="GF61" s="472">
        <f>SUM(GF9:GF60)</f>
        <v/>
      </c>
      <c r="GG61" s="992" t="n"/>
      <c r="GH61" s="992">
        <f>MAX(GH9:GH60)</f>
        <v/>
      </c>
      <c r="GI61" s="472">
        <f>SUM(GI9:GI60)</f>
        <v/>
      </c>
      <c r="GJ61" s="472">
        <f>SUM(GJ9:GJ60)</f>
        <v/>
      </c>
      <c r="GK61" s="992" t="n"/>
      <c r="GL61" s="992" t="n"/>
      <c r="GM61" s="992">
        <f>MAX(GM9:GM60)</f>
        <v/>
      </c>
      <c r="GN61" s="472">
        <f>SUM(GN9:GN60)</f>
        <v/>
      </c>
      <c r="GO61" s="472">
        <f>SUM(GO9:GO60)</f>
        <v/>
      </c>
      <c r="GP61" s="992" t="n"/>
      <c r="GQ61" s="992" t="n"/>
      <c r="GR61" s="992">
        <f>MAX(GR8:GR60)</f>
        <v/>
      </c>
      <c r="GS61" s="472">
        <f>SUM(GS9:GS60)</f>
        <v/>
      </c>
      <c r="GT61" s="472">
        <f>SUM(GT9:GT60)</f>
        <v/>
      </c>
      <c r="GU61" s="992" t="n"/>
      <c r="GV61" s="992" t="n"/>
      <c r="GW61" s="472">
        <f>MAX(GW9:GW60)</f>
        <v/>
      </c>
      <c r="GX61" s="472">
        <f>SUM(GX9:GX60)</f>
        <v/>
      </c>
      <c r="GY61" s="472">
        <f>SUM(GY9:GY60)</f>
        <v/>
      </c>
      <c r="GZ61" s="472" t="n"/>
      <c r="HA61" s="472" t="n"/>
      <c r="HB61" s="472">
        <f>MAX(HB9:HB60)</f>
        <v/>
      </c>
      <c r="HC61" s="472">
        <f>SUM(HC9:HC60)</f>
        <v/>
      </c>
      <c r="HD61" s="472">
        <f>SUM(HD9:HD60)</f>
        <v/>
      </c>
      <c r="HE61" s="472">
        <f>SUM(HE9:HE60)</f>
        <v/>
      </c>
      <c r="HF61" s="472" t="n"/>
      <c r="HG61" s="472">
        <f>SUM(HG9:HG60)</f>
        <v/>
      </c>
      <c r="HH61" s="472" t="n"/>
      <c r="HI61" s="472">
        <f>SUM(HI9:HI60)</f>
        <v/>
      </c>
      <c r="HJ61" s="472">
        <f>SUM(HJ9:HJ60)</f>
        <v/>
      </c>
      <c r="HK61" s="472">
        <f>SUM(HK9:HK60)</f>
        <v/>
      </c>
      <c r="HL61" s="472">
        <f>SUM(HL9:HL60)</f>
        <v/>
      </c>
      <c r="HM61" s="472">
        <f>SUM(HM9:HM60)</f>
        <v/>
      </c>
      <c r="HN61" s="992" t="n"/>
    </row>
    <row r="62" ht="14.25" customFormat="1" customHeight="1" s="322">
      <c r="P62" s="732" t="n"/>
      <c r="Q62" s="732" t="n"/>
      <c r="V62" s="478" t="n"/>
      <c r="W62" s="479" t="n">
        <v>93777489.8003</v>
      </c>
      <c r="X62" s="478" t="n"/>
      <c r="Y62" s="478" t="n"/>
      <c r="Z62" s="478" t="n"/>
      <c r="AA62" s="478" t="n"/>
      <c r="AB62" s="478" t="n"/>
      <c r="AC62" s="478" t="n"/>
      <c r="AE62" s="480" t="n"/>
      <c r="AF62" s="471" t="n"/>
      <c r="AG62" s="374" t="n"/>
      <c r="AH62" s="374" t="n"/>
      <c r="AI62" s="374" t="n"/>
      <c r="AJ62" s="374" t="n"/>
      <c r="AK62" s="374" t="n"/>
      <c r="AL62" s="480" t="n"/>
      <c r="AM62" s="480" t="n"/>
      <c r="AN62" s="480" t="n"/>
      <c r="AO62" s="480" t="n"/>
      <c r="AP62" s="480" t="n"/>
      <c r="AQ62" s="480" t="n"/>
      <c r="AR62" s="480" t="n"/>
      <c r="AS62" s="480" t="n"/>
      <c r="AT62" s="480" t="n"/>
      <c r="AU62" s="480" t="n"/>
      <c r="AV62" s="480" t="n"/>
      <c r="AW62" s="480" t="n"/>
      <c r="AX62" s="480" t="n"/>
      <c r="AY62" s="480" t="n"/>
      <c r="AZ62" s="374" t="n"/>
      <c r="BA62" s="374" t="n"/>
      <c r="BB62" s="374" t="n"/>
      <c r="BC62" s="374" t="n"/>
      <c r="BD62" s="374" t="n"/>
      <c r="BE62" s="374" t="n"/>
      <c r="BF62" s="374" t="n"/>
      <c r="BG62" s="374" t="n"/>
      <c r="BH62" s="374" t="n"/>
      <c r="BI62" s="374" t="n"/>
      <c r="BJ62" s="374" t="n"/>
      <c r="BK62" s="374" t="n"/>
      <c r="BL62" s="374" t="n"/>
      <c r="BM62" s="480" t="n"/>
      <c r="BN62" s="373" t="n"/>
      <c r="BO62" s="373" t="n"/>
      <c r="BP62" s="373" t="n"/>
      <c r="BQ62" s="373" t="n"/>
      <c r="BU62" s="373" t="n"/>
      <c r="BV62" s="373" t="n"/>
      <c r="BW62" s="373" t="n"/>
      <c r="BX62" s="373" t="n"/>
      <c r="BY62" s="373" t="n"/>
      <c r="BZ62" s="373" t="n"/>
      <c r="CA62" s="373" t="n"/>
      <c r="CB62" s="373" t="n"/>
      <c r="CC62" s="373" t="n"/>
      <c r="CD62" s="373" t="n"/>
      <c r="CE62" s="373" t="n"/>
      <c r="CF62" s="373" t="n"/>
      <c r="CG62" s="478" t="n"/>
      <c r="CH62" s="478" t="n"/>
      <c r="CI62" s="478" t="n"/>
      <c r="CJ62" s="478" t="n"/>
      <c r="DD62" s="373" t="n"/>
      <c r="DL62" s="471" t="n"/>
      <c r="DR62" s="480" t="n"/>
      <c r="DS62" s="480" t="n"/>
      <c r="DT62" s="480" t="n"/>
      <c r="DU62" s="322">
        <f>#REF!/#REF!</f>
        <v/>
      </c>
      <c r="DX62" s="732" t="n"/>
      <c r="DY62" s="732" t="n"/>
      <c r="DZ62" s="732" t="n"/>
      <c r="EA62" s="732" t="n"/>
      <c r="EB62" s="732" t="n"/>
      <c r="EC62" s="732" t="n"/>
      <c r="ED62" s="732" t="n"/>
      <c r="EE62" s="732" t="n"/>
      <c r="EG62" s="732" t="n"/>
      <c r="EH62" s="732" t="n"/>
      <c r="EI62" s="478" t="n"/>
      <c r="EJ62" s="478" t="n"/>
      <c r="EK62" s="478" t="n"/>
      <c r="EL62" s="478" t="n"/>
      <c r="EM62" s="478" t="n"/>
      <c r="EN62" s="478" t="n"/>
      <c r="EO62" s="478" t="n"/>
      <c r="EP62" s="478" t="n"/>
      <c r="EQ62" s="478" t="n"/>
      <c r="ER62" s="478" t="n"/>
      <c r="ES62" s="478" t="n"/>
      <c r="ET62" s="478" t="n"/>
      <c r="EU62" s="478" t="n"/>
      <c r="EV62" s="478" t="n"/>
      <c r="EW62" s="478" t="n"/>
      <c r="EX62" s="478" t="n"/>
      <c r="EY62" s="478" t="n"/>
      <c r="EZ62" s="478" t="n"/>
      <c r="FA62" s="478" t="n"/>
      <c r="FB62" s="478" t="n"/>
      <c r="FC62" s="478" t="n"/>
      <c r="FD62" s="478" t="n"/>
      <c r="FE62" s="373" t="n"/>
      <c r="FF62" s="373" t="n"/>
      <c r="FG62" s="373" t="n"/>
      <c r="FH62" s="366" t="n"/>
      <c r="FW62" s="373" t="n"/>
      <c r="FX62" s="373" t="n"/>
      <c r="FY62" s="373" t="n"/>
      <c r="FZ62" s="373" t="n"/>
      <c r="GA62" s="373" t="n"/>
      <c r="GB62" s="373" t="n"/>
      <c r="GC62" s="373" t="n"/>
      <c r="GD62" s="373" t="n"/>
      <c r="GE62" s="373" t="n"/>
      <c r="GF62" s="373" t="n"/>
      <c r="GK62" s="373" t="n"/>
      <c r="GL62" s="373" t="n"/>
      <c r="GM62" s="373" t="n"/>
      <c r="GN62" s="373" t="n"/>
      <c r="GO62" s="373" t="n"/>
      <c r="GP62" s="373" t="n"/>
      <c r="GQ62" s="373" t="n"/>
      <c r="GR62" s="373" t="n"/>
      <c r="GS62" s="373" t="n"/>
      <c r="GT62" s="373" t="n"/>
      <c r="GU62" s="373" t="n"/>
      <c r="GV62" s="373" t="n"/>
      <c r="GW62" s="373" t="n"/>
      <c r="GX62" s="373" t="n"/>
      <c r="GY62" s="373" t="n"/>
      <c r="GZ62" s="373" t="n"/>
      <c r="HA62" s="373" t="n"/>
      <c r="HB62" s="373" t="n"/>
      <c r="HC62" s="373" t="n"/>
      <c r="HD62" s="373" t="n"/>
    </row>
    <row r="63" ht="14.25" customFormat="1" customHeight="1" s="322">
      <c r="A63" s="388" t="inlineStr">
        <is>
          <t>Footnotes:</t>
        </is>
      </c>
      <c r="D63" s="324" t="n"/>
      <c r="E63" s="324" t="n"/>
      <c r="F63" s="324" t="n"/>
      <c r="G63" s="324" t="n"/>
      <c r="H63" s="324" t="n"/>
      <c r="I63" s="324" t="n"/>
      <c r="J63" s="324" t="n"/>
      <c r="K63" s="324" t="n"/>
      <c r="L63" s="324" t="n"/>
      <c r="M63" s="324" t="n"/>
      <c r="N63" s="324" t="n"/>
      <c r="O63" s="324" t="n"/>
      <c r="P63" s="733" t="n"/>
      <c r="Q63" s="733" t="n"/>
      <c r="R63" s="324" t="n"/>
      <c r="S63" s="324" t="n"/>
      <c r="T63" s="324" t="n"/>
      <c r="U63" s="324" t="n"/>
      <c r="V63" s="481" t="n"/>
      <c r="W63" s="482" t="n"/>
      <c r="X63" s="481" t="n"/>
      <c r="Y63" s="481" t="n"/>
      <c r="Z63" s="481" t="n"/>
      <c r="AA63" s="481" t="n"/>
      <c r="AB63" s="481" t="n"/>
      <c r="AC63" s="481" t="n"/>
      <c r="AE63" s="480" t="n"/>
      <c r="AF63" s="1073" t="n"/>
      <c r="AG63" s="374" t="n"/>
      <c r="AH63" s="374" t="n"/>
      <c r="AI63" s="374" t="n"/>
      <c r="AJ63" s="374" t="n"/>
      <c r="AK63" s="374" t="n"/>
      <c r="AL63" s="480" t="n"/>
      <c r="AM63" s="480" t="n"/>
      <c r="AN63" s="480" t="n"/>
      <c r="AO63" s="480" t="n"/>
      <c r="AP63" s="480" t="n"/>
      <c r="AQ63" s="480" t="n"/>
      <c r="AR63" s="480" t="n"/>
      <c r="AS63" s="480" t="n"/>
      <c r="AT63" s="480" t="n"/>
      <c r="AU63" s="480" t="n"/>
      <c r="AV63" s="480" t="n"/>
      <c r="AW63" s="480" t="n"/>
      <c r="AX63" s="480" t="n"/>
      <c r="AY63" s="480" t="n"/>
      <c r="AZ63" s="374" t="n"/>
      <c r="BA63" s="374" t="n"/>
      <c r="BB63" s="374" t="n"/>
      <c r="BC63" s="374" t="n"/>
      <c r="BD63" s="374" t="n"/>
      <c r="BE63" s="374" t="n"/>
      <c r="BF63" s="374" t="n"/>
      <c r="BG63" s="374" t="n"/>
      <c r="BH63" s="374" t="n"/>
      <c r="BI63" s="374" t="n"/>
      <c r="BJ63" s="374" t="n"/>
      <c r="BK63" s="374" t="n"/>
      <c r="BL63" s="374" t="n"/>
      <c r="BM63" s="480" t="n"/>
      <c r="BN63" s="375" t="n"/>
      <c r="BO63" s="375" t="n"/>
      <c r="BP63" s="375" t="n"/>
      <c r="BQ63" s="375" t="n"/>
      <c r="BU63" s="375" t="n"/>
      <c r="BV63" s="375" t="n"/>
      <c r="BW63" s="375" t="n"/>
      <c r="BX63" s="375" t="n"/>
      <c r="CG63" s="481" t="n"/>
      <c r="CH63" s="481" t="n"/>
      <c r="CI63" s="481" t="n"/>
      <c r="CJ63" s="481" t="n"/>
      <c r="DR63" s="480" t="n"/>
      <c r="DS63" s="480" t="n"/>
      <c r="DT63" s="480" t="n"/>
      <c r="DU63" s="322">
        <f>DP48/DO48</f>
        <v/>
      </c>
      <c r="DX63" s="732" t="n"/>
      <c r="DY63" s="732" t="n"/>
      <c r="DZ63" s="732" t="n"/>
      <c r="EA63" s="732" t="n"/>
      <c r="EB63" s="732" t="n"/>
      <c r="EC63" s="732" t="n"/>
      <c r="ED63" s="732" t="n"/>
      <c r="EE63" s="732" t="n"/>
      <c r="EG63" s="732" t="n"/>
      <c r="EH63" s="732" t="n"/>
      <c r="EI63" s="481" t="n"/>
      <c r="EJ63" s="481" t="n"/>
      <c r="EK63" s="481" t="n"/>
      <c r="EL63" s="481" t="n"/>
      <c r="EM63" s="481" t="n"/>
      <c r="EN63" s="481" t="n"/>
      <c r="EO63" s="481" t="n"/>
      <c r="EP63" s="481" t="n"/>
      <c r="EQ63" s="481" t="n"/>
      <c r="ER63" s="481" t="n"/>
      <c r="ES63" s="481" t="n"/>
      <c r="ET63" s="481" t="n"/>
      <c r="EU63" s="481" t="n"/>
      <c r="EV63" s="481" t="n"/>
      <c r="EW63" s="481" t="n"/>
      <c r="EX63" s="478" t="n"/>
      <c r="EY63" s="481" t="n"/>
      <c r="EZ63" s="481" t="n"/>
      <c r="FA63" s="481" t="n"/>
      <c r="FB63" s="481" t="n"/>
      <c r="FC63" s="478" t="n"/>
      <c r="FD63" s="481" t="n"/>
      <c r="FE63" s="373" t="n"/>
      <c r="FF63" s="373" t="n"/>
      <c r="FG63" s="373" t="n"/>
      <c r="FH63" s="366" t="n"/>
    </row>
    <row r="64" ht="14.25" customFormat="1" customHeight="1" s="322">
      <c r="P64" s="732" t="n"/>
      <c r="Q64" s="732" t="n"/>
      <c r="V64" s="322">
        <f>COUNTIF(V9:V49,0)</f>
        <v/>
      </c>
      <c r="AE64" s="373" t="n"/>
      <c r="AF64" s="480" t="n"/>
      <c r="AG64" s="484" t="n"/>
      <c r="AH64" s="374" t="n"/>
      <c r="AI64" s="374" t="n"/>
      <c r="AJ64" s="374" t="n"/>
      <c r="AK64" s="374" t="n"/>
      <c r="AL64" s="373" t="n"/>
      <c r="AM64" s="373" t="n"/>
      <c r="AN64" s="373" t="n"/>
      <c r="AO64" s="373" t="n"/>
      <c r="AP64" s="373" t="n"/>
      <c r="AQ64" s="373" t="n"/>
      <c r="AR64" s="373" t="n"/>
      <c r="AS64" s="373" t="n"/>
      <c r="AT64" s="373" t="n"/>
      <c r="AU64" s="373" t="n"/>
      <c r="AV64" s="373" t="n"/>
      <c r="AW64" s="373" t="n"/>
      <c r="AX64" s="373" t="n"/>
      <c r="AY64" s="373" t="n"/>
      <c r="AZ64" s="374" t="n"/>
      <c r="BA64" s="374" t="n"/>
      <c r="BB64" s="374" t="n"/>
      <c r="BC64" s="374" t="n"/>
      <c r="BD64" s="374" t="n"/>
      <c r="BE64" s="374" t="n"/>
      <c r="BF64" s="374" t="n"/>
      <c r="BG64" s="374" t="n"/>
      <c r="BH64" s="374" t="n"/>
      <c r="BI64" s="374" t="n"/>
      <c r="BJ64" s="374" t="n"/>
      <c r="BK64" s="374" t="n"/>
      <c r="BL64" s="374" t="n"/>
      <c r="BM64" s="373" t="n"/>
      <c r="BN64" s="373" t="n"/>
      <c r="BO64" s="373" t="n"/>
      <c r="BP64" s="373" t="n"/>
      <c r="BQ64" s="373" t="n"/>
      <c r="BU64" s="373" t="n"/>
      <c r="BV64" s="373" t="n"/>
      <c r="BW64" s="373" t="n"/>
      <c r="BX64" s="373" t="n"/>
      <c r="DE64" s="1074" t="n"/>
      <c r="DF64" s="1074" t="n"/>
      <c r="DG64" s="1074" t="n"/>
      <c r="DH64" s="1074" t="n"/>
      <c r="DI64" s="1074" t="n"/>
      <c r="DJ64" s="1074" t="n"/>
      <c r="DK64" s="1074" t="n"/>
      <c r="DM64" s="1074" t="n"/>
      <c r="DN64" s="1074" t="n"/>
      <c r="DR64" s="373" t="n"/>
      <c r="DS64" s="373" t="n"/>
      <c r="DT64" s="373" t="n"/>
      <c r="DX64" s="732" t="n"/>
      <c r="DY64" s="732" t="n"/>
      <c r="DZ64" s="732" t="n"/>
      <c r="EA64" s="732" t="n"/>
      <c r="EB64" s="732" t="n"/>
      <c r="EC64" s="732" t="n"/>
      <c r="ED64" s="732" t="n"/>
      <c r="EE64" s="732" t="n"/>
      <c r="EG64" s="732" t="n"/>
      <c r="EH64" s="732" t="n"/>
      <c r="EX64" s="478" t="n"/>
      <c r="FC64" s="478" t="n"/>
      <c r="FE64" s="373" t="n"/>
      <c r="FF64" s="373" t="n"/>
      <c r="FG64" s="373" t="n"/>
      <c r="FH64" s="366" t="n"/>
      <c r="FJ64" s="994" t="n"/>
    </row>
    <row r="65">
      <c r="A65" t="n">
        <v>1</v>
      </c>
      <c r="B65" t="inlineStr">
        <is>
          <t>Consolidated Machine &amp; Tools Holding underwent a majority affiliated conversion in Q3 2025, resulting in a new legal entity - Delva Master Holdings (DMH). DMH is essentially the same underlying business, with new management. While shown as two distinct lines on the BDC's SOI, the assets have the same track record and are both on non-accrual and ineligible in the borrowing base. Pending a significant change in the capital structure of DMH, the two investments are represented by the same row above.</t>
        </is>
      </c>
      <c r="P65" s="734" t="n"/>
      <c r="Q65" s="734" t="n"/>
      <c r="DK65" s="1075" t="n"/>
      <c r="DL65" s="1076" t="n"/>
      <c r="DX65" s="741" t="n"/>
      <c r="DY65" s="741" t="n"/>
      <c r="DZ65" s="734" t="n"/>
      <c r="EA65" s="734" t="n"/>
      <c r="EB65" s="734" t="n"/>
      <c r="EC65" s="734" t="n"/>
      <c r="ED65" s="734" t="n"/>
      <c r="EE65" s="734" t="n"/>
      <c r="EG65" s="734" t="n"/>
      <c r="EH65" s="734" t="n"/>
      <c r="FJ65" s="1077" t="n"/>
    </row>
    <row r="66">
      <c r="P66" s="734" t="n"/>
      <c r="Q66" s="734" t="n"/>
      <c r="W66" s="1078" t="n"/>
      <c r="DL66" s="1076" t="n"/>
      <c r="DO66" s="56" t="n"/>
      <c r="DP66" s="56" t="n"/>
      <c r="DX66" s="741" t="n"/>
      <c r="DY66" s="741" t="n"/>
      <c r="DZ66" s="734" t="n"/>
      <c r="EA66" s="734" t="n"/>
      <c r="EB66" s="734" t="n"/>
      <c r="EC66" s="734" t="n"/>
      <c r="ED66" s="734" t="n"/>
      <c r="EE66" s="734" t="n"/>
      <c r="EG66" s="734" t="n"/>
      <c r="EH66" s="734" t="n"/>
      <c r="FJ66" s="1077" t="n"/>
    </row>
    <row r="67">
      <c r="P67" s="734" t="n"/>
      <c r="Q67" s="734" t="n"/>
      <c r="DX67" s="741" t="n"/>
      <c r="DY67" s="741" t="n"/>
      <c r="DZ67" s="734" t="n"/>
      <c r="EA67" s="734" t="n"/>
      <c r="EB67" s="734" t="n"/>
      <c r="EC67" s="734" t="n"/>
      <c r="ED67" s="734" t="n"/>
      <c r="EE67" s="734" t="n"/>
      <c r="EG67" s="734" t="n"/>
      <c r="EH67" s="734" t="n"/>
      <c r="FJ67" s="1077" t="n"/>
    </row>
    <row r="68">
      <c r="P68" s="734" t="n"/>
      <c r="Q68" s="734" t="n"/>
      <c r="DX68" s="741" t="n"/>
      <c r="DY68" s="741" t="n"/>
      <c r="DZ68" s="734" t="n"/>
      <c r="EA68" s="734" t="n"/>
      <c r="EB68" s="734" t="n"/>
      <c r="EC68" s="734" t="n"/>
      <c r="ED68" s="734" t="n"/>
      <c r="EE68" s="734" t="n"/>
      <c r="EG68" s="734" t="n"/>
      <c r="EH68" s="734" t="n"/>
      <c r="FJ68" s="1077" t="n"/>
    </row>
    <row r="69">
      <c r="P69" s="734" t="n"/>
      <c r="Q69" s="734" t="n"/>
      <c r="V69" s="990" t="n"/>
      <c r="W69" s="990" t="n"/>
      <c r="DX69" s="741" t="n"/>
      <c r="DY69" s="741" t="n"/>
      <c r="DZ69" s="734" t="n"/>
      <c r="EA69" s="734" t="n"/>
      <c r="EB69" s="734" t="n"/>
      <c r="EC69" s="734" t="n"/>
      <c r="ED69" s="734" t="n"/>
      <c r="EE69" s="734" t="n"/>
      <c r="EG69" s="734" t="n"/>
      <c r="EH69" s="734" t="n"/>
      <c r="FJ69" s="1077" t="n"/>
    </row>
    <row r="70">
      <c r="P70" s="734" t="n"/>
      <c r="Q70" s="734" t="n"/>
      <c r="V70" s="990" t="n"/>
      <c r="W70" s="990" t="n"/>
      <c r="DX70" s="741" t="n"/>
      <c r="DY70" s="741" t="n"/>
      <c r="DZ70" s="734" t="n"/>
      <c r="EA70" s="734" t="n"/>
      <c r="EB70" s="734" t="n"/>
      <c r="EC70" s="734" t="n"/>
      <c r="ED70" s="734" t="n"/>
      <c r="EE70" s="734" t="n"/>
      <c r="EG70" s="734" t="n"/>
      <c r="EH70" s="734" t="n"/>
      <c r="FJ70" s="1077" t="n"/>
    </row>
    <row r="71">
      <c r="P71" s="734" t="n"/>
      <c r="Q71" s="734" t="n"/>
      <c r="V71" s="990" t="n"/>
      <c r="W71" s="990" t="n"/>
      <c r="DX71" s="741" t="n"/>
      <c r="DY71" s="741" t="n"/>
      <c r="DZ71" s="734" t="n"/>
      <c r="EA71" s="734" t="n"/>
      <c r="EB71" s="734" t="n"/>
      <c r="EC71" s="734" t="n"/>
      <c r="ED71" s="734" t="n"/>
      <c r="EE71" s="734" t="n"/>
      <c r="EG71" s="734" t="n"/>
      <c r="EH71" s="734" t="n"/>
      <c r="FJ71" s="1077" t="n"/>
    </row>
    <row r="72">
      <c r="P72" s="734" t="n"/>
      <c r="Q72" s="734" t="n"/>
      <c r="DX72" s="741" t="n"/>
      <c r="DY72" s="741" t="n"/>
      <c r="DZ72" s="734" t="n"/>
      <c r="EA72" s="734" t="n"/>
      <c r="EB72" s="734" t="n"/>
      <c r="EC72" s="734" t="n"/>
      <c r="ED72" s="734" t="n"/>
      <c r="EE72" s="734" t="n"/>
      <c r="EG72" s="734" t="n"/>
      <c r="EH72" s="734" t="n"/>
      <c r="FJ72" s="1077" t="n"/>
    </row>
    <row r="73">
      <c r="P73" s="734" t="n"/>
      <c r="Q73" s="734" t="n"/>
      <c r="DX73" s="741" t="n"/>
      <c r="DY73" s="741" t="n"/>
      <c r="DZ73" s="734" t="n"/>
      <c r="EA73" s="734" t="n"/>
      <c r="EB73" s="734" t="n"/>
      <c r="EC73" s="734" t="n"/>
      <c r="ED73" s="734" t="n"/>
      <c r="EE73" s="734" t="n"/>
      <c r="EG73" s="734" t="n"/>
      <c r="EH73" s="734" t="n"/>
      <c r="FJ73" s="1077" t="n"/>
    </row>
    <row r="74">
      <c r="P74" s="734" t="n"/>
      <c r="Q74" s="734" t="n"/>
      <c r="DX74" s="741" t="n"/>
      <c r="DY74" s="741" t="n"/>
      <c r="DZ74" s="734" t="n"/>
      <c r="EA74" s="734" t="n"/>
      <c r="EB74" s="734" t="n"/>
      <c r="EC74" s="734" t="n"/>
      <c r="ED74" s="734" t="n"/>
      <c r="EE74" s="734" t="n"/>
      <c r="EG74" s="734" t="n"/>
      <c r="EH74" s="734" t="n"/>
      <c r="FJ74" s="1077" t="n"/>
    </row>
    <row r="75">
      <c r="P75" s="734" t="n"/>
      <c r="Q75" s="734" t="n"/>
      <c r="DX75" s="741" t="n"/>
      <c r="DY75" s="741" t="n"/>
      <c r="DZ75" s="734" t="n"/>
      <c r="EA75" s="734" t="n"/>
      <c r="EB75" s="734" t="n"/>
      <c r="EC75" s="734" t="n"/>
      <c r="ED75" s="734" t="n"/>
      <c r="EE75" s="734" t="n"/>
      <c r="EG75" s="734" t="n"/>
      <c r="EH75" s="734" t="n"/>
      <c r="FJ75" s="1077" t="n"/>
    </row>
    <row r="76">
      <c r="P76" s="734" t="n"/>
      <c r="Q76" s="734" t="n"/>
      <c r="DX76" s="741" t="n"/>
      <c r="DY76" s="741" t="n"/>
      <c r="DZ76" s="734" t="n"/>
      <c r="EA76" s="734" t="n"/>
      <c r="EB76" s="734" t="n"/>
      <c r="EC76" s="734" t="n"/>
      <c r="ED76" s="734" t="n"/>
      <c r="EE76" s="734" t="n"/>
      <c r="EG76" s="734" t="n"/>
      <c r="EH76" s="734" t="n"/>
      <c r="FJ76" s="1077" t="n"/>
    </row>
    <row r="77">
      <c r="P77" s="734" t="n"/>
      <c r="Q77" s="734" t="n"/>
      <c r="DX77" s="741" t="n"/>
      <c r="DY77" s="741" t="n"/>
      <c r="DZ77" s="734" t="n"/>
      <c r="EA77" s="734" t="n"/>
      <c r="EB77" s="734" t="n"/>
      <c r="EC77" s="734" t="n"/>
      <c r="ED77" s="734" t="n"/>
      <c r="EE77" s="734" t="n"/>
      <c r="EG77" s="734" t="n"/>
      <c r="EH77" s="734" t="n"/>
      <c r="FJ77" s="1077" t="n"/>
    </row>
    <row r="78">
      <c r="P78" s="734" t="n"/>
      <c r="Q78" s="734" t="n"/>
      <c r="DX78" s="741" t="n"/>
      <c r="DY78" s="741" t="n"/>
      <c r="DZ78" s="734" t="n"/>
      <c r="EA78" s="734" t="n"/>
      <c r="EB78" s="734" t="n"/>
      <c r="EC78" s="734" t="n"/>
      <c r="ED78" s="734" t="n"/>
      <c r="EE78" s="734" t="n"/>
      <c r="EG78" s="734" t="n"/>
      <c r="EH78" s="734" t="n"/>
      <c r="FJ78" s="1077" t="n"/>
    </row>
    <row r="79">
      <c r="P79" s="734" t="n"/>
      <c r="Q79" s="734" t="n"/>
      <c r="DX79" s="741" t="n"/>
      <c r="DY79" s="741" t="n"/>
      <c r="DZ79" s="734" t="n"/>
      <c r="EA79" s="734" t="n"/>
      <c r="EB79" s="734" t="n"/>
      <c r="EC79" s="734" t="n"/>
      <c r="ED79" s="734" t="n"/>
      <c r="EE79" s="734" t="n"/>
      <c r="EG79" s="734" t="n"/>
      <c r="EH79" s="734" t="n"/>
      <c r="FJ79" s="1077" t="n"/>
    </row>
    <row r="80">
      <c r="P80" s="734" t="n"/>
      <c r="Q80" s="734" t="n"/>
      <c r="DX80" s="741" t="n"/>
      <c r="DY80" s="741" t="n"/>
      <c r="DZ80" s="734" t="n"/>
      <c r="EA80" s="734" t="n"/>
      <c r="EB80" s="734" t="n"/>
      <c r="EC80" s="734" t="n"/>
      <c r="ED80" s="734" t="n"/>
      <c r="EE80" s="734" t="n"/>
      <c r="EG80" s="734" t="n"/>
      <c r="EH80" s="734" t="n"/>
    </row>
    <row r="81">
      <c r="P81" s="734" t="n"/>
      <c r="Q81" s="734" t="n"/>
      <c r="DX81" s="741" t="n"/>
      <c r="DY81" s="741" t="n"/>
      <c r="DZ81" s="734" t="n"/>
      <c r="EA81" s="734" t="n"/>
      <c r="EB81" s="734" t="n"/>
      <c r="EC81" s="734" t="n"/>
      <c r="ED81" s="734" t="n"/>
      <c r="EE81" s="734" t="n"/>
      <c r="EG81" s="734" t="n"/>
      <c r="EH81" s="734" t="n"/>
    </row>
    <row r="82">
      <c r="P82" s="734" t="n"/>
      <c r="Q82" s="734" t="n"/>
      <c r="DX82" s="741" t="n"/>
      <c r="DY82" s="741" t="n"/>
      <c r="DZ82" s="734" t="n"/>
      <c r="EA82" s="734" t="n"/>
      <c r="EB82" s="734" t="n"/>
      <c r="EC82" s="734" t="n"/>
      <c r="ED82" s="734" t="n"/>
      <c r="EE82" s="734" t="n"/>
      <c r="EG82" s="734" t="n"/>
      <c r="EH82" s="734" t="n"/>
    </row>
    <row r="83">
      <c r="P83" s="734" t="n"/>
      <c r="Q83" s="734" t="n"/>
      <c r="DX83" s="741" t="n"/>
      <c r="DY83" s="741" t="n"/>
      <c r="DZ83" s="734" t="n"/>
      <c r="EA83" s="734" t="n"/>
      <c r="EB83" s="734" t="n"/>
      <c r="EC83" s="734" t="n"/>
      <c r="ED83" s="734" t="n"/>
      <c r="EE83" s="734" t="n"/>
      <c r="EG83" s="734" t="n"/>
      <c r="EH83" s="734" t="n"/>
    </row>
    <row r="84">
      <c r="P84" s="734" t="n"/>
      <c r="Q84" s="734" t="n"/>
      <c r="DX84" s="741" t="n"/>
      <c r="DY84" s="741" t="n"/>
      <c r="DZ84" s="734" t="n"/>
      <c r="EA84" s="734" t="n"/>
      <c r="EB84" s="734" t="n"/>
      <c r="EC84" s="734" t="n"/>
      <c r="ED84" s="734" t="n"/>
      <c r="EE84" s="734" t="n"/>
      <c r="EG84" s="734" t="n"/>
      <c r="EH84" s="734" t="n"/>
    </row>
    <row r="85">
      <c r="P85" s="734" t="n"/>
      <c r="Q85" s="734" t="n"/>
      <c r="DX85" s="741" t="n"/>
      <c r="DY85" s="741" t="n"/>
      <c r="DZ85" s="734" t="n"/>
      <c r="EA85" s="734" t="n"/>
      <c r="EB85" s="734" t="n"/>
      <c r="EC85" s="734" t="n"/>
      <c r="ED85" s="734" t="n"/>
      <c r="EE85" s="734" t="n"/>
      <c r="EG85" s="734" t="n"/>
      <c r="EH85" s="734" t="n"/>
    </row>
    <row r="86">
      <c r="P86" s="734" t="n"/>
      <c r="Q86" s="734" t="n"/>
      <c r="DX86" s="741" t="n"/>
      <c r="DY86" s="741" t="n"/>
      <c r="DZ86" s="734" t="n"/>
      <c r="EA86" s="734" t="n"/>
      <c r="EB86" s="734" t="n"/>
      <c r="EC86" s="734" t="n"/>
      <c r="ED86" s="734" t="n"/>
      <c r="EE86" s="734" t="n"/>
      <c r="EG86" s="734" t="n"/>
      <c r="EH86" s="734" t="n"/>
    </row>
    <row r="87">
      <c r="P87" s="734" t="n"/>
      <c r="Q87" s="734" t="n"/>
      <c r="DX87" s="741" t="n"/>
      <c r="DY87" s="741" t="n"/>
      <c r="DZ87" s="734" t="n"/>
      <c r="EA87" s="734" t="n"/>
      <c r="EB87" s="734" t="n"/>
      <c r="EC87" s="734" t="n"/>
      <c r="ED87" s="734" t="n"/>
      <c r="EE87" s="734" t="n"/>
      <c r="EG87" s="734" t="n"/>
      <c r="EH87" s="734" t="n"/>
    </row>
    <row r="88">
      <c r="P88" s="734" t="n"/>
      <c r="Q88" s="734" t="n"/>
      <c r="DX88" s="741" t="n"/>
      <c r="DY88" s="741" t="n"/>
      <c r="DZ88" s="734" t="n"/>
      <c r="EA88" s="734" t="n"/>
      <c r="EB88" s="734" t="n"/>
      <c r="EC88" s="734" t="n"/>
      <c r="ED88" s="734" t="n"/>
      <c r="EE88" s="734" t="n"/>
      <c r="EG88" s="734" t="n"/>
      <c r="EH88" s="734" t="n"/>
    </row>
    <row r="89">
      <c r="P89" s="734" t="n"/>
      <c r="Q89" s="734" t="n"/>
      <c r="DX89" s="741" t="n"/>
      <c r="DY89" s="741" t="n"/>
      <c r="DZ89" s="734" t="n"/>
      <c r="EA89" s="734" t="n"/>
      <c r="EB89" s="734" t="n"/>
      <c r="EC89" s="734" t="n"/>
      <c r="ED89" s="734" t="n"/>
      <c r="EE89" s="734" t="n"/>
      <c r="EG89" s="734" t="n"/>
      <c r="EH89" s="734" t="n"/>
    </row>
    <row r="90">
      <c r="P90" s="734" t="n"/>
      <c r="Q90" s="734" t="n"/>
      <c r="DX90" s="741" t="n"/>
      <c r="DY90" s="741" t="n"/>
      <c r="DZ90" s="734" t="n"/>
      <c r="EA90" s="734" t="n"/>
      <c r="EB90" s="734" t="n"/>
      <c r="EC90" s="734" t="n"/>
      <c r="ED90" s="734" t="n"/>
      <c r="EE90" s="734" t="n"/>
      <c r="EG90" s="734" t="n"/>
      <c r="EH90" s="734" t="n"/>
    </row>
    <row r="91">
      <c r="P91" s="734" t="n"/>
      <c r="Q91" s="734" t="n"/>
      <c r="DX91" s="741" t="n"/>
      <c r="DY91" s="741" t="n"/>
      <c r="DZ91" s="734" t="n"/>
      <c r="EA91" s="734" t="n"/>
      <c r="EB91" s="734" t="n"/>
      <c r="EC91" s="734" t="n"/>
      <c r="ED91" s="734" t="n"/>
      <c r="EE91" s="734" t="n"/>
      <c r="EG91" s="734" t="n"/>
      <c r="EH91" s="734" t="n"/>
    </row>
    <row r="92">
      <c r="P92" s="734" t="n"/>
      <c r="Q92" s="734" t="n"/>
      <c r="DX92" s="741" t="n"/>
      <c r="DY92" s="741" t="n"/>
      <c r="DZ92" s="734" t="n"/>
      <c r="EA92" s="734" t="n"/>
      <c r="EB92" s="734" t="n"/>
      <c r="EC92" s="734" t="n"/>
      <c r="ED92" s="734" t="n"/>
      <c r="EE92" s="734" t="n"/>
      <c r="EG92" s="734" t="n"/>
      <c r="EH92" s="734" t="n"/>
    </row>
    <row r="93">
      <c r="P93" s="734" t="n"/>
      <c r="Q93" s="734" t="n"/>
      <c r="DX93" s="741" t="n"/>
      <c r="DY93" s="741" t="n"/>
      <c r="DZ93" s="734" t="n"/>
      <c r="EA93" s="734" t="n"/>
      <c r="EB93" s="734" t="n"/>
      <c r="EC93" s="734" t="n"/>
      <c r="ED93" s="734" t="n"/>
      <c r="EE93" s="734" t="n"/>
      <c r="EG93" s="734" t="n"/>
      <c r="EH93" s="734" t="n"/>
    </row>
    <row r="94">
      <c r="P94" s="734" t="n"/>
      <c r="Q94" s="734" t="n"/>
      <c r="DX94" s="741" t="n"/>
      <c r="DY94" s="741" t="n"/>
      <c r="DZ94" s="734" t="n"/>
      <c r="EA94" s="734" t="n"/>
      <c r="EB94" s="734" t="n"/>
      <c r="EC94" s="734" t="n"/>
      <c r="ED94" s="734" t="n"/>
      <c r="EE94" s="734" t="n"/>
      <c r="EG94" s="734" t="n"/>
      <c r="EH94" s="734" t="n"/>
    </row>
    <row r="95">
      <c r="P95" s="734" t="n"/>
      <c r="Q95" s="734" t="n"/>
      <c r="DX95" s="741" t="n"/>
      <c r="DY95" s="741" t="n"/>
      <c r="DZ95" s="734" t="n"/>
      <c r="EA95" s="734" t="n"/>
      <c r="EB95" s="734" t="n"/>
      <c r="EC95" s="734" t="n"/>
      <c r="ED95" s="734" t="n"/>
      <c r="EE95" s="734" t="n"/>
      <c r="EG95" s="734" t="n"/>
      <c r="EH95" s="734" t="n"/>
    </row>
    <row r="96">
      <c r="P96" s="734" t="n"/>
      <c r="Q96" s="734" t="n"/>
      <c r="DX96" s="741" t="n"/>
      <c r="DY96" s="741" t="n"/>
      <c r="DZ96" s="734" t="n"/>
      <c r="EA96" s="734" t="n"/>
      <c r="EB96" s="734" t="n"/>
      <c r="EC96" s="734" t="n"/>
      <c r="ED96" s="734" t="n"/>
      <c r="EE96" s="734" t="n"/>
      <c r="EG96" s="734" t="n"/>
      <c r="EH96" s="734" t="n"/>
    </row>
    <row r="97">
      <c r="P97" s="734" t="n"/>
      <c r="Q97" s="734" t="n"/>
      <c r="DX97" s="741" t="n"/>
      <c r="DY97" s="741" t="n"/>
      <c r="DZ97" s="734" t="n"/>
      <c r="EA97" s="734" t="n"/>
      <c r="EB97" s="734" t="n"/>
      <c r="EC97" s="734" t="n"/>
      <c r="ED97" s="734" t="n"/>
      <c r="EE97" s="734" t="n"/>
      <c r="EG97" s="734" t="n"/>
      <c r="EH97" s="734" t="n"/>
    </row>
    <row r="98">
      <c r="P98" s="734" t="n"/>
      <c r="Q98" s="734" t="n"/>
      <c r="DX98" s="741" t="n"/>
      <c r="DY98" s="741" t="n"/>
      <c r="DZ98" s="734" t="n"/>
      <c r="EA98" s="734" t="n"/>
      <c r="EB98" s="734" t="n"/>
      <c r="EC98" s="734" t="n"/>
      <c r="ED98" s="734" t="n"/>
      <c r="EE98" s="734" t="n"/>
      <c r="EG98" s="734" t="n"/>
      <c r="EH98" s="734" t="n"/>
    </row>
    <row r="99">
      <c r="P99" s="734" t="n"/>
      <c r="Q99" s="734" t="n"/>
      <c r="DX99" s="741" t="n"/>
      <c r="DY99" s="741" t="n"/>
      <c r="DZ99" s="734" t="n"/>
      <c r="EA99" s="734" t="n"/>
      <c r="EB99" s="734" t="n"/>
      <c r="EC99" s="734" t="n"/>
      <c r="ED99" s="734" t="n"/>
      <c r="EE99" s="734" t="n"/>
      <c r="EG99" s="734" t="n"/>
      <c r="EH99" s="734" t="n"/>
    </row>
    <row r="100">
      <c r="P100" s="734" t="n"/>
      <c r="Q100" s="734" t="n"/>
      <c r="DX100" s="741" t="n"/>
      <c r="DY100" s="741" t="n"/>
      <c r="DZ100" s="734" t="n"/>
      <c r="EA100" s="734" t="n"/>
      <c r="EB100" s="734" t="n"/>
      <c r="EC100" s="734" t="n"/>
      <c r="ED100" s="734" t="n"/>
      <c r="EE100" s="734" t="n"/>
      <c r="EG100" s="734" t="n"/>
      <c r="EH100" s="734" t="n"/>
    </row>
    <row r="101">
      <c r="P101" s="734" t="n"/>
      <c r="Q101" s="734" t="n"/>
      <c r="DX101" s="741" t="n"/>
      <c r="DY101" s="741" t="n"/>
      <c r="DZ101" s="734" t="n"/>
      <c r="EA101" s="734" t="n"/>
      <c r="EB101" s="734" t="n"/>
      <c r="EC101" s="734" t="n"/>
      <c r="ED101" s="734" t="n"/>
      <c r="EE101" s="734" t="n"/>
      <c r="EG101" s="734" t="n"/>
      <c r="EH101" s="734" t="n"/>
    </row>
    <row r="102">
      <c r="P102" s="734" t="n"/>
      <c r="Q102" s="734" t="n"/>
      <c r="DX102" s="741" t="n"/>
      <c r="DY102" s="741" t="n"/>
      <c r="DZ102" s="734" t="n"/>
      <c r="EA102" s="734" t="n"/>
      <c r="EB102" s="734" t="n"/>
      <c r="EC102" s="734" t="n"/>
      <c r="ED102" s="734" t="n"/>
      <c r="EE102" s="734" t="n"/>
      <c r="EG102" s="734" t="n"/>
      <c r="EH102" s="734" t="n"/>
    </row>
    <row r="103">
      <c r="P103" s="734" t="n"/>
      <c r="Q103" s="734" t="n"/>
      <c r="DX103" s="741" t="n"/>
      <c r="DY103" s="741" t="n"/>
      <c r="DZ103" s="734" t="n"/>
      <c r="EA103" s="734" t="n"/>
      <c r="EB103" s="734" t="n"/>
      <c r="EC103" s="734" t="n"/>
      <c r="ED103" s="734" t="n"/>
      <c r="EE103" s="734" t="n"/>
      <c r="EG103" s="734" t="n"/>
      <c r="EH103" s="734" t="n"/>
    </row>
    <row r="104">
      <c r="P104" s="734" t="n"/>
      <c r="Q104" s="734" t="n"/>
      <c r="DX104" s="741" t="n"/>
      <c r="DY104" s="741" t="n"/>
      <c r="DZ104" s="734" t="n"/>
      <c r="EA104" s="734" t="n"/>
      <c r="EB104" s="734" t="n"/>
      <c r="EC104" s="734" t="n"/>
      <c r="ED104" s="734" t="n"/>
      <c r="EE104" s="734" t="n"/>
      <c r="EG104" s="734" t="n"/>
      <c r="EH104" s="734" t="n"/>
    </row>
    <row r="105">
      <c r="P105" s="734" t="n"/>
      <c r="Q105" s="734" t="n"/>
      <c r="DX105" s="741" t="n"/>
      <c r="DY105" s="741" t="n"/>
      <c r="DZ105" s="734" t="n"/>
      <c r="EA105" s="734" t="n"/>
      <c r="EB105" s="734" t="n"/>
      <c r="EC105" s="734" t="n"/>
      <c r="ED105" s="734" t="n"/>
      <c r="EE105" s="734" t="n"/>
      <c r="EG105" s="734" t="n"/>
      <c r="EH105" s="734" t="n"/>
    </row>
    <row r="106">
      <c r="P106" s="734" t="n"/>
      <c r="Q106" s="734" t="n"/>
      <c r="DX106" s="741" t="n"/>
      <c r="DY106" s="741" t="n"/>
      <c r="DZ106" s="734" t="n"/>
      <c r="EA106" s="734" t="n"/>
      <c r="EB106" s="734" t="n"/>
      <c r="EC106" s="734" t="n"/>
      <c r="ED106" s="734" t="n"/>
      <c r="EE106" s="734" t="n"/>
      <c r="EG106" s="734" t="n"/>
      <c r="EH106" s="734" t="n"/>
    </row>
    <row r="107">
      <c r="P107" s="734" t="n"/>
      <c r="Q107" s="734" t="n"/>
      <c r="DX107" s="741" t="n"/>
      <c r="DY107" s="741" t="n"/>
      <c r="DZ107" s="734" t="n"/>
      <c r="EA107" s="734" t="n"/>
      <c r="EB107" s="734" t="n"/>
      <c r="EC107" s="734" t="n"/>
      <c r="ED107" s="734" t="n"/>
      <c r="EE107" s="734" t="n"/>
      <c r="EG107" s="734" t="n"/>
      <c r="EH107" s="734" t="n"/>
    </row>
    <row r="108">
      <c r="P108" s="734" t="n"/>
      <c r="Q108" s="734" t="n"/>
      <c r="DX108" s="741" t="n"/>
      <c r="DY108" s="741" t="n"/>
      <c r="DZ108" s="734" t="n"/>
      <c r="EA108" s="734" t="n"/>
      <c r="EB108" s="734" t="n"/>
      <c r="EC108" s="734" t="n"/>
      <c r="ED108" s="734" t="n"/>
      <c r="EE108" s="734" t="n"/>
      <c r="EG108" s="734" t="n"/>
      <c r="EH108" s="734" t="n"/>
    </row>
    <row r="109">
      <c r="P109" s="734" t="n"/>
      <c r="Q109" s="734" t="n"/>
      <c r="DX109" s="741" t="n"/>
      <c r="DY109" s="741" t="n"/>
      <c r="DZ109" s="734" t="n"/>
      <c r="EA109" s="734" t="n"/>
      <c r="EB109" s="734" t="n"/>
      <c r="EC109" s="734" t="n"/>
      <c r="ED109" s="734" t="n"/>
      <c r="EE109" s="734" t="n"/>
      <c r="EG109" s="734" t="n"/>
      <c r="EH109" s="734" t="n"/>
    </row>
    <row r="110">
      <c r="P110" s="734" t="n"/>
      <c r="Q110" s="734" t="n"/>
      <c r="DX110" s="741" t="n"/>
      <c r="DY110" s="741" t="n"/>
      <c r="DZ110" s="734" t="n"/>
      <c r="EA110" s="734" t="n"/>
      <c r="EB110" s="734" t="n"/>
      <c r="EC110" s="734" t="n"/>
      <c r="ED110" s="734" t="n"/>
      <c r="EE110" s="734" t="n"/>
      <c r="EG110" s="734" t="n"/>
      <c r="EH110" s="734" t="n"/>
    </row>
    <row r="111">
      <c r="P111" s="734" t="n"/>
      <c r="Q111" s="734" t="n"/>
      <c r="DX111" s="741" t="n"/>
      <c r="DY111" s="741" t="n"/>
      <c r="DZ111" s="734" t="n"/>
      <c r="EA111" s="734" t="n"/>
      <c r="EB111" s="734" t="n"/>
      <c r="EC111" s="734" t="n"/>
      <c r="ED111" s="734" t="n"/>
      <c r="EE111" s="734" t="n"/>
      <c r="EG111" s="734" t="n"/>
      <c r="EH111" s="734" t="n"/>
    </row>
    <row r="112">
      <c r="P112" s="734" t="n"/>
      <c r="Q112" s="734" t="n"/>
      <c r="DX112" s="741" t="n"/>
      <c r="DY112" s="741" t="n"/>
      <c r="DZ112" s="734" t="n"/>
      <c r="EA112" s="734" t="n"/>
      <c r="EB112" s="734" t="n"/>
      <c r="EC112" s="734" t="n"/>
      <c r="ED112" s="734" t="n"/>
      <c r="EE112" s="734" t="n"/>
      <c r="EG112" s="734" t="n"/>
      <c r="EH112" s="734" t="n"/>
    </row>
    <row r="113">
      <c r="P113" s="734" t="n"/>
      <c r="Q113" s="734" t="n"/>
      <c r="DX113" s="741" t="n"/>
      <c r="DY113" s="741" t="n"/>
      <c r="DZ113" s="734" t="n"/>
      <c r="EA113" s="734" t="n"/>
      <c r="EB113" s="734" t="n"/>
      <c r="EC113" s="734" t="n"/>
      <c r="ED113" s="734" t="n"/>
      <c r="EE113" s="734" t="n"/>
      <c r="EG113" s="734" t="n"/>
      <c r="EH113" s="734" t="n"/>
    </row>
    <row r="114">
      <c r="P114" s="734" t="n"/>
      <c r="Q114" s="734" t="n"/>
      <c r="DX114" s="741" t="n"/>
      <c r="DY114" s="741" t="n"/>
      <c r="DZ114" s="734" t="n"/>
      <c r="EA114" s="734" t="n"/>
      <c r="EB114" s="734" t="n"/>
      <c r="EC114" s="734" t="n"/>
      <c r="ED114" s="734" t="n"/>
      <c r="EE114" s="734" t="n"/>
      <c r="EG114" s="734" t="n"/>
      <c r="EH114" s="734" t="n"/>
    </row>
    <row r="115">
      <c r="P115" s="734" t="n"/>
      <c r="Q115" s="734" t="n"/>
      <c r="DX115" s="741" t="n"/>
      <c r="DY115" s="741" t="n"/>
      <c r="DZ115" s="734" t="n"/>
      <c r="EA115" s="734" t="n"/>
      <c r="EB115" s="734" t="n"/>
      <c r="EC115" s="734" t="n"/>
      <c r="ED115" s="734" t="n"/>
      <c r="EE115" s="734" t="n"/>
      <c r="EG115" s="734" t="n"/>
      <c r="EH115" s="734" t="n"/>
    </row>
    <row r="116">
      <c r="P116" s="734" t="n"/>
      <c r="Q116" s="734" t="n"/>
      <c r="DX116" s="741" t="n"/>
      <c r="DY116" s="741" t="n"/>
      <c r="DZ116" s="734" t="n"/>
      <c r="EA116" s="734" t="n"/>
      <c r="EB116" s="734" t="n"/>
      <c r="EC116" s="734" t="n"/>
      <c r="ED116" s="734" t="n"/>
      <c r="EE116" s="734" t="n"/>
      <c r="EG116" s="734" t="n"/>
      <c r="EH116" s="734" t="n"/>
    </row>
    <row r="117">
      <c r="P117" s="734" t="n"/>
      <c r="Q117" s="734" t="n"/>
      <c r="DX117" s="741" t="n"/>
      <c r="DY117" s="741" t="n"/>
      <c r="DZ117" s="734" t="n"/>
      <c r="EA117" s="734" t="n"/>
      <c r="EB117" s="734" t="n"/>
      <c r="EC117" s="734" t="n"/>
      <c r="ED117" s="734" t="n"/>
      <c r="EE117" s="734" t="n"/>
      <c r="EG117" s="734" t="n"/>
      <c r="EH117" s="734" t="n"/>
    </row>
    <row r="118">
      <c r="P118" s="734" t="n"/>
      <c r="Q118" s="734" t="n"/>
      <c r="DX118" s="741" t="n"/>
      <c r="DY118" s="741" t="n"/>
      <c r="DZ118" s="734" t="n"/>
      <c r="EA118" s="734" t="n"/>
      <c r="EB118" s="734" t="n"/>
      <c r="EC118" s="734" t="n"/>
      <c r="ED118" s="734" t="n"/>
      <c r="EE118" s="734" t="n"/>
      <c r="EG118" s="734" t="n"/>
      <c r="EH118" s="734" t="n"/>
    </row>
    <row r="119">
      <c r="P119" s="734" t="n"/>
      <c r="Q119" s="734" t="n"/>
      <c r="DX119" s="741" t="n"/>
      <c r="DY119" s="741" t="n"/>
      <c r="DZ119" s="734" t="n"/>
      <c r="EA119" s="734" t="n"/>
      <c r="EB119" s="734" t="n"/>
      <c r="EC119" s="734" t="n"/>
      <c r="ED119" s="734" t="n"/>
      <c r="EE119" s="734" t="n"/>
      <c r="EG119" s="734" t="n"/>
      <c r="EH119" s="734" t="n"/>
    </row>
    <row r="120">
      <c r="P120" s="734" t="n"/>
      <c r="Q120" s="734" t="n"/>
      <c r="DX120" s="741" t="n"/>
      <c r="DY120" s="741" t="n"/>
      <c r="DZ120" s="734" t="n"/>
      <c r="EA120" s="734" t="n"/>
      <c r="EB120" s="734" t="n"/>
      <c r="EC120" s="734" t="n"/>
      <c r="ED120" s="734" t="n"/>
      <c r="EE120" s="734" t="n"/>
      <c r="EG120" s="734" t="n"/>
      <c r="EH120" s="734" t="n"/>
    </row>
    <row r="121">
      <c r="P121" s="734" t="n"/>
      <c r="Q121" s="734" t="n"/>
      <c r="DX121" s="741" t="n"/>
      <c r="DY121" s="741" t="n"/>
      <c r="DZ121" s="734" t="n"/>
      <c r="EA121" s="734" t="n"/>
      <c r="EB121" s="734" t="n"/>
      <c r="EC121" s="734" t="n"/>
      <c r="ED121" s="734" t="n"/>
      <c r="EE121" s="734" t="n"/>
      <c r="EG121" s="734" t="n"/>
      <c r="EH121" s="734" t="n"/>
    </row>
    <row r="122">
      <c r="P122" s="734" t="n"/>
      <c r="Q122" s="734" t="n"/>
      <c r="DX122" s="741" t="n"/>
      <c r="DY122" s="741" t="n"/>
      <c r="DZ122" s="734" t="n"/>
      <c r="EA122" s="734" t="n"/>
      <c r="EB122" s="734" t="n"/>
      <c r="EC122" s="734" t="n"/>
      <c r="ED122" s="734" t="n"/>
      <c r="EE122" s="734" t="n"/>
      <c r="EG122" s="734" t="n"/>
      <c r="EH122" s="734" t="n"/>
    </row>
    <row r="123">
      <c r="P123" s="734" t="n"/>
      <c r="Q123" s="734" t="n"/>
      <c r="DX123" s="741" t="n"/>
      <c r="DY123" s="741" t="n"/>
      <c r="DZ123" s="734" t="n"/>
      <c r="EA123" s="734" t="n"/>
      <c r="EB123" s="734" t="n"/>
      <c r="EC123" s="734" t="n"/>
      <c r="ED123" s="734" t="n"/>
      <c r="EE123" s="734" t="n"/>
      <c r="EG123" s="734" t="n"/>
      <c r="EH123" s="734" t="n"/>
    </row>
    <row r="124">
      <c r="P124" s="734" t="n"/>
      <c r="Q124" s="734" t="n"/>
      <c r="DX124" s="741" t="n"/>
      <c r="DY124" s="741" t="n"/>
      <c r="DZ124" s="734" t="n"/>
      <c r="EA124" s="734" t="n"/>
      <c r="EB124" s="734" t="n"/>
      <c r="EC124" s="734" t="n"/>
      <c r="ED124" s="734" t="n"/>
      <c r="EE124" s="734" t="n"/>
      <c r="EG124" s="734" t="n"/>
      <c r="EH124" s="734" t="n"/>
    </row>
    <row r="125">
      <c r="P125" s="734" t="n"/>
      <c r="Q125" s="734" t="n"/>
      <c r="DX125" s="741" t="n"/>
      <c r="DY125" s="741" t="n"/>
      <c r="DZ125" s="734" t="n"/>
      <c r="EA125" s="734" t="n"/>
      <c r="EB125" s="734" t="n"/>
      <c r="EC125" s="734" t="n"/>
      <c r="ED125" s="734" t="n"/>
      <c r="EE125" s="734" t="n"/>
      <c r="EG125" s="734" t="n"/>
      <c r="EH125" s="734" t="n"/>
    </row>
    <row r="126">
      <c r="P126" s="734" t="n"/>
      <c r="Q126" s="734" t="n"/>
      <c r="DX126" s="741" t="n"/>
      <c r="DY126" s="741" t="n"/>
      <c r="DZ126" s="734" t="n"/>
      <c r="EA126" s="734" t="n"/>
      <c r="EB126" s="734" t="n"/>
      <c r="EC126" s="734" t="n"/>
      <c r="ED126" s="734" t="n"/>
      <c r="EE126" s="734" t="n"/>
      <c r="EG126" s="734" t="n"/>
      <c r="EH126" s="734" t="n"/>
    </row>
    <row r="127">
      <c r="P127" s="734" t="n"/>
      <c r="Q127" s="734" t="n"/>
      <c r="DX127" s="741" t="n"/>
      <c r="DY127" s="741" t="n"/>
      <c r="DZ127" s="734" t="n"/>
      <c r="EA127" s="734" t="n"/>
      <c r="EB127" s="734" t="n"/>
      <c r="EC127" s="734" t="n"/>
      <c r="ED127" s="734" t="n"/>
      <c r="EE127" s="734" t="n"/>
      <c r="EG127" s="734" t="n"/>
      <c r="EH127" s="734" t="n"/>
    </row>
    <row r="128">
      <c r="P128" s="734" t="n"/>
      <c r="Q128" s="734" t="n"/>
      <c r="DX128" s="741" t="n"/>
      <c r="DY128" s="741" t="n"/>
      <c r="DZ128" s="734" t="n"/>
      <c r="EA128" s="734" t="n"/>
      <c r="EB128" s="734" t="n"/>
      <c r="EC128" s="734" t="n"/>
      <c r="ED128" s="734" t="n"/>
      <c r="EE128" s="734" t="n"/>
      <c r="EG128" s="734" t="n"/>
      <c r="EH128" s="734" t="n"/>
    </row>
    <row r="129">
      <c r="P129" s="734" t="n"/>
      <c r="Q129" s="734" t="n"/>
      <c r="DX129" s="741" t="n"/>
      <c r="DY129" s="741" t="n"/>
      <c r="DZ129" s="734" t="n"/>
      <c r="EA129" s="734" t="n"/>
      <c r="EB129" s="734" t="n"/>
      <c r="EC129" s="734" t="n"/>
      <c r="ED129" s="734" t="n"/>
      <c r="EE129" s="734" t="n"/>
      <c r="EG129" s="734" t="n"/>
      <c r="EH129" s="734" t="n"/>
    </row>
    <row r="130">
      <c r="P130" s="734" t="n"/>
      <c r="Q130" s="734" t="n"/>
      <c r="DX130" s="741" t="n"/>
      <c r="DY130" s="741" t="n"/>
      <c r="DZ130" s="734" t="n"/>
      <c r="EA130" s="734" t="n"/>
      <c r="EB130" s="734" t="n"/>
      <c r="EC130" s="734" t="n"/>
      <c r="ED130" s="734" t="n"/>
      <c r="EE130" s="734" t="n"/>
      <c r="EG130" s="734" t="n"/>
      <c r="EH130" s="734" t="n"/>
    </row>
    <row r="131">
      <c r="P131" s="734" t="n"/>
      <c r="Q131" s="734" t="n"/>
      <c r="DX131" s="741" t="n"/>
      <c r="DY131" s="741" t="n"/>
      <c r="DZ131" s="734" t="n"/>
      <c r="EA131" s="734" t="n"/>
      <c r="EB131" s="734" t="n"/>
      <c r="EC131" s="734" t="n"/>
      <c r="ED131" s="734" t="n"/>
      <c r="EE131" s="734" t="n"/>
      <c r="EG131" s="734" t="n"/>
      <c r="EH131" s="734" t="n"/>
    </row>
    <row r="132">
      <c r="P132" s="734" t="n"/>
      <c r="Q132" s="734" t="n"/>
      <c r="DX132" s="741" t="n"/>
      <c r="DY132" s="741" t="n"/>
      <c r="DZ132" s="734" t="n"/>
      <c r="EA132" s="734" t="n"/>
      <c r="EB132" s="734" t="n"/>
      <c r="EC132" s="734" t="n"/>
      <c r="ED132" s="734" t="n"/>
      <c r="EE132" s="734" t="n"/>
      <c r="EG132" s="734" t="n"/>
      <c r="EH132" s="734" t="n"/>
    </row>
    <row r="133">
      <c r="P133" s="734" t="n"/>
      <c r="Q133" s="734" t="n"/>
      <c r="DX133" s="741" t="n"/>
      <c r="DY133" s="741" t="n"/>
      <c r="DZ133" s="734" t="n"/>
      <c r="EA133" s="734" t="n"/>
      <c r="EB133" s="734" t="n"/>
      <c r="EC133" s="734" t="n"/>
      <c r="ED133" s="734" t="n"/>
      <c r="EE133" s="734" t="n"/>
      <c r="EG133" s="734" t="n"/>
      <c r="EH133" s="734" t="n"/>
    </row>
    <row r="134">
      <c r="P134" s="734" t="n"/>
      <c r="Q134" s="734" t="n"/>
      <c r="DX134" s="741" t="n"/>
      <c r="DY134" s="741" t="n"/>
      <c r="DZ134" s="734" t="n"/>
      <c r="EA134" s="734" t="n"/>
      <c r="EB134" s="734" t="n"/>
      <c r="EC134" s="734" t="n"/>
      <c r="ED134" s="734" t="n"/>
      <c r="EE134" s="734" t="n"/>
      <c r="EG134" s="734" t="n"/>
      <c r="EH134" s="734" t="n"/>
    </row>
    <row r="135">
      <c r="P135" s="734" t="n"/>
      <c r="Q135" s="734" t="n"/>
      <c r="DX135" s="741" t="n"/>
      <c r="DY135" s="741" t="n"/>
      <c r="DZ135" s="734" t="n"/>
      <c r="EA135" s="734" t="n"/>
      <c r="EB135" s="734" t="n"/>
      <c r="EC135" s="734" t="n"/>
      <c r="ED135" s="734" t="n"/>
      <c r="EE135" s="734" t="n"/>
      <c r="EG135" s="734" t="n"/>
      <c r="EH135" s="734" t="n"/>
    </row>
    <row r="136">
      <c r="P136" s="734" t="n"/>
      <c r="Q136" s="734" t="n"/>
      <c r="DX136" s="741" t="n"/>
      <c r="DY136" s="741" t="n"/>
      <c r="DZ136" s="734" t="n"/>
      <c r="EA136" s="734" t="n"/>
      <c r="EB136" s="734" t="n"/>
      <c r="EC136" s="734" t="n"/>
      <c r="ED136" s="734" t="n"/>
      <c r="EE136" s="734" t="n"/>
      <c r="EG136" s="734" t="n"/>
      <c r="EH136" s="734" t="n"/>
    </row>
    <row r="137">
      <c r="P137" s="734" t="n"/>
      <c r="Q137" s="734" t="n"/>
      <c r="DX137" s="741" t="n"/>
      <c r="DY137" s="741" t="n"/>
      <c r="DZ137" s="734" t="n"/>
      <c r="EA137" s="734" t="n"/>
      <c r="EB137" s="734" t="n"/>
      <c r="EC137" s="734" t="n"/>
      <c r="ED137" s="734" t="n"/>
      <c r="EE137" s="734" t="n"/>
      <c r="EG137" s="734" t="n"/>
      <c r="EH137" s="734" t="n"/>
    </row>
    <row r="138">
      <c r="P138" s="734" t="n"/>
      <c r="Q138" s="734" t="n"/>
      <c r="DX138" s="741" t="n"/>
      <c r="DY138" s="741" t="n"/>
      <c r="DZ138" s="734" t="n"/>
      <c r="EA138" s="734" t="n"/>
      <c r="EB138" s="734" t="n"/>
      <c r="EC138" s="734" t="n"/>
      <c r="ED138" s="734" t="n"/>
      <c r="EE138" s="734" t="n"/>
      <c r="EG138" s="734" t="n"/>
      <c r="EH138" s="734" t="n"/>
    </row>
    <row r="139">
      <c r="P139" s="734" t="n"/>
      <c r="Q139" s="734" t="n"/>
      <c r="DX139" s="741" t="n"/>
      <c r="DY139" s="741" t="n"/>
      <c r="DZ139" s="734" t="n"/>
      <c r="EA139" s="734" t="n"/>
      <c r="EB139" s="734" t="n"/>
      <c r="EC139" s="734" t="n"/>
      <c r="ED139" s="734" t="n"/>
      <c r="EE139" s="734" t="n"/>
      <c r="EG139" s="734" t="n"/>
      <c r="EH139" s="734" t="n"/>
    </row>
    <row r="140">
      <c r="P140" s="734" t="n"/>
      <c r="Q140" s="734" t="n"/>
      <c r="DX140" s="741" t="n"/>
      <c r="DY140" s="741" t="n"/>
      <c r="DZ140" s="734" t="n"/>
      <c r="EA140" s="734" t="n"/>
      <c r="EB140" s="734" t="n"/>
      <c r="EC140" s="734" t="n"/>
      <c r="ED140" s="734" t="n"/>
      <c r="EE140" s="734" t="n"/>
      <c r="EG140" s="734" t="n"/>
      <c r="EH140" s="734" t="n"/>
    </row>
    <row r="141">
      <c r="P141" s="734" t="n"/>
      <c r="Q141" s="734" t="n"/>
      <c r="DX141" s="741" t="n"/>
      <c r="DY141" s="741" t="n"/>
      <c r="DZ141" s="734" t="n"/>
      <c r="EA141" s="734" t="n"/>
      <c r="EB141" s="734" t="n"/>
      <c r="EC141" s="734" t="n"/>
      <c r="ED141" s="734" t="n"/>
      <c r="EE141" s="734" t="n"/>
      <c r="EG141" s="734" t="n"/>
      <c r="EH141" s="734" t="n"/>
    </row>
    <row r="142">
      <c r="P142" s="734" t="n"/>
      <c r="Q142" s="734" t="n"/>
      <c r="DX142" s="741" t="n"/>
      <c r="DY142" s="741" t="n"/>
      <c r="DZ142" s="734" t="n"/>
      <c r="EA142" s="734" t="n"/>
      <c r="EB142" s="734" t="n"/>
      <c r="EC142" s="734" t="n"/>
      <c r="ED142" s="734" t="n"/>
      <c r="EE142" s="734" t="n"/>
      <c r="EG142" s="734" t="n"/>
      <c r="EH142" s="734" t="n"/>
    </row>
    <row r="143">
      <c r="P143" s="734" t="n"/>
      <c r="Q143" s="734" t="n"/>
      <c r="DX143" s="741" t="n"/>
      <c r="DY143" s="741" t="n"/>
      <c r="DZ143" s="734" t="n"/>
      <c r="EA143" s="734" t="n"/>
      <c r="EB143" s="734" t="n"/>
      <c r="EC143" s="734" t="n"/>
      <c r="ED143" s="734" t="n"/>
      <c r="EE143" s="734" t="n"/>
      <c r="EG143" s="734" t="n"/>
      <c r="EH143" s="734" t="n"/>
    </row>
    <row r="144">
      <c r="P144" s="734" t="n"/>
      <c r="Q144" s="734" t="n"/>
      <c r="DX144" s="741" t="n"/>
      <c r="DY144" s="741" t="n"/>
      <c r="DZ144" s="734" t="n"/>
      <c r="EA144" s="734" t="n"/>
      <c r="EB144" s="734" t="n"/>
      <c r="EC144" s="734" t="n"/>
      <c r="ED144" s="734" t="n"/>
      <c r="EE144" s="734" t="n"/>
      <c r="EG144" s="734" t="n"/>
      <c r="EH144" s="734" t="n"/>
    </row>
    <row r="145">
      <c r="P145" s="734" t="n"/>
      <c r="Q145" s="734" t="n"/>
      <c r="DX145" s="741" t="n"/>
      <c r="DY145" s="741" t="n"/>
      <c r="DZ145" s="734" t="n"/>
      <c r="EA145" s="734" t="n"/>
      <c r="EB145" s="734" t="n"/>
      <c r="EC145" s="734" t="n"/>
      <c r="ED145" s="734" t="n"/>
      <c r="EE145" s="734" t="n"/>
      <c r="EG145" s="734" t="n"/>
      <c r="EH145" s="734" t="n"/>
    </row>
    <row r="146">
      <c r="P146" s="734" t="n"/>
      <c r="Q146" s="734" t="n"/>
      <c r="DX146" s="741" t="n"/>
      <c r="DY146" s="741" t="n"/>
      <c r="DZ146" s="734" t="n"/>
      <c r="EA146" s="734" t="n"/>
      <c r="EB146" s="734" t="n"/>
      <c r="EC146" s="734" t="n"/>
      <c r="ED146" s="734" t="n"/>
      <c r="EE146" s="734" t="n"/>
      <c r="EG146" s="734" t="n"/>
      <c r="EH146" s="734" t="n"/>
    </row>
    <row r="147">
      <c r="P147" s="734" t="n"/>
      <c r="Q147" s="734" t="n"/>
      <c r="DX147" s="741" t="n"/>
      <c r="DY147" s="741" t="n"/>
      <c r="DZ147" s="734" t="n"/>
      <c r="EA147" s="734" t="n"/>
      <c r="EB147" s="734" t="n"/>
      <c r="EC147" s="734" t="n"/>
      <c r="ED147" s="734" t="n"/>
      <c r="EE147" s="734" t="n"/>
      <c r="EG147" s="734" t="n"/>
      <c r="EH147" s="734" t="n"/>
    </row>
    <row r="148">
      <c r="P148" s="734" t="n"/>
      <c r="Q148" s="734" t="n"/>
      <c r="DX148" s="741" t="n"/>
      <c r="DY148" s="741" t="n"/>
      <c r="DZ148" s="734" t="n"/>
      <c r="EA148" s="734" t="n"/>
      <c r="EB148" s="734" t="n"/>
      <c r="EC148" s="734" t="n"/>
      <c r="ED148" s="734" t="n"/>
      <c r="EE148" s="734" t="n"/>
      <c r="EG148" s="734" t="n"/>
      <c r="EH148" s="734" t="n"/>
    </row>
    <row r="149">
      <c r="P149" s="734" t="n"/>
      <c r="Q149" s="734" t="n"/>
      <c r="DX149" s="741" t="n"/>
      <c r="DY149" s="741" t="n"/>
      <c r="DZ149" s="734" t="n"/>
      <c r="EA149" s="734" t="n"/>
      <c r="EB149" s="734" t="n"/>
      <c r="EC149" s="734" t="n"/>
      <c r="ED149" s="734" t="n"/>
      <c r="EE149" s="734" t="n"/>
      <c r="EG149" s="734" t="n"/>
      <c r="EH149" s="734" t="n"/>
    </row>
    <row r="150">
      <c r="P150" s="734" t="n"/>
      <c r="Q150" s="734" t="n"/>
      <c r="DX150" s="741" t="n"/>
      <c r="DY150" s="741" t="n"/>
      <c r="DZ150" s="734" t="n"/>
      <c r="EA150" s="734" t="n"/>
      <c r="EB150" s="734" t="n"/>
      <c r="EC150" s="734" t="n"/>
      <c r="ED150" s="734" t="n"/>
      <c r="EE150" s="734" t="n"/>
      <c r="EG150" s="734" t="n"/>
      <c r="EH150" s="734" t="n"/>
    </row>
    <row r="151">
      <c r="P151" s="734" t="n"/>
      <c r="Q151" s="734" t="n"/>
      <c r="DX151" s="741" t="n"/>
      <c r="DY151" s="741" t="n"/>
      <c r="DZ151" s="734" t="n"/>
      <c r="EA151" s="734" t="n"/>
      <c r="EB151" s="734" t="n"/>
      <c r="EC151" s="734" t="n"/>
      <c r="ED151" s="734" t="n"/>
      <c r="EE151" s="734" t="n"/>
      <c r="EG151" s="734" t="n"/>
      <c r="EH151" s="734" t="n"/>
    </row>
    <row r="152">
      <c r="P152" s="734" t="n"/>
      <c r="Q152" s="734" t="n"/>
      <c r="DX152" s="741" t="n"/>
      <c r="DY152" s="741" t="n"/>
      <c r="DZ152" s="734" t="n"/>
      <c r="EA152" s="734" t="n"/>
      <c r="EB152" s="734" t="n"/>
      <c r="EC152" s="734" t="n"/>
      <c r="ED152" s="734" t="n"/>
      <c r="EE152" s="734" t="n"/>
      <c r="EG152" s="734" t="n"/>
      <c r="EH152" s="734" t="n"/>
    </row>
    <row r="153">
      <c r="P153" s="734" t="n"/>
      <c r="Q153" s="734" t="n"/>
      <c r="DX153" s="741" t="n"/>
      <c r="DY153" s="741" t="n"/>
      <c r="DZ153" s="734" t="n"/>
      <c r="EA153" s="734" t="n"/>
      <c r="EB153" s="734" t="n"/>
      <c r="EC153" s="734" t="n"/>
      <c r="ED153" s="734" t="n"/>
      <c r="EE153" s="734" t="n"/>
      <c r="EG153" s="734" t="n"/>
      <c r="EH153" s="734" t="n"/>
    </row>
    <row r="154">
      <c r="P154" s="734" t="n"/>
      <c r="Q154" s="734" t="n"/>
      <c r="DX154" s="741" t="n"/>
      <c r="DY154" s="741" t="n"/>
      <c r="DZ154" s="734" t="n"/>
      <c r="EA154" s="734" t="n"/>
      <c r="EB154" s="734" t="n"/>
      <c r="EC154" s="734" t="n"/>
      <c r="ED154" s="734" t="n"/>
      <c r="EE154" s="734" t="n"/>
      <c r="EG154" s="734" t="n"/>
      <c r="EH154" s="734" t="n"/>
    </row>
    <row r="155">
      <c r="P155" s="734" t="n"/>
      <c r="Q155" s="734" t="n"/>
      <c r="DX155" s="741" t="n"/>
      <c r="DY155" s="741" t="n"/>
      <c r="DZ155" s="734" t="n"/>
      <c r="EA155" s="734" t="n"/>
      <c r="EB155" s="734" t="n"/>
      <c r="EC155" s="734" t="n"/>
      <c r="ED155" s="734" t="n"/>
      <c r="EE155" s="734" t="n"/>
      <c r="EG155" s="734" t="n"/>
      <c r="EH155" s="734" t="n"/>
    </row>
    <row r="156">
      <c r="P156" s="734" t="n"/>
      <c r="Q156" s="734" t="n"/>
      <c r="DX156" s="741" t="n"/>
      <c r="DY156" s="741" t="n"/>
      <c r="DZ156" s="734" t="n"/>
      <c r="EA156" s="734" t="n"/>
      <c r="EB156" s="734" t="n"/>
      <c r="EC156" s="734" t="n"/>
      <c r="ED156" s="734" t="n"/>
      <c r="EE156" s="734" t="n"/>
      <c r="EG156" s="734" t="n"/>
      <c r="EH156" s="734" t="n"/>
    </row>
    <row r="157">
      <c r="P157" s="734" t="n"/>
      <c r="Q157" s="734" t="n"/>
      <c r="DX157" s="741" t="n"/>
      <c r="DY157" s="741" t="n"/>
      <c r="DZ157" s="734" t="n"/>
      <c r="EA157" s="734" t="n"/>
      <c r="EB157" s="734" t="n"/>
      <c r="EC157" s="734" t="n"/>
      <c r="ED157" s="734" t="n"/>
      <c r="EE157" s="734" t="n"/>
      <c r="EG157" s="734" t="n"/>
      <c r="EH157" s="734" t="n"/>
    </row>
    <row r="158">
      <c r="P158" s="734" t="n"/>
      <c r="Q158" s="734" t="n"/>
      <c r="DX158" s="741" t="n"/>
      <c r="DY158" s="741" t="n"/>
      <c r="DZ158" s="734" t="n"/>
      <c r="EA158" s="734" t="n"/>
      <c r="EB158" s="734" t="n"/>
      <c r="EC158" s="734" t="n"/>
      <c r="ED158" s="734" t="n"/>
      <c r="EE158" s="734" t="n"/>
      <c r="EG158" s="734" t="n"/>
      <c r="EH158" s="734" t="n"/>
    </row>
    <row r="159">
      <c r="P159" s="734" t="n"/>
      <c r="Q159" s="734" t="n"/>
      <c r="DX159" s="741" t="n"/>
      <c r="DY159" s="741" t="n"/>
      <c r="DZ159" s="734" t="n"/>
      <c r="EA159" s="734" t="n"/>
      <c r="EB159" s="734" t="n"/>
      <c r="EC159" s="734" t="n"/>
      <c r="ED159" s="734" t="n"/>
      <c r="EE159" s="734" t="n"/>
      <c r="EG159" s="734" t="n"/>
      <c r="EH159" s="734" t="n"/>
    </row>
    <row r="160">
      <c r="P160" s="734" t="n"/>
      <c r="Q160" s="734" t="n"/>
      <c r="DX160" s="741" t="n"/>
      <c r="DY160" s="741" t="n"/>
      <c r="DZ160" s="734" t="n"/>
      <c r="EA160" s="734" t="n"/>
      <c r="EB160" s="734" t="n"/>
      <c r="EC160" s="734" t="n"/>
      <c r="ED160" s="734" t="n"/>
      <c r="EE160" s="734" t="n"/>
      <c r="EG160" s="734" t="n"/>
      <c r="EH160" s="734" t="n"/>
    </row>
    <row r="161">
      <c r="P161" s="734" t="n"/>
      <c r="Q161" s="734" t="n"/>
      <c r="DX161" s="741" t="n"/>
      <c r="DY161" s="741" t="n"/>
      <c r="DZ161" s="734" t="n"/>
      <c r="EA161" s="734" t="n"/>
      <c r="EB161" s="734" t="n"/>
      <c r="EC161" s="734" t="n"/>
      <c r="ED161" s="734" t="n"/>
      <c r="EE161" s="734" t="n"/>
      <c r="EG161" s="734" t="n"/>
      <c r="EH161" s="734" t="n"/>
    </row>
    <row r="162">
      <c r="P162" s="734" t="n"/>
      <c r="Q162" s="734" t="n"/>
      <c r="DX162" s="741" t="n"/>
      <c r="DY162" s="741" t="n"/>
      <c r="DZ162" s="734" t="n"/>
      <c r="EA162" s="734" t="n"/>
      <c r="EB162" s="734" t="n"/>
      <c r="EC162" s="734" t="n"/>
      <c r="ED162" s="734" t="n"/>
      <c r="EE162" s="734" t="n"/>
      <c r="EG162" s="734" t="n"/>
      <c r="EH162" s="734" t="n"/>
    </row>
    <row r="163">
      <c r="P163" s="734" t="n"/>
      <c r="Q163" s="734" t="n"/>
      <c r="DX163" s="741" t="n"/>
      <c r="DY163" s="741" t="n"/>
      <c r="DZ163" s="734" t="n"/>
      <c r="EA163" s="734" t="n"/>
      <c r="EB163" s="734" t="n"/>
      <c r="EC163" s="734" t="n"/>
      <c r="ED163" s="734" t="n"/>
      <c r="EE163" s="734" t="n"/>
      <c r="EG163" s="734" t="n"/>
      <c r="EH163" s="734" t="n"/>
    </row>
    <row r="164">
      <c r="P164" s="734" t="n"/>
      <c r="Q164" s="734" t="n"/>
      <c r="DX164" s="741" t="n"/>
      <c r="DY164" s="741" t="n"/>
      <c r="DZ164" s="734" t="n"/>
      <c r="EA164" s="734" t="n"/>
      <c r="EB164" s="734" t="n"/>
      <c r="EC164" s="734" t="n"/>
      <c r="ED164" s="734" t="n"/>
      <c r="EE164" s="734" t="n"/>
      <c r="EG164" s="734" t="n"/>
      <c r="EH164" s="734" t="n"/>
    </row>
    <row r="165">
      <c r="P165" s="734" t="n"/>
      <c r="Q165" s="734" t="n"/>
      <c r="DX165" s="741" t="n"/>
      <c r="DY165" s="741" t="n"/>
      <c r="DZ165" s="734" t="n"/>
      <c r="EA165" s="734" t="n"/>
      <c r="EB165" s="734" t="n"/>
      <c r="EC165" s="734" t="n"/>
      <c r="ED165" s="734" t="n"/>
      <c r="EE165" s="734" t="n"/>
      <c r="EG165" s="734" t="n"/>
      <c r="EH165" s="734" t="n"/>
    </row>
    <row r="166">
      <c r="P166" s="734" t="n"/>
      <c r="Q166" s="734" t="n"/>
      <c r="DX166" s="741" t="n"/>
      <c r="DY166" s="741" t="n"/>
      <c r="DZ166" s="734" t="n"/>
      <c r="EA166" s="734" t="n"/>
      <c r="EB166" s="734" t="n"/>
      <c r="EC166" s="734" t="n"/>
      <c r="ED166" s="734" t="n"/>
      <c r="EE166" s="734" t="n"/>
      <c r="EG166" s="734" t="n"/>
      <c r="EH166" s="734" t="n"/>
    </row>
    <row r="167">
      <c r="P167" s="734" t="n"/>
      <c r="Q167" s="734" t="n"/>
      <c r="DX167" s="741" t="n"/>
      <c r="DY167" s="741" t="n"/>
      <c r="DZ167" s="734" t="n"/>
      <c r="EA167" s="734" t="n"/>
      <c r="EB167" s="734" t="n"/>
      <c r="EC167" s="734" t="n"/>
      <c r="ED167" s="734" t="n"/>
      <c r="EE167" s="734" t="n"/>
      <c r="EG167" s="734" t="n"/>
      <c r="EH167" s="734" t="n"/>
    </row>
    <row r="168">
      <c r="P168" s="734" t="n"/>
      <c r="Q168" s="734" t="n"/>
      <c r="DX168" s="741" t="n"/>
      <c r="DY168" s="741" t="n"/>
      <c r="DZ168" s="734" t="n"/>
      <c r="EA168" s="734" t="n"/>
      <c r="EB168" s="734" t="n"/>
      <c r="EC168" s="734" t="n"/>
      <c r="ED168" s="734" t="n"/>
      <c r="EE168" s="734" t="n"/>
      <c r="EG168" s="734" t="n"/>
      <c r="EH168" s="734" t="n"/>
    </row>
    <row r="169">
      <c r="P169" s="734" t="n"/>
      <c r="Q169" s="734" t="n"/>
      <c r="DX169" s="741" t="n"/>
      <c r="DY169" s="741" t="n"/>
      <c r="DZ169" s="734" t="n"/>
      <c r="EA169" s="734" t="n"/>
      <c r="EB169" s="734" t="n"/>
      <c r="EC169" s="734" t="n"/>
      <c r="ED169" s="734" t="n"/>
      <c r="EE169" s="734" t="n"/>
      <c r="EG169" s="734" t="n"/>
      <c r="EH169" s="734" t="n"/>
    </row>
    <row r="170">
      <c r="P170" s="734" t="n"/>
      <c r="Q170" s="734" t="n"/>
      <c r="DX170" s="741" t="n"/>
      <c r="DY170" s="741" t="n"/>
      <c r="DZ170" s="734" t="n"/>
      <c r="EA170" s="734" t="n"/>
      <c r="EB170" s="734" t="n"/>
      <c r="EC170" s="734" t="n"/>
      <c r="ED170" s="734" t="n"/>
      <c r="EE170" s="734" t="n"/>
      <c r="EG170" s="734" t="n"/>
      <c r="EH170" s="734" t="n"/>
    </row>
    <row r="171">
      <c r="P171" s="734" t="n"/>
      <c r="Q171" s="734" t="n"/>
      <c r="DX171" s="741" t="n"/>
      <c r="DY171" s="741" t="n"/>
      <c r="DZ171" s="734" t="n"/>
      <c r="EA171" s="734" t="n"/>
      <c r="EB171" s="734" t="n"/>
      <c r="EC171" s="734" t="n"/>
      <c r="ED171" s="734" t="n"/>
      <c r="EE171" s="734" t="n"/>
      <c r="EG171" s="734" t="n"/>
      <c r="EH171" s="734" t="n"/>
    </row>
    <row r="172">
      <c r="P172" s="734" t="n"/>
      <c r="Q172" s="734" t="n"/>
      <c r="DX172" s="741" t="n"/>
      <c r="DY172" s="741" t="n"/>
      <c r="DZ172" s="734" t="n"/>
      <c r="EA172" s="734" t="n"/>
      <c r="EB172" s="734" t="n"/>
      <c r="EC172" s="734" t="n"/>
      <c r="ED172" s="734" t="n"/>
      <c r="EE172" s="734" t="n"/>
      <c r="EG172" s="734" t="n"/>
      <c r="EH172" s="734" t="n"/>
    </row>
    <row r="173">
      <c r="P173" s="734" t="n"/>
      <c r="Q173" s="734" t="n"/>
      <c r="DX173" s="741" t="n"/>
      <c r="DY173" s="741" t="n"/>
      <c r="DZ173" s="734" t="n"/>
      <c r="EA173" s="734" t="n"/>
      <c r="EB173" s="734" t="n"/>
      <c r="EC173" s="734" t="n"/>
      <c r="ED173" s="734" t="n"/>
      <c r="EE173" s="734" t="n"/>
      <c r="EG173" s="734" t="n"/>
      <c r="EH173" s="734" t="n"/>
    </row>
    <row r="174">
      <c r="P174" s="734" t="n"/>
      <c r="Q174" s="734" t="n"/>
      <c r="DX174" s="741" t="n"/>
      <c r="DY174" s="741" t="n"/>
      <c r="DZ174" s="734" t="n"/>
      <c r="EA174" s="734" t="n"/>
      <c r="EB174" s="734" t="n"/>
      <c r="EC174" s="734" t="n"/>
      <c r="ED174" s="734" t="n"/>
      <c r="EE174" s="734" t="n"/>
      <c r="EG174" s="734" t="n"/>
      <c r="EH174" s="734" t="n"/>
    </row>
    <row r="175">
      <c r="P175" s="734" t="n"/>
      <c r="Q175" s="734" t="n"/>
      <c r="DX175" s="741" t="n"/>
      <c r="DY175" s="741" t="n"/>
      <c r="DZ175" s="734" t="n"/>
      <c r="EA175" s="734" t="n"/>
      <c r="EB175" s="734" t="n"/>
      <c r="EC175" s="734" t="n"/>
      <c r="ED175" s="734" t="n"/>
      <c r="EE175" s="734" t="n"/>
      <c r="EG175" s="734" t="n"/>
      <c r="EH175" s="734" t="n"/>
    </row>
    <row r="176">
      <c r="P176" s="734" t="n"/>
      <c r="Q176" s="734" t="n"/>
      <c r="DX176" s="741" t="n"/>
      <c r="DY176" s="741" t="n"/>
      <c r="DZ176" s="734" t="n"/>
      <c r="EA176" s="734" t="n"/>
      <c r="EB176" s="734" t="n"/>
      <c r="EC176" s="734" t="n"/>
      <c r="ED176" s="734" t="n"/>
      <c r="EE176" s="734" t="n"/>
      <c r="EG176" s="734" t="n"/>
      <c r="EH176" s="734" t="n"/>
    </row>
    <row r="177">
      <c r="P177" s="734" t="n"/>
      <c r="Q177" s="734" t="n"/>
      <c r="DX177" s="741" t="n"/>
      <c r="DY177" s="741" t="n"/>
      <c r="DZ177" s="734" t="n"/>
      <c r="EA177" s="734" t="n"/>
      <c r="EB177" s="734" t="n"/>
      <c r="EC177" s="734" t="n"/>
      <c r="ED177" s="734" t="n"/>
      <c r="EE177" s="734" t="n"/>
      <c r="EG177" s="734" t="n"/>
      <c r="EH177" s="734" t="n"/>
    </row>
    <row r="178">
      <c r="P178" s="734" t="n"/>
      <c r="Q178" s="734" t="n"/>
      <c r="DX178" s="741" t="n"/>
      <c r="DY178" s="741" t="n"/>
      <c r="DZ178" s="734" t="n"/>
      <c r="EA178" s="734" t="n"/>
      <c r="EB178" s="734" t="n"/>
      <c r="EC178" s="734" t="n"/>
      <c r="ED178" s="734" t="n"/>
      <c r="EE178" s="734" t="n"/>
      <c r="EG178" s="734" t="n"/>
      <c r="EH178" s="734" t="n"/>
    </row>
    <row r="179">
      <c r="P179" s="734" t="n"/>
      <c r="Q179" s="734" t="n"/>
      <c r="DX179" s="741" t="n"/>
      <c r="DY179" s="741" t="n"/>
      <c r="DZ179" s="734" t="n"/>
      <c r="EA179" s="734" t="n"/>
      <c r="EB179" s="734" t="n"/>
      <c r="EC179" s="734" t="n"/>
      <c r="ED179" s="734" t="n"/>
      <c r="EE179" s="734" t="n"/>
      <c r="EG179" s="734" t="n"/>
      <c r="EH179" s="734" t="n"/>
    </row>
    <row r="180">
      <c r="P180" s="734" t="n"/>
      <c r="Q180" s="734" t="n"/>
      <c r="DX180" s="741" t="n"/>
      <c r="DY180" s="741" t="n"/>
      <c r="DZ180" s="734" t="n"/>
      <c r="EA180" s="734" t="n"/>
      <c r="EB180" s="734" t="n"/>
      <c r="EC180" s="734" t="n"/>
      <c r="ED180" s="734" t="n"/>
      <c r="EE180" s="734" t="n"/>
      <c r="EG180" s="734" t="n"/>
      <c r="EH180" s="734" t="n"/>
    </row>
    <row r="181">
      <c r="P181" s="734" t="n"/>
      <c r="Q181" s="734" t="n"/>
      <c r="DX181" s="741" t="n"/>
      <c r="DY181" s="741" t="n"/>
      <c r="DZ181" s="734" t="n"/>
      <c r="EA181" s="734" t="n"/>
      <c r="EB181" s="734" t="n"/>
      <c r="EC181" s="734" t="n"/>
      <c r="ED181" s="734" t="n"/>
      <c r="EE181" s="734" t="n"/>
      <c r="EG181" s="734" t="n"/>
      <c r="EH181" s="734" t="n"/>
    </row>
    <row r="182">
      <c r="P182" s="734" t="n"/>
      <c r="Q182" s="734" t="n"/>
      <c r="DX182" s="741" t="n"/>
      <c r="DY182" s="741" t="n"/>
      <c r="DZ182" s="734" t="n"/>
      <c r="EA182" s="734" t="n"/>
      <c r="EB182" s="734" t="n"/>
      <c r="EC182" s="734" t="n"/>
      <c r="ED182" s="734" t="n"/>
      <c r="EE182" s="734" t="n"/>
      <c r="EG182" s="734" t="n"/>
      <c r="EH182" s="734" t="n"/>
    </row>
    <row r="183">
      <c r="P183" s="734" t="n"/>
      <c r="Q183" s="734" t="n"/>
      <c r="DX183" s="741" t="n"/>
      <c r="DY183" s="741" t="n"/>
      <c r="DZ183" s="734" t="n"/>
      <c r="EA183" s="734" t="n"/>
      <c r="EB183" s="734" t="n"/>
      <c r="EC183" s="734" t="n"/>
      <c r="ED183" s="734" t="n"/>
      <c r="EE183" s="734" t="n"/>
      <c r="EG183" s="734" t="n"/>
      <c r="EH183" s="734" t="n"/>
    </row>
    <row r="184">
      <c r="P184" s="734" t="n"/>
      <c r="Q184" s="734" t="n"/>
      <c r="DX184" s="741" t="n"/>
      <c r="DY184" s="741" t="n"/>
      <c r="DZ184" s="734" t="n"/>
      <c r="EA184" s="734" t="n"/>
      <c r="EB184" s="734" t="n"/>
      <c r="EC184" s="734" t="n"/>
      <c r="ED184" s="734" t="n"/>
      <c r="EE184" s="734" t="n"/>
      <c r="EG184" s="734" t="n"/>
      <c r="EH184" s="734" t="n"/>
    </row>
    <row r="185">
      <c r="P185" s="734" t="n"/>
      <c r="Q185" s="734" t="n"/>
      <c r="DX185" s="741" t="n"/>
      <c r="DY185" s="741" t="n"/>
      <c r="DZ185" s="734" t="n"/>
      <c r="EA185" s="734" t="n"/>
      <c r="EB185" s="734" t="n"/>
      <c r="EC185" s="734" t="n"/>
      <c r="ED185" s="734" t="n"/>
      <c r="EE185" s="734" t="n"/>
      <c r="EG185" s="734" t="n"/>
      <c r="EH185" s="734" t="n"/>
    </row>
    <row r="186">
      <c r="P186" s="734" t="n"/>
      <c r="Q186" s="734" t="n"/>
      <c r="DX186" s="741" t="n"/>
      <c r="DY186" s="741" t="n"/>
      <c r="DZ186" s="734" t="n"/>
      <c r="EA186" s="734" t="n"/>
      <c r="EB186" s="734" t="n"/>
      <c r="EC186" s="734" t="n"/>
      <c r="ED186" s="734" t="n"/>
      <c r="EE186" s="734" t="n"/>
      <c r="EG186" s="734" t="n"/>
      <c r="EH186" s="734" t="n"/>
    </row>
    <row r="187">
      <c r="P187" s="734" t="n"/>
      <c r="Q187" s="734" t="n"/>
      <c r="DX187" s="741" t="n"/>
      <c r="DY187" s="741" t="n"/>
      <c r="DZ187" s="734" t="n"/>
      <c r="EA187" s="734" t="n"/>
      <c r="EB187" s="734" t="n"/>
      <c r="EC187" s="734" t="n"/>
      <c r="ED187" s="734" t="n"/>
      <c r="EE187" s="734" t="n"/>
      <c r="EG187" s="734" t="n"/>
      <c r="EH187" s="734" t="n"/>
    </row>
    <row r="188">
      <c r="P188" s="734" t="n"/>
      <c r="Q188" s="734" t="n"/>
      <c r="DX188" s="741" t="n"/>
      <c r="DY188" s="741" t="n"/>
      <c r="DZ188" s="734" t="n"/>
      <c r="EA188" s="734" t="n"/>
      <c r="EB188" s="734" t="n"/>
      <c r="EC188" s="734" t="n"/>
      <c r="ED188" s="734" t="n"/>
      <c r="EE188" s="734" t="n"/>
      <c r="EG188" s="734" t="n"/>
      <c r="EH188" s="734" t="n"/>
    </row>
    <row r="189">
      <c r="P189" s="734" t="n"/>
      <c r="Q189" s="734" t="n"/>
      <c r="DX189" s="741" t="n"/>
      <c r="DY189" s="741" t="n"/>
      <c r="DZ189" s="734" t="n"/>
      <c r="EA189" s="734" t="n"/>
      <c r="EB189" s="734" t="n"/>
      <c r="EC189" s="734" t="n"/>
      <c r="ED189" s="734" t="n"/>
      <c r="EE189" s="734" t="n"/>
      <c r="EG189" s="734" t="n"/>
      <c r="EH189" s="734" t="n"/>
    </row>
    <row r="190">
      <c r="P190" s="734" t="n"/>
      <c r="Q190" s="734" t="n"/>
      <c r="DX190" s="741" t="n"/>
      <c r="DY190" s="741" t="n"/>
      <c r="DZ190" s="734" t="n"/>
      <c r="EA190" s="734" t="n"/>
      <c r="EB190" s="734" t="n"/>
      <c r="EC190" s="734" t="n"/>
      <c r="ED190" s="734" t="n"/>
      <c r="EE190" s="734" t="n"/>
      <c r="EG190" s="734" t="n"/>
      <c r="EH190" s="734" t="n"/>
    </row>
    <row r="191">
      <c r="P191" s="734" t="n"/>
      <c r="Q191" s="734" t="n"/>
      <c r="DX191" s="741" t="n"/>
      <c r="DY191" s="741" t="n"/>
      <c r="DZ191" s="734" t="n"/>
      <c r="EA191" s="734" t="n"/>
      <c r="EB191" s="734" t="n"/>
      <c r="EC191" s="734" t="n"/>
      <c r="ED191" s="734" t="n"/>
      <c r="EE191" s="734" t="n"/>
      <c r="EG191" s="734" t="n"/>
      <c r="EH191" s="734" t="n"/>
    </row>
    <row r="192">
      <c r="P192" s="734" t="n"/>
      <c r="Q192" s="734" t="n"/>
      <c r="DX192" s="741" t="n"/>
      <c r="DY192" s="741" t="n"/>
      <c r="DZ192" s="734" t="n"/>
      <c r="EA192" s="734" t="n"/>
      <c r="EB192" s="734" t="n"/>
      <c r="EC192" s="734" t="n"/>
      <c r="ED192" s="734" t="n"/>
      <c r="EE192" s="734" t="n"/>
      <c r="EG192" s="734" t="n"/>
      <c r="EH192" s="734" t="n"/>
    </row>
    <row r="193">
      <c r="P193" s="734" t="n"/>
      <c r="Q193" s="734" t="n"/>
      <c r="DX193" s="741" t="n"/>
      <c r="DY193" s="741" t="n"/>
      <c r="DZ193" s="734" t="n"/>
      <c r="EA193" s="734" t="n"/>
      <c r="EB193" s="734" t="n"/>
      <c r="EC193" s="734" t="n"/>
      <c r="ED193" s="734" t="n"/>
      <c r="EE193" s="734" t="n"/>
      <c r="EG193" s="734" t="n"/>
      <c r="EH193" s="734" t="n"/>
    </row>
    <row r="194">
      <c r="P194" s="734" t="n"/>
      <c r="Q194" s="734" t="n"/>
      <c r="DX194" s="741" t="n"/>
      <c r="DY194" s="741" t="n"/>
      <c r="DZ194" s="734" t="n"/>
      <c r="EA194" s="734" t="n"/>
      <c r="EB194" s="734" t="n"/>
      <c r="EC194" s="734" t="n"/>
      <c r="ED194" s="734" t="n"/>
      <c r="EE194" s="734" t="n"/>
      <c r="EG194" s="734" t="n"/>
      <c r="EH194" s="734" t="n"/>
    </row>
    <row r="195">
      <c r="P195" s="734" t="n"/>
      <c r="Q195" s="734" t="n"/>
      <c r="DX195" s="741" t="n"/>
      <c r="DY195" s="741" t="n"/>
      <c r="DZ195" s="734" t="n"/>
      <c r="EA195" s="734" t="n"/>
      <c r="EB195" s="734" t="n"/>
      <c r="EC195" s="734" t="n"/>
      <c r="ED195" s="734" t="n"/>
      <c r="EE195" s="734" t="n"/>
      <c r="EG195" s="734" t="n"/>
      <c r="EH195" s="734" t="n"/>
    </row>
    <row r="196">
      <c r="P196" s="734" t="n"/>
      <c r="Q196" s="734" t="n"/>
      <c r="DX196" s="741" t="n"/>
      <c r="DY196" s="741" t="n"/>
      <c r="DZ196" s="734" t="n"/>
      <c r="EA196" s="734" t="n"/>
      <c r="EB196" s="734" t="n"/>
      <c r="EC196" s="734" t="n"/>
      <c r="ED196" s="734" t="n"/>
      <c r="EE196" s="734" t="n"/>
      <c r="EG196" s="734" t="n"/>
      <c r="EH196" s="734" t="n"/>
    </row>
    <row r="197">
      <c r="P197" s="734" t="n"/>
      <c r="Q197" s="734" t="n"/>
      <c r="DX197" s="741" t="n"/>
      <c r="DY197" s="741" t="n"/>
      <c r="DZ197" s="734" t="n"/>
      <c r="EA197" s="734" t="n"/>
      <c r="EB197" s="734" t="n"/>
      <c r="EC197" s="734" t="n"/>
      <c r="ED197" s="734" t="n"/>
      <c r="EE197" s="734" t="n"/>
      <c r="EG197" s="734" t="n"/>
      <c r="EH197" s="734" t="n"/>
    </row>
    <row r="198">
      <c r="P198" s="734" t="n"/>
      <c r="Q198" s="734" t="n"/>
      <c r="DX198" s="741" t="n"/>
      <c r="DY198" s="741" t="n"/>
      <c r="DZ198" s="734" t="n"/>
      <c r="EA198" s="734" t="n"/>
      <c r="EB198" s="734" t="n"/>
      <c r="EC198" s="734" t="n"/>
      <c r="ED198" s="734" t="n"/>
      <c r="EE198" s="734" t="n"/>
      <c r="EG198" s="734" t="n"/>
      <c r="EH198" s="734" t="n"/>
    </row>
    <row r="199">
      <c r="P199" s="734" t="n"/>
      <c r="Q199" s="734" t="n"/>
      <c r="DX199" s="741" t="n"/>
      <c r="DY199" s="741" t="n"/>
      <c r="DZ199" s="734" t="n"/>
      <c r="EA199" s="734" t="n"/>
      <c r="EB199" s="734" t="n"/>
      <c r="EC199" s="734" t="n"/>
      <c r="ED199" s="734" t="n"/>
      <c r="EE199" s="734" t="n"/>
      <c r="EG199" s="734" t="n"/>
      <c r="EH199" s="734" t="n"/>
    </row>
    <row r="200">
      <c r="P200" s="734" t="n"/>
      <c r="Q200" s="734" t="n"/>
      <c r="DX200" s="741" t="n"/>
      <c r="DY200" s="741" t="n"/>
      <c r="DZ200" s="734" t="n"/>
      <c r="EA200" s="734" t="n"/>
      <c r="EB200" s="734" t="n"/>
      <c r="EC200" s="734" t="n"/>
      <c r="ED200" s="734" t="n"/>
      <c r="EE200" s="734" t="n"/>
      <c r="EG200" s="734" t="n"/>
      <c r="EH200" s="734" t="n"/>
    </row>
    <row r="201">
      <c r="P201" s="734" t="n"/>
      <c r="Q201" s="734" t="n"/>
      <c r="DX201" s="741" t="n"/>
      <c r="DY201" s="741" t="n"/>
      <c r="DZ201" s="734" t="n"/>
      <c r="EA201" s="734" t="n"/>
      <c r="EB201" s="734" t="n"/>
      <c r="EC201" s="734" t="n"/>
      <c r="ED201" s="734" t="n"/>
      <c r="EE201" s="734" t="n"/>
      <c r="EG201" s="734" t="n"/>
      <c r="EH201" s="734" t="n"/>
    </row>
    <row r="202">
      <c r="P202" s="734" t="n"/>
      <c r="Q202" s="734" t="n"/>
      <c r="DX202" s="741" t="n"/>
      <c r="DY202" s="741" t="n"/>
      <c r="DZ202" s="734" t="n"/>
      <c r="EA202" s="734" t="n"/>
      <c r="EB202" s="734" t="n"/>
      <c r="EC202" s="734" t="n"/>
      <c r="ED202" s="734" t="n"/>
      <c r="EE202" s="734" t="n"/>
      <c r="EG202" s="734" t="n"/>
      <c r="EH202" s="734" t="n"/>
    </row>
    <row r="203">
      <c r="P203" s="734" t="n"/>
      <c r="Q203" s="734" t="n"/>
      <c r="DX203" s="741" t="n"/>
      <c r="DY203" s="741" t="n"/>
      <c r="DZ203" s="734" t="n"/>
      <c r="EA203" s="734" t="n"/>
      <c r="EB203" s="734" t="n"/>
      <c r="EC203" s="734" t="n"/>
      <c r="ED203" s="734" t="n"/>
      <c r="EE203" s="734" t="n"/>
      <c r="EG203" s="734" t="n"/>
      <c r="EH203" s="734" t="n"/>
    </row>
    <row r="204">
      <c r="P204" s="734" t="n"/>
      <c r="Q204" s="734" t="n"/>
      <c r="DX204" s="741" t="n"/>
      <c r="DY204" s="741" t="n"/>
      <c r="DZ204" s="734" t="n"/>
      <c r="EA204" s="734" t="n"/>
      <c r="EB204" s="734" t="n"/>
      <c r="EC204" s="734" t="n"/>
      <c r="ED204" s="734" t="n"/>
      <c r="EE204" s="734" t="n"/>
      <c r="EG204" s="734" t="n"/>
      <c r="EH204" s="734" t="n"/>
    </row>
    <row r="205">
      <c r="P205" s="734" t="n"/>
      <c r="Q205" s="734" t="n"/>
      <c r="DX205" s="741" t="n"/>
      <c r="DY205" s="741" t="n"/>
      <c r="DZ205" s="734" t="n"/>
      <c r="EA205" s="734" t="n"/>
      <c r="EB205" s="734" t="n"/>
      <c r="EC205" s="734" t="n"/>
      <c r="ED205" s="734" t="n"/>
      <c r="EE205" s="734" t="n"/>
      <c r="EG205" s="734" t="n"/>
      <c r="EH205" s="734" t="n"/>
    </row>
    <row r="206">
      <c r="P206" s="734" t="n"/>
      <c r="Q206" s="734" t="n"/>
      <c r="DX206" s="741" t="n"/>
      <c r="DY206" s="741" t="n"/>
      <c r="DZ206" s="734" t="n"/>
      <c r="EA206" s="734" t="n"/>
      <c r="EB206" s="734" t="n"/>
      <c r="EC206" s="734" t="n"/>
      <c r="ED206" s="734" t="n"/>
      <c r="EE206" s="734" t="n"/>
      <c r="EG206" s="734" t="n"/>
      <c r="EH206" s="734" t="n"/>
    </row>
    <row r="207">
      <c r="P207" s="734" t="n"/>
      <c r="Q207" s="734" t="n"/>
      <c r="DX207" s="741" t="n"/>
      <c r="DY207" s="741" t="n"/>
      <c r="DZ207" s="734" t="n"/>
      <c r="EA207" s="734" t="n"/>
      <c r="EB207" s="734" t="n"/>
      <c r="EC207" s="734" t="n"/>
      <c r="ED207" s="734" t="n"/>
      <c r="EE207" s="734" t="n"/>
      <c r="EG207" s="734" t="n"/>
      <c r="EH207" s="734" t="n"/>
    </row>
  </sheetData>
  <mergeCells count="26">
    <mergeCell ref="CU5:CY5"/>
    <mergeCell ref="DF5:DM5"/>
    <mergeCell ref="HG7:HM7"/>
    <mergeCell ref="HE6:HM6"/>
    <mergeCell ref="GB5:GF7"/>
    <mergeCell ref="CK5:CT5"/>
    <mergeCell ref="EL5:EP7"/>
    <mergeCell ref="FW5:GA7"/>
    <mergeCell ref="GG5:GJ7"/>
    <mergeCell ref="GP5:GT7"/>
    <mergeCell ref="DO5:DQ5"/>
    <mergeCell ref="DZ5:EF5"/>
    <mergeCell ref="FH5:FQ7"/>
    <mergeCell ref="DU4:EH4"/>
    <mergeCell ref="EZ5:FD7"/>
    <mergeCell ref="EQ5:ET7"/>
    <mergeCell ref="GZ5:HD7"/>
    <mergeCell ref="FR5:FV7"/>
    <mergeCell ref="GU5:GY7"/>
    <mergeCell ref="GK5:GO7"/>
    <mergeCell ref="CZ5:DE5"/>
    <mergeCell ref="BN5:BQ5"/>
    <mergeCell ref="AG3:AK3"/>
    <mergeCell ref="EU5:EY7"/>
    <mergeCell ref="HE7:HF7"/>
    <mergeCell ref="DU5:DW5"/>
  </mergeCells>
  <conditionalFormatting sqref="DR1:DR7 DR9:DR1048576">
    <cfRule type="cellIs" priority="13" operator="equal" dxfId="9">
      <formula>"Yes"</formula>
    </cfRule>
  </conditionalFormatting>
  <conditionalFormatting sqref="P9:P59">
    <cfRule type="containsText" priority="9" operator="containsText" dxfId="9" text="No">
      <formula>NOT(ISERROR(SEARCH("No",P9)))</formula>
    </cfRule>
    <cfRule type="containsText" priority="12" operator="containsText" dxfId="34" text="No">
      <formula>NOT(ISERROR(SEARCH("No",P9)))</formula>
    </cfRule>
  </conditionalFormatting>
  <conditionalFormatting sqref="DX9:DX59">
    <cfRule type="containsText" priority="11" operator="containsText" dxfId="9" text="yes">
      <formula>NOT(ISERROR(SEARCH("yes",DX9)))</formula>
    </cfRule>
  </conditionalFormatting>
  <conditionalFormatting sqref="E9:N49">
    <cfRule type="containsText" priority="10" operator="containsText" dxfId="9" text="False">
      <formula>NOT(ISERROR(SEARCH("False",E9)))</formula>
    </cfRule>
  </conditionalFormatting>
  <conditionalFormatting sqref="E50:N58">
    <cfRule type="containsText" priority="7" operator="containsText" dxfId="9" text="False">
      <formula>NOT(ISERROR(SEARCH("False",E50)))</formula>
    </cfRule>
  </conditionalFormatting>
  <conditionalFormatting sqref="E59:N59">
    <cfRule type="containsText" priority="6" operator="containsText" dxfId="9" text="False">
      <formula>NOT(ISERROR(SEARCH("False",E59)))</formula>
    </cfRule>
  </conditionalFormatting>
  <dataValidations count="2">
    <dataValidation sqref="CQ9:CQ59 CW9:CW59" showDropDown="0" showInputMessage="1" showErrorMessage="1" allowBlank="1" type="list">
      <formula1>"N,Y"</formula1>
    </dataValidation>
    <dataValidation sqref="Q9:Q59 S9:S59 BV9:BX59 BZ9:CA59 CD9:CD59 CG9:CH59 DX9:DY59" showDropDown="0" showInputMessage="1" showErrorMessage="1" allowBlank="1" type="list">
      <formula1>"No, Yes"</formula1>
    </dataValidation>
  </dataValidations>
  <pageMargins left="0.7" right="0.7" top="0.75" bottom="0.75" header="0.3" footer="0.3"/>
  <pageSetup orientation="portrait"/>
  <legacyDrawing xmlns:r="http://schemas.openxmlformats.org/officeDocument/2006/relationships" r:id="anysvml"/>
</worksheet>
</file>

<file path=xl/worksheets/sheet3.xml><?xml version="1.0" encoding="utf-8"?>
<worksheet xmlns="http://schemas.openxmlformats.org/spreadsheetml/2006/main">
  <sheetPr codeName="Sheet3">
    <outlinePr summaryBelow="1" summaryRight="1"/>
    <pageSetUpPr/>
  </sheetPr>
  <dimension ref="A1:U182"/>
  <sheetViews>
    <sheetView zoomScale="70" zoomScaleNormal="70" workbookViewId="0">
      <selection activeCell="L61" sqref="L61"/>
    </sheetView>
  </sheetViews>
  <sheetFormatPr baseColWidth="8" defaultColWidth="9.28515625" defaultRowHeight="12.75" outlineLevelRow="1"/>
  <cols>
    <col width="2.28515625" customWidth="1" style="2" min="1" max="1"/>
    <col width="2" customWidth="1" style="2" min="2" max="2"/>
    <col width="3.5703125" customWidth="1" style="2" min="3" max="3"/>
    <col width="8.5703125" customWidth="1" style="2" min="4" max="4"/>
    <col width="53.5703125" bestFit="1" customWidth="1" style="2" min="5" max="5"/>
    <col width="19.5703125" customWidth="1" style="2" min="6" max="6"/>
    <col width="26.28515625" bestFit="1" customWidth="1" style="2" min="7" max="7"/>
    <col width="19.28515625" customWidth="1" style="2" min="8" max="8"/>
    <col width="14.5703125" bestFit="1" customWidth="1" style="2" min="9" max="9"/>
    <col width="12.28515625" bestFit="1" customWidth="1" style="2" min="10" max="10"/>
    <col width="12.28515625" customWidth="1" style="2" min="11" max="11"/>
    <col width="14" bestFit="1" customWidth="1" style="2" min="12" max="12"/>
    <col width="17" bestFit="1" customWidth="1" style="2" min="13" max="13"/>
    <col width="18.5703125" customWidth="1" style="2" min="14" max="14"/>
    <col width="16.28515625" bestFit="1" customWidth="1" style="2" min="15" max="15"/>
    <col width="9.28515625" customWidth="1" style="2" min="16" max="16"/>
    <col width="14.5703125" bestFit="1" customWidth="1" style="2" min="17" max="17"/>
    <col width="13.5703125" bestFit="1" customWidth="1" style="2" min="18" max="18"/>
    <col width="14.5703125" bestFit="1" customWidth="1" style="2" min="19" max="19"/>
    <col width="9.28515625" customWidth="1" style="2" min="20" max="16384"/>
  </cols>
  <sheetData>
    <row r="1">
      <c r="B1" s="1079" t="n"/>
      <c r="C1" s="569" t="inlineStr">
        <is>
          <t>OBLIGOR OUTSTANDINGS</t>
        </is>
      </c>
      <c r="D1" s="569" t="n"/>
      <c r="E1" s="569" t="n"/>
      <c r="F1" s="569" t="n"/>
      <c r="G1" s="569" t="n"/>
      <c r="H1" s="569" t="n"/>
      <c r="I1" s="569" t="n"/>
      <c r="J1" s="569" t="n"/>
      <c r="K1" s="569" t="n"/>
      <c r="L1" s="569" t="n"/>
      <c r="M1" s="569" t="n"/>
      <c r="N1" s="13" t="n"/>
    </row>
    <row r="2">
      <c r="B2" s="1079" t="n"/>
      <c r="C2" s="1079" t="n"/>
      <c r="I2" s="14" t="inlineStr">
        <is>
          <t>Obligor</t>
        </is>
      </c>
      <c r="J2" s="15" t="n"/>
      <c r="K2" s="14" t="inlineStr">
        <is>
          <t>Borrowing</t>
        </is>
      </c>
      <c r="L2" s="15" t="n"/>
    </row>
    <row r="3">
      <c r="B3" s="1079" t="n"/>
      <c r="C3" s="1079" t="n"/>
      <c r="G3" s="11" t="inlineStr">
        <is>
          <t>Advance</t>
        </is>
      </c>
      <c r="H3" s="11" t="inlineStr">
        <is>
          <t>Loan</t>
        </is>
      </c>
      <c r="I3" s="16" t="inlineStr">
        <is>
          <t>Outstandings</t>
        </is>
      </c>
      <c r="J3" s="17" t="n"/>
      <c r="K3" s="16" t="inlineStr">
        <is>
          <t>Base</t>
        </is>
      </c>
      <c r="L3" s="17" t="n"/>
    </row>
    <row r="4">
      <c r="B4" s="1079" t="n"/>
      <c r="D4" s="18" t="inlineStr">
        <is>
          <t>Loan Category</t>
        </is>
      </c>
      <c r="G4" s="19" t="inlineStr">
        <is>
          <t>Rate</t>
        </is>
      </c>
      <c r="H4" s="19" t="inlineStr">
        <is>
          <t>Count</t>
        </is>
      </c>
      <c r="I4" s="20" t="inlineStr">
        <is>
          <t>$s</t>
        </is>
      </c>
      <c r="J4" s="21" t="inlineStr">
        <is>
          <t>%</t>
        </is>
      </c>
      <c r="K4" s="20" t="inlineStr">
        <is>
          <t>$s</t>
        </is>
      </c>
      <c r="L4" s="21" t="inlineStr">
        <is>
          <t>%</t>
        </is>
      </c>
    </row>
    <row r="5">
      <c r="B5" s="1079" t="n"/>
      <c r="D5" s="2" t="inlineStr">
        <is>
          <t>First Lien &lt;= $10MM</t>
        </is>
      </c>
      <c r="G5" s="22">
        <f>AGENT!D25</f>
        <v/>
      </c>
      <c r="H5" s="23">
        <f>COUNTIF(Portfolio!$T$9:$T$60, 'Concentration Limits'!D5)</f>
        <v/>
      </c>
      <c r="I5" s="1080">
        <f>SUMIF(Portfolio!$T$9:$T$60, 'Concentration Limits'!$D$5, Portfolio!$AO$9:$AO$60)</f>
        <v/>
      </c>
      <c r="J5" s="70">
        <f>I5/I$32</f>
        <v/>
      </c>
      <c r="K5" s="1080">
        <f>SUMIF(Portfolio!$T$9:$T$60, 'Concentration Limits'!D5, Portfolio!$HE$9:$HE$60)</f>
        <v/>
      </c>
      <c r="L5" s="70">
        <f>K5/K$32</f>
        <v/>
      </c>
    </row>
    <row r="6" hidden="1">
      <c r="B6" s="1079" t="n"/>
      <c r="E6" s="157" t="n"/>
      <c r="G6" s="22" t="n"/>
      <c r="H6" s="23" t="n"/>
      <c r="I6" s="1080">
        <f>SUMIF(Portfolio!$T$9:$T$60, 'Concentration Limits'!$D$5, Portfolio!$AM$9:$AM$60)</f>
        <v/>
      </c>
      <c r="J6" s="70">
        <f>I6/I$32</f>
        <v/>
      </c>
      <c r="K6" s="1080">
        <f>SUMIF(Portfolio!$T$9:$T$60, 'Concentration Limits'!D5, Portfolio!$HF$9:$HF$60)</f>
        <v/>
      </c>
      <c r="L6" s="70">
        <f>K6/K$32</f>
        <v/>
      </c>
    </row>
    <row r="7" hidden="1">
      <c r="B7" s="1079" t="n"/>
      <c r="E7" s="157" t="n"/>
      <c r="G7" s="22" t="n"/>
      <c r="H7" s="23" t="n"/>
      <c r="I7" s="1080">
        <f>SUMIF(Portfolio!$T$9:$T$60, 'Concentration Limits'!$D$5, Portfolio!$AN$9:$AN$60)</f>
        <v/>
      </c>
      <c r="J7" s="70">
        <f>I7/I$32</f>
        <v/>
      </c>
      <c r="K7" s="1080" t="n"/>
      <c r="L7" s="70" t="n"/>
    </row>
    <row r="8">
      <c r="B8" s="1079" t="n"/>
      <c r="E8" s="2" t="inlineStr">
        <is>
          <t xml:space="preserve"> Non Eligible</t>
        </is>
      </c>
      <c r="G8" s="22" t="n"/>
      <c r="H8" s="23" t="n"/>
      <c r="I8" s="1080">
        <f>SUMIF(Portfolio!$T$9:$T$60, 'Concentration Limits'!$D$5, Portfolio!$AP$9:$AP$60)</f>
        <v/>
      </c>
      <c r="J8" s="70">
        <f>I8/I$32</f>
        <v/>
      </c>
      <c r="K8" s="1080" t="n"/>
      <c r="L8" s="70" t="n"/>
    </row>
    <row r="9">
      <c r="B9" s="1079" t="n"/>
      <c r="D9" s="2" t="inlineStr">
        <is>
          <t>First Lien &lt;= $20MM</t>
        </is>
      </c>
      <c r="G9" s="22">
        <f>AGENT!D24</f>
        <v/>
      </c>
      <c r="H9" s="23">
        <f>COUNTIF(Portfolio!$T$9:$T$60, 'Concentration Limits'!D9)</f>
        <v/>
      </c>
      <c r="I9" s="1080">
        <f>SUMIF(Portfolio!$T$9:$T$60, 'Concentration Limits'!$D$9, Portfolio!$AO$9:$AO$60)</f>
        <v/>
      </c>
      <c r="J9" s="70">
        <f>I9/I$32</f>
        <v/>
      </c>
      <c r="K9" s="1080">
        <f>SUMIF(Portfolio!$T$9:$T$60, 'Concentration Limits'!D9, Portfolio!$HE$9:$HE$60)</f>
        <v/>
      </c>
      <c r="L9" s="70">
        <f>K9/K$32</f>
        <v/>
      </c>
    </row>
    <row r="10" hidden="1">
      <c r="B10" s="1079" t="n"/>
      <c r="E10" s="157" t="n"/>
      <c r="G10" s="22" t="n"/>
      <c r="H10" s="23" t="n"/>
      <c r="I10" s="1080">
        <f>SUMIF(Portfolio!$T$9:$T$60, 'Concentration Limits'!$D$9, Portfolio!$AM$9:$AM$60)</f>
        <v/>
      </c>
      <c r="J10" s="70">
        <f>I10/I$32</f>
        <v/>
      </c>
      <c r="K10" s="1080">
        <f>SUMIF(Portfolio!$T$9:$T$60, 'Concentration Limits'!D9, Portfolio!$HF$9:$HF$60)</f>
        <v/>
      </c>
      <c r="L10" s="70">
        <f>K10/K$32</f>
        <v/>
      </c>
    </row>
    <row r="11" hidden="1">
      <c r="B11" s="1079" t="n"/>
      <c r="E11" s="157" t="n"/>
      <c r="G11" s="22" t="n"/>
      <c r="H11" s="23" t="n"/>
      <c r="I11" s="1080">
        <f>SUMIF(Portfolio!$T$9:$T$60, 'Concentration Limits'!$D$9, Portfolio!$AN$9:$AN$60)</f>
        <v/>
      </c>
      <c r="J11" s="70">
        <f>I11/I$32</f>
        <v/>
      </c>
      <c r="K11" s="1080" t="n"/>
      <c r="L11" s="70" t="n"/>
    </row>
    <row r="12">
      <c r="B12" s="1079" t="n"/>
      <c r="E12" s="2" t="inlineStr">
        <is>
          <t xml:space="preserve"> Non Eligible</t>
        </is>
      </c>
      <c r="G12" s="22" t="n"/>
      <c r="H12" s="23" t="n"/>
      <c r="I12" s="1080">
        <f>SUMIF(Portfolio!$T$9:$T$60, 'Concentration Limits'!$D$9, Portfolio!$AP$9:$AP$60)</f>
        <v/>
      </c>
      <c r="J12" s="70">
        <f>I12/I$32</f>
        <v/>
      </c>
      <c r="K12" s="1080" t="n"/>
      <c r="L12" s="70" t="n"/>
    </row>
    <row r="13">
      <c r="B13" s="1079" t="n"/>
      <c r="D13" s="2" t="inlineStr">
        <is>
          <t>First Lien &gt; $20MM</t>
        </is>
      </c>
      <c r="G13" s="22">
        <f>AGENT!D23</f>
        <v/>
      </c>
      <c r="H13" s="23">
        <f>COUNTIF(Portfolio!$T$9:$T$60, 'Concentration Limits'!D13)</f>
        <v/>
      </c>
      <c r="I13" s="1080">
        <f>SUMIF(Portfolio!$T$9:$T$60, 'Concentration Limits'!$D$13, Portfolio!$AO$9:$AO$60)</f>
        <v/>
      </c>
      <c r="J13" s="70">
        <f>I13/I$32</f>
        <v/>
      </c>
      <c r="K13" s="1080">
        <f>SUMIF(Portfolio!$T$9:$T$60, 'Concentration Limits'!D13, Portfolio!$HE$9:$HE$60)</f>
        <v/>
      </c>
      <c r="L13" s="70">
        <f>K13/K$32</f>
        <v/>
      </c>
    </row>
    <row r="14" hidden="1">
      <c r="B14" s="1079" t="n"/>
      <c r="E14" s="157" t="n"/>
      <c r="G14" s="22" t="n"/>
      <c r="H14" s="23" t="n"/>
      <c r="I14" s="1080">
        <f>SUMIF(Portfolio!$T$9:$T$60, 'Concentration Limits'!$D$13, Portfolio!$AM$9:$AM$60)</f>
        <v/>
      </c>
      <c r="J14" s="70">
        <f>I14/I$32</f>
        <v/>
      </c>
      <c r="K14" s="1080">
        <f>SUMIF(Portfolio!$T$9:$T$60, 'Concentration Limits'!D13, Portfolio!$HF$9:$HF$60)</f>
        <v/>
      </c>
      <c r="L14" s="70">
        <f>K14/K$32</f>
        <v/>
      </c>
    </row>
    <row r="15" hidden="1">
      <c r="B15" s="1079" t="n"/>
      <c r="E15" s="157" t="n"/>
      <c r="G15" s="22" t="n"/>
      <c r="H15" s="23" t="n"/>
      <c r="I15" s="1080">
        <f>SUMIF(Portfolio!$T$9:$T$60, 'Concentration Limits'!$D$13, Portfolio!$AN$9:$AN$60)</f>
        <v/>
      </c>
      <c r="J15" s="70">
        <f>I15/I$32</f>
        <v/>
      </c>
      <c r="K15" s="1080" t="n"/>
      <c r="L15" s="70" t="n"/>
    </row>
    <row r="16">
      <c r="B16" s="1079" t="n"/>
      <c r="E16" s="2" t="inlineStr">
        <is>
          <t xml:space="preserve"> Non Eligible</t>
        </is>
      </c>
      <c r="G16" s="22" t="n"/>
      <c r="H16" s="23" t="n"/>
      <c r="I16" s="1080">
        <f>SUMIF(Portfolio!$T$9:$T$60, 'Concentration Limits'!$D$13, Portfolio!$AP$9:$AP$60)</f>
        <v/>
      </c>
      <c r="J16" s="70">
        <f>I16/I$32</f>
        <v/>
      </c>
      <c r="K16" s="1080" t="n"/>
      <c r="L16" s="70" t="n"/>
    </row>
    <row r="17">
      <c r="B17" s="1079" t="n"/>
      <c r="D17" s="2" t="inlineStr">
        <is>
          <t>FILO &lt; 0.75x</t>
        </is>
      </c>
      <c r="G17" s="22">
        <f>AGENT!D27</f>
        <v/>
      </c>
      <c r="H17" s="23">
        <f>COUNTIF(Portfolio!$T$9:$T$60, 'Concentration Limits'!D17)</f>
        <v/>
      </c>
      <c r="I17" s="1080">
        <f>SUMIF(Portfolio!$T$9:$T$60, 'Concentration Limits'!$D$17, Portfolio!$AU$9:$AU$60)</f>
        <v/>
      </c>
      <c r="J17" s="70">
        <f>I17/I$32</f>
        <v/>
      </c>
      <c r="K17" s="1080">
        <f>SUMIF(Portfolio!$T$9:$T$60, 'Concentration Limits'!D17, Portfolio!$HG$9:$HG$60)</f>
        <v/>
      </c>
      <c r="L17" s="70">
        <f>K17/K$32</f>
        <v/>
      </c>
    </row>
    <row r="18" hidden="1">
      <c r="B18" s="1079" t="n"/>
      <c r="E18" s="157" t="n"/>
      <c r="G18" s="22" t="n"/>
      <c r="H18" s="23" t="n"/>
      <c r="I18" s="1080">
        <f>SUMIF(Portfolio!$T$9:$T$60, 'Concentration Limits'!$D$17, Portfolio!$AS$9:$AS$60)</f>
        <v/>
      </c>
      <c r="J18" s="70">
        <f>I18/I$32</f>
        <v/>
      </c>
      <c r="K18" s="1080">
        <f>SUMIF(Portfolio!$T$9:$T$60, 'Concentration Limits'!D17, Portfolio!$HH$9:$HH$60)</f>
        <v/>
      </c>
      <c r="L18" s="70">
        <f>K18/K$32</f>
        <v/>
      </c>
    </row>
    <row r="19" hidden="1">
      <c r="B19" s="1079" t="n"/>
      <c r="E19" s="157" t="n"/>
      <c r="G19" s="22" t="n"/>
      <c r="H19" s="23" t="n"/>
      <c r="I19" s="1080">
        <f>SUMIF(Portfolio!$T$9:$T$60, 'Concentration Limits'!$D$17, Portfolio!$AT$9:$AT$60)</f>
        <v/>
      </c>
      <c r="J19" s="70">
        <f>I19/I$32</f>
        <v/>
      </c>
      <c r="K19" s="1080" t="n"/>
      <c r="L19" s="70" t="n"/>
    </row>
    <row r="20">
      <c r="B20" s="1079" t="n"/>
      <c r="E20" s="2" t="inlineStr">
        <is>
          <t xml:space="preserve"> Non Eligible</t>
        </is>
      </c>
      <c r="G20" s="22" t="n"/>
      <c r="H20" s="23" t="n"/>
      <c r="I20" s="1080">
        <f>SUMIF(Portfolio!$T$9:$T$60, 'Concentration Limits'!$D$17, Portfolio!$AV$9:$AV$60)</f>
        <v/>
      </c>
      <c r="J20" s="70">
        <f>I20/I$32</f>
        <v/>
      </c>
      <c r="K20" s="1080" t="n"/>
      <c r="L20" s="70" t="n"/>
    </row>
    <row r="21">
      <c r="B21" s="1079" t="n"/>
      <c r="D21" s="2" t="inlineStr">
        <is>
          <t>FILO &lt;= 1.25x</t>
        </is>
      </c>
      <c r="G21" s="22">
        <f>AGENT!D28</f>
        <v/>
      </c>
      <c r="H21" s="23">
        <f>COUNTIF(Portfolio!$T$9:$T$60, 'Concentration Limits'!D21)</f>
        <v/>
      </c>
      <c r="I21" s="1080">
        <f>SUMIF(Portfolio!$T$9:$T$60, 'Concentration Limits'!$D$21, Portfolio!$AU$9:$AU$60)</f>
        <v/>
      </c>
      <c r="J21" s="70">
        <f>I21/I$32</f>
        <v/>
      </c>
      <c r="K21" s="1081">
        <f>SUMIF(Portfolio!$T$9:$T$60, 'Concentration Limits'!$D$21, Portfolio!$HG$9:$HG$60)</f>
        <v/>
      </c>
      <c r="L21" s="72">
        <f>K21/K$32</f>
        <v/>
      </c>
    </row>
    <row r="22" hidden="1" customFormat="1" s="69">
      <c r="A22" s="2" t="n"/>
      <c r="B22" s="1079" t="n"/>
      <c r="C22" s="2" t="n"/>
      <c r="D22" s="2" t="n"/>
      <c r="E22" s="157" t="n"/>
      <c r="F22" s="2" t="n"/>
      <c r="G22" s="22" t="n"/>
      <c r="H22" s="23" t="n"/>
      <c r="I22" s="1080">
        <f>SUMIF(Portfolio!$T$9:$T$60, D21, Portfolio!$AY$9:$AY$60)</f>
        <v/>
      </c>
      <c r="J22" s="70">
        <f>I22/I$32</f>
        <v/>
      </c>
      <c r="K22" s="1081">
        <f>SUMIF(Portfolio!$T$9:$T$60, 'Concentration Limits'!$D$21, Portfolio!$HJ$9:$HJ$60)</f>
        <v/>
      </c>
      <c r="L22" s="72">
        <f>K22/K$32</f>
        <v/>
      </c>
      <c r="M22" s="2" t="n"/>
      <c r="N22" s="2" t="n"/>
      <c r="O22" s="2" t="n"/>
      <c r="P22" s="2" t="n"/>
      <c r="Q22" s="2" t="n"/>
      <c r="R22" s="2" t="n"/>
      <c r="S22" s="2" t="n"/>
      <c r="T22" s="2" t="n"/>
      <c r="U22" s="2" t="n"/>
    </row>
    <row r="23" hidden="1">
      <c r="B23" s="1079" t="n"/>
      <c r="E23" s="157" t="n"/>
      <c r="G23" s="22" t="n"/>
      <c r="H23" s="23" t="n"/>
      <c r="I23" s="1080">
        <f>SUMIF(Portfolio!$T$9:$T$60, 'Concentration Limits'!$D$21, Portfolio!$AZ$9:$AZ$60)</f>
        <v/>
      </c>
      <c r="J23" s="70">
        <f>I23/I$32</f>
        <v/>
      </c>
      <c r="K23" s="1081" t="n"/>
      <c r="L23" s="72" t="n"/>
    </row>
    <row r="24">
      <c r="B24" s="1079" t="n"/>
      <c r="E24" s="2" t="inlineStr">
        <is>
          <t xml:space="preserve"> Non Eligible</t>
        </is>
      </c>
      <c r="G24" s="22" t="n"/>
      <c r="H24" s="23" t="n"/>
      <c r="I24" s="1080">
        <f>SUMIF(Portfolio!$T$9:$T$60, D21, Portfolio!$AV$9:$AV$60)</f>
        <v/>
      </c>
      <c r="J24" s="70">
        <f>I24/I$32</f>
        <v/>
      </c>
      <c r="K24" s="1081" t="n"/>
      <c r="L24" s="72" t="n"/>
    </row>
    <row r="25">
      <c r="B25" s="1079" t="n"/>
      <c r="D25" s="2" t="inlineStr">
        <is>
          <t>FILO &gt; 1.25x</t>
        </is>
      </c>
      <c r="G25" s="22">
        <f>AGENT!D29</f>
        <v/>
      </c>
      <c r="H25" s="23">
        <f>COUNTIF(Portfolio!$T$9:$T$60, 'Concentration Limits'!D25)</f>
        <v/>
      </c>
      <c r="I25" s="1080">
        <f>SUMIF(Portfolio!$T$9:$T$60, 'Concentration Limits'!$D$25, Portfolio!$AU$9:$AU$60)</f>
        <v/>
      </c>
      <c r="J25" s="70">
        <f>I25/I$32</f>
        <v/>
      </c>
      <c r="K25" s="1081">
        <f>SUMIF(Portfolio!$T$9:$T$60, 'Concentration Limits'!$D$25, Portfolio!$HG$9:$HG$60)</f>
        <v/>
      </c>
      <c r="L25" s="72">
        <f>K25/K$32</f>
        <v/>
      </c>
    </row>
    <row r="26" hidden="1" customFormat="1" s="69">
      <c r="A26" s="2" t="n"/>
      <c r="B26" s="1079" t="n"/>
      <c r="C26" s="2" t="n"/>
      <c r="D26" s="2" t="n"/>
      <c r="E26" s="157" t="n"/>
      <c r="F26" s="2" t="n"/>
      <c r="G26" s="22" t="n"/>
      <c r="H26" s="23" t="n"/>
      <c r="I26" s="1080">
        <f>SUMIF(Portfolio!$T$9:$T$60, D25, Portfolio!$AY$9:$AY$60)</f>
        <v/>
      </c>
      <c r="J26" s="70">
        <f>I26/I$32</f>
        <v/>
      </c>
      <c r="K26" s="1080">
        <f>SUMIF(Portfolio!$T$9:$T$60, 'Concentration Limits'!$D$25, Portfolio!$HL$9:$HL$60)</f>
        <v/>
      </c>
      <c r="L26" s="70">
        <f>K26/K$32</f>
        <v/>
      </c>
      <c r="M26" s="2" t="n"/>
      <c r="N26" s="2" t="n"/>
      <c r="O26" s="2" t="n"/>
      <c r="P26" s="2" t="n"/>
      <c r="Q26" s="2" t="n"/>
      <c r="R26" s="2" t="n"/>
      <c r="S26" s="2" t="n"/>
      <c r="T26" s="2" t="n"/>
      <c r="U26" s="2" t="n"/>
    </row>
    <row r="27" hidden="1">
      <c r="B27" s="1079" t="n"/>
      <c r="E27" s="157" t="n"/>
      <c r="G27" s="22" t="n"/>
      <c r="H27" s="23" t="n"/>
      <c r="I27" s="1080">
        <f>SUMIF(Portfolio!$T$9:$T$60, 'Concentration Limits'!$D$25, Portfolio!$AZ$9:$AZ$60)</f>
        <v/>
      </c>
      <c r="J27" s="70">
        <f>I27/I$32</f>
        <v/>
      </c>
      <c r="K27" s="1080" t="n"/>
      <c r="L27" s="70" t="n"/>
    </row>
    <row r="28">
      <c r="B28" s="1079" t="n"/>
      <c r="E28" s="2" t="inlineStr">
        <is>
          <t xml:space="preserve"> Non Eligible</t>
        </is>
      </c>
      <c r="G28" s="22" t="n"/>
      <c r="H28" s="23" t="n"/>
      <c r="I28" s="1080">
        <f>SUMIF(Portfolio!$T$9:$T$60, $D$25, Portfolio!$AV$9:$AV$60)</f>
        <v/>
      </c>
      <c r="J28" s="70">
        <f>I28/I$32</f>
        <v/>
      </c>
      <c r="K28" s="1080" t="n"/>
      <c r="L28" s="70" t="n"/>
    </row>
    <row r="29">
      <c r="B29" s="1079" t="n"/>
      <c r="D29" s="2" t="inlineStr">
        <is>
          <t>Second Lien</t>
        </is>
      </c>
      <c r="G29" s="22">
        <f>AGENT!D31</f>
        <v/>
      </c>
      <c r="H29" s="23">
        <f>COUNTIF(Portfolio!$T$9:$T$60, 'Concentration Limits'!D29)</f>
        <v/>
      </c>
      <c r="I29" s="1080">
        <f>SUMIF(Portfolio!$T$9:$T$60, 'Concentration Limits'!$D$29, Portfolio!$BA$9:$BA$60)</f>
        <v/>
      </c>
      <c r="J29" s="70">
        <f>I29/I$32</f>
        <v/>
      </c>
      <c r="K29" s="1080">
        <f>SUMIF(Portfolio!$T$9:$T$60, 'Concentration Limits'!D29, Portfolio!$HM$9:$HM$60)</f>
        <v/>
      </c>
      <c r="L29" s="70">
        <f>K29/K$32</f>
        <v/>
      </c>
    </row>
    <row r="30">
      <c r="B30" s="1079" t="n"/>
      <c r="E30" s="2" t="inlineStr">
        <is>
          <t xml:space="preserve"> Non Eligible</t>
        </is>
      </c>
      <c r="G30" s="22" t="n"/>
      <c r="H30" s="23" t="n"/>
      <c r="I30" s="1082">
        <f>SUMIF(Portfolio!$T$9:$T$60, $D$29, Portfolio!$AZ$9:$AZ$60)</f>
        <v/>
      </c>
      <c r="J30" s="70">
        <f>I30/I$32</f>
        <v/>
      </c>
      <c r="K30" s="1082" t="n"/>
      <c r="L30" s="70" t="n"/>
    </row>
    <row r="31">
      <c r="B31" s="1079" t="n"/>
      <c r="D31" s="6" t="n"/>
      <c r="E31" s="6" t="n"/>
      <c r="F31" s="6" t="n"/>
      <c r="G31" s="22" t="n"/>
      <c r="H31" s="23" t="n"/>
      <c r="I31" s="1082" t="n"/>
      <c r="J31" s="70" t="n"/>
      <c r="K31" s="1082" t="n"/>
      <c r="L31" s="70" t="n"/>
    </row>
    <row r="32">
      <c r="B32" s="1079" t="n"/>
      <c r="D32" s="2" t="inlineStr">
        <is>
          <t>Total</t>
        </is>
      </c>
      <c r="G32" s="26" t="n"/>
      <c r="H32" s="26">
        <f>SUM(H5:H29)</f>
        <v/>
      </c>
      <c r="I32" s="1083">
        <f>SUM(I5:I31)</f>
        <v/>
      </c>
      <c r="J32" s="28">
        <f>SUM(J5:J31)</f>
        <v/>
      </c>
      <c r="K32" s="1083">
        <f>SUM(K5:K31)</f>
        <v/>
      </c>
      <c r="L32" s="28">
        <f>SUM(L5:L31)</f>
        <v/>
      </c>
    </row>
    <row r="33" ht="13.5" customHeight="1" thickBot="1">
      <c r="B33" s="1079" t="n"/>
      <c r="D33" s="29" t="n"/>
      <c r="E33" s="29" t="n"/>
      <c r="F33" s="166" t="n"/>
      <c r="G33" s="30" t="n"/>
      <c r="H33" s="29" t="n"/>
      <c r="I33" s="1084" t="n"/>
      <c r="J33" s="32" t="n"/>
      <c r="K33" s="32" t="n"/>
      <c r="L33" s="1084" t="n"/>
      <c r="M33" s="1075" t="n"/>
    </row>
    <row r="34" ht="13.5" customHeight="1" thickTop="1">
      <c r="B34" s="1079" t="n"/>
      <c r="D34" s="2" t="inlineStr">
        <is>
          <t>Discrete Obligor Count</t>
        </is>
      </c>
      <c r="G34" s="220">
        <f>COUNTA(_xlfn.UNIQUE(Portfolio!B9:B59))-1</f>
        <v/>
      </c>
      <c r="I34" s="993" t="n"/>
      <c r="J34" s="993" t="n"/>
      <c r="K34" s="993" t="n"/>
      <c r="L34" s="993" t="n"/>
      <c r="M34" s="160" t="n"/>
    </row>
    <row r="35">
      <c r="B35" s="1079" t="n"/>
      <c r="D35" s="1085" t="inlineStr">
        <is>
          <t>Advance Rate Cap</t>
        </is>
      </c>
      <c r="E35" s="1085" t="n"/>
      <c r="F35" s="1086">
        <f>AGENT!C43</f>
        <v/>
      </c>
      <c r="G35" s="219">
        <f>AGENT!D43</f>
        <v/>
      </c>
      <c r="I35" s="993" t="n"/>
      <c r="J35" s="993" t="n"/>
      <c r="K35" s="993" t="n"/>
      <c r="L35" s="993" t="n"/>
      <c r="M35" s="164" t="n"/>
    </row>
    <row r="36">
      <c r="B36" s="1079" t="n"/>
      <c r="D36" s="1085" t="inlineStr">
        <is>
          <t>Advance Rate Cap</t>
        </is>
      </c>
      <c r="E36" s="1085" t="n"/>
      <c r="F36" s="1087">
        <f>AGENT!B42</f>
        <v/>
      </c>
      <c r="G36" s="219">
        <f>AGENT!D42</f>
        <v/>
      </c>
      <c r="I36" s="993" t="n"/>
      <c r="J36" s="993" t="n"/>
      <c r="K36" s="993" t="n"/>
      <c r="L36" s="993" t="n"/>
      <c r="M36" s="164" t="n"/>
    </row>
    <row r="37">
      <c r="B37" s="1079" t="n"/>
      <c r="D37" s="1085" t="inlineStr">
        <is>
          <t>Advance Rate Cap</t>
        </is>
      </c>
      <c r="E37" s="1085" t="n"/>
      <c r="F37" s="1088">
        <f>AGENT!B41</f>
        <v/>
      </c>
      <c r="G37" s="219">
        <f>AGENT!D41</f>
        <v/>
      </c>
      <c r="I37" s="993" t="n"/>
      <c r="J37" s="993" t="n"/>
      <c r="K37" s="993" t="n"/>
      <c r="L37" s="993" t="n"/>
      <c r="M37" s="164" t="n"/>
    </row>
    <row r="38">
      <c r="B38" s="1079" t="n"/>
      <c r="D38" s="2" t="inlineStr">
        <is>
          <t>Weighted Average Advance Rate</t>
        </is>
      </c>
      <c r="G38" s="8">
        <f>SUMPRODUCT(G5:G31,L5:L31)</f>
        <v/>
      </c>
      <c r="I38" s="993" t="n"/>
      <c r="J38" s="993" t="n"/>
      <c r="K38" s="993" t="n"/>
      <c r="L38" s="993" t="n"/>
      <c r="M38" s="164" t="n"/>
    </row>
    <row r="39">
      <c r="B39" s="1079" t="n"/>
      <c r="D39" s="2" t="inlineStr">
        <is>
          <t>Portfolio Advance Rate Cap Applied</t>
        </is>
      </c>
      <c r="G39" s="171">
        <f t="array" ref="G39">_xlfn.IFS(G34&lt;F35,Cap_1,AND(G34&gt;=F35,G34&lt;F37),Cap_2,G34&gt;=F37,Cap_3)</f>
        <v/>
      </c>
      <c r="I39" s="993" t="n"/>
      <c r="J39" s="993" t="n"/>
      <c r="K39" s="993" t="n"/>
      <c r="L39" s="993" t="n"/>
      <c r="M39" s="164" t="n"/>
    </row>
    <row r="40">
      <c r="B40" s="1079" t="n"/>
      <c r="C40" s="1079" t="n"/>
      <c r="G40" s="23" t="n"/>
      <c r="H40" s="993" t="n"/>
      <c r="I40" s="993" t="n"/>
      <c r="J40" s="36" t="n"/>
      <c r="K40" s="36" t="n"/>
    </row>
    <row r="41">
      <c r="B41" s="1079" t="n"/>
      <c r="C41" s="569" t="inlineStr">
        <is>
          <t>EXCESS CONCENTRATION AMOUNT</t>
        </is>
      </c>
      <c r="D41" s="569" t="n"/>
      <c r="E41" s="569" t="n"/>
      <c r="F41" s="569" t="n"/>
      <c r="G41" s="569" t="n"/>
      <c r="H41" s="569" t="n"/>
      <c r="I41" s="569" t="n"/>
      <c r="J41" s="569" t="n"/>
      <c r="K41" s="569" t="n"/>
      <c r="L41" s="569" t="n"/>
      <c r="M41" s="570" t="n"/>
    </row>
    <row r="42">
      <c r="B42" s="1079" t="n"/>
      <c r="D42" s="1" t="n"/>
      <c r="F42" s="13" t="n"/>
      <c r="G42" s="13" t="n"/>
      <c r="H42" s="13" t="n"/>
      <c r="I42" s="37" t="n"/>
      <c r="J42" s="13" t="n"/>
      <c r="K42" s="13" t="n"/>
      <c r="L42" s="13" t="n"/>
    </row>
    <row r="43">
      <c r="B43" s="1079" t="n"/>
      <c r="D43" s="1" t="inlineStr">
        <is>
          <t>Total Adjusted Borrowing Value</t>
        </is>
      </c>
      <c r="F43" s="37" t="n"/>
      <c r="G43" s="37" t="n"/>
      <c r="H43" s="37" t="n"/>
      <c r="I43" s="37" t="n"/>
      <c r="J43" s="13" t="n"/>
      <c r="K43" s="13" t="n"/>
      <c r="L43" s="13" t="n"/>
      <c r="M43" s="38">
        <f>Portfolio!V61</f>
        <v/>
      </c>
    </row>
    <row r="44">
      <c r="B44" s="1079" t="n"/>
      <c r="D44" s="1" t="inlineStr">
        <is>
          <t>Total Excess Concentration Amount</t>
        </is>
      </c>
      <c r="F44" s="13" t="n"/>
      <c r="G44" s="13" t="n"/>
      <c r="H44" s="13" t="n"/>
      <c r="I44" s="37" t="n"/>
      <c r="J44" s="13" t="n"/>
      <c r="K44" s="13" t="n"/>
      <c r="L44" s="13" t="n"/>
      <c r="M44" s="62">
        <f>K49+K50+K51+K52+K57+K58+K59+K61+K64+K67+K68+K69+K70</f>
        <v/>
      </c>
    </row>
    <row r="45">
      <c r="B45" s="1079" t="n"/>
      <c r="D45" s="1079" t="n"/>
      <c r="I45" s="7" t="n"/>
      <c r="L45" s="198" t="n"/>
      <c r="M45" s="61">
        <f>M43-M44</f>
        <v/>
      </c>
    </row>
    <row r="46">
      <c r="B46" s="1079" t="n"/>
      <c r="I46" s="39" t="n"/>
      <c r="J46" s="11" t="n"/>
      <c r="K46" s="11" t="inlineStr">
        <is>
          <t>Excess</t>
        </is>
      </c>
      <c r="M46" s="38" t="n"/>
    </row>
    <row r="47">
      <c r="B47" s="1079" t="n"/>
      <c r="D47" s="1079" t="n"/>
      <c r="H47" s="11" t="n"/>
      <c r="J47" s="11" t="inlineStr">
        <is>
          <t xml:space="preserve">Applicable </t>
        </is>
      </c>
      <c r="K47" s="11" t="inlineStr">
        <is>
          <t>Concentration</t>
        </is>
      </c>
      <c r="L47" s="15" t="n"/>
      <c r="Q47" s="160" t="n"/>
      <c r="R47" s="160" t="n"/>
      <c r="S47" s="160" t="n"/>
    </row>
    <row r="48">
      <c r="B48" s="1079" t="n"/>
      <c r="D48" s="1079" t="n"/>
      <c r="E48" s="19" t="n"/>
      <c r="F48" s="19" t="n"/>
      <c r="G48" s="19" t="n"/>
      <c r="H48" s="40" t="inlineStr">
        <is>
          <t>Concentration Limit</t>
        </is>
      </c>
      <c r="I48" s="40" t="n"/>
      <c r="J48" s="19" t="inlineStr">
        <is>
          <t>Test Limit</t>
        </is>
      </c>
      <c r="K48" s="19" t="inlineStr">
        <is>
          <t>Amount</t>
        </is>
      </c>
      <c r="L48" s="17" t="inlineStr">
        <is>
          <t>Actual Amount</t>
        </is>
      </c>
      <c r="M48" s="19" t="inlineStr">
        <is>
          <t>Actual %</t>
        </is>
      </c>
      <c r="O48" s="163" t="n"/>
      <c r="P48" s="163" t="n"/>
      <c r="Q48" s="163" t="n"/>
      <c r="R48" s="163" t="n"/>
      <c r="S48" s="163" t="n"/>
    </row>
    <row r="49">
      <c r="B49" s="1079" t="n"/>
      <c r="D49" s="1079" t="inlineStr">
        <is>
          <t>1)a</t>
        </is>
      </c>
      <c r="E49" s="214" t="inlineStr">
        <is>
          <t>Max Second lien and FILO with senior lev in front of SMC &gt;= 1.50x</t>
        </is>
      </c>
      <c r="F49" s="11" t="n"/>
      <c r="G49" s="11" t="n"/>
      <c r="H49" s="43">
        <f>AGENT!D57</f>
        <v/>
      </c>
      <c r="I49" s="42" t="n"/>
      <c r="J49" s="1089">
        <f>MAX(H49*M$43,0)</f>
        <v/>
      </c>
      <c r="K49" s="1090">
        <f>Portfolio!EO61</f>
        <v/>
      </c>
      <c r="L49" s="1091">
        <f>Portfolio!EN61</f>
        <v/>
      </c>
      <c r="M49" s="70">
        <f>L49/$M$43</f>
        <v/>
      </c>
      <c r="O49" s="163" t="n"/>
      <c r="P49" s="163" t="n"/>
      <c r="Q49" s="163" t="n"/>
      <c r="R49" s="163" t="n"/>
      <c r="S49" s="163" t="n"/>
    </row>
    <row r="50">
      <c r="B50" s="1079" t="n"/>
      <c r="D50" s="1079" t="inlineStr">
        <is>
          <t>1)b</t>
        </is>
      </c>
      <c r="E50" s="41" t="inlineStr">
        <is>
          <t>Max Second Lien</t>
        </is>
      </c>
      <c r="F50" s="11" t="n"/>
      <c r="G50" s="11" t="n"/>
      <c r="H50" s="43">
        <f>AGENT!D58</f>
        <v/>
      </c>
      <c r="I50" s="42" t="n"/>
      <c r="J50" s="1089">
        <f>MAX(H50*M$43,0)</f>
        <v/>
      </c>
      <c r="K50" s="1090">
        <f>Portfolio!ES61</f>
        <v/>
      </c>
      <c r="L50" s="1091">
        <f>Portfolio!ER61</f>
        <v/>
      </c>
      <c r="M50" s="70">
        <f>L50/$M$43</f>
        <v/>
      </c>
      <c r="N50" s="164" t="n"/>
      <c r="O50" s="164" t="n"/>
      <c r="P50" s="164" t="n"/>
      <c r="Q50" s="160" t="n"/>
      <c r="R50" s="160" t="n"/>
      <c r="S50" s="160" t="n"/>
    </row>
    <row r="51">
      <c r="B51" s="1079" t="n"/>
      <c r="D51" s="1079" t="inlineStr">
        <is>
          <t>2)</t>
        </is>
      </c>
      <c r="E51" s="41" t="inlineStr">
        <is>
          <t>Max Non-First Lien (Second Lien and FILO with Senior Lev in front of SMC &gt; 1.00x)</t>
        </is>
      </c>
      <c r="F51" s="11" t="n"/>
      <c r="G51" s="11" t="n"/>
      <c r="H51" s="43">
        <f>AGENT!D59</f>
        <v/>
      </c>
      <c r="I51" s="42" t="n"/>
      <c r="J51" s="1089">
        <f>MAX(H51*M$43,0)</f>
        <v/>
      </c>
      <c r="K51" s="1090">
        <f>Portfolio!EX61</f>
        <v/>
      </c>
      <c r="L51" s="1091">
        <f>Portfolio!EW61</f>
        <v/>
      </c>
      <c r="M51" s="70">
        <f>L51/$M$43</f>
        <v/>
      </c>
      <c r="N51" s="164" t="n"/>
      <c r="O51" s="164" t="n"/>
      <c r="P51" s="164" t="n"/>
      <c r="Q51" s="160" t="n"/>
      <c r="R51" s="160" t="n"/>
      <c r="S51" s="160" t="n"/>
    </row>
    <row r="52">
      <c r="B52" s="1079" t="n"/>
      <c r="D52" s="1079" t="inlineStr">
        <is>
          <t>3)</t>
        </is>
      </c>
      <c r="E52" s="1092">
        <f>AGENT!C60</f>
        <v/>
      </c>
      <c r="F52" s="1093" t="n"/>
      <c r="G52" s="1093" t="n"/>
      <c r="H52" s="43">
        <f>AGENT!D60</f>
        <v/>
      </c>
      <c r="I52" s="42" t="n"/>
      <c r="J52" s="1089">
        <f>MAX(H52*M$43,0)</f>
        <v/>
      </c>
      <c r="K52" s="1090">
        <f>Portfolio!FC61</f>
        <v/>
      </c>
      <c r="L52" s="1091">
        <f>Portfolio!FB61</f>
        <v/>
      </c>
      <c r="M52" s="70">
        <f>L52/$M$43</f>
        <v/>
      </c>
      <c r="N52" s="164" t="n"/>
      <c r="O52" s="164" t="n"/>
      <c r="P52" s="164" t="n"/>
      <c r="Q52" s="160" t="n"/>
      <c r="R52" s="160" t="n"/>
      <c r="S52" s="160" t="n"/>
    </row>
    <row r="53" hidden="1" outlineLevel="1">
      <c r="B53" s="1079" t="n"/>
      <c r="D53" s="1079" t="n"/>
      <c r="E53" s="1094" t="n">
        <v>5.5</v>
      </c>
      <c r="F53" s="1095" t="n"/>
      <c r="G53" s="1095" t="n"/>
      <c r="H53" s="202" t="n">
        <v>1</v>
      </c>
      <c r="I53" s="203" t="n"/>
      <c r="J53" s="1096">
        <f>MAX(H53*M$43,0)</f>
        <v/>
      </c>
      <c r="K53" s="1097">
        <f>Portfolio!FC61</f>
        <v/>
      </c>
      <c r="L53" s="1098" t="n"/>
      <c r="M53" s="206">
        <f>L53/$M$43</f>
        <v/>
      </c>
      <c r="N53" s="164" t="n"/>
      <c r="O53" s="164" t="n"/>
      <c r="P53" s="164" t="n"/>
      <c r="Q53" s="160" t="n"/>
      <c r="R53" s="160" t="n"/>
      <c r="S53" s="160" t="n"/>
    </row>
    <row r="54" hidden="1" outlineLevel="1">
      <c r="B54" s="1079" t="n"/>
      <c r="D54" s="1079" t="n"/>
      <c r="E54" s="199" t="inlineStr">
        <is>
          <t>Max Largest Largest Obligor</t>
        </is>
      </c>
      <c r="F54" s="207" t="n"/>
      <c r="G54" s="207" t="n"/>
      <c r="H54" s="202" t="n">
        <v>1</v>
      </c>
      <c r="I54" s="208" t="n"/>
      <c r="J54" s="1096">
        <f>MAX(H54*M$43,0)</f>
        <v/>
      </c>
      <c r="K54" s="1097">
        <f>Portfolio!FM61</f>
        <v/>
      </c>
      <c r="L54" s="1098" t="n"/>
      <c r="M54" s="206">
        <f>L54/$M$43</f>
        <v/>
      </c>
      <c r="N54" s="164" t="n"/>
      <c r="O54" s="164" t="n"/>
      <c r="P54" s="164" t="n"/>
      <c r="Q54" s="160" t="n"/>
      <c r="R54" s="160" t="n"/>
      <c r="S54" s="160" t="n"/>
    </row>
    <row r="55" hidden="1" outlineLevel="1">
      <c r="B55" s="1079" t="n"/>
      <c r="D55" s="1079" t="n"/>
      <c r="E55" s="199" t="inlineStr">
        <is>
          <t>Max Second Largest Obligor</t>
        </is>
      </c>
      <c r="F55" s="207" t="n"/>
      <c r="G55" s="207" t="n"/>
      <c r="H55" s="202" t="n">
        <v>1</v>
      </c>
      <c r="I55" s="208" t="n"/>
      <c r="J55" s="1096">
        <f>MAX(H55*M$43,0)</f>
        <v/>
      </c>
      <c r="K55" s="1097">
        <f>Portfolio!FN61</f>
        <v/>
      </c>
      <c r="L55" s="1098" t="n"/>
      <c r="M55" s="206">
        <f>L55/$M$43</f>
        <v/>
      </c>
      <c r="N55" s="164" t="n"/>
      <c r="O55" s="164" t="n"/>
      <c r="P55" s="164" t="n"/>
      <c r="Q55" s="160" t="n"/>
      <c r="R55" s="160" t="n"/>
      <c r="S55" s="160" t="n"/>
    </row>
    <row r="56" hidden="1" outlineLevel="1">
      <c r="B56" s="1079" t="n"/>
      <c r="D56" s="1079" t="n"/>
      <c r="E56" s="199" t="inlineStr">
        <is>
          <t>Max Third Largest Obligor</t>
        </is>
      </c>
      <c r="F56" s="207" t="n"/>
      <c r="G56" s="207" t="n"/>
      <c r="H56" s="202" t="n">
        <v>1</v>
      </c>
      <c r="I56" s="208" t="n"/>
      <c r="J56" s="1096">
        <f>MAX(H56*M$43,0)</f>
        <v/>
      </c>
      <c r="K56" s="1097">
        <f>Portfolio!FO61</f>
        <v/>
      </c>
      <c r="L56" s="1098" t="n"/>
      <c r="M56" s="206">
        <f>L56/$M$43</f>
        <v/>
      </c>
      <c r="N56" s="164" t="n"/>
      <c r="O56" s="164" t="n"/>
      <c r="P56" s="164" t="n"/>
      <c r="Q56" s="160" t="n"/>
      <c r="R56" s="160" t="n"/>
      <c r="S56" s="160" t="n"/>
    </row>
    <row r="57" collapsed="1">
      <c r="B57" s="1079" t="n"/>
      <c r="D57" s="1079" t="inlineStr">
        <is>
          <t>4)</t>
        </is>
      </c>
      <c r="E57" s="1" t="inlineStr">
        <is>
          <t>Max Obligors</t>
        </is>
      </c>
      <c r="F57" s="161" t="n"/>
      <c r="G57" s="161" t="n"/>
      <c r="H57" s="162">
        <f>AGENT!D61</f>
        <v/>
      </c>
      <c r="I57" s="44" t="n"/>
      <c r="J57" s="1089">
        <f>MAX(H57*M$43,0)</f>
        <v/>
      </c>
      <c r="K57" s="1090">
        <f>Portfolio!FP61</f>
        <v/>
      </c>
      <c r="L57" s="1091">
        <f>IF(K57=0,Portfolio!FI61,K57+J57)</f>
        <v/>
      </c>
      <c r="M57" s="70">
        <f>L57/$M$43</f>
        <v/>
      </c>
      <c r="N57" s="164" t="n"/>
      <c r="O57" s="164" t="n"/>
      <c r="P57" s="164" t="n"/>
      <c r="Q57" s="160" t="n"/>
      <c r="R57" s="160" t="n"/>
      <c r="S57" s="160" t="n"/>
    </row>
    <row r="58">
      <c r="B58" s="1079" t="n"/>
      <c r="D58" s="1079" t="inlineStr">
        <is>
          <t>5)a</t>
        </is>
      </c>
      <c r="E58" s="1" t="inlineStr">
        <is>
          <t>Max Largest Industry</t>
        </is>
      </c>
      <c r="H58" s="43">
        <f>AGENT!D62</f>
        <v/>
      </c>
      <c r="I58" s="44" t="n"/>
      <c r="J58" s="1089">
        <f>MAX(H58*M$43,0)</f>
        <v/>
      </c>
      <c r="K58" s="1090">
        <f>Portfolio!FU61</f>
        <v/>
      </c>
      <c r="L58" s="1091">
        <f>Portfolio!FS61</f>
        <v/>
      </c>
      <c r="M58" s="70">
        <f>L58/$M$43</f>
        <v/>
      </c>
      <c r="N58" s="164" t="n"/>
      <c r="O58" s="164" t="n"/>
      <c r="P58" s="164" t="n"/>
      <c r="Q58" s="160" t="n"/>
      <c r="R58" s="160" t="n"/>
      <c r="S58" s="160" t="n"/>
    </row>
    <row r="59">
      <c r="B59" s="1079" t="n"/>
      <c r="D59" s="1079" t="inlineStr">
        <is>
          <t>5)b</t>
        </is>
      </c>
      <c r="E59" s="1" t="inlineStr">
        <is>
          <t>Max Second Largest Industry</t>
        </is>
      </c>
      <c r="H59" s="43">
        <f>AGENT!D63</f>
        <v/>
      </c>
      <c r="I59" s="44" t="n"/>
      <c r="J59" s="1089">
        <f>MAX(H59*M$43,0)</f>
        <v/>
      </c>
      <c r="K59" s="1090">
        <f>Portfolio!FZ61</f>
        <v/>
      </c>
      <c r="L59" s="1091">
        <f>Portfolio!FX61</f>
        <v/>
      </c>
      <c r="M59" s="70">
        <f>L59/$M$43</f>
        <v/>
      </c>
      <c r="N59" s="164" t="n"/>
      <c r="O59" s="160" t="n"/>
      <c r="Q59" s="160" t="n"/>
      <c r="R59" s="160" t="n"/>
      <c r="S59" s="160" t="n"/>
    </row>
    <row r="60" hidden="1" outlineLevel="1">
      <c r="B60" s="1079" t="n"/>
      <c r="D60" s="1079" t="n"/>
      <c r="E60" s="665" t="n"/>
      <c r="F60" s="207" t="n"/>
      <c r="G60" s="207" t="n"/>
      <c r="H60" s="202" t="n"/>
      <c r="I60" s="208" t="n"/>
      <c r="J60" s="1096" t="n"/>
      <c r="K60" s="1097" t="n"/>
      <c r="L60" s="1098" t="n"/>
      <c r="M60" s="206" t="n"/>
      <c r="N60" s="164" t="n"/>
      <c r="O60" s="160" t="n"/>
      <c r="Q60" s="160" t="n"/>
      <c r="R60" s="160" t="n"/>
      <c r="S60" s="160" t="n"/>
    </row>
    <row r="61" collapsed="1">
      <c r="B61" s="1079" t="n"/>
      <c r="D61" s="1079" t="inlineStr">
        <is>
          <t>5)c</t>
        </is>
      </c>
      <c r="E61" s="1" t="inlineStr">
        <is>
          <t>Max Other Industries</t>
        </is>
      </c>
      <c r="H61" s="43">
        <f>AGENT!D64</f>
        <v/>
      </c>
      <c r="I61" s="44" t="n"/>
      <c r="J61" s="1089">
        <f>MAX(H61*M$43,0)</f>
        <v/>
      </c>
      <c r="K61" s="1090">
        <f>Portfolio!GE61</f>
        <v/>
      </c>
      <c r="L61" s="1091">
        <f>IF(K61=0,Portfolio!GC61,K61+J61 )</f>
        <v/>
      </c>
      <c r="M61" s="70">
        <f>L61/$M$43</f>
        <v/>
      </c>
      <c r="N61" s="164" t="n"/>
      <c r="O61" s="160" t="n"/>
      <c r="Q61" s="160" t="n"/>
      <c r="R61" s="160" t="n"/>
      <c r="S61" s="160" t="n"/>
    </row>
    <row r="62" hidden="1" outlineLevel="1">
      <c r="B62" s="1079" t="n"/>
      <c r="D62" s="1079" t="n"/>
      <c r="E62" s="199" t="inlineStr">
        <is>
          <t>Max Second Lien</t>
        </is>
      </c>
      <c r="F62" s="207" t="n"/>
      <c r="G62" s="207" t="n"/>
      <c r="H62" s="202" t="n">
        <v>1</v>
      </c>
      <c r="I62" s="208" t="n"/>
      <c r="J62" s="1096">
        <f>MAX(H62*M$43,0)</f>
        <v/>
      </c>
      <c r="K62" s="1097">
        <f>Portfolio!#REF!</f>
        <v/>
      </c>
      <c r="L62" s="1098" t="n"/>
      <c r="M62" s="206">
        <f>L62/$M$43</f>
        <v/>
      </c>
      <c r="N62" s="164" t="n"/>
      <c r="O62" s="160" t="n"/>
      <c r="Q62" s="160" t="n"/>
      <c r="R62" s="160" t="n"/>
      <c r="S62" s="160" t="n"/>
    </row>
    <row r="63" hidden="1" outlineLevel="1">
      <c r="B63" s="1079" t="n"/>
      <c r="D63" s="1079" t="n"/>
      <c r="E63" s="199" t="inlineStr">
        <is>
          <t>First Lien Last Out</t>
        </is>
      </c>
      <c r="F63" s="207" t="n"/>
      <c r="G63" s="207" t="n"/>
      <c r="H63" s="202" t="n">
        <v>1</v>
      </c>
      <c r="I63" s="208" t="n"/>
      <c r="J63" s="1096">
        <f>MAX(H63*M$43,0)</f>
        <v/>
      </c>
      <c r="K63" s="1097">
        <f>Portfolio!#REF!</f>
        <v/>
      </c>
      <c r="L63" s="1098" t="n"/>
      <c r="M63" s="206">
        <f>L63/$M$43</f>
        <v/>
      </c>
      <c r="N63" s="164" t="n"/>
      <c r="O63" s="160" t="n"/>
      <c r="Q63" s="160" t="n"/>
      <c r="R63" s="160" t="n"/>
      <c r="S63" s="160" t="n"/>
    </row>
    <row r="64" collapsed="1">
      <c r="B64" s="1079" t="n"/>
      <c r="D64" s="1079" t="inlineStr">
        <is>
          <t>6)</t>
        </is>
      </c>
      <c r="E64" s="1" t="inlineStr">
        <is>
          <t>Fixed Rate</t>
        </is>
      </c>
      <c r="H64" s="43">
        <f>AGENT!D65</f>
        <v/>
      </c>
      <c r="I64" s="44" t="n"/>
      <c r="J64" s="1089">
        <f>MAX(H64*M$43,0)</f>
        <v/>
      </c>
      <c r="K64" s="1090">
        <f>Portfolio!GI61</f>
        <v/>
      </c>
      <c r="L64" s="1091">
        <f>Portfolio!GH61</f>
        <v/>
      </c>
      <c r="M64" s="70">
        <f>L64/$M$43</f>
        <v/>
      </c>
      <c r="N64" s="164" t="n"/>
      <c r="O64" s="160" t="n"/>
      <c r="Q64" s="160" t="n"/>
      <c r="R64" s="160" t="n"/>
      <c r="S64" s="160" t="n"/>
    </row>
    <row r="65" hidden="1" outlineLevel="1">
      <c r="D65" s="161" t="n"/>
      <c r="E65" s="158" t="n"/>
      <c r="F65" s="1099" t="n"/>
      <c r="H65" s="43" t="n"/>
      <c r="I65" s="44" t="n"/>
      <c r="J65" s="1089" t="n"/>
      <c r="K65" s="1090" t="n"/>
      <c r="L65" s="1091" t="n"/>
      <c r="M65" s="70" t="n"/>
      <c r="N65" s="164" t="n"/>
    </row>
    <row r="66" hidden="1" outlineLevel="1">
      <c r="D66" s="161" t="n"/>
      <c r="E66" s="158" t="n"/>
      <c r="H66" s="43" t="n"/>
      <c r="I66" s="44" t="n"/>
      <c r="J66" s="1089" t="n"/>
      <c r="K66" s="1090" t="n"/>
      <c r="L66" s="1091" t="n"/>
      <c r="M66" s="70" t="n"/>
      <c r="N66" s="164" t="n"/>
    </row>
    <row r="67" collapsed="1">
      <c r="D67" s="161" t="inlineStr">
        <is>
          <t>7)</t>
        </is>
      </c>
      <c r="E67" s="37" t="inlineStr">
        <is>
          <t>Max limit industry</t>
        </is>
      </c>
      <c r="H67" s="43">
        <f>AGENT!D66</f>
        <v/>
      </c>
      <c r="I67" s="44" t="n"/>
      <c r="J67" s="1089">
        <f>MAX(H67*M$43,0)</f>
        <v/>
      </c>
      <c r="K67" s="1090">
        <f>Portfolio!GN61</f>
        <v/>
      </c>
      <c r="L67" s="1100">
        <f>Portfolio!GM61</f>
        <v/>
      </c>
      <c r="M67" s="70">
        <f>L67/$M$43</f>
        <v/>
      </c>
      <c r="N67" s="164" t="n"/>
    </row>
    <row r="68">
      <c r="D68" s="2" t="inlineStr">
        <is>
          <t>8)</t>
        </is>
      </c>
      <c r="E68" s="37" t="inlineStr">
        <is>
          <t>Max DDTL and Revolver</t>
        </is>
      </c>
      <c r="H68" s="43">
        <f>AGENT!D67</f>
        <v/>
      </c>
      <c r="I68" s="44" t="n"/>
      <c r="J68" s="1089">
        <f>MAX(H68*M$43,0)</f>
        <v/>
      </c>
      <c r="K68" s="1090">
        <f>Portfolio!GS61</f>
        <v/>
      </c>
      <c r="L68" s="1100">
        <f>Portfolio!GR61</f>
        <v/>
      </c>
      <c r="M68" s="70">
        <f>L68/$M$43</f>
        <v/>
      </c>
      <c r="N68" s="164" t="n"/>
    </row>
    <row r="69">
      <c r="D69" s="2" t="inlineStr">
        <is>
          <t>9)a</t>
        </is>
      </c>
      <c r="E69" s="1" t="inlineStr">
        <is>
          <t>Max Non-Sponsor/Non-Family Office</t>
        </is>
      </c>
      <c r="F69" s="1099" t="n"/>
      <c r="H69" s="43">
        <f>AGENT!D68</f>
        <v/>
      </c>
      <c r="I69" s="44" t="n"/>
      <c r="J69" s="1089">
        <f>MAX(H69*M$43,0)</f>
        <v/>
      </c>
      <c r="K69" s="1090">
        <f>Portfolio!GX61</f>
        <v/>
      </c>
      <c r="L69" s="1091">
        <f>Portfolio!GW61</f>
        <v/>
      </c>
      <c r="M69" s="70">
        <f>L69/$M$43</f>
        <v/>
      </c>
      <c r="N69" s="164" t="n"/>
    </row>
    <row r="70">
      <c r="D70" s="2" t="inlineStr">
        <is>
          <t>9)b</t>
        </is>
      </c>
      <c r="E70" s="1" t="inlineStr">
        <is>
          <t>Max Dividend Recap in Non-Sponsor/Non-Family Office</t>
        </is>
      </c>
      <c r="H70" s="43">
        <f>AGENT!D69</f>
        <v/>
      </c>
      <c r="I70" s="44" t="n"/>
      <c r="J70" s="1089">
        <f>MAX(H70*M$43,0)</f>
        <v/>
      </c>
      <c r="K70" s="1090">
        <f>Portfolio!HC61</f>
        <v/>
      </c>
      <c r="L70" s="1091">
        <f>Portfolio!HB61</f>
        <v/>
      </c>
      <c r="M70" s="70">
        <f>L70/$M$43</f>
        <v/>
      </c>
      <c r="N70" s="164" t="n"/>
    </row>
    <row r="71" hidden="1" outlineLevel="1">
      <c r="E71" s="209" t="n"/>
      <c r="F71" s="207" t="n"/>
      <c r="G71" s="207" t="n"/>
      <c r="H71" s="202" t="n"/>
      <c r="I71" s="208" t="n"/>
      <c r="J71" s="204" t="n"/>
      <c r="K71" s="205" t="n"/>
      <c r="L71" s="207" t="n"/>
      <c r="M71" s="210" t="n"/>
    </row>
    <row r="72" hidden="1" outlineLevel="1">
      <c r="E72" s="209" t="n"/>
      <c r="F72" s="207" t="n"/>
      <c r="G72" s="207" t="n"/>
      <c r="H72" s="202" t="n"/>
      <c r="I72" s="208" t="n"/>
      <c r="J72" s="204" t="n"/>
      <c r="K72" s="205" t="n"/>
      <c r="L72" s="207" t="n"/>
      <c r="M72" s="210" t="n"/>
    </row>
    <row r="73" hidden="1" outlineLevel="1">
      <c r="E73" s="209" t="n"/>
      <c r="F73" s="207" t="n"/>
      <c r="G73" s="207" t="n"/>
      <c r="H73" s="202" t="n"/>
      <c r="I73" s="208" t="n"/>
      <c r="J73" s="204" t="n"/>
      <c r="K73" s="205" t="n"/>
      <c r="L73" s="207" t="n"/>
      <c r="M73" s="210" t="n"/>
    </row>
    <row r="74" hidden="1" outlineLevel="1">
      <c r="E74" s="209" t="n"/>
      <c r="F74" s="207" t="n"/>
      <c r="G74" s="207" t="n"/>
      <c r="H74" s="202" t="n"/>
      <c r="I74" s="208" t="n"/>
      <c r="J74" s="204" t="n"/>
      <c r="K74" s="205" t="n"/>
      <c r="L74" s="207" t="n"/>
      <c r="M74" s="210" t="n"/>
    </row>
    <row r="75" hidden="1" outlineLevel="1">
      <c r="E75" s="209" t="n"/>
      <c r="F75" s="207" t="n"/>
      <c r="G75" s="207" t="n"/>
      <c r="H75" s="202" t="n"/>
      <c r="I75" s="208" t="n"/>
      <c r="J75" s="204" t="n"/>
      <c r="K75" s="205" t="n"/>
      <c r="L75" s="207" t="n"/>
      <c r="M75" s="210" t="n"/>
    </row>
    <row r="76" collapsed="1">
      <c r="E76" s="37" t="n"/>
      <c r="H76" s="43" t="n"/>
      <c r="I76" s="44" t="n"/>
      <c r="J76" s="39" t="n"/>
      <c r="K76" s="38" t="n"/>
    </row>
    <row r="77">
      <c r="E77" s="1" t="n"/>
      <c r="H77" s="43" t="n"/>
      <c r="I77" s="44" t="n"/>
      <c r="J77" s="39" t="n"/>
      <c r="K77" s="38" t="n"/>
    </row>
    <row r="78">
      <c r="B78" s="1079" t="n"/>
      <c r="C78" s="569" t="inlineStr">
        <is>
          <t>OTHER INFORMATION</t>
        </is>
      </c>
      <c r="D78" s="569" t="n"/>
      <c r="E78" s="569" t="n"/>
      <c r="F78" s="569" t="n"/>
      <c r="G78" s="569" t="n"/>
      <c r="H78" s="569" t="n"/>
      <c r="I78" s="569" t="n"/>
      <c r="J78" s="569" t="n"/>
      <c r="K78" s="569" t="n"/>
      <c r="L78" s="569" t="n"/>
      <c r="M78" s="569" t="n"/>
    </row>
    <row r="79">
      <c r="B79" s="1079" t="n"/>
      <c r="C79" s="1079" t="n"/>
      <c r="F79" s="993" t="n"/>
    </row>
    <row r="80">
      <c r="B80" s="1079" t="n"/>
      <c r="E80" s="45" t="inlineStr">
        <is>
          <t xml:space="preserve">S&amp;P Industry Classification </t>
        </is>
      </c>
      <c r="F80" s="46" t="inlineStr">
        <is>
          <t>O/S Value</t>
        </is>
      </c>
      <c r="G80" s="46" t="n"/>
      <c r="H80" s="46" t="inlineStr">
        <is>
          <t>Rank</t>
        </is>
      </c>
    </row>
    <row r="81">
      <c r="B81" s="1079" t="n"/>
      <c r="D81" s="47" t="n">
        <v>1</v>
      </c>
      <c r="E81" s="48" t="inlineStr">
        <is>
          <t>Aerospace &amp; Defense</t>
        </is>
      </c>
      <c r="F81" s="49">
        <f>SUMIF(Portfolio!$BR$9:$BR$60, 'Concentration Limits'!E81, Portfolio!$V$9:$V$60)</f>
        <v/>
      </c>
      <c r="G81" s="70">
        <f>F81/$F$157</f>
        <v/>
      </c>
      <c r="H81" s="23">
        <f>IF(F81=0, "", RANK(F81, $F$81:$F$153))</f>
        <v/>
      </c>
    </row>
    <row r="82">
      <c r="B82" s="1079" t="n"/>
      <c r="D82" s="47">
        <f>D81+1</f>
        <v/>
      </c>
      <c r="E82" s="48" t="inlineStr">
        <is>
          <t>Air Freight &amp; Logistics</t>
        </is>
      </c>
      <c r="F82" s="49">
        <f>SUMIF(Portfolio!$BR$9:$BR$60, 'Concentration Limits'!E82, Portfolio!$V$9:$V$60)</f>
        <v/>
      </c>
      <c r="G82" s="70">
        <f>F82/$F$157</f>
        <v/>
      </c>
      <c r="H82" s="23">
        <f>IF(F82=0, "", RANK(F82, $F$81:$F$153))</f>
        <v/>
      </c>
    </row>
    <row r="83">
      <c r="B83" s="1079" t="n"/>
      <c r="D83" s="47">
        <f>D82+1</f>
        <v/>
      </c>
      <c r="E83" s="48" t="inlineStr">
        <is>
          <t>Airlines</t>
        </is>
      </c>
      <c r="F83" s="49">
        <f>SUMIF(Portfolio!$BR$9:$BR$60, 'Concentration Limits'!E83, Portfolio!$V$9:$V$60)</f>
        <v/>
      </c>
      <c r="G83" s="70">
        <f>F83/$F$157</f>
        <v/>
      </c>
      <c r="H83" s="23">
        <f>IF(F83=0, "", RANK(F83, $F$81:$F$153))</f>
        <v/>
      </c>
    </row>
    <row r="84">
      <c r="B84" s="1079" t="n"/>
      <c r="D84" s="47">
        <f>D83+1</f>
        <v/>
      </c>
      <c r="E84" s="48" t="inlineStr">
        <is>
          <t>Auto Components</t>
        </is>
      </c>
      <c r="F84" s="49">
        <f>SUMIF(Portfolio!$BR$9:$BR$60, 'Concentration Limits'!E84, Portfolio!$V$9:$V$60)</f>
        <v/>
      </c>
      <c r="G84" s="70">
        <f>F84/$F$157</f>
        <v/>
      </c>
      <c r="H84" s="23">
        <f>IF(F84=0, "", RANK(F84, $F$81:$F$153))</f>
        <v/>
      </c>
    </row>
    <row r="85">
      <c r="B85" s="1079" t="n"/>
      <c r="D85" s="47">
        <f>D84+1</f>
        <v/>
      </c>
      <c r="E85" s="48" t="inlineStr">
        <is>
          <t>Automobiles</t>
        </is>
      </c>
      <c r="F85" s="49">
        <f>SUMIF(Portfolio!$BR$9:$BR$60, 'Concentration Limits'!E85, Portfolio!$V$9:$V$60)</f>
        <v/>
      </c>
      <c r="G85" s="70">
        <f>F85/$F$157</f>
        <v/>
      </c>
      <c r="H85" s="23">
        <f>IF(F85=0, "", RANK(F85, $F$81:$F$153))</f>
        <v/>
      </c>
    </row>
    <row r="86">
      <c r="B86" s="1079" t="n"/>
      <c r="D86" s="47">
        <f>D85+1</f>
        <v/>
      </c>
      <c r="E86" s="48" t="inlineStr">
        <is>
          <t>Banks</t>
        </is>
      </c>
      <c r="F86" s="49">
        <f>SUMIF(Portfolio!$BR$9:$BR$60, 'Concentration Limits'!E86, Portfolio!$V$9:$V$60)</f>
        <v/>
      </c>
      <c r="G86" s="70">
        <f>F86/$F$157</f>
        <v/>
      </c>
      <c r="H86" s="23">
        <f>IF(F86=0, "", RANK(F86, $F$81:$F$153))</f>
        <v/>
      </c>
    </row>
    <row r="87">
      <c r="B87" s="1079" t="n"/>
      <c r="D87" s="47">
        <f>D86+1</f>
        <v/>
      </c>
      <c r="E87" s="48" t="inlineStr">
        <is>
          <t>Beverages</t>
        </is>
      </c>
      <c r="F87" s="49">
        <f>SUMIF(Portfolio!$BR$9:$BR$60, 'Concentration Limits'!E87, Portfolio!$V$9:$V$60)</f>
        <v/>
      </c>
      <c r="G87" s="70">
        <f>F87/$F$157</f>
        <v/>
      </c>
      <c r="H87" s="23">
        <f>IF(F87=0, "", RANK(F87, $F$81:$F$153))</f>
        <v/>
      </c>
    </row>
    <row r="88">
      <c r="B88" s="1079" t="n"/>
      <c r="D88" s="47">
        <f>D87+1</f>
        <v/>
      </c>
      <c r="E88" s="48" t="inlineStr">
        <is>
          <t>Biotechnology</t>
        </is>
      </c>
      <c r="F88" s="49">
        <f>SUMIF(Portfolio!$BR$9:$BR$60, 'Concentration Limits'!E88, Portfolio!$V$9:$V$60)</f>
        <v/>
      </c>
      <c r="G88" s="70">
        <f>F88/$F$157</f>
        <v/>
      </c>
      <c r="H88" s="23">
        <f>IF(F88=0, "", RANK(F88, $F$81:$F$153))</f>
        <v/>
      </c>
    </row>
    <row r="89">
      <c r="B89" s="1079" t="n"/>
      <c r="D89" s="47">
        <f>D88+1</f>
        <v/>
      </c>
      <c r="E89" s="48" t="inlineStr">
        <is>
          <t>Building Products</t>
        </is>
      </c>
      <c r="F89" s="49">
        <f>SUMIF(Portfolio!$BR$9:$BR$60, 'Concentration Limits'!E89, Portfolio!$V$9:$V$60)</f>
        <v/>
      </c>
      <c r="G89" s="70">
        <f>F89/$F$157</f>
        <v/>
      </c>
      <c r="H89" s="23">
        <f>IF(F89=0, "", RANK(F89, $F$81:$F$153))</f>
        <v/>
      </c>
    </row>
    <row r="90">
      <c r="B90" s="1079" t="n"/>
      <c r="D90" s="47">
        <f>D89+1</f>
        <v/>
      </c>
      <c r="E90" s="48" t="inlineStr">
        <is>
          <t>Capital Markets</t>
        </is>
      </c>
      <c r="F90" s="49">
        <f>SUMIF(Portfolio!$BR$9:$BR$60, 'Concentration Limits'!E90, Portfolio!$V$9:$V$60)</f>
        <v/>
      </c>
      <c r="G90" s="70">
        <f>F90/$F$157</f>
        <v/>
      </c>
      <c r="H90" s="23">
        <f>IF(F90=0, "", RANK(F90, $F$81:$F$153))</f>
        <v/>
      </c>
    </row>
    <row r="91">
      <c r="B91" s="1079" t="n"/>
      <c r="D91" s="47">
        <f>D90+1</f>
        <v/>
      </c>
      <c r="E91" s="48" t="inlineStr">
        <is>
          <t>Chemicals</t>
        </is>
      </c>
      <c r="F91" s="49">
        <f>SUMIF(Portfolio!$BR$9:$BR$60, 'Concentration Limits'!E91, Portfolio!$V$9:$V$60)</f>
        <v/>
      </c>
      <c r="G91" s="70">
        <f>F91/$F$157</f>
        <v/>
      </c>
      <c r="H91" s="23">
        <f>IF(F91=0, "", RANK(F91, $F$81:$F$153))</f>
        <v/>
      </c>
    </row>
    <row r="92">
      <c r="B92" s="1079" t="n"/>
      <c r="D92" s="47">
        <f>D91+1</f>
        <v/>
      </c>
      <c r="E92" s="48" t="inlineStr">
        <is>
          <t>Commercial Services &amp; Supplies</t>
        </is>
      </c>
      <c r="F92" s="49">
        <f>SUMIF(Portfolio!$BR$9:$BR$60, 'Concentration Limits'!E92, Portfolio!$V$9:$V$60)</f>
        <v/>
      </c>
      <c r="G92" s="70">
        <f>F92/$F$157</f>
        <v/>
      </c>
      <c r="H92" s="23">
        <f>IF(F92=0, "", RANK(F92, $F$81:$F$153))</f>
        <v/>
      </c>
    </row>
    <row r="93">
      <c r="B93" s="1079" t="n"/>
      <c r="D93" s="47">
        <f>D92+1</f>
        <v/>
      </c>
      <c r="E93" s="48" t="inlineStr">
        <is>
          <t>Communications Equipment</t>
        </is>
      </c>
      <c r="F93" s="49">
        <f>SUMIF(Portfolio!$BR$9:$BR$60, 'Concentration Limits'!E93, Portfolio!$V$9:$V$60)</f>
        <v/>
      </c>
      <c r="G93" s="70">
        <f>F93/$F$157</f>
        <v/>
      </c>
      <c r="H93" s="23">
        <f>IF(F93=0, "", RANK(F93, $F$81:$F$153))</f>
        <v/>
      </c>
    </row>
    <row r="94">
      <c r="B94" s="1079" t="n"/>
      <c r="D94" s="47">
        <f>D93+1</f>
        <v/>
      </c>
      <c r="E94" s="48" t="inlineStr">
        <is>
          <t>Construction &amp; Engineering</t>
        </is>
      </c>
      <c r="F94" s="49">
        <f>SUMIF(Portfolio!$BR$9:$BR$60, 'Concentration Limits'!E94, Portfolio!$V$9:$V$60)</f>
        <v/>
      </c>
      <c r="G94" s="70">
        <f>F94/$F$157</f>
        <v/>
      </c>
      <c r="H94" s="23">
        <f>IF(F94=0, "", RANK(F94, $F$81:$F$153))</f>
        <v/>
      </c>
    </row>
    <row r="95">
      <c r="B95" s="1079" t="n"/>
      <c r="D95" s="47">
        <f>D94+1</f>
        <v/>
      </c>
      <c r="E95" s="48" t="inlineStr">
        <is>
          <t>Construction Materials</t>
        </is>
      </c>
      <c r="F95" s="49">
        <f>SUMIF(Portfolio!$BR$9:$BR$60, 'Concentration Limits'!E95, Portfolio!$V$9:$V$60)</f>
        <v/>
      </c>
      <c r="G95" s="70">
        <f>F95/$F$157</f>
        <v/>
      </c>
      <c r="H95" s="23">
        <f>IF(F95=0, "", RANK(F95, $F$81:$F$153))</f>
        <v/>
      </c>
    </row>
    <row r="96">
      <c r="B96" s="1079" t="n"/>
      <c r="D96" s="47">
        <f>D95+1</f>
        <v/>
      </c>
      <c r="E96" s="48" t="inlineStr">
        <is>
          <t>Consumer Finance</t>
        </is>
      </c>
      <c r="F96" s="49">
        <f>SUMIF(Portfolio!$BR$9:$BR$60, 'Concentration Limits'!E96, Portfolio!$V$9:$V$60)</f>
        <v/>
      </c>
      <c r="G96" s="70">
        <f>F96/$F$157</f>
        <v/>
      </c>
      <c r="H96" s="23">
        <f>IF(F96=0, "", RANK(F96, $F$81:$F$153))</f>
        <v/>
      </c>
    </row>
    <row r="97">
      <c r="B97" s="1079" t="n"/>
      <c r="D97" s="47">
        <f>D96+1</f>
        <v/>
      </c>
      <c r="E97" s="48" t="inlineStr">
        <is>
          <t>Containers &amp; Packaging Distributors</t>
        </is>
      </c>
      <c r="F97" s="49">
        <f>SUMIF(Portfolio!$BR$9:$BR$60, 'Concentration Limits'!E97, Portfolio!$V$9:$V$60)</f>
        <v/>
      </c>
      <c r="G97" s="70">
        <f>F97/$F$157</f>
        <v/>
      </c>
      <c r="H97" s="23">
        <f>IF(F97=0, "", RANK(F97, $F$81:$F$153))</f>
        <v/>
      </c>
    </row>
    <row r="98">
      <c r="B98" s="1079" t="n"/>
      <c r="D98" s="47">
        <f>D97+1</f>
        <v/>
      </c>
      <c r="E98" s="48" t="inlineStr">
        <is>
          <t>Distributors</t>
        </is>
      </c>
      <c r="F98" s="49">
        <f>SUMIF(Portfolio!$BR$9:$BR$60, 'Concentration Limits'!E98, Portfolio!$V$9:$V$60)</f>
        <v/>
      </c>
      <c r="G98" s="70">
        <f>F98/$F$157</f>
        <v/>
      </c>
      <c r="H98" s="23">
        <f>IF(F98=0, "", RANK(F98, $F$81:$F$153))</f>
        <v/>
      </c>
    </row>
    <row r="99">
      <c r="B99" s="1079" t="n"/>
      <c r="D99" s="47">
        <f>D98+1</f>
        <v/>
      </c>
      <c r="E99" s="48" t="inlineStr">
        <is>
          <t>Diversified Consumer Services</t>
        </is>
      </c>
      <c r="F99" s="49">
        <f>SUMIF(Portfolio!$BR$9:$BR$60, 'Concentration Limits'!E99, Portfolio!$V$9:$V$60)</f>
        <v/>
      </c>
      <c r="G99" s="70">
        <f>F99/$F$157</f>
        <v/>
      </c>
      <c r="H99" s="23">
        <f>IF(F99=0, "", RANK(F99, $F$81:$F$153))</f>
        <v/>
      </c>
    </row>
    <row r="100">
      <c r="B100" s="1079" t="n"/>
      <c r="D100" s="47">
        <f>D99+1</f>
        <v/>
      </c>
      <c r="E100" s="48" t="inlineStr">
        <is>
          <t>Diversified Financial Services</t>
        </is>
      </c>
      <c r="F100" s="49">
        <f>SUMIF(Portfolio!$BR$9:$BR$60, 'Concentration Limits'!E100, Portfolio!$V$9:$V$60)</f>
        <v/>
      </c>
      <c r="G100" s="70">
        <f>F100/$F$157</f>
        <v/>
      </c>
      <c r="H100" s="23">
        <f>IF(F100=0, "", RANK(F100, $F$81:$F$153))</f>
        <v/>
      </c>
    </row>
    <row r="101">
      <c r="B101" s="1079" t="n"/>
      <c r="D101" s="47">
        <f>D100+1</f>
        <v/>
      </c>
      <c r="E101" s="48" t="inlineStr">
        <is>
          <t>Diversified Telecommunication Services</t>
        </is>
      </c>
      <c r="F101" s="49">
        <f>SUMIF(Portfolio!$BR$9:$BR$60, 'Concentration Limits'!E101, Portfolio!$V$9:$V$60)</f>
        <v/>
      </c>
      <c r="G101" s="70">
        <f>F101/$F$157</f>
        <v/>
      </c>
      <c r="H101" s="23">
        <f>IF(F101=0, "", RANK(F101, $F$81:$F$153))</f>
        <v/>
      </c>
    </row>
    <row r="102">
      <c r="B102" s="1079" t="n"/>
      <c r="D102" s="47">
        <f>D101+1</f>
        <v/>
      </c>
      <c r="E102" s="48" t="inlineStr">
        <is>
          <t>Services</t>
        </is>
      </c>
      <c r="F102" s="49">
        <f>SUMIF(Portfolio!$BR$9:$BR$60, 'Concentration Limits'!E102, Portfolio!$V$9:$V$60)</f>
        <v/>
      </c>
      <c r="G102" s="70">
        <f>F102/$F$157</f>
        <v/>
      </c>
      <c r="H102" s="23">
        <f>IF(F102=0, "", RANK(F102, $F$81:$F$153))</f>
        <v/>
      </c>
    </row>
    <row r="103">
      <c r="B103" s="1079" t="n"/>
      <c r="D103" s="47">
        <f>D102+1</f>
        <v/>
      </c>
      <c r="E103" s="48" t="inlineStr">
        <is>
          <t>Software</t>
        </is>
      </c>
      <c r="F103" s="49">
        <f>SUMIF(Portfolio!$BR$9:$BR$60, 'Concentration Limits'!E103, Portfolio!$V$9:$V$60)</f>
        <v/>
      </c>
      <c r="G103" s="70">
        <f>F103/$F$157</f>
        <v/>
      </c>
      <c r="H103" s="23">
        <f>IF(F103=0, "", RANK(F103, $F$81:$F$153))</f>
        <v/>
      </c>
    </row>
    <row r="104">
      <c r="B104" s="1079" t="n"/>
      <c r="D104" s="47">
        <f>D103+1</f>
        <v/>
      </c>
      <c r="E104" s="48" t="inlineStr">
        <is>
          <t>Electric Utilities</t>
        </is>
      </c>
      <c r="F104" s="49">
        <f>SUMIF(Portfolio!$BR$9:$BR$60, 'Concentration Limits'!E104, Portfolio!$V$9:$V$60)</f>
        <v/>
      </c>
      <c r="G104" s="70">
        <f>F104/$F$157</f>
        <v/>
      </c>
      <c r="H104" s="23">
        <f>IF(F104=0, "", RANK(F104, $F$81:$F$153))</f>
        <v/>
      </c>
    </row>
    <row r="105">
      <c r="B105" s="1079" t="n"/>
      <c r="D105" s="47">
        <f>D104+1</f>
        <v/>
      </c>
      <c r="E105" s="48" t="inlineStr">
        <is>
          <t>Electrical Equipment</t>
        </is>
      </c>
      <c r="F105" s="49">
        <f>SUMIF(Portfolio!$BR$9:$BR$60, 'Concentration Limits'!E105, Portfolio!$V$9:$V$60)</f>
        <v/>
      </c>
      <c r="G105" s="70">
        <f>F105/$F$157</f>
        <v/>
      </c>
      <c r="H105" s="23">
        <f>IF(F105=0, "", RANK(F105, $F$81:$F$153))</f>
        <v/>
      </c>
    </row>
    <row r="106">
      <c r="B106" s="1079" t="n"/>
      <c r="D106" s="47">
        <f>D105+1</f>
        <v/>
      </c>
      <c r="E106" s="48" t="inlineStr">
        <is>
          <t>Energy Equipment &amp; Services</t>
        </is>
      </c>
      <c r="F106" s="49">
        <f>SUMIF(Portfolio!$BR$9:$BR$60, 'Concentration Limits'!E106, Portfolio!$V$9:$V$60)</f>
        <v/>
      </c>
      <c r="G106" s="70">
        <f>F106/$F$157</f>
        <v/>
      </c>
      <c r="H106" s="23">
        <f>IF(F106=0, "", RANK(F106, $F$81:$F$153))</f>
        <v/>
      </c>
    </row>
    <row r="107">
      <c r="B107" s="1079" t="n"/>
      <c r="D107" s="47">
        <f>D106+1</f>
        <v/>
      </c>
      <c r="E107" s="48" t="inlineStr">
        <is>
          <t>Equity Real Estate Investment Trusts (REITs)</t>
        </is>
      </c>
      <c r="F107" s="49">
        <f>SUMIF(Portfolio!$BR$9:$BR$60, 'Concentration Limits'!E107, Portfolio!$V$9:$V$60)</f>
        <v/>
      </c>
      <c r="G107" s="70">
        <f>F107/$F$157</f>
        <v/>
      </c>
      <c r="H107" s="23">
        <f>IF(F107=0, "", RANK(F107, $F$81:$F$153))</f>
        <v/>
      </c>
    </row>
    <row r="108">
      <c r="B108" s="1079" t="n"/>
      <c r="D108" s="47">
        <f>D107+1</f>
        <v/>
      </c>
      <c r="E108" s="48" t="inlineStr">
        <is>
          <t>Food &amp; Staples Retailing</t>
        </is>
      </c>
      <c r="F108" s="49">
        <f>SUMIF(Portfolio!$BR$9:$BR$60, 'Concentration Limits'!E108, Portfolio!$V$9:$V$60)</f>
        <v/>
      </c>
      <c r="G108" s="70">
        <f>F108/$F$157</f>
        <v/>
      </c>
      <c r="H108" s="23">
        <f>IF(F108=0, "", RANK(F108, $F$81:$F$153))</f>
        <v/>
      </c>
    </row>
    <row r="109">
      <c r="B109" s="1079" t="n"/>
      <c r="D109" s="47">
        <f>D108+1</f>
        <v/>
      </c>
      <c r="E109" s="48" t="inlineStr">
        <is>
          <t>Food Products</t>
        </is>
      </c>
      <c r="F109" s="49">
        <f>SUMIF(Portfolio!$BR$9:$BR$60, 'Concentration Limits'!E109, Portfolio!$V$9:$V$60)</f>
        <v/>
      </c>
      <c r="G109" s="70">
        <f>F109/$F$157</f>
        <v/>
      </c>
      <c r="H109" s="23">
        <f>IF(F109=0, "", RANK(F109, $F$81:$F$153))</f>
        <v/>
      </c>
    </row>
    <row r="110">
      <c r="B110" s="1079" t="n"/>
      <c r="D110" s="47">
        <f>D109+1</f>
        <v/>
      </c>
      <c r="E110" s="48" t="inlineStr">
        <is>
          <t>Gas Utilities</t>
        </is>
      </c>
      <c r="F110" s="49">
        <f>SUMIF(Portfolio!$BR$9:$BR$60, 'Concentration Limits'!E110, Portfolio!$V$9:$V$60)</f>
        <v/>
      </c>
      <c r="G110" s="70">
        <f>F110/$F$157</f>
        <v/>
      </c>
      <c r="H110" s="23">
        <f>IF(F110=0, "", RANK(F110, $F$81:$F$153))</f>
        <v/>
      </c>
    </row>
    <row r="111">
      <c r="B111" s="1079" t="n"/>
      <c r="D111" s="47">
        <f>D110+1</f>
        <v/>
      </c>
      <c r="E111" s="48" t="inlineStr">
        <is>
          <t>Health Care Equipment &amp; Supplies</t>
        </is>
      </c>
      <c r="F111" s="49">
        <f>SUMIF(Portfolio!$BR$9:$BR$60, 'Concentration Limits'!E111, Portfolio!$V$9:$V$60)</f>
        <v/>
      </c>
      <c r="G111" s="70">
        <f>F111/$F$157</f>
        <v/>
      </c>
      <c r="H111" s="23">
        <f>IF(F111=0, "", RANK(F111, $F$81:$F$153))</f>
        <v/>
      </c>
    </row>
    <row r="112">
      <c r="B112" s="1079" t="n"/>
      <c r="D112" s="47">
        <f>D111+1</f>
        <v/>
      </c>
      <c r="E112" s="48" t="inlineStr">
        <is>
          <t>Health Care Providers &amp; Services</t>
        </is>
      </c>
      <c r="F112" s="49">
        <f>SUMIF(Portfolio!$BR$9:$BR$60, 'Concentration Limits'!E112, Portfolio!$V$9:$V$60)</f>
        <v/>
      </c>
      <c r="G112" s="70">
        <f>F112/$F$157</f>
        <v/>
      </c>
      <c r="H112" s="23">
        <f>IF(F112=0, "", RANK(F112, $F$81:$F$153))</f>
        <v/>
      </c>
    </row>
    <row r="113">
      <c r="B113" s="1079" t="n"/>
      <c r="D113" s="47">
        <f>D112+1</f>
        <v/>
      </c>
      <c r="E113" s="48" t="inlineStr">
        <is>
          <t>Health Care Technology</t>
        </is>
      </c>
      <c r="F113" s="49">
        <f>SUMIF(Portfolio!$BR$9:$BR$60, 'Concentration Limits'!E113, Portfolio!$V$9:$V$60)</f>
        <v/>
      </c>
      <c r="G113" s="70">
        <f>F113/$F$157</f>
        <v/>
      </c>
      <c r="H113" s="23">
        <f>IF(F113=0, "", RANK(F113, $F$81:$F$153))</f>
        <v/>
      </c>
    </row>
    <row r="114">
      <c r="B114" s="1079" t="n"/>
      <c r="D114" s="47">
        <f>D113+1</f>
        <v/>
      </c>
      <c r="E114" s="48" t="inlineStr">
        <is>
          <t>Hotels, Restaurants &amp; Leisure</t>
        </is>
      </c>
      <c r="F114" s="49">
        <f>SUMIF(Portfolio!$BR$9:$BR$60, 'Concentration Limits'!E114, Portfolio!$V$9:$V$60)</f>
        <v/>
      </c>
      <c r="G114" s="70">
        <f>F114/$F$157</f>
        <v/>
      </c>
      <c r="H114" s="23">
        <f>IF(F114=0, "", RANK(F114, $F$81:$F$153))</f>
        <v/>
      </c>
    </row>
    <row r="115">
      <c r="B115" s="1079" t="n"/>
      <c r="D115" s="47">
        <f>D114+1</f>
        <v/>
      </c>
      <c r="E115" s="48" t="inlineStr">
        <is>
          <t>Household Durables</t>
        </is>
      </c>
      <c r="F115" s="49">
        <f>SUMIF(Portfolio!$BR$9:$BR$60, 'Concentration Limits'!E115, Portfolio!$V$9:$V$60)</f>
        <v/>
      </c>
      <c r="G115" s="70">
        <f>F115/$F$157</f>
        <v/>
      </c>
      <c r="H115" s="23">
        <f>IF(F115=0, "", RANK(F115, $F$81:$F$153))</f>
        <v/>
      </c>
    </row>
    <row r="116">
      <c r="B116" s="1079" t="n"/>
      <c r="D116" s="47">
        <f>D115+1</f>
        <v/>
      </c>
      <c r="E116" s="48" t="inlineStr">
        <is>
          <t>Household Products</t>
        </is>
      </c>
      <c r="F116" s="49">
        <f>SUMIF(Portfolio!$BR$9:$BR$60, 'Concentration Limits'!E116, Portfolio!$V$9:$V$60)</f>
        <v/>
      </c>
      <c r="G116" s="70">
        <f>F116/$F$157</f>
        <v/>
      </c>
      <c r="H116" s="23">
        <f>IF(F116=0, "", RANK(F116, $F$81:$F$153))</f>
        <v/>
      </c>
    </row>
    <row r="117">
      <c r="B117" s="1079" t="n"/>
      <c r="D117" s="47">
        <f>D116+1</f>
        <v/>
      </c>
      <c r="E117" s="48" t="inlineStr">
        <is>
          <t>Independent Power and Renewable</t>
        </is>
      </c>
      <c r="F117" s="49">
        <f>SUMIF(Portfolio!$BR$9:$BR$60, 'Concentration Limits'!E117, Portfolio!$V$9:$V$60)</f>
        <v/>
      </c>
      <c r="G117" s="70">
        <f>F117/$F$157</f>
        <v/>
      </c>
      <c r="H117" s="23">
        <f>IF(F117=0, "", RANK(F117, $F$81:$F$153))</f>
        <v/>
      </c>
    </row>
    <row r="118">
      <c r="B118" s="1079" t="n"/>
      <c r="D118" s="47">
        <f>D117+1</f>
        <v/>
      </c>
      <c r="E118" s="48" t="inlineStr">
        <is>
          <t>Electricity Producers</t>
        </is>
      </c>
      <c r="F118" s="49">
        <f>SUMIF(Portfolio!$BR$9:$BR$60, 'Concentration Limits'!E118, Portfolio!$V$9:$V$60)</f>
        <v/>
      </c>
      <c r="G118" s="70">
        <f>F118/$F$157</f>
        <v/>
      </c>
      <c r="H118" s="23">
        <f>IF(F118=0, "", RANK(F118, $F$81:$F$153))</f>
        <v/>
      </c>
    </row>
    <row r="119">
      <c r="B119" s="1079" t="n"/>
      <c r="D119" s="47">
        <f>D118+1</f>
        <v/>
      </c>
      <c r="E119" s="48" t="inlineStr">
        <is>
          <t>Industrial Conglomerates</t>
        </is>
      </c>
      <c r="F119" s="49">
        <f>SUMIF(Portfolio!$BR$9:$BR$60, 'Concentration Limits'!E119, Portfolio!$V$9:$V$60)</f>
        <v/>
      </c>
      <c r="G119" s="70">
        <f>F119/$F$157</f>
        <v/>
      </c>
      <c r="H119" s="23">
        <f>IF(F119=0, "", RANK(F119, $F$81:$F$153))</f>
        <v/>
      </c>
    </row>
    <row r="120">
      <c r="B120" s="1079" t="n"/>
      <c r="D120" s="47">
        <f>D119+1</f>
        <v/>
      </c>
      <c r="E120" s="48" t="inlineStr">
        <is>
          <t>Insurance</t>
        </is>
      </c>
      <c r="F120" s="49">
        <f>SUMIF(Portfolio!$BR$9:$BR$60, 'Concentration Limits'!E120, Portfolio!$V$9:$V$60)</f>
        <v/>
      </c>
      <c r="G120" s="70">
        <f>F120/$F$157</f>
        <v/>
      </c>
      <c r="H120" s="23">
        <f>IF(F120=0, "", RANK(F120, $F$81:$F$153))</f>
        <v/>
      </c>
    </row>
    <row r="121">
      <c r="B121" s="1079" t="n"/>
      <c r="D121" s="47">
        <f>D120+1</f>
        <v/>
      </c>
      <c r="E121" s="48" t="inlineStr">
        <is>
          <t>Internet &amp; Direct Marketing Retail</t>
        </is>
      </c>
      <c r="F121" s="49">
        <f>SUMIF(Portfolio!$BR$9:$BR$60, 'Concentration Limits'!E121, Portfolio!$V$9:$V$60)</f>
        <v/>
      </c>
      <c r="G121" s="70">
        <f>F121/$F$157</f>
        <v/>
      </c>
      <c r="H121" s="23">
        <f>IF(F121=0, "", RANK(F121, $F$81:$F$153))</f>
        <v/>
      </c>
    </row>
    <row r="122">
      <c r="B122" s="1079" t="n"/>
      <c r="D122" s="47">
        <f>D121+1</f>
        <v/>
      </c>
      <c r="E122" s="2" t="inlineStr">
        <is>
          <t>Internet Software &amp; Services</t>
        </is>
      </c>
      <c r="F122" s="49">
        <f>SUMIF(Portfolio!$BR$9:$BR$60, 'Concentration Limits'!E122, Portfolio!$V$9:$V$60)</f>
        <v/>
      </c>
      <c r="G122" s="70">
        <f>F122/$F$157</f>
        <v/>
      </c>
      <c r="H122" s="23">
        <f>IF(F122=0, "", RANK(F122, $F$81:$F$153))</f>
        <v/>
      </c>
    </row>
    <row r="123">
      <c r="B123" s="1079" t="n"/>
      <c r="D123" s="47">
        <f>D122+1</f>
        <v/>
      </c>
      <c r="E123" s="2" t="inlineStr">
        <is>
          <t>IT Services</t>
        </is>
      </c>
      <c r="F123" s="49">
        <f>SUMIF(Portfolio!$BR$9:$BR$60, 'Concentration Limits'!E123, Portfolio!$V$9:$V$60)</f>
        <v/>
      </c>
      <c r="G123" s="70">
        <f>F123/$F$157</f>
        <v/>
      </c>
      <c r="H123" s="23">
        <f>IF(F123=0, "", RANK(F123, $F$81:$F$153))</f>
        <v/>
      </c>
    </row>
    <row r="124">
      <c r="B124" s="1079" t="n"/>
      <c r="D124" s="47">
        <f>D123+1</f>
        <v/>
      </c>
      <c r="E124" s="2" t="inlineStr">
        <is>
          <t>Leisure Products</t>
        </is>
      </c>
      <c r="F124" s="49">
        <f>SUMIF(Portfolio!$BR$9:$BR$60, 'Concentration Limits'!E124, Portfolio!$V$9:$V$60)</f>
        <v/>
      </c>
      <c r="G124" s="70">
        <f>F124/$F$157</f>
        <v/>
      </c>
      <c r="H124" s="23">
        <f>IF(F124=0, "", RANK(F124, $F$81:$F$153))</f>
        <v/>
      </c>
    </row>
    <row r="125">
      <c r="B125" s="1079" t="n"/>
      <c r="D125" s="47">
        <f>D124+1</f>
        <v/>
      </c>
      <c r="E125" s="2" t="inlineStr">
        <is>
          <t>Life Sciences Tools &amp; Services</t>
        </is>
      </c>
      <c r="F125" s="49">
        <f>SUMIF(Portfolio!$BR$9:$BR$60, 'Concentration Limits'!E125, Portfolio!$V$9:$V$60)</f>
        <v/>
      </c>
      <c r="G125" s="70">
        <f>F125/$F$157</f>
        <v/>
      </c>
      <c r="H125" s="23">
        <f>IF(F125=0, "", RANK(F125, $F$81:$F$153))</f>
        <v/>
      </c>
    </row>
    <row r="126">
      <c r="B126" s="1079" t="n"/>
      <c r="D126" s="47">
        <f>D125+1</f>
        <v/>
      </c>
      <c r="E126" s="2" t="inlineStr">
        <is>
          <t>Machinery</t>
        </is>
      </c>
      <c r="F126" s="49">
        <f>SUMIF(Portfolio!$BR$9:$BR$60, 'Concentration Limits'!E126, Portfolio!$V$9:$V$60)</f>
        <v/>
      </c>
      <c r="G126" s="70">
        <f>F126/$F$157</f>
        <v/>
      </c>
      <c r="H126" s="23">
        <f>IF(F126=0, "", RANK(F126, $F$81:$F$153))</f>
        <v/>
      </c>
    </row>
    <row r="127">
      <c r="B127" s="1079" t="n"/>
      <c r="D127" s="47">
        <f>D126+1</f>
        <v/>
      </c>
      <c r="E127" s="2" t="inlineStr">
        <is>
          <t>Marine</t>
        </is>
      </c>
      <c r="F127" s="49">
        <f>SUMIF(Portfolio!$BR$9:$BR$60, 'Concentration Limits'!E127, Portfolio!$V$9:$V$60)</f>
        <v/>
      </c>
      <c r="G127" s="70">
        <f>F127/$F$157</f>
        <v/>
      </c>
      <c r="H127" s="23">
        <f>IF(F127=0, "", RANK(F127, $F$81:$F$153))</f>
        <v/>
      </c>
    </row>
    <row r="128">
      <c r="B128" s="1079" t="n"/>
      <c r="D128" s="47">
        <f>D127+1</f>
        <v/>
      </c>
      <c r="E128" s="2" t="inlineStr">
        <is>
          <t>Media</t>
        </is>
      </c>
      <c r="F128" s="49">
        <f>SUMIF(Portfolio!$BR$9:$BR$60, 'Concentration Limits'!E128, Portfolio!$V$9:$V$60)</f>
        <v/>
      </c>
      <c r="G128" s="70">
        <f>F128/$F$157</f>
        <v/>
      </c>
      <c r="H128" s="23">
        <f>IF(F128=0, "", RANK(F128, $F$81:$F$153))</f>
        <v/>
      </c>
    </row>
    <row r="129">
      <c r="B129" s="1079" t="n"/>
      <c r="D129" s="47">
        <f>D128+1</f>
        <v/>
      </c>
      <c r="E129" s="2" t="inlineStr">
        <is>
          <t>Metals &amp; Mining</t>
        </is>
      </c>
      <c r="F129" s="49">
        <f>SUMIF(Portfolio!$BR$9:$BR$60, 'Concentration Limits'!E129, Portfolio!$V$9:$V$60)</f>
        <v/>
      </c>
      <c r="G129" s="70">
        <f>F129/$F$157</f>
        <v/>
      </c>
      <c r="H129" s="23">
        <f>IF(F129=0, "", RANK(F129, $F$81:$F$153))</f>
        <v/>
      </c>
    </row>
    <row r="130">
      <c r="B130" s="1079" t="n"/>
      <c r="D130" s="47">
        <f>D129+1</f>
        <v/>
      </c>
      <c r="E130" s="2" t="inlineStr">
        <is>
          <t>Mortgage Real Estate Investment Trusts (REITs)</t>
        </is>
      </c>
      <c r="F130" s="49">
        <f>SUMIF(Portfolio!$BR$9:$BR$60, 'Concentration Limits'!E130, Portfolio!$V$9:$V$60)</f>
        <v/>
      </c>
      <c r="G130" s="70">
        <f>F130/$F$157</f>
        <v/>
      </c>
      <c r="H130" s="23">
        <f>IF(F130=0, "", RANK(F130, $F$81:$F$153))</f>
        <v/>
      </c>
    </row>
    <row r="131">
      <c r="B131" s="1079" t="n"/>
      <c r="D131" s="47">
        <f>D130+1</f>
        <v/>
      </c>
      <c r="E131" s="2" t="inlineStr">
        <is>
          <t>Multiline Retail</t>
        </is>
      </c>
      <c r="F131" s="49">
        <f>SUMIF(Portfolio!$BR$9:$BR$60, 'Concentration Limits'!E131, Portfolio!$V$9:$V$60)</f>
        <v/>
      </c>
      <c r="G131" s="70">
        <f>F131/$F$157</f>
        <v/>
      </c>
      <c r="H131" s="23">
        <f>IF(F131=0, "", RANK(F131, $F$81:$F$153))</f>
        <v/>
      </c>
    </row>
    <row r="132">
      <c r="B132" s="1079" t="n"/>
      <c r="D132" s="47">
        <f>D131+1</f>
        <v/>
      </c>
      <c r="E132" s="2" t="inlineStr">
        <is>
          <t>Multi-Utilities</t>
        </is>
      </c>
      <c r="F132" s="49">
        <f>SUMIF(Portfolio!$BR$9:$BR$60, 'Concentration Limits'!E132, Portfolio!$V$9:$V$60)</f>
        <v/>
      </c>
      <c r="G132" s="70">
        <f>F132/$F$157</f>
        <v/>
      </c>
      <c r="H132" s="23">
        <f>IF(F132=0, "", RANK(F132, $F$81:$F$153))</f>
        <v/>
      </c>
    </row>
    <row r="133">
      <c r="B133" s="1079" t="n"/>
      <c r="D133" s="47">
        <f>D132+1</f>
        <v/>
      </c>
      <c r="E133" s="2" t="inlineStr">
        <is>
          <t>Oil, Gas &amp; Consumable Fuels</t>
        </is>
      </c>
      <c r="F133" s="49">
        <f>SUMIF(Portfolio!$BR$9:$BR$60, 'Concentration Limits'!E133, Portfolio!$V$9:$V$60)</f>
        <v/>
      </c>
      <c r="G133" s="70">
        <f>F133/$F$157</f>
        <v/>
      </c>
      <c r="H133" s="23">
        <f>IF(F133=0, "", RANK(F133, $F$81:$F$153))</f>
        <v/>
      </c>
    </row>
    <row r="134">
      <c r="B134" s="1079" t="n"/>
      <c r="D134" s="47">
        <f>D133+1</f>
        <v/>
      </c>
      <c r="E134" s="2" t="inlineStr">
        <is>
          <t>Paper &amp; Forest Products</t>
        </is>
      </c>
      <c r="F134" s="49">
        <f>SUMIF(Portfolio!$BR$9:$BR$60, 'Concentration Limits'!E134, Portfolio!$V$9:$V$60)</f>
        <v/>
      </c>
      <c r="G134" s="70">
        <f>F134/$F$157</f>
        <v/>
      </c>
      <c r="H134" s="23">
        <f>IF(F134=0, "", RANK(F134, $F$81:$F$153))</f>
        <v/>
      </c>
    </row>
    <row r="135">
      <c r="B135" s="1079" t="n"/>
      <c r="D135" s="47">
        <f>D134+1</f>
        <v/>
      </c>
      <c r="E135" s="2" t="inlineStr">
        <is>
          <t>Personal Products</t>
        </is>
      </c>
      <c r="F135" s="49">
        <f>SUMIF(Portfolio!$BR$9:$BR$60, 'Concentration Limits'!E135, Portfolio!$V$9:$V$60)</f>
        <v/>
      </c>
      <c r="G135" s="70">
        <f>F135/$F$157</f>
        <v/>
      </c>
      <c r="H135" s="23">
        <f>IF(F135=0, "", RANK(F135, $F$81:$F$153))</f>
        <v/>
      </c>
    </row>
    <row r="136">
      <c r="B136" s="1079" t="n"/>
      <c r="D136" s="47">
        <f>D135+1</f>
        <v/>
      </c>
      <c r="E136" s="2" t="inlineStr">
        <is>
          <t>Pharmaceuticals</t>
        </is>
      </c>
      <c r="F136" s="49">
        <f>SUMIF(Portfolio!$BR$9:$BR$60, 'Concentration Limits'!E136, Portfolio!$V$9:$V$60)</f>
        <v/>
      </c>
      <c r="G136" s="70">
        <f>F136/$F$157</f>
        <v/>
      </c>
      <c r="H136" s="23">
        <f>IF(F136=0, "", RANK(F136, $F$81:$F$153))</f>
        <v/>
      </c>
    </row>
    <row r="137">
      <c r="B137" s="1079" t="n"/>
      <c r="D137" s="47">
        <f>D136+1</f>
        <v/>
      </c>
      <c r="E137" s="2" t="inlineStr">
        <is>
          <t>Professional Services</t>
        </is>
      </c>
      <c r="F137" s="49">
        <f>SUMIF(Portfolio!$BR$9:$BR$60, 'Concentration Limits'!E137, Portfolio!$V$9:$V$60)</f>
        <v/>
      </c>
      <c r="G137" s="70">
        <f>F137/$F$157</f>
        <v/>
      </c>
      <c r="H137" s="23">
        <f>IF(F137=0, "", RANK(F137, $F$81:$F$153))</f>
        <v/>
      </c>
    </row>
    <row r="138">
      <c r="B138" s="1079" t="n"/>
      <c r="D138" s="47">
        <f>D137+1</f>
        <v/>
      </c>
      <c r="E138" s="2" t="inlineStr">
        <is>
          <t>Printing and Publishing</t>
        </is>
      </c>
      <c r="F138" s="49">
        <f>SUMIF(Portfolio!$BR$9:$BR$60, 'Concentration Limits'!E138, Portfolio!$V$9:$V$60)</f>
        <v/>
      </c>
      <c r="G138" s="70">
        <f>F138/$F$157</f>
        <v/>
      </c>
      <c r="H138" s="23">
        <f>IF(F138=0, "", RANK(F138, $F$81:$F$153))</f>
        <v/>
      </c>
    </row>
    <row r="139">
      <c r="B139" s="1079" t="n"/>
      <c r="D139" s="47">
        <f>D138+1</f>
        <v/>
      </c>
      <c r="E139" s="2" t="inlineStr">
        <is>
          <t>Real Estate Management &amp; Development</t>
        </is>
      </c>
      <c r="F139" s="49">
        <f>SUMIF(Portfolio!$BR$9:$BR$60, 'Concentration Limits'!E139, Portfolio!$V$9:$V$60)</f>
        <v/>
      </c>
      <c r="G139" s="70">
        <f>F139/$F$157</f>
        <v/>
      </c>
      <c r="H139" s="23">
        <f>IF(F139=0, "", RANK(F139, $F$81:$F$153))</f>
        <v/>
      </c>
    </row>
    <row r="140">
      <c r="B140" s="1079" t="n"/>
      <c r="D140" s="47">
        <f>D139+1</f>
        <v/>
      </c>
      <c r="E140" s="2" t="inlineStr">
        <is>
          <t>Road &amp; Rail Semiconductors &amp; Semiconductor Equipment Software</t>
        </is>
      </c>
      <c r="F140" s="49">
        <f>SUMIF(Portfolio!$BR$9:$BR$60, 'Concentration Limits'!E140, Portfolio!$V$9:$V$60)</f>
        <v/>
      </c>
      <c r="G140" s="70">
        <f>F140/$F$157</f>
        <v/>
      </c>
      <c r="H140" s="23">
        <f>IF(F140=0, "", RANK(F140, $F$81:$F$153))</f>
        <v/>
      </c>
    </row>
    <row r="141">
      <c r="B141" s="1079" t="n"/>
      <c r="D141" s="47">
        <f>D140+1</f>
        <v/>
      </c>
      <c r="E141" s="2" t="inlineStr">
        <is>
          <t>Specialty Retail</t>
        </is>
      </c>
      <c r="F141" s="49">
        <f>SUMIF(Portfolio!$BR$9:$BR$60, 'Concentration Limits'!E141, Portfolio!$V$9:$V$60)</f>
        <v/>
      </c>
      <c r="G141" s="70">
        <f>F141/$F$157</f>
        <v/>
      </c>
      <c r="H141" s="23">
        <f>IF(F141=0, "", RANK(F141, $F$81:$F$153))</f>
        <v/>
      </c>
    </row>
    <row r="142">
      <c r="B142" s="1079" t="n"/>
      <c r="D142" s="47">
        <f>D141+1</f>
        <v/>
      </c>
      <c r="E142" s="2" t="inlineStr">
        <is>
          <t>Technology Hardware, Storage &amp; Peripherals</t>
        </is>
      </c>
      <c r="F142" s="49">
        <f>SUMIF(Portfolio!$BR$9:$BR$60, 'Concentration Limits'!E142, Portfolio!$V$9:$V$60)</f>
        <v/>
      </c>
      <c r="G142" s="70">
        <f>F142/$F$157</f>
        <v/>
      </c>
      <c r="H142" s="23">
        <f>IF(F142=0, "", RANK(F142, $F$81:$F$153))</f>
        <v/>
      </c>
    </row>
    <row r="143">
      <c r="B143" s="1079" t="n"/>
      <c r="D143" s="47">
        <f>D142+1</f>
        <v/>
      </c>
      <c r="E143" s="2" t="inlineStr">
        <is>
          <t>Textiles, Apparel &amp; Luxury Goods</t>
        </is>
      </c>
      <c r="F143" s="49">
        <f>SUMIF(Portfolio!$BR$9:$BR$60, 'Concentration Limits'!E143, Portfolio!$V$9:$V$60)</f>
        <v/>
      </c>
      <c r="G143" s="70">
        <f>F143/$F$157</f>
        <v/>
      </c>
      <c r="H143" s="23">
        <f>IF(F143=0, "", RANK(F143, $F$81:$F$153))</f>
        <v/>
      </c>
    </row>
    <row r="144">
      <c r="B144" s="1079" t="n"/>
      <c r="D144" s="47">
        <f>D143+1</f>
        <v/>
      </c>
      <c r="E144" s="2" t="inlineStr">
        <is>
          <t>Thrifts &amp; Mortgage Finance</t>
        </is>
      </c>
      <c r="F144" s="49">
        <f>SUMIF(Portfolio!$BR$9:$BR$60, 'Concentration Limits'!E144, Portfolio!$V$9:$V$60)</f>
        <v/>
      </c>
      <c r="G144" s="70">
        <f>F144/$F$157</f>
        <v/>
      </c>
      <c r="H144" s="23">
        <f>IF(F144=0, "", RANK(F144, $F$81:$F$153))</f>
        <v/>
      </c>
    </row>
    <row r="145">
      <c r="B145" s="1079" t="n"/>
      <c r="D145" s="47">
        <f>D144+1</f>
        <v/>
      </c>
      <c r="E145" s="2" t="inlineStr">
        <is>
          <t>Tobacco</t>
        </is>
      </c>
      <c r="F145" s="49">
        <f>SUMIF(Portfolio!$BR$9:$BR$60, 'Concentration Limits'!E145, Portfolio!$V$9:$V$60)</f>
        <v/>
      </c>
      <c r="G145" s="70">
        <f>F145/$F$157</f>
        <v/>
      </c>
      <c r="H145" s="23">
        <f>IF(F145=0, "", RANK(F145, $F$81:$F$153))</f>
        <v/>
      </c>
    </row>
    <row r="146">
      <c r="B146" s="1079" t="n"/>
      <c r="D146" s="47">
        <f>D145+1</f>
        <v/>
      </c>
      <c r="E146" s="2" t="inlineStr">
        <is>
          <t>Trading Companies &amp; Distributors</t>
        </is>
      </c>
      <c r="F146" s="49">
        <f>SUMIF(Portfolio!$BR$9:$BR$60, 'Concentration Limits'!E146, Portfolio!$V$9:$V$60)</f>
        <v/>
      </c>
      <c r="G146" s="70">
        <f>F146/$F$157</f>
        <v/>
      </c>
      <c r="H146" s="23">
        <f>IF(F146=0, "", RANK(F146, $F$81:$F$153))</f>
        <v/>
      </c>
    </row>
    <row r="147">
      <c r="B147" s="1079" t="n"/>
      <c r="D147" s="47">
        <f>D146+1</f>
        <v/>
      </c>
      <c r="E147" s="2" t="inlineStr">
        <is>
          <t>Transportation Infrastructure</t>
        </is>
      </c>
      <c r="F147" s="49">
        <f>SUMIF(Portfolio!$BR$9:$BR$60, 'Concentration Limits'!E147, Portfolio!$V$9:$V$60)</f>
        <v/>
      </c>
      <c r="G147" s="70">
        <f>F147/$F$157</f>
        <v/>
      </c>
      <c r="H147" s="23">
        <f>IF(F147=0, "", RANK(F147, $F$81:$F$153))</f>
        <v/>
      </c>
    </row>
    <row r="148">
      <c r="B148" s="1079" t="n"/>
      <c r="D148" s="47">
        <f>D147+1</f>
        <v/>
      </c>
      <c r="E148" s="2" t="inlineStr">
        <is>
          <t>Water Utilities</t>
        </is>
      </c>
      <c r="F148" s="49">
        <f>SUMIF(Portfolio!$BR$9:$BR$60, 'Concentration Limits'!E148, Portfolio!$V$9:$V$60)</f>
        <v/>
      </c>
      <c r="G148" s="70">
        <f>F148/$F$157</f>
        <v/>
      </c>
      <c r="H148" s="23">
        <f>IF(F148=0, "", RANK(F148, $F$81:$F$153))</f>
        <v/>
      </c>
    </row>
    <row r="149">
      <c r="B149" s="1079" t="n"/>
      <c r="D149" s="47">
        <f>D148+1</f>
        <v/>
      </c>
      <c r="E149" s="2" t="inlineStr">
        <is>
          <t>Wireless Telecommunication Services</t>
        </is>
      </c>
      <c r="F149" s="49">
        <f>SUMIF(Portfolio!$BR$9:$BR$60, 'Concentration Limits'!E149, Portfolio!$V$9:$V$60)</f>
        <v/>
      </c>
      <c r="G149" s="70">
        <f>F149/$F$157</f>
        <v/>
      </c>
      <c r="H149" s="23">
        <f>IF(F149=0, "", RANK(F149, $F$81:$F$153))</f>
        <v/>
      </c>
    </row>
    <row r="150">
      <c r="B150" s="1079" t="n"/>
      <c r="D150" s="47">
        <f>D149+1</f>
        <v/>
      </c>
      <c r="E150" s="2" t="inlineStr">
        <is>
          <t>Entertainment</t>
        </is>
      </c>
      <c r="F150" s="49">
        <f>SUMIF(Portfolio!$BR$9:$BR$60, 'Concentration Limits'!E150, Portfolio!$V$9:$V$60)</f>
        <v/>
      </c>
      <c r="G150" s="70">
        <f>F150/$F$157</f>
        <v/>
      </c>
      <c r="H150" s="23">
        <f>IF(F150=0, "", RANK(F150, $F$81:$F$153))</f>
        <v/>
      </c>
    </row>
    <row r="151">
      <c r="B151" s="1079" t="n"/>
      <c r="D151" s="47">
        <f>D150+1</f>
        <v/>
      </c>
      <c r="E151" s="2" t="inlineStr">
        <is>
          <t>Commercial Services &amp; Supplies</t>
        </is>
      </c>
      <c r="F151" s="49">
        <f>SUMIF(Portfolio!$BR$9:$BR$60, 'Concentration Limits'!E151, Portfolio!$V$9:$V$60)</f>
        <v/>
      </c>
      <c r="G151" s="70">
        <f>F151/$F$157</f>
        <v/>
      </c>
      <c r="H151" s="23">
        <f>IF(F151=0, "", RANK(F151, $F$81:$F$153))</f>
        <v/>
      </c>
    </row>
    <row r="152">
      <c r="B152" s="1079" t="n"/>
      <c r="D152" s="47">
        <f>D151+1</f>
        <v/>
      </c>
      <c r="E152" s="2" t="inlineStr">
        <is>
          <t>Electronic Equipment, Instruments &amp; Components</t>
        </is>
      </c>
      <c r="F152" s="49">
        <f>SUMIF(Portfolio!$BR$9:$BR$60, 'Concentration Limits'!E152, Portfolio!$V$9:$V$60)</f>
        <v/>
      </c>
      <c r="G152" s="70">
        <f>F152/$F$157</f>
        <v/>
      </c>
      <c r="H152" s="23">
        <f>IF(F152=0, "", RANK(F152, $F$81:$F$153))</f>
        <v/>
      </c>
    </row>
    <row r="153">
      <c r="B153" s="1079" t="n"/>
      <c r="D153" s="47">
        <f>D152+1</f>
        <v/>
      </c>
      <c r="E153" s="2" t="inlineStr">
        <is>
          <t>Road &amp; Rail</t>
        </is>
      </c>
      <c r="F153" s="49">
        <f>SUMIF(Portfolio!$BR$9:$BR$60, 'Concentration Limits'!E153, Portfolio!$V$9:$V$60)</f>
        <v/>
      </c>
      <c r="G153" s="70">
        <f>F153/$F$157</f>
        <v/>
      </c>
      <c r="H153" s="23">
        <f>IF(F153=0, "", RANK(F153, $F$81:$F$153))</f>
        <v/>
      </c>
    </row>
    <row r="154">
      <c r="B154" s="1079" t="n"/>
      <c r="D154" s="47" t="n"/>
      <c r="F154" s="49" t="n"/>
      <c r="G154" s="70" t="n"/>
      <c r="H154" s="23" t="n"/>
    </row>
    <row r="155">
      <c r="B155" s="1079" t="n"/>
      <c r="D155" s="47" t="n"/>
      <c r="F155" s="49" t="n"/>
      <c r="G155" s="70" t="n"/>
      <c r="H155" s="23" t="n"/>
    </row>
    <row r="156">
      <c r="B156" s="1079" t="n"/>
      <c r="D156" s="47" t="n"/>
      <c r="F156" s="49" t="n"/>
      <c r="G156" s="70" t="n"/>
      <c r="H156" s="23" t="n"/>
    </row>
    <row r="157">
      <c r="D157" s="47" t="n"/>
      <c r="E157" s="52" t="inlineStr">
        <is>
          <t>Total</t>
        </is>
      </c>
      <c r="F157" s="53">
        <f>SUM(F81:F153)</f>
        <v/>
      </c>
      <c r="G157" s="28">
        <f>SUM(G81:G153)</f>
        <v/>
      </c>
      <c r="H157" s="53" t="n"/>
    </row>
    <row r="160">
      <c r="C160" s="569" t="inlineStr">
        <is>
          <t>OBLIGOR TIERS</t>
        </is>
      </c>
      <c r="D160" s="569" t="n"/>
      <c r="E160" s="569" t="n"/>
      <c r="F160" s="569" t="n"/>
      <c r="G160" s="569" t="n"/>
      <c r="H160" s="569" t="n"/>
      <c r="I160" s="569" t="n"/>
      <c r="J160" s="569" t="n"/>
      <c r="K160" s="569" t="n"/>
      <c r="L160" s="569" t="n"/>
      <c r="M160" s="569" t="n"/>
    </row>
    <row r="162">
      <c r="D162" s="50" t="inlineStr">
        <is>
          <t>Obligor</t>
        </is>
      </c>
      <c r="E162" s="19" t="inlineStr">
        <is>
          <t>First Lien Loans</t>
        </is>
      </c>
      <c r="F162" s="19" t="inlineStr">
        <is>
          <t>FLLO/2nd Lien Loans</t>
        </is>
      </c>
      <c r="G162" s="19" t="inlineStr">
        <is>
          <t>Applicable Collateral Value</t>
        </is>
      </c>
    </row>
    <row r="163">
      <c r="D163" s="2" t="inlineStr">
        <is>
          <t>Tier 1</t>
        </is>
      </c>
      <c r="E163" s="1101">
        <f>AGENT!B49</f>
        <v/>
      </c>
      <c r="F163" s="1101">
        <f>AGENT!C49</f>
        <v/>
      </c>
      <c r="G163" s="43">
        <f>AGENT!D49</f>
        <v/>
      </c>
    </row>
    <row r="164">
      <c r="D164" s="2" t="inlineStr">
        <is>
          <t>Tier 2</t>
        </is>
      </c>
      <c r="E164" s="1101">
        <f>AGENT!B50</f>
        <v/>
      </c>
      <c r="F164" s="1101">
        <f>AGENT!C50</f>
        <v/>
      </c>
      <c r="G164" s="43">
        <f>AGENT!D50</f>
        <v/>
      </c>
    </row>
    <row r="165">
      <c r="D165" s="2" t="inlineStr">
        <is>
          <t>Tier 3</t>
        </is>
      </c>
      <c r="E165" s="1101">
        <f>AGENT!B51</f>
        <v/>
      </c>
      <c r="F165" s="1101">
        <f>AGENT!C51</f>
        <v/>
      </c>
      <c r="G165" s="43">
        <f>AGENT!D51</f>
        <v/>
      </c>
    </row>
    <row r="166">
      <c r="G166" s="159" t="n"/>
    </row>
    <row r="172" hidden="1" outlineLevel="1">
      <c r="C172" s="63" t="n"/>
      <c r="D172" s="63" t="n"/>
      <c r="E172" s="63" t="n"/>
      <c r="F172" s="63" t="n"/>
      <c r="G172" s="63" t="n"/>
      <c r="H172" s="63" t="n"/>
      <c r="I172" s="63" t="n"/>
      <c r="J172" s="63" t="n"/>
      <c r="K172" s="63" t="n"/>
      <c r="L172" s="63" t="n"/>
      <c r="M172" s="63" t="n"/>
    </row>
    <row r="173" hidden="1" outlineLevel="1">
      <c r="C173" s="63" t="n"/>
      <c r="D173" s="63" t="n"/>
      <c r="E173" s="63" t="n"/>
      <c r="F173" s="63" t="n"/>
      <c r="G173" s="64">
        <f>IF(SUMIF(Portfolio!$BU$9:$BU$60,"Yes",Portfolio!$AB$9:$AB$60)=0,0,SUMPRODUCT(--(Portfolio!$BU$9:$BU$60="Yes"),Portfolio!$AB$9:$AB$60,Portfolio!$U$9:$U$60)/SUMIF(Portfolio!$BU$9:$BU$60,"Yes",Portfolio!$AB$9:$AB$60))</f>
        <v/>
      </c>
      <c r="H173" s="63" t="n"/>
      <c r="I173" s="63" t="n"/>
      <c r="J173" s="63" t="n"/>
      <c r="K173" s="63" t="n"/>
      <c r="L173" s="63" t="n"/>
      <c r="M173" s="63" t="n"/>
    </row>
    <row r="174" hidden="1" outlineLevel="1">
      <c r="C174" s="63" t="n"/>
      <c r="D174" s="63" t="n"/>
      <c r="E174" s="63" t="n"/>
      <c r="F174" s="63" t="n"/>
      <c r="G174" s="65">
        <f>IF(AND(G34&lt;11,G38&gt;G35),"Yes","No")</f>
        <v/>
      </c>
      <c r="H174" s="63" t="n"/>
      <c r="I174" s="63" t="n"/>
      <c r="J174" s="63" t="n"/>
      <c r="K174" s="63" t="n"/>
      <c r="L174" s="63" t="n"/>
      <c r="M174" s="63" t="n"/>
    </row>
    <row r="175" hidden="1" outlineLevel="1">
      <c r="C175" s="63" t="n"/>
      <c r="D175" s="63" t="n"/>
      <c r="E175" s="63" t="n"/>
      <c r="F175" s="63" t="n"/>
      <c r="G175" s="66">
        <f>IF(AND(G174="Yes",G173&gt;0.5),G35,G173)</f>
        <v/>
      </c>
      <c r="H175" s="63" t="n"/>
      <c r="I175" s="63" t="n"/>
      <c r="J175" s="63" t="n"/>
      <c r="K175" s="63" t="n"/>
      <c r="L175" s="63" t="n"/>
      <c r="M175" s="63" t="n"/>
    </row>
    <row r="176" hidden="1" outlineLevel="1">
      <c r="C176" s="63" t="n"/>
      <c r="D176" s="63" t="n"/>
      <c r="E176" s="63" t="n"/>
      <c r="F176" s="63" t="n"/>
      <c r="G176" s="66" t="n"/>
      <c r="H176" s="63" t="n"/>
      <c r="I176" s="63" t="n"/>
      <c r="J176" s="63" t="n"/>
      <c r="K176" s="63" t="n"/>
      <c r="L176" s="63" t="n"/>
      <c r="M176" s="63" t="n"/>
    </row>
    <row r="177" hidden="1" outlineLevel="1">
      <c r="C177" s="63" t="n"/>
      <c r="D177" s="63" t="n"/>
      <c r="E177" s="63" t="n"/>
      <c r="F177" s="63" t="n"/>
      <c r="G177" s="64">
        <f>IF(SUMIF(Portfolio!$BU$9:$BU$60,"Yes",Portfolio!$AB$9:$AB$60)=0,0,SUMPRODUCT(--(Portfolio!$BU$9:$BU$60="Yes"),Portfolio!$AB$9:$AB$60,Portfolio!$AL$9:$AL$60)/SUMIF(Portfolio!$BU$9:$BU$60,"Yes",Portfolio!$AB$9:$AB$60))</f>
        <v/>
      </c>
      <c r="H177" s="63" t="n"/>
      <c r="I177" s="63" t="n"/>
      <c r="J177" s="63" t="n"/>
      <c r="K177" s="63" t="n"/>
      <c r="L177" s="63" t="n"/>
      <c r="M177" s="63" t="n"/>
    </row>
    <row r="178" hidden="1" outlineLevel="1">
      <c r="C178" s="63" t="n"/>
      <c r="D178" s="63" t="n"/>
      <c r="E178" s="63" t="n"/>
      <c r="F178" s="63" t="n"/>
      <c r="G178" s="63" t="n"/>
      <c r="H178" s="63" t="n"/>
      <c r="I178" s="63" t="n"/>
      <c r="J178" s="63" t="n"/>
      <c r="K178" s="63" t="n"/>
      <c r="L178" s="63" t="n"/>
      <c r="M178" s="63" t="n"/>
    </row>
    <row r="179" hidden="1" outlineLevel="1">
      <c r="C179" s="63" t="n"/>
      <c r="D179" s="63" t="n"/>
      <c r="E179" s="63" t="n"/>
      <c r="F179" s="63" t="n"/>
      <c r="G179" s="63" t="n"/>
      <c r="H179" s="63" t="n"/>
      <c r="I179" s="63" t="n"/>
      <c r="J179" s="63" t="n"/>
      <c r="K179" s="63" t="n"/>
      <c r="L179" s="63" t="n"/>
      <c r="M179" s="63" t="n"/>
    </row>
    <row r="180" hidden="1" outlineLevel="1">
      <c r="C180" s="63" t="n"/>
      <c r="D180" s="63" t="n"/>
      <c r="E180" s="63" t="n"/>
      <c r="F180" s="63" t="n"/>
      <c r="G180" s="63" t="n"/>
      <c r="H180" s="63" t="n"/>
      <c r="I180" s="63" t="n"/>
      <c r="J180" s="63" t="n"/>
      <c r="K180" s="63" t="n"/>
      <c r="L180" s="63" t="n"/>
      <c r="M180" s="63" t="n"/>
    </row>
    <row r="181" hidden="1" outlineLevel="1">
      <c r="C181" s="4" t="inlineStr">
        <is>
          <t>APPROVED COUNTRIES</t>
        </is>
      </c>
      <c r="D181" s="4" t="n"/>
      <c r="E181" s="4" t="n"/>
      <c r="F181" s="4" t="n"/>
      <c r="G181" s="4" t="n"/>
      <c r="H181" s="4" t="n"/>
      <c r="I181" s="4" t="n"/>
      <c r="J181" s="4" t="n"/>
      <c r="K181" s="4" t="n"/>
      <c r="L181" s="4" t="n"/>
      <c r="M181" s="4" t="n"/>
    </row>
    <row r="182" hidden="1" outlineLevel="1">
      <c r="C182" s="2" t="inlineStr">
        <is>
          <t>United States</t>
        </is>
      </c>
    </row>
    <row r="183" collapsed="1"/>
  </sheetData>
  <sheetProtection selectLockedCells="0" selectUnlockedCells="0" algorithmName="SHA-512" sheet="1" objects="1" insertRows="1" insertHyperlinks="1" autoFilter="1" scenarios="1" formatColumns="1" deleteColumns="1" insertColumns="1" pivotTables="1" deleteRows="1" formatCells="1" saltValue="+/T6STuiI2nJiZUfSioXGg==" formatRows="1" sort="1" spinCount="100000" hashValue="vaPoZmKWtNq07lQtv4Xnw3x0KlnLGuyR274AR2KSlZI8yvTE9D94ZStoGJslPOTZa7a+blEglSyP6YYuU2ptyQ=="/>
  <conditionalFormatting sqref="M71:M75">
    <cfRule type="dataBar" priority="3">
      <dataBar>
        <cfvo type="min"/>
        <cfvo type="max"/>
        <color rgb="FF638EC6"/>
      </dataBar>
    </cfRule>
  </conditionalFormatting>
  <dataValidations count="1">
    <dataValidation sqref="E83:E84 E89 E109" showDropDown="0" showInputMessage="1" showErrorMessage="1" allowBlank="1" type="list">
      <formula1>#REF!</formula1>
    </dataValidation>
  </dataValidations>
  <pageMargins left="0.45" right="0.7" top="0.5" bottom="0.5" header="0.3" footer="0.5"/>
  <pageSetup orientation="portrait" scale="46" verticalDpi="1200"/>
  <headerFooter>
    <oddHeader/>
    <oddFooter>&amp;R&amp;"Times New Roman,Regular"&amp;10 Page &amp;P of &amp;N</oddFooter>
    <evenHeader/>
    <evenFooter/>
    <firstHeader/>
    <firstFooter/>
  </headerFooter>
  <rowBreaks count="2" manualBreakCount="2">
    <brk id="40" min="1" max="15" man="1"/>
    <brk id="77" min="1" max="15" man="1"/>
  </rowBreaks>
</worksheet>
</file>

<file path=xl/worksheets/sheet4.xml><?xml version="1.0" encoding="utf-8"?>
<worksheet xmlns="http://schemas.openxmlformats.org/spreadsheetml/2006/main">
  <sheetPr>
    <outlinePr summaryBelow="1" summaryRight="1"/>
    <pageSetUpPr fitToPage="1"/>
  </sheetPr>
  <dimension ref="A1:AJ36"/>
  <sheetViews>
    <sheetView workbookViewId="0">
      <selection activeCell="A1" sqref="A1"/>
    </sheetView>
  </sheetViews>
  <sheetFormatPr baseColWidth="8" defaultColWidth="9.28515625" defaultRowHeight="15"/>
  <cols>
    <col width="1.28515625" customWidth="1" min="2" max="2"/>
    <col width="16.28515625" bestFit="1" customWidth="1" min="3" max="3"/>
    <col width="35.5703125" customWidth="1" min="4" max="4"/>
    <col width="11.5703125" bestFit="1" customWidth="1" min="5" max="5"/>
    <col width="12.28515625" bestFit="1" customWidth="1" min="6" max="6"/>
    <col width="79.28515625" bestFit="1" customWidth="1" min="7" max="7"/>
    <col width="24.5703125" bestFit="1" customWidth="1" min="8" max="8"/>
    <col width="16.28515625" bestFit="1" customWidth="1" min="9" max="9"/>
    <col width="13.5703125" customWidth="1" min="10" max="10"/>
    <col width="15.5703125" bestFit="1" customWidth="1" min="11" max="11"/>
    <col width="14.28515625" bestFit="1" customWidth="1" min="12" max="12"/>
    <col width="14.28515625" customWidth="1" min="13" max="13"/>
    <col width="14.28515625" bestFit="1" customWidth="1" min="14" max="14"/>
    <col width="12.5703125" bestFit="1" customWidth="1" min="15" max="15"/>
    <col width="14.28515625" bestFit="1" customWidth="1" min="16" max="16"/>
    <col width="9.28515625" bestFit="1" customWidth="1" min="17" max="17"/>
    <col width="8.28515625" bestFit="1" customWidth="1" min="18" max="19"/>
    <col width="7.28515625" bestFit="1" customWidth="1" min="20" max="20"/>
    <col width="8.28515625" bestFit="1" customWidth="1" min="21" max="21"/>
    <col width="16.28515625" bestFit="1" customWidth="1" min="22" max="22"/>
    <col width="11.5703125" bestFit="1" customWidth="1" min="23" max="23"/>
    <col width="9.5703125" bestFit="1" customWidth="1" min="24" max="24"/>
    <col width="12.28515625" bestFit="1" customWidth="1" min="25" max="26"/>
    <col width="10" bestFit="1" customWidth="1" min="27" max="27"/>
    <col collapsed="1" width="9.5703125" bestFit="1" customWidth="1" min="28" max="28"/>
    <col width="12.5703125" bestFit="1" customWidth="1" min="29" max="29"/>
    <col width="13.5703125" bestFit="1" customWidth="1" min="30" max="30"/>
    <col width="16.28515625" customWidth="1" min="31" max="31"/>
    <col width="11.28515625" customWidth="1" min="32" max="32"/>
    <col width="13.28515625" bestFit="1" customWidth="1" min="33" max="33"/>
    <col width="19.28515625" bestFit="1" customWidth="1" min="34" max="34"/>
    <col width="22.5703125" bestFit="1" customWidth="1" min="35" max="35"/>
    <col width="16.5703125" bestFit="1" customWidth="1" min="36" max="36"/>
  </cols>
  <sheetData>
    <row r="1" ht="23.25" customHeight="1">
      <c r="B1" s="73" t="inlineStr">
        <is>
          <t>Star Mountain Credit Opportunities Fund Summary Output</t>
        </is>
      </c>
      <c r="C1" s="74" t="n"/>
      <c r="D1" s="74" t="n"/>
      <c r="E1" s="74" t="n"/>
    </row>
    <row r="3">
      <c r="B3" s="75" t="inlineStr">
        <is>
          <t>As of 04/26/2021</t>
        </is>
      </c>
      <c r="C3" s="150" t="n"/>
      <c r="D3" s="150" t="n"/>
      <c r="E3" s="150" t="n"/>
    </row>
    <row r="4" ht="21" customHeight="1">
      <c r="B4" s="77" t="inlineStr">
        <is>
          <t>($ in mm)</t>
        </is>
      </c>
      <c r="C4" s="78" t="n"/>
      <c r="D4" s="78" t="n"/>
      <c r="E4" s="78" t="n"/>
      <c r="F4" s="79" t="n"/>
      <c r="G4" s="79" t="n"/>
      <c r="H4" s="79" t="n"/>
      <c r="I4" s="80" t="n"/>
      <c r="K4" s="79" t="n"/>
      <c r="L4" s="79" t="n"/>
      <c r="M4" s="79" t="n"/>
      <c r="N4" s="79" t="n"/>
      <c r="O4" s="79" t="n"/>
      <c r="P4" s="79" t="n"/>
      <c r="Q4" s="79" t="n"/>
      <c r="R4" s="79" t="n"/>
      <c r="S4" s="79" t="n"/>
      <c r="T4" s="79" t="n"/>
      <c r="U4" s="79" t="n"/>
      <c r="V4" s="79" t="n"/>
      <c r="W4" s="79" t="n"/>
      <c r="X4" s="79" t="n"/>
      <c r="Y4" s="79" t="n"/>
      <c r="Z4" s="79" t="n"/>
      <c r="AA4" s="79" t="n"/>
      <c r="AB4" s="79" t="n"/>
      <c r="AC4" s="79" t="n"/>
      <c r="AD4" s="79" t="n"/>
      <c r="AE4" s="79" t="n"/>
      <c r="AF4" s="79" t="n"/>
      <c r="AG4" s="79" t="n"/>
      <c r="AH4" s="79" t="n"/>
      <c r="AI4" s="79" t="n"/>
      <c r="AJ4" s="79" t="n"/>
    </row>
    <row r="5" ht="26.25" customFormat="1" customHeight="1" s="87">
      <c r="B5" s="81" t="n"/>
      <c r="C5" s="82" t="n"/>
      <c r="D5" s="82" t="n"/>
      <c r="E5" s="82" t="n"/>
      <c r="F5" s="82" t="n"/>
      <c r="G5" s="82" t="n"/>
      <c r="H5" s="82" t="n"/>
      <c r="I5" s="83" t="n"/>
      <c r="J5" s="84" t="n"/>
      <c r="K5" s="84" t="n"/>
      <c r="L5" s="82" t="n"/>
      <c r="M5" s="82" t="n"/>
      <c r="N5" s="85" t="inlineStr">
        <is>
          <t>Invested</t>
        </is>
      </c>
      <c r="O5" s="86" t="n"/>
      <c r="P5" s="85" t="n"/>
      <c r="Q5" s="85" t="inlineStr">
        <is>
          <t>Current Economic Terms 3</t>
        </is>
      </c>
      <c r="R5" s="84" t="n"/>
      <c r="S5" s="84" t="n"/>
      <c r="T5" s="84" t="n"/>
      <c r="U5" s="84" t="n"/>
      <c r="V5" s="84" t="n"/>
      <c r="W5" s="84" t="n"/>
      <c r="X5" s="84" t="inlineStr">
        <is>
          <t>LTM at Closing</t>
        </is>
      </c>
      <c r="Y5" s="84" t="n"/>
      <c r="Z5" s="84" t="n"/>
      <c r="AA5" s="84" t="n"/>
      <c r="AB5" s="84" t="inlineStr">
        <is>
          <t>LTM Current</t>
        </is>
      </c>
      <c r="AC5" s="84" t="n"/>
      <c r="AD5" s="84" t="n"/>
      <c r="AE5" s="84" t="n"/>
      <c r="AF5" s="84" t="n"/>
      <c r="AG5" s="84" t="inlineStr">
        <is>
          <t>Protective Elements</t>
        </is>
      </c>
      <c r="AH5" s="84" t="n"/>
      <c r="AI5" s="84" t="n"/>
      <c r="AJ5" s="84" t="n"/>
    </row>
    <row r="6" ht="39.75" customFormat="1" customHeight="1" s="87">
      <c r="B6" s="88" t="n"/>
      <c r="C6" s="89" t="n"/>
      <c r="D6" s="89" t="n"/>
      <c r="E6" s="89" t="n"/>
      <c r="F6" s="90" t="inlineStr">
        <is>
          <t xml:space="preserve">% of Fund </t>
        </is>
      </c>
      <c r="G6" s="89" t="n"/>
      <c r="H6" s="91" t="inlineStr">
        <is>
          <t>S&amp;P</t>
        </is>
      </c>
      <c r="I6" s="92" t="inlineStr">
        <is>
          <t>S&amp;P</t>
        </is>
      </c>
      <c r="J6" s="91" t="n"/>
      <c r="K6" s="91" t="inlineStr">
        <is>
          <t xml:space="preserve">Operating </t>
        </is>
      </c>
      <c r="L6" s="93" t="inlineStr">
        <is>
          <t>Investment</t>
        </is>
      </c>
      <c r="M6" s="94" t="inlineStr">
        <is>
          <t>Maturity</t>
        </is>
      </c>
      <c r="N6" s="95" t="n"/>
      <c r="O6" s="96" t="n"/>
      <c r="P6" s="97" t="n"/>
      <c r="Q6" s="91" t="inlineStr">
        <is>
          <t xml:space="preserve">Closing </t>
        </is>
      </c>
      <c r="R6" s="91" t="inlineStr">
        <is>
          <t>LIBOR</t>
        </is>
      </c>
      <c r="S6" s="98" t="inlineStr">
        <is>
          <t>Cash</t>
        </is>
      </c>
      <c r="T6" s="98" t="inlineStr">
        <is>
          <t>PIK</t>
        </is>
      </c>
      <c r="U6" s="98" t="inlineStr">
        <is>
          <t>Total</t>
        </is>
      </c>
      <c r="V6" s="98" t="inlineStr">
        <is>
          <t xml:space="preserve">Frequency of </t>
        </is>
      </c>
      <c r="W6" s="90" t="inlineStr"/>
      <c r="X6" s="91" t="inlineStr">
        <is>
          <t>Loan to</t>
        </is>
      </c>
      <c r="Y6" s="91" t="n"/>
      <c r="Z6" s="91" t="n"/>
      <c r="AA6" s="98" t="inlineStr">
        <is>
          <t xml:space="preserve">Debt to </t>
        </is>
      </c>
      <c r="AB6" s="91" t="inlineStr">
        <is>
          <t>Loan to</t>
        </is>
      </c>
      <c r="AC6" s="99" t="inlineStr">
        <is>
          <t xml:space="preserve">Enterprise </t>
        </is>
      </c>
      <c r="AD6" s="91" t="n"/>
      <c r="AE6" s="91" t="n"/>
      <c r="AF6" s="98" t="inlineStr">
        <is>
          <t xml:space="preserve">Debt to </t>
        </is>
      </c>
      <c r="AG6" s="100" t="n"/>
      <c r="AH6" s="98" t="inlineStr">
        <is>
          <t xml:space="preserve">Board Observer </t>
        </is>
      </c>
      <c r="AI6" s="98" t="inlineStr">
        <is>
          <t xml:space="preserve">Prepayment </t>
        </is>
      </c>
      <c r="AJ6" s="98" t="inlineStr">
        <is>
          <t>Maintenance</t>
        </is>
      </c>
    </row>
    <row r="7" ht="42" customFormat="1" customHeight="1" s="87">
      <c r="B7" s="101" t="inlineStr">
        <is>
          <t>Eligible Investments</t>
        </is>
      </c>
      <c r="C7" s="101" t="n"/>
      <c r="D7" s="101" t="n"/>
      <c r="E7" s="101" t="inlineStr">
        <is>
          <t>Eligibility</t>
        </is>
      </c>
      <c r="F7" s="89" t="inlineStr">
        <is>
          <t>AUM 1</t>
        </is>
      </c>
      <c r="G7" s="89" t="inlineStr">
        <is>
          <t xml:space="preserve">Company Description </t>
        </is>
      </c>
      <c r="H7" s="89" t="inlineStr">
        <is>
          <t>Industry Name</t>
        </is>
      </c>
      <c r="I7" s="102" t="inlineStr">
        <is>
          <t>Industry Code</t>
        </is>
      </c>
      <c r="J7" s="89" t="inlineStr">
        <is>
          <t>Geography</t>
        </is>
      </c>
      <c r="K7" s="89" t="inlineStr">
        <is>
          <t>History</t>
        </is>
      </c>
      <c r="L7" s="103" t="inlineStr">
        <is>
          <t>Date 5</t>
        </is>
      </c>
      <c r="M7" s="104" t="inlineStr">
        <is>
          <t>Date 4</t>
        </is>
      </c>
      <c r="N7" s="104" t="inlineStr">
        <is>
          <t>Debt</t>
        </is>
      </c>
      <c r="O7" s="104" t="inlineStr">
        <is>
          <t>Equity</t>
        </is>
      </c>
      <c r="P7" s="104" t="inlineStr">
        <is>
          <t xml:space="preserve">Total </t>
        </is>
      </c>
      <c r="Q7" s="89" t="inlineStr">
        <is>
          <t>Fee</t>
        </is>
      </c>
      <c r="R7" s="89" t="inlineStr">
        <is>
          <t>Floor</t>
        </is>
      </c>
      <c r="S7" s="89" t="inlineStr">
        <is>
          <t>Rate</t>
        </is>
      </c>
      <c r="T7" s="89" t="inlineStr">
        <is>
          <t>Rate</t>
        </is>
      </c>
      <c r="U7" s="89" t="inlineStr">
        <is>
          <t>Rate</t>
        </is>
      </c>
      <c r="V7" s="89" t="inlineStr">
        <is>
          <t>Payment</t>
        </is>
      </c>
      <c r="W7" s="89" t="inlineStr">
        <is>
          <t>Warrants</t>
        </is>
      </c>
      <c r="X7" s="89" t="inlineStr">
        <is>
          <t>Value</t>
        </is>
      </c>
      <c r="Y7" s="89" t="inlineStr">
        <is>
          <t xml:space="preserve">Revenue </t>
        </is>
      </c>
      <c r="Z7" s="89" t="inlineStr">
        <is>
          <t>EBITDA</t>
        </is>
      </c>
      <c r="AA7" s="89" t="inlineStr">
        <is>
          <t>EBITDA</t>
        </is>
      </c>
      <c r="AB7" s="89" t="inlineStr">
        <is>
          <t>Value</t>
        </is>
      </c>
      <c r="AC7" s="89" t="inlineStr">
        <is>
          <t>Value</t>
        </is>
      </c>
      <c r="AD7" s="89" t="inlineStr">
        <is>
          <t xml:space="preserve">Revenue </t>
        </is>
      </c>
      <c r="AE7" s="89" t="inlineStr">
        <is>
          <t>EBITDA</t>
        </is>
      </c>
      <c r="AF7" s="89" t="inlineStr">
        <is>
          <t>EBITDA 2</t>
        </is>
      </c>
      <c r="AG7" s="89" t="inlineStr">
        <is>
          <t>Lien</t>
        </is>
      </c>
      <c r="AH7" s="89" t="inlineStr">
        <is>
          <t>Rights</t>
        </is>
      </c>
      <c r="AI7" s="89" t="inlineStr">
        <is>
          <t>Penalties</t>
        </is>
      </c>
      <c r="AJ7" s="89" t="inlineStr">
        <is>
          <t>Covenants (#)</t>
        </is>
      </c>
    </row>
    <row r="8" ht="53.25" customFormat="1" customHeight="1" s="117">
      <c r="B8" s="105" t="n"/>
      <c r="C8" s="1102" t="n">
        <v>1</v>
      </c>
      <c r="D8" s="1103" t="inlineStr">
        <is>
          <t>Yorktel</t>
        </is>
      </c>
      <c r="E8" s="1104" t="inlineStr">
        <is>
          <t>Eligible</t>
        </is>
      </c>
      <c r="F8" s="109">
        <f>+P8/150</f>
        <v/>
      </c>
      <c r="G8" s="110" t="inlineStr">
        <is>
          <t>Provider of video conferencing and communications services including telehealth business, Caregility, where SMC owns 20%.</t>
        </is>
      </c>
      <c r="H8" s="110" t="inlineStr">
        <is>
          <t>Diversified Telecommunication Services</t>
        </is>
      </c>
      <c r="I8" s="111" t="n">
        <v>501010</v>
      </c>
      <c r="J8" s="111" t="inlineStr">
        <is>
          <t>Northeast</t>
        </is>
      </c>
      <c r="K8" s="1105" t="n">
        <v>36</v>
      </c>
      <c r="L8" s="113" t="n">
        <v>43727</v>
      </c>
      <c r="M8" s="113" t="n">
        <v>45558</v>
      </c>
      <c r="N8" s="1106" t="n">
        <v>3.94400406539682</v>
      </c>
      <c r="O8" s="1106" t="n">
        <v>1.70309266460317</v>
      </c>
      <c r="P8" s="1106">
        <f>+N8+O8</f>
        <v/>
      </c>
      <c r="Q8" s="109" t="n">
        <v>0.0175</v>
      </c>
      <c r="R8" s="109" t="n">
        <v>0.02</v>
      </c>
      <c r="S8" s="109" t="n">
        <v>0.1175</v>
      </c>
      <c r="T8" s="109" t="n">
        <v>0.01</v>
      </c>
      <c r="U8" s="109">
        <f>+S8+T8</f>
        <v/>
      </c>
      <c r="V8" s="109" t="inlineStr">
        <is>
          <t>Monthly</t>
        </is>
      </c>
      <c r="W8" s="109" t="inlineStr">
        <is>
          <t>Yes</t>
        </is>
      </c>
      <c r="X8" s="109" t="n">
        <v>0.4856832</v>
      </c>
      <c r="Y8" s="1106" t="n">
        <v>110.334</v>
      </c>
      <c r="Z8" s="1106" t="n">
        <v>10</v>
      </c>
      <c r="AA8" s="1107" t="n">
        <v>3.03552</v>
      </c>
      <c r="AB8" s="109">
        <f>(AE8*AF8)/AC8</f>
        <v/>
      </c>
      <c r="AC8" s="1106" t="n">
        <v>108.273</v>
      </c>
      <c r="AD8" s="1106" t="n">
        <v>107.82882895</v>
      </c>
      <c r="AE8" s="1106" t="n">
        <v>12.965913</v>
      </c>
      <c r="AF8" s="1107" t="n">
        <v>2.272537064686459</v>
      </c>
      <c r="AG8" s="110" t="inlineStr">
        <is>
          <t>1st Lien</t>
        </is>
      </c>
      <c r="AH8" s="110" t="inlineStr">
        <is>
          <t>Yes</t>
        </is>
      </c>
      <c r="AI8" s="110" t="inlineStr">
        <is>
          <t>3.0% / 2.0% / 1.0% / Par</t>
        </is>
      </c>
      <c r="AJ8" s="116" t="n">
        <v>4</v>
      </c>
    </row>
    <row r="9" ht="53.25" customFormat="1" customHeight="1" s="117">
      <c r="B9" s="105" t="n"/>
      <c r="C9" s="1102">
        <f>+C8+1</f>
        <v/>
      </c>
      <c r="D9" s="1103" t="inlineStr">
        <is>
          <t>Consolidated Machine &amp; Tool Holdings</t>
        </is>
      </c>
      <c r="E9" s="1104" t="inlineStr">
        <is>
          <t>Eligible</t>
        </is>
      </c>
      <c r="F9" s="109">
        <f>+P9/150</f>
        <v/>
      </c>
      <c r="G9" s="110" t="inlineStr">
        <is>
          <t>Precision manufacturing platform that delivers milling, lathing, welding and machining services to customers within the aerospace, defense, hydraulics and industrials spaces.</t>
        </is>
      </c>
      <c r="H9" s="110" t="inlineStr">
        <is>
          <t>Machinery</t>
        </is>
      </c>
      <c r="I9" s="111" t="n">
        <v>201060</v>
      </c>
      <c r="J9" s="111" t="inlineStr">
        <is>
          <t>Southeast</t>
        </is>
      </c>
      <c r="K9" s="1105" t="n">
        <v>15</v>
      </c>
      <c r="L9" s="113" t="n">
        <v>43845</v>
      </c>
      <c r="M9" s="113" t="n">
        <v>45688</v>
      </c>
      <c r="N9" s="1106" t="n">
        <v>4.03935737</v>
      </c>
      <c r="O9" s="1106" t="n">
        <v>0.14248543</v>
      </c>
      <c r="P9" s="1106">
        <f>+N9+O9</f>
        <v/>
      </c>
      <c r="Q9" s="109" t="n">
        <v>0.03094117647058824</v>
      </c>
      <c r="R9" s="109" t="n">
        <v>0.02</v>
      </c>
      <c r="S9" s="109" t="n">
        <v>0.1056719284899201</v>
      </c>
      <c r="T9" s="109" t="n">
        <v>0</v>
      </c>
      <c r="U9" s="109">
        <f>+S9+T9</f>
        <v/>
      </c>
      <c r="V9" s="109" t="inlineStr">
        <is>
          <t>Monthly</t>
        </is>
      </c>
      <c r="W9" s="109" t="inlineStr">
        <is>
          <t>Yes</t>
        </is>
      </c>
      <c r="X9" s="109" t="n">
        <v>0.3671891164907924</v>
      </c>
      <c r="Y9" s="1106" t="n">
        <v>35.285</v>
      </c>
      <c r="Z9" s="1106" t="n">
        <v>6.444</v>
      </c>
      <c r="AA9" s="1107" t="n">
        <v>2.203134698944755</v>
      </c>
      <c r="AB9" s="109">
        <f>(AE9*AF9)/AC9</f>
        <v/>
      </c>
      <c r="AC9" s="1106" t="n">
        <v>94.554</v>
      </c>
      <c r="AD9" s="1106" t="n">
        <v>62.5460833111756</v>
      </c>
      <c r="AE9" s="1106" t="n">
        <v>15.049</v>
      </c>
      <c r="AF9" s="1107" t="n">
        <v>3.392966310053824</v>
      </c>
      <c r="AG9" s="110" t="inlineStr">
        <is>
          <t>1st Lien</t>
        </is>
      </c>
      <c r="AH9" s="110" t="inlineStr">
        <is>
          <t>Yes</t>
        </is>
      </c>
      <c r="AI9" s="110" t="inlineStr">
        <is>
          <t>3.0% / 2.0% / 1.0% / 1.0% / Par</t>
        </is>
      </c>
      <c r="AJ9" s="116" t="n">
        <v>5</v>
      </c>
    </row>
    <row r="10" ht="53.25" customFormat="1" customHeight="1" s="117">
      <c r="B10" s="105" t="n"/>
      <c r="C10" s="1102">
        <f>+C9+1</f>
        <v/>
      </c>
      <c r="D10" s="1103" t="inlineStr">
        <is>
          <t>NSC Technologies</t>
        </is>
      </c>
      <c r="E10" s="1104" t="inlineStr">
        <is>
          <t>Eligible</t>
        </is>
      </c>
      <c r="F10" s="109">
        <f>+P10/150</f>
        <v/>
      </c>
      <c r="G10" s="110" t="inlineStr">
        <is>
          <t>Professional staffing contractor for marine, industrial commercial, logistics, transportation and manufacturing segments.</t>
        </is>
      </c>
      <c r="H10" s="110" t="inlineStr">
        <is>
          <t>Professional Services</t>
        </is>
      </c>
      <c r="I10" s="111" t="n">
        <v>202020</v>
      </c>
      <c r="J10" s="111" t="inlineStr">
        <is>
          <t>Mid-Atlantic</t>
        </is>
      </c>
      <c r="K10" s="1105" t="n">
        <v>21</v>
      </c>
      <c r="L10" s="113" t="n">
        <v>43581</v>
      </c>
      <c r="M10" s="113" t="n">
        <v>45408</v>
      </c>
      <c r="N10" s="1106" t="n">
        <v>3.22873825</v>
      </c>
      <c r="O10" s="1106" t="n">
        <v>0.27126175</v>
      </c>
      <c r="P10" s="1106">
        <f>+N10+O10</f>
        <v/>
      </c>
      <c r="Q10" s="109" t="n">
        <v>0.024</v>
      </c>
      <c r="R10" s="109" t="n">
        <v>0.0225</v>
      </c>
      <c r="S10" s="109" t="n">
        <v>0.09488421965099056</v>
      </c>
      <c r="T10" s="109" t="n">
        <v>0</v>
      </c>
      <c r="U10" s="109">
        <f>+S10+T10</f>
        <v/>
      </c>
      <c r="V10" s="109" t="inlineStr">
        <is>
          <t>Monthly</t>
        </is>
      </c>
      <c r="W10" s="109" t="inlineStr">
        <is>
          <t>No</t>
        </is>
      </c>
      <c r="X10" s="109" t="n">
        <v>0.4603257534203639</v>
      </c>
      <c r="Y10" s="1106" t="n">
        <v>141.643</v>
      </c>
      <c r="Z10" s="1106" t="n">
        <v>11.367</v>
      </c>
      <c r="AA10" s="1107" t="n">
        <v>2.584052608427905</v>
      </c>
      <c r="AB10" s="109">
        <f>(AE10*AF10)/AC10</f>
        <v/>
      </c>
      <c r="AC10" s="1106" t="n">
        <v>74.79900000000001</v>
      </c>
      <c r="AD10" s="1106" t="n">
        <v>180.504</v>
      </c>
      <c r="AE10" s="1106" t="n">
        <v>9.21941839696585</v>
      </c>
      <c r="AF10" s="1107" t="n">
        <v>5.597420989916611</v>
      </c>
      <c r="AG10" s="110" t="inlineStr">
        <is>
          <t>1st Lien</t>
        </is>
      </c>
      <c r="AH10" s="110" t="inlineStr">
        <is>
          <t>Yes</t>
        </is>
      </c>
      <c r="AI10" s="110" t="inlineStr">
        <is>
          <t>3.0% / 2.0% / 1.0% / 1.0%</t>
        </is>
      </c>
      <c r="AJ10" s="116" t="n">
        <v>5</v>
      </c>
    </row>
    <row r="11" ht="53.25" customFormat="1" customHeight="1" s="117">
      <c r="B11" s="105" t="n"/>
      <c r="C11" s="1102">
        <f>+C10+1</f>
        <v/>
      </c>
      <c r="D11" s="1103" t="inlineStr">
        <is>
          <t>SkyBell Technologies</t>
        </is>
      </c>
      <c r="E11" s="1104" t="inlineStr">
        <is>
          <t>Eligible</t>
        </is>
      </c>
      <c r="F11" s="109">
        <f>+P11/150</f>
        <v/>
      </c>
      <c r="G11" s="110" t="inlineStr">
        <is>
          <t>Provider of Internet of Things enabled security devices operating through a business-to-business distribution model, primarily serving home security firms.</t>
        </is>
      </c>
      <c r="H11" s="110" t="inlineStr">
        <is>
          <t xml:space="preserve">Technology Hardware, Storage &amp; Peripherals </t>
        </is>
      </c>
      <c r="I11" s="111" t="n">
        <v>452020</v>
      </c>
      <c r="J11" s="111" t="inlineStr">
        <is>
          <t>Pacific</t>
        </is>
      </c>
      <c r="K11" s="1105" t="n">
        <v>8</v>
      </c>
      <c r="L11" s="113" t="n">
        <v>43812</v>
      </c>
      <c r="M11" s="113" t="n">
        <v>45639</v>
      </c>
      <c r="N11" s="1106" t="n">
        <v>2.87987264</v>
      </c>
      <c r="O11" s="1106" t="n">
        <v>0</v>
      </c>
      <c r="P11" s="1106">
        <f>+N11+O11</f>
        <v/>
      </c>
      <c r="Q11" s="109" t="n">
        <v>0.02</v>
      </c>
      <c r="R11" s="109" t="n">
        <v>0.02</v>
      </c>
      <c r="S11" s="109" t="n">
        <v>0.13</v>
      </c>
      <c r="T11" s="109" t="n">
        <v>0</v>
      </c>
      <c r="U11" s="109">
        <f>+S11+T11</f>
        <v/>
      </c>
      <c r="V11" s="109" t="inlineStr">
        <is>
          <t>Monthly</t>
        </is>
      </c>
      <c r="W11" s="109" t="inlineStr">
        <is>
          <t>Yes</t>
        </is>
      </c>
      <c r="X11" s="109" t="n">
        <v>0.2913867642168274</v>
      </c>
      <c r="Y11" s="1106" t="n">
        <v>71.206</v>
      </c>
      <c r="Z11" s="1106" t="n">
        <v>9.021000000000001</v>
      </c>
      <c r="AA11" s="1107" t="n">
        <v>2.913867642168274</v>
      </c>
      <c r="AB11" s="109">
        <f>(AE11*AF11)/AC11</f>
        <v/>
      </c>
      <c r="AC11" s="1106" t="n">
        <v>92.46299999999999</v>
      </c>
      <c r="AD11" s="1106" t="n">
        <v>52.45415586</v>
      </c>
      <c r="AE11" s="1106" t="n">
        <v>12.98243933</v>
      </c>
      <c r="AF11" s="1107" t="n">
        <v>3.79501133166474</v>
      </c>
      <c r="AG11" s="110" t="inlineStr">
        <is>
          <t>1st Lien</t>
        </is>
      </c>
      <c r="AH11" s="110" t="inlineStr">
        <is>
          <t>Yes</t>
        </is>
      </c>
      <c r="AI11" s="110" t="inlineStr">
        <is>
          <t>Interest make whole - 18 months / 2.0% / 1.0% / Par</t>
        </is>
      </c>
      <c r="AJ11" s="116" t="n">
        <v>4</v>
      </c>
    </row>
    <row r="12" ht="53.25" customFormat="1" customHeight="1" s="117">
      <c r="B12" s="105" t="n"/>
      <c r="C12" s="1102">
        <f>+C11+1</f>
        <v/>
      </c>
      <c r="D12" s="1103" t="inlineStr">
        <is>
          <t>160 Driving Academy</t>
        </is>
      </c>
      <c r="E12" s="1104" t="inlineStr">
        <is>
          <t>Eligible</t>
        </is>
      </c>
      <c r="F12" s="109">
        <f>+P12/150</f>
        <v/>
      </c>
      <c r="G12" s="110" t="inlineStr">
        <is>
          <t>Operator of technology-enabled schools including video training for commercial truck driver education and training.</t>
        </is>
      </c>
      <c r="H12" s="110" t="inlineStr">
        <is>
          <t>Diversified Consumer Services</t>
        </is>
      </c>
      <c r="I12" s="111" t="n">
        <v>253020</v>
      </c>
      <c r="J12" s="111" t="inlineStr">
        <is>
          <t>Great Lakes</t>
        </is>
      </c>
      <c r="K12" s="1105" t="n">
        <v>13</v>
      </c>
      <c r="L12" s="113" t="n">
        <v>43749</v>
      </c>
      <c r="M12" s="113" t="n">
        <v>45576</v>
      </c>
      <c r="N12" s="1106" t="n">
        <v>2.85516365194395</v>
      </c>
      <c r="O12" s="1106" t="n">
        <v>0</v>
      </c>
      <c r="P12" s="1106">
        <f>+N12+O12</f>
        <v/>
      </c>
      <c r="Q12" s="109" t="n">
        <v>0.02</v>
      </c>
      <c r="R12" s="109" t="n">
        <v>0.025</v>
      </c>
      <c r="S12" s="109" t="n">
        <v>0.115</v>
      </c>
      <c r="T12" s="109" t="n">
        <v>0</v>
      </c>
      <c r="U12" s="109">
        <f>+S12+T12</f>
        <v/>
      </c>
      <c r="V12" s="109" t="inlineStr">
        <is>
          <t>Monthly</t>
        </is>
      </c>
      <c r="W12" s="109" t="inlineStr">
        <is>
          <t>Yes</t>
        </is>
      </c>
      <c r="X12" s="109" t="n">
        <v>0.08881137970401365</v>
      </c>
      <c r="Y12" s="1106" t="n">
        <v>23.201</v>
      </c>
      <c r="Z12" s="1106" t="n">
        <v>3.241</v>
      </c>
      <c r="AA12" s="1107" t="n">
        <v>2.479481641468682</v>
      </c>
      <c r="AB12" s="109">
        <f>(AE12*AF12)/AC12</f>
        <v/>
      </c>
      <c r="AC12" s="1106" t="n">
        <v>76.83199999999999</v>
      </c>
      <c r="AD12" s="1106" t="n">
        <v>35.779</v>
      </c>
      <c r="AE12" s="1106" t="n">
        <v>5.418</v>
      </c>
      <c r="AF12" s="1107" t="n">
        <v>3.898130684754522</v>
      </c>
      <c r="AG12" s="110" t="inlineStr">
        <is>
          <t>1st Lien</t>
        </is>
      </c>
      <c r="AH12" s="110" t="inlineStr">
        <is>
          <t>Yes</t>
        </is>
      </c>
      <c r="AI12" s="110" t="inlineStr">
        <is>
          <t>4.0% / 2.0% / 1.0% / 1.0% / 1.0%</t>
        </is>
      </c>
      <c r="AJ12" s="116" t="n">
        <v>3</v>
      </c>
    </row>
    <row r="13" ht="53.25" customFormat="1" customHeight="1" s="117">
      <c r="B13" s="105" t="n"/>
      <c r="C13" s="1102">
        <f>+C12+1</f>
        <v/>
      </c>
      <c r="D13" s="1103" t="inlineStr">
        <is>
          <t>Novinium</t>
        </is>
      </c>
      <c r="E13" s="1104" t="inlineStr">
        <is>
          <t>Eligible</t>
        </is>
      </c>
      <c r="F13" s="109">
        <f>+P13/150</f>
        <v/>
      </c>
      <c r="G13" s="110" t="inlineStr">
        <is>
          <t>Provider of underground power line repair, maintenance and replacement services primarily to large utility corporations through a developed portfolio of patented technologies.</t>
        </is>
      </c>
      <c r="H13" s="110" t="inlineStr">
        <is>
          <t>Electronic Equipment, Instruments &amp; Components</t>
        </is>
      </c>
      <c r="I13" s="111" t="n">
        <v>452030</v>
      </c>
      <c r="J13" s="111" t="inlineStr">
        <is>
          <t>Pacific Northwest</t>
        </is>
      </c>
      <c r="K13" s="1105" t="n">
        <v>18</v>
      </c>
      <c r="L13" s="113" t="n">
        <v>44057</v>
      </c>
      <c r="M13" s="113" t="n">
        <v>45883</v>
      </c>
      <c r="N13" s="1106" t="n">
        <v>2.77777778</v>
      </c>
      <c r="O13" s="1106" t="n">
        <v>0</v>
      </c>
      <c r="P13" s="1106">
        <f>+N13+O13</f>
        <v/>
      </c>
      <c r="Q13" s="109" t="n">
        <v>0.015</v>
      </c>
      <c r="R13" s="109" t="n">
        <v>0.0075</v>
      </c>
      <c r="S13" s="109" t="n">
        <v>0.09938999998536027</v>
      </c>
      <c r="T13" s="109" t="n">
        <v>0</v>
      </c>
      <c r="U13" s="109">
        <f>+S13+T13</f>
        <v/>
      </c>
      <c r="V13" s="109" t="inlineStr">
        <is>
          <t>Monthly</t>
        </is>
      </c>
      <c r="W13" s="109" t="inlineStr">
        <is>
          <t>No</t>
        </is>
      </c>
      <c r="X13" s="109" t="n">
        <v>0.3512441944962245</v>
      </c>
      <c r="Y13" s="1106" t="n">
        <v>85.01300000000001</v>
      </c>
      <c r="Z13" s="1106" t="n">
        <v>10.218</v>
      </c>
      <c r="AA13" s="1107" t="n">
        <v>2.176009003718927</v>
      </c>
      <c r="AB13" s="109">
        <f>(AE13*AF13)/AC13</f>
        <v/>
      </c>
      <c r="AC13" s="1106" t="n">
        <v>69.351</v>
      </c>
      <c r="AD13" s="1106" t="n">
        <v>85.65954499999999</v>
      </c>
      <c r="AE13" s="1106" t="n">
        <v>13.738751</v>
      </c>
      <c r="AF13" s="1107" t="n">
        <v>1.683458197910422</v>
      </c>
      <c r="AG13" s="110" t="inlineStr">
        <is>
          <t>1st Lien</t>
        </is>
      </c>
      <c r="AH13" s="110" t="inlineStr">
        <is>
          <t>Yes</t>
        </is>
      </c>
      <c r="AI13" s="110" t="inlineStr">
        <is>
          <t>3.0% / 2.0% / 1.0% / 1.0% / 1.0%</t>
        </is>
      </c>
      <c r="AJ13" s="116" t="n">
        <v>4</v>
      </c>
    </row>
    <row r="14" ht="53.25" customFormat="1" customHeight="1" s="117">
      <c r="B14" s="105" t="n"/>
      <c r="C14" s="1102">
        <f>+C13+1</f>
        <v/>
      </c>
      <c r="D14" s="1103" t="inlineStr">
        <is>
          <t>Microf</t>
        </is>
      </c>
      <c r="E14" s="1104" t="inlineStr">
        <is>
          <t>Eligible</t>
        </is>
      </c>
      <c r="F14" s="109">
        <f>+P14/150</f>
        <v/>
      </c>
      <c r="G14" s="110" t="inlineStr">
        <is>
          <t>Financial technology company that provides financing solutions to homeowners in connection with a purchase of a new residential HVAC system.</t>
        </is>
      </c>
      <c r="H14" s="110" t="inlineStr">
        <is>
          <t>Diversified Financial Services</t>
        </is>
      </c>
      <c r="I14" s="111" t="n">
        <v>402010</v>
      </c>
      <c r="J14" s="111" t="inlineStr">
        <is>
          <t>Southeast</t>
        </is>
      </c>
      <c r="K14" s="1105" t="n">
        <v>10</v>
      </c>
      <c r="L14" s="113" t="n">
        <v>43553</v>
      </c>
      <c r="M14" s="113" t="n">
        <v>45107</v>
      </c>
      <c r="N14" s="1106" t="n">
        <v>2.50313371</v>
      </c>
      <c r="O14" s="1106" t="n">
        <v>0</v>
      </c>
      <c r="P14" s="1106">
        <f>+N14+O14</f>
        <v/>
      </c>
      <c r="Q14" s="109" t="n">
        <v>0.02</v>
      </c>
      <c r="R14" s="109" t="n">
        <v>0.02</v>
      </c>
      <c r="S14" s="109" t="n">
        <v>0.1475</v>
      </c>
      <c r="T14" s="109" t="n">
        <v>0</v>
      </c>
      <c r="U14" s="109">
        <f>+S14+T14</f>
        <v/>
      </c>
      <c r="V14" s="109" t="inlineStr">
        <is>
          <t>Monthly</t>
        </is>
      </c>
      <c r="W14" s="109" t="inlineStr">
        <is>
          <t>Yes</t>
        </is>
      </c>
      <c r="X14" s="109" t="n">
        <v>0.3698258978871146</v>
      </c>
      <c r="Y14" s="1106" t="n">
        <v>18.39295379999999</v>
      </c>
      <c r="Z14" s="1106" t="n">
        <v>3.818</v>
      </c>
      <c r="AA14" s="1107" t="n">
        <v>8.146534177579884</v>
      </c>
      <c r="AB14" s="109">
        <f>(AE14*AF14)/AC14</f>
        <v/>
      </c>
      <c r="AC14" s="1106" t="n">
        <v>130.134</v>
      </c>
      <c r="AD14" s="1106" t="n">
        <v>26.92136891</v>
      </c>
      <c r="AE14" s="1106" t="n">
        <v>10.850353</v>
      </c>
      <c r="AF14" s="1107" t="n">
        <v>3.222943799155659</v>
      </c>
      <c r="AG14" s="110" t="inlineStr">
        <is>
          <t>1st Lien</t>
        </is>
      </c>
      <c r="AH14" s="110" t="inlineStr">
        <is>
          <t>Yes</t>
        </is>
      </c>
      <c r="AI14" s="110" t="inlineStr">
        <is>
          <t>Interest make whole, 2%, 1%, Par</t>
        </is>
      </c>
      <c r="AJ14" s="116" t="n">
        <v>8</v>
      </c>
    </row>
    <row r="15" collapsed="1" ht="53.25" customFormat="1" customHeight="1" s="117">
      <c r="B15" s="105" t="n"/>
      <c r="C15" s="1102">
        <f>+C14+1</f>
        <v/>
      </c>
      <c r="D15" s="1103" t="inlineStr">
        <is>
          <t>Consulting Solutions</t>
        </is>
      </c>
      <c r="E15" s="1104" t="inlineStr">
        <is>
          <t>Eligible</t>
        </is>
      </c>
      <c r="F15" s="109">
        <f>+P15/150</f>
        <v/>
      </c>
      <c r="G15" s="110" t="inlineStr">
        <is>
          <t>Provider of skilled contract and permanent IT resources supporting clients’ data analytics, omnichannel integration and payment processing initiatives.</t>
        </is>
      </c>
      <c r="H15" s="110" t="inlineStr">
        <is>
          <t>Professional Services</t>
        </is>
      </c>
      <c r="I15" s="111" t="n">
        <v>202020</v>
      </c>
      <c r="J15" s="111" t="inlineStr">
        <is>
          <t>Southeast</t>
        </is>
      </c>
      <c r="K15" s="1105" t="n">
        <v>21</v>
      </c>
      <c r="L15" s="113" t="n">
        <v>44225</v>
      </c>
      <c r="M15" s="113" t="n">
        <v>46051</v>
      </c>
      <c r="N15" s="1106" t="n">
        <v>2.10436893</v>
      </c>
      <c r="O15" s="1106" t="n">
        <v>0</v>
      </c>
      <c r="P15" s="1106">
        <f>+N15+O15</f>
        <v/>
      </c>
      <c r="Q15" s="109" t="n">
        <v>0.02</v>
      </c>
      <c r="R15" s="109" t="n">
        <v>0.01</v>
      </c>
      <c r="S15" s="109" t="n">
        <v>0.115</v>
      </c>
      <c r="T15" s="109" t="n">
        <v>0</v>
      </c>
      <c r="U15" s="109">
        <f>+S15+T15</f>
        <v/>
      </c>
      <c r="V15" s="109" t="inlineStr">
        <is>
          <t>Monthly</t>
        </is>
      </c>
      <c r="W15" s="109" t="inlineStr">
        <is>
          <t>No</t>
        </is>
      </c>
      <c r="X15" s="109" t="n">
        <v>0.4459365246211106</v>
      </c>
      <c r="Y15" s="1106" t="n">
        <v>128.6</v>
      </c>
      <c r="Z15" s="1106" t="n">
        <v>12.247</v>
      </c>
      <c r="AA15" s="1107" t="n">
        <v>3.394790560953703</v>
      </c>
      <c r="AB15" s="109">
        <f>(AE15*AF15)/AC15</f>
        <v/>
      </c>
      <c r="AC15" s="1106" t="n">
        <v>93.233</v>
      </c>
      <c r="AD15" s="1106" t="n">
        <v>148.883</v>
      </c>
      <c r="AE15" s="1106" t="n">
        <v>12.623</v>
      </c>
      <c r="AF15" s="1107" t="n">
        <v>3.293670284401489</v>
      </c>
      <c r="AG15" s="110" t="inlineStr">
        <is>
          <t>1st Lien</t>
        </is>
      </c>
      <c r="AH15" s="110" t="inlineStr">
        <is>
          <t>Yes</t>
        </is>
      </c>
      <c r="AI15" s="110" t="inlineStr">
        <is>
          <t>3.0% / 2.0% / 1.0% / 1.0% / Par</t>
        </is>
      </c>
      <c r="AJ15" s="116" t="n">
        <v>4</v>
      </c>
    </row>
    <row r="16" ht="53.25" customFormat="1" customHeight="1" s="117">
      <c r="B16" s="105" t="n"/>
      <c r="C16" s="1102">
        <f>+C15+1</f>
        <v/>
      </c>
      <c r="D16" s="1103" t="inlineStr">
        <is>
          <t>Linden Research</t>
        </is>
      </c>
      <c r="E16" s="1104" t="inlineStr">
        <is>
          <t>Eligible</t>
        </is>
      </c>
      <c r="F16" s="109">
        <f>+P16/150</f>
        <v/>
      </c>
      <c r="G16" s="110" t="inlineStr">
        <is>
          <t>Technology company that engages users through the 3D virtual world known as Second Life, made possible through its proprietary 3D streaming and scalable, distributed simulation technology.</t>
        </is>
      </c>
      <c r="H16" s="110" t="inlineStr">
        <is>
          <t>Leisure Products</t>
        </is>
      </c>
      <c r="I16" s="111" t="n">
        <v>252020</v>
      </c>
      <c r="J16" s="111" t="inlineStr">
        <is>
          <t>Pacific</t>
        </is>
      </c>
      <c r="K16" s="1105" t="n">
        <v>22</v>
      </c>
      <c r="L16" s="113" t="n">
        <v>44196</v>
      </c>
      <c r="M16" s="113" t="n">
        <v>46022</v>
      </c>
      <c r="N16" s="1106" t="n">
        <v>1.95652174</v>
      </c>
      <c r="O16" s="1106" t="n">
        <v>0.04347826</v>
      </c>
      <c r="P16" s="1106">
        <f>+N16+O16</f>
        <v/>
      </c>
      <c r="Q16" s="109" t="n">
        <v>0.02</v>
      </c>
      <c r="R16" s="109" t="n">
        <v>0.01</v>
      </c>
      <c r="S16" s="109" t="n">
        <v>0.1188888888888889</v>
      </c>
      <c r="T16" s="109" t="n">
        <v>0.0125</v>
      </c>
      <c r="U16" s="109">
        <f>+S16+T16</f>
        <v/>
      </c>
      <c r="V16" s="109" t="inlineStr">
        <is>
          <t>Monthly</t>
        </is>
      </c>
      <c r="W16" s="109" t="inlineStr">
        <is>
          <t>Yes</t>
        </is>
      </c>
      <c r="X16" s="109" t="n">
        <v>0.4718029037796985</v>
      </c>
      <c r="Y16" s="1106" t="n">
        <v>61.6</v>
      </c>
      <c r="Z16" s="1106" t="n">
        <v>18.437</v>
      </c>
      <c r="AA16" s="1107" t="n">
        <v>3.444161197591799</v>
      </c>
      <c r="AB16" s="109">
        <f>(AE16*AF16)/AC16</f>
        <v/>
      </c>
      <c r="AC16" s="1106" t="n">
        <v>134.5901</v>
      </c>
      <c r="AD16" s="1106" t="n">
        <v>62.95810452</v>
      </c>
      <c r="AE16" s="1106" t="n">
        <v>18.729</v>
      </c>
      <c r="AF16" s="1107" t="n">
        <v>2.122644027978002</v>
      </c>
      <c r="AG16" s="110" t="inlineStr">
        <is>
          <t>1st Lien</t>
        </is>
      </c>
      <c r="AH16" s="110" t="inlineStr">
        <is>
          <t>Yes</t>
        </is>
      </c>
      <c r="AI16" s="110" t="inlineStr">
        <is>
          <t>NC-01, 3%, 2%, Par</t>
        </is>
      </c>
      <c r="AJ16" s="116" t="n">
        <v>3</v>
      </c>
    </row>
    <row r="17" ht="53.25" customFormat="1" customHeight="1" s="117">
      <c r="B17" s="105" t="n"/>
      <c r="C17" s="1102">
        <f>+C16+1</f>
        <v/>
      </c>
      <c r="D17" s="1103" t="inlineStr">
        <is>
          <t>BWG Strategy</t>
        </is>
      </c>
      <c r="E17" s="1104" t="inlineStr">
        <is>
          <t>Eligible</t>
        </is>
      </c>
      <c r="F17" s="109">
        <f>+P17/150</f>
        <v/>
      </c>
      <c r="G17" s="110" t="inlineStr">
        <is>
          <t>Provider of primary research, data and information delivered through proprietary forums, synopses and insight reports to investment managers, hedge funds and boutique buyside advisors.</t>
        </is>
      </c>
      <c r="H17" s="110" t="inlineStr">
        <is>
          <t>Diversified Financial Services</t>
        </is>
      </c>
      <c r="I17" s="111" t="n">
        <v>402010</v>
      </c>
      <c r="J17" s="111" t="inlineStr">
        <is>
          <t>Northeast</t>
        </is>
      </c>
      <c r="K17" s="1105" t="n">
        <v>8</v>
      </c>
      <c r="L17" s="113" t="n">
        <v>44189</v>
      </c>
      <c r="M17" s="113" t="n">
        <v>46015</v>
      </c>
      <c r="N17" s="1106" t="n">
        <v>1.33333333</v>
      </c>
      <c r="O17" s="1106" t="n">
        <v>0.6666666699999999</v>
      </c>
      <c r="P17" s="1106">
        <f>+N17+O17</f>
        <v/>
      </c>
      <c r="Q17" s="109" t="n">
        <v>0.02</v>
      </c>
      <c r="R17" s="109" t="n">
        <v>0.01</v>
      </c>
      <c r="S17" s="109" t="n">
        <v>0.1</v>
      </c>
      <c r="T17" s="109" t="n">
        <v>0</v>
      </c>
      <c r="U17" s="109">
        <f>+S17+T17</f>
        <v/>
      </c>
      <c r="V17" s="109" t="inlineStr">
        <is>
          <t>Monthly</t>
        </is>
      </c>
      <c r="W17" s="109" t="inlineStr">
        <is>
          <t>No</t>
        </is>
      </c>
      <c r="X17" s="109" t="n">
        <v>0.3852483036901783</v>
      </c>
      <c r="Y17" s="1106" t="n">
        <v>14.024</v>
      </c>
      <c r="Z17" s="1106" t="n">
        <v>9.276999999999999</v>
      </c>
      <c r="AA17" s="1107" t="n">
        <v>3.684380726527972</v>
      </c>
      <c r="AB17" s="109">
        <f>(AE17*AF17)/AC17</f>
        <v/>
      </c>
      <c r="AC17" s="1106" t="n">
        <v>88.72199999999999</v>
      </c>
      <c r="AD17" s="1106" t="n">
        <v>14.105524</v>
      </c>
      <c r="AE17" s="1106" t="n">
        <v>9.311187</v>
      </c>
      <c r="AF17" s="1107" t="n">
        <v>3.625120835828987</v>
      </c>
      <c r="AG17" s="110" t="inlineStr">
        <is>
          <t>1st Lien</t>
        </is>
      </c>
      <c r="AH17" s="110" t="inlineStr">
        <is>
          <t>Yes</t>
        </is>
      </c>
      <c r="AI17" s="110" t="inlineStr">
        <is>
          <t>5.0% / 3.0% / 1.0% / 1.0% / Par</t>
        </is>
      </c>
      <c r="AJ17" s="116" t="n">
        <v>3</v>
      </c>
    </row>
    <row r="18" ht="53.25" customFormat="1" customHeight="1" s="117">
      <c r="B18" s="105" t="n"/>
      <c r="C18" s="1102">
        <f>+C17+1</f>
        <v/>
      </c>
      <c r="D18" s="1103" t="inlineStr">
        <is>
          <t>Fremont-Wright</t>
        </is>
      </c>
      <c r="E18" s="1104" t="inlineStr">
        <is>
          <t>Eligible</t>
        </is>
      </c>
      <c r="F18" s="109">
        <f>+P18/150</f>
        <v/>
      </c>
      <c r="G18" s="110" t="inlineStr">
        <is>
          <t>National engineering, surveying, and architectural design business serving commercial, residential and government end markets.</t>
        </is>
      </c>
      <c r="H18" s="110" t="inlineStr">
        <is>
          <t>Construction &amp; Engineering</t>
        </is>
      </c>
      <c r="I18" s="111" t="n">
        <v>201030</v>
      </c>
      <c r="J18" s="111" t="inlineStr">
        <is>
          <t>Southeast</t>
        </is>
      </c>
      <c r="K18" s="1105" t="n">
        <v>53</v>
      </c>
      <c r="L18" s="113" t="n">
        <v>44167</v>
      </c>
      <c r="M18" s="113" t="n">
        <v>45628</v>
      </c>
      <c r="N18" s="1106" t="n">
        <v>1.83088235</v>
      </c>
      <c r="O18" s="1106" t="n">
        <v>0</v>
      </c>
      <c r="P18" s="1106">
        <f>+N18+O18</f>
        <v/>
      </c>
      <c r="Q18" s="109" t="n">
        <v>0.02</v>
      </c>
      <c r="R18" s="109" t="n">
        <v>0.01</v>
      </c>
      <c r="S18" s="109" t="n">
        <v>0.1</v>
      </c>
      <c r="T18" s="109" t="n">
        <v>0</v>
      </c>
      <c r="U18" s="109">
        <f>+S18+T18</f>
        <v/>
      </c>
      <c r="V18" s="109" t="inlineStr">
        <is>
          <t>Monthly</t>
        </is>
      </c>
      <c r="W18" s="109" t="inlineStr">
        <is>
          <t>Yes</t>
        </is>
      </c>
      <c r="X18" s="109" t="n">
        <v>0.5209422011084719</v>
      </c>
      <c r="Y18" s="1106" t="n">
        <v>61.1</v>
      </c>
      <c r="Z18" s="1106" t="n">
        <v>12.63</v>
      </c>
      <c r="AA18" s="1107" t="n">
        <v>3.125653206650831</v>
      </c>
      <c r="AB18" s="109">
        <f>(AE18*AF18)/AC18</f>
        <v/>
      </c>
      <c r="AC18" s="1106" t="n">
        <v>75.78</v>
      </c>
      <c r="AD18" s="1106" t="n">
        <v>65.5871004289619</v>
      </c>
      <c r="AE18" s="1106" t="n">
        <v>13.55379453</v>
      </c>
      <c r="AF18" s="1107" t="n">
        <v>2.967606700173283</v>
      </c>
      <c r="AG18" s="110" t="inlineStr">
        <is>
          <t>1st Lien</t>
        </is>
      </c>
      <c r="AH18" s="110" t="inlineStr">
        <is>
          <t>Yes</t>
        </is>
      </c>
      <c r="AI18" s="110" t="inlineStr">
        <is>
          <t>3.0% / 2.0% / 1.0% / Par</t>
        </is>
      </c>
      <c r="AJ18" s="116" t="n">
        <v>4</v>
      </c>
    </row>
    <row r="19" ht="53.25" customFormat="1" customHeight="1" s="117">
      <c r="B19" s="105" t="n"/>
      <c r="C19" s="1102">
        <f>+C18+1</f>
        <v/>
      </c>
      <c r="D19" s="1103" t="inlineStr">
        <is>
          <t>Temporary Housing Directory</t>
        </is>
      </c>
      <c r="E19" s="1104" t="inlineStr">
        <is>
          <t>Eligible</t>
        </is>
      </c>
      <c r="F19" s="109">
        <f>+P19/150</f>
        <v/>
      </c>
      <c r="G19" s="110" t="inlineStr">
        <is>
          <t>A national provider of temporary housing and relocation services to the insurance housing and corporation relocation markets.</t>
        </is>
      </c>
      <c r="H19" s="110" t="inlineStr">
        <is>
          <t>Diversified Consumer Services</t>
        </is>
      </c>
      <c r="I19" s="111" t="n">
        <v>253020</v>
      </c>
      <c r="J19" s="111" t="inlineStr">
        <is>
          <t>South Central</t>
        </is>
      </c>
      <c r="K19" s="1105" t="n">
        <v>20</v>
      </c>
      <c r="L19" s="113" t="n">
        <v>43791</v>
      </c>
      <c r="M19" s="113" t="n">
        <v>45618</v>
      </c>
      <c r="N19" s="1106" t="n">
        <v>1.63885553</v>
      </c>
      <c r="O19" s="1106" t="n">
        <v>0.09104753</v>
      </c>
      <c r="P19" s="1106">
        <f>+N19+O19</f>
        <v/>
      </c>
      <c r="Q19" s="109" t="n">
        <v>0.02</v>
      </c>
      <c r="R19" s="109" t="n">
        <v>0.02</v>
      </c>
      <c r="S19" s="109" t="n">
        <v>0.105</v>
      </c>
      <c r="T19" s="109" t="n">
        <v>0</v>
      </c>
      <c r="U19" s="109">
        <f>+S19+T19</f>
        <v/>
      </c>
      <c r="V19" s="109" t="inlineStr">
        <is>
          <t>Monthly</t>
        </is>
      </c>
      <c r="W19" s="109" t="inlineStr">
        <is>
          <t>No</t>
        </is>
      </c>
      <c r="X19" s="109" t="n">
        <v>0.5568181818181818</v>
      </c>
      <c r="Y19" s="1106" t="n">
        <v>10.90773626481979</v>
      </c>
      <c r="Z19" s="1106" t="n">
        <v>4.434</v>
      </c>
      <c r="AA19" s="1107" t="n">
        <v>2.762742444745151</v>
      </c>
      <c r="AB19" s="109">
        <f>(AE19*AF19)/AC19</f>
        <v/>
      </c>
      <c r="AC19" s="1106" t="n">
        <v>19.508</v>
      </c>
      <c r="AD19" s="1106" t="n">
        <v>9.927</v>
      </c>
      <c r="AE19" s="1106" t="n">
        <v>4.376</v>
      </c>
      <c r="AF19" s="1107" t="n">
        <v>1.317755941499086</v>
      </c>
      <c r="AG19" s="110" t="inlineStr">
        <is>
          <t>1st Lien</t>
        </is>
      </c>
      <c r="AH19" s="110" t="inlineStr">
        <is>
          <t>Yes</t>
        </is>
      </c>
      <c r="AI19" s="110" t="inlineStr">
        <is>
          <t>3.0% / 2.0% / 1.0% / Par</t>
        </is>
      </c>
      <c r="AJ19" s="116" t="n">
        <v>4</v>
      </c>
    </row>
    <row r="20" ht="53.25" customFormat="1" customHeight="1" s="117">
      <c r="B20" s="105" t="n"/>
      <c r="C20" s="1102">
        <f>+C19+1</f>
        <v/>
      </c>
      <c r="D20" s="1103" t="inlineStr">
        <is>
          <t>Arrow Home Health</t>
        </is>
      </c>
      <c r="E20" s="1104" t="inlineStr">
        <is>
          <t>Eligible</t>
        </is>
      </c>
      <c r="F20" s="109">
        <f>+P20/150</f>
        <v/>
      </c>
      <c r="G20" s="110" t="inlineStr">
        <is>
          <t>Provider of skilled and unskilled home health and long term personal care services across various cities in Texas.</t>
        </is>
      </c>
      <c r="H20" s="110" t="inlineStr">
        <is>
          <t>Health Care Providers &amp; Services</t>
        </is>
      </c>
      <c r="I20" s="111" t="n">
        <v>351020</v>
      </c>
      <c r="J20" s="111" t="inlineStr">
        <is>
          <t>South Central</t>
        </is>
      </c>
      <c r="K20" s="1105">
        <f>2021-1996</f>
        <v/>
      </c>
      <c r="L20" s="113" t="n">
        <v>44274</v>
      </c>
      <c r="M20" s="113" t="n">
        <v>46100</v>
      </c>
      <c r="N20" s="1106" t="n">
        <v>0.9735099300000001</v>
      </c>
      <c r="O20" s="1106" t="n">
        <v>0.57108022</v>
      </c>
      <c r="P20" s="1106">
        <f>+N20+O20</f>
        <v/>
      </c>
      <c r="Q20" s="109" t="n">
        <v>0.02</v>
      </c>
      <c r="R20" s="109" t="n">
        <v>0.02</v>
      </c>
      <c r="S20" s="109" t="n">
        <v>0.105</v>
      </c>
      <c r="T20" s="109" t="n">
        <v>0</v>
      </c>
      <c r="U20" s="109">
        <f>+S20+T20</f>
        <v/>
      </c>
      <c r="V20" s="109" t="inlineStr">
        <is>
          <t>Monthly</t>
        </is>
      </c>
      <c r="W20" s="109" t="inlineStr">
        <is>
          <t>No</t>
        </is>
      </c>
      <c r="X20" s="109" t="n">
        <v>0.6636431882483167</v>
      </c>
      <c r="Y20" s="1106" t="n">
        <v>82.131</v>
      </c>
      <c r="Z20" s="1106" t="n">
        <v>10.016</v>
      </c>
      <c r="AA20" s="1107" t="n">
        <v>3.631551468121205</v>
      </c>
      <c r="AB20" s="109">
        <f>(AE20*AF20)/AC20</f>
        <v/>
      </c>
      <c r="AC20" s="1106" t="n">
        <v>54.809</v>
      </c>
      <c r="AD20" s="1106" t="n">
        <v>82.131</v>
      </c>
      <c r="AE20" s="1106" t="n">
        <v>10.016</v>
      </c>
      <c r="AF20" s="1107" t="n">
        <v>3.631551468121205</v>
      </c>
      <c r="AG20" s="110" t="inlineStr">
        <is>
          <t>1st Lien</t>
        </is>
      </c>
      <c r="AH20" s="110" t="inlineStr">
        <is>
          <t>Yes</t>
        </is>
      </c>
      <c r="AI20" s="110" t="inlineStr">
        <is>
          <t>3.0% / 2.0% / 1.0% / 0.5% / Par</t>
        </is>
      </c>
      <c r="AJ20" s="116" t="n">
        <v>3</v>
      </c>
    </row>
    <row r="21" ht="53.25" customFormat="1" customHeight="1" s="117">
      <c r="B21" s="105" t="n"/>
      <c r="C21" s="1102">
        <f>+C20+1</f>
        <v/>
      </c>
      <c r="D21" s="1103" t="inlineStr">
        <is>
          <t>PureCars</t>
        </is>
      </c>
      <c r="E21" s="1104" t="inlineStr">
        <is>
          <t>Eligible</t>
        </is>
      </c>
      <c r="F21" s="109">
        <f>+P21/150</f>
        <v/>
      </c>
      <c r="G21" s="110" t="inlineStr">
        <is>
          <t xml:space="preserve">Provider of digital marketing solutions and value-add intelligence to automotive dealers. </t>
        </is>
      </c>
      <c r="H21" s="110" t="inlineStr">
        <is>
          <t>Media</t>
        </is>
      </c>
      <c r="I21" s="111" t="n">
        <v>502010</v>
      </c>
      <c r="J21" s="111" t="inlineStr">
        <is>
          <t>Southeast</t>
        </is>
      </c>
      <c r="K21" s="1105" t="n">
        <v>14</v>
      </c>
      <c r="L21" s="113" t="n">
        <v>43573</v>
      </c>
      <c r="M21" s="113" t="n">
        <v>45399</v>
      </c>
      <c r="N21" s="1106" t="n">
        <v>1.3</v>
      </c>
      <c r="O21" s="1106" t="n">
        <v>0.2</v>
      </c>
      <c r="P21" s="1106">
        <f>+N21+O21</f>
        <v/>
      </c>
      <c r="Q21" s="109" t="n">
        <v>0.0225</v>
      </c>
      <c r="R21" s="109" t="n">
        <v>0.015</v>
      </c>
      <c r="S21" s="109" t="n">
        <v>0.09898461538461537</v>
      </c>
      <c r="T21" s="109" t="n">
        <v>0</v>
      </c>
      <c r="U21" s="109">
        <f>+S21+T21</f>
        <v/>
      </c>
      <c r="V21" s="109" t="inlineStr">
        <is>
          <t>Monthly</t>
        </is>
      </c>
      <c r="W21" s="109" t="inlineStr">
        <is>
          <t>No</t>
        </is>
      </c>
      <c r="X21" s="109" t="n">
        <v>0.329225841499934</v>
      </c>
      <c r="Y21" s="1106" t="n">
        <v>61.01419045</v>
      </c>
      <c r="Z21" s="1106" t="n">
        <v>7.594</v>
      </c>
      <c r="AA21" s="1107" t="n">
        <v>2.304450882275481</v>
      </c>
      <c r="AB21" s="109">
        <f>(AE21*AF21)/AC21</f>
        <v/>
      </c>
      <c r="AC21" s="1106" t="n">
        <v>42.075</v>
      </c>
      <c r="AD21" s="1106" t="n">
        <v>65.372</v>
      </c>
      <c r="AE21" s="1106" t="n">
        <v>4.684</v>
      </c>
      <c r="AF21" s="1107" t="n">
        <v>2.602874252775406</v>
      </c>
      <c r="AG21" s="110" t="inlineStr">
        <is>
          <t>1st Lien</t>
        </is>
      </c>
      <c r="AH21" s="110" t="inlineStr">
        <is>
          <t>Yes</t>
        </is>
      </c>
      <c r="AI21" s="110" t="inlineStr">
        <is>
          <t>2.0% / 1.0% / Par</t>
        </is>
      </c>
      <c r="AJ21" s="116" t="n">
        <v>2</v>
      </c>
    </row>
    <row r="22" ht="53.25" customFormat="1" customHeight="1" s="117">
      <c r="B22" s="105" t="n"/>
      <c r="C22" s="1102">
        <f>+C21+1</f>
        <v/>
      </c>
      <c r="D22" s="1103" t="inlineStr">
        <is>
          <t>CorTech</t>
        </is>
      </c>
      <c r="E22" s="1104" t="inlineStr">
        <is>
          <t>Eligible</t>
        </is>
      </c>
      <c r="F22" s="109">
        <f>+P22/150</f>
        <v/>
      </c>
      <c r="G22" s="110" t="inlineStr">
        <is>
          <t>Company is a technology-enabled provider of temporary staffing services.</t>
        </is>
      </c>
      <c r="H22" s="110" t="inlineStr">
        <is>
          <t>Professional Services</t>
        </is>
      </c>
      <c r="I22" s="111" t="n">
        <v>202020</v>
      </c>
      <c r="J22" s="111" t="inlineStr">
        <is>
          <t>Southeast</t>
        </is>
      </c>
      <c r="K22" s="1105" t="n">
        <v>22</v>
      </c>
      <c r="L22" s="113" t="n">
        <v>43903</v>
      </c>
      <c r="M22" s="113" t="n">
        <v>45323</v>
      </c>
      <c r="N22" s="1106" t="n">
        <v>1.05943013</v>
      </c>
      <c r="O22" s="1106" t="n">
        <v>0</v>
      </c>
      <c r="P22" s="1106">
        <f>+N22+O22</f>
        <v/>
      </c>
      <c r="Q22" s="109" t="n">
        <v>0.02</v>
      </c>
      <c r="R22" s="109" t="n">
        <v>0.04</v>
      </c>
      <c r="S22" s="109" t="n">
        <v>0.13</v>
      </c>
      <c r="T22" s="109" t="n">
        <v>0</v>
      </c>
      <c r="U22" s="109">
        <f>+S22+T22</f>
        <v/>
      </c>
      <c r="V22" s="109" t="inlineStr">
        <is>
          <t>Monthly</t>
        </is>
      </c>
      <c r="W22" s="109" t="inlineStr">
        <is>
          <t>No</t>
        </is>
      </c>
      <c r="X22" s="109" t="n">
        <v>0.5223737276742846</v>
      </c>
      <c r="Y22" s="1106" t="n">
        <v>200.848</v>
      </c>
      <c r="Z22" s="1106" t="n">
        <v>10.414</v>
      </c>
      <c r="AA22" s="1107" t="n">
        <v>2.611868638371423</v>
      </c>
      <c r="AB22" s="109">
        <f>(AE22*AF22)/AC22</f>
        <v/>
      </c>
      <c r="AC22" s="1106" t="n">
        <v>110.076</v>
      </c>
      <c r="AD22" s="1106" t="n">
        <v>269.40941972</v>
      </c>
      <c r="AE22" s="1106" t="n">
        <v>12.562089</v>
      </c>
      <c r="AF22" s="1107" t="n">
        <v>4.570385454998767</v>
      </c>
      <c r="AG22" s="110" t="inlineStr">
        <is>
          <t>2nd Lien</t>
        </is>
      </c>
      <c r="AH22" s="110" t="inlineStr">
        <is>
          <t>Yes</t>
        </is>
      </c>
      <c r="AI22" s="110" t="inlineStr">
        <is>
          <t>3.0% / 2.0% / 1.0% / Par</t>
        </is>
      </c>
      <c r="AJ22" s="116" t="n">
        <v>4</v>
      </c>
    </row>
    <row r="23" ht="53.25" customFormat="1" customHeight="1" s="117">
      <c r="B23" s="105" t="n"/>
      <c r="C23" s="1102">
        <f>+C22+1</f>
        <v/>
      </c>
      <c r="D23" s="1103" t="inlineStr">
        <is>
          <t>Southern Ag</t>
        </is>
      </c>
      <c r="E23" s="1104" t="inlineStr">
        <is>
          <t>Eligible</t>
        </is>
      </c>
      <c r="F23" s="109">
        <f>+P23/150</f>
        <v/>
      </c>
      <c r="G23" s="110" t="inlineStr">
        <is>
          <t>Provider of full-service logistics solutions to the agriculture, food and consumer products industries, with a specialization in peanut hauling and transportation.</t>
        </is>
      </c>
      <c r="H23" s="110" t="inlineStr">
        <is>
          <t>Road &amp; Rail</t>
        </is>
      </c>
      <c r="I23" s="111" t="n">
        <v>203040</v>
      </c>
      <c r="J23" s="111" t="inlineStr">
        <is>
          <t>Southeast</t>
        </is>
      </c>
      <c r="K23" s="1105" t="n">
        <v>31</v>
      </c>
      <c r="L23" s="113" t="n">
        <v>44096</v>
      </c>
      <c r="M23" s="113" t="n">
        <v>45922</v>
      </c>
      <c r="N23" s="1106" t="n">
        <v>0.9569378000000001</v>
      </c>
      <c r="O23" s="1106" t="n">
        <v>0</v>
      </c>
      <c r="P23" s="1106">
        <f>+N23+O23</f>
        <v/>
      </c>
      <c r="Q23" s="109" t="n">
        <v>0.025</v>
      </c>
      <c r="R23" s="109" t="n">
        <v>0.02</v>
      </c>
      <c r="S23" s="109" t="n">
        <v>0.1086325</v>
      </c>
      <c r="T23" s="109" t="n">
        <v>0</v>
      </c>
      <c r="U23" s="109">
        <f>+S23+T23</f>
        <v/>
      </c>
      <c r="V23" s="109" t="inlineStr">
        <is>
          <t>Monthly</t>
        </is>
      </c>
      <c r="W23" s="109" t="inlineStr">
        <is>
          <t>Yes</t>
        </is>
      </c>
      <c r="X23" s="109" t="n">
        <v>0.471228524570132</v>
      </c>
      <c r="Y23" s="1106" t="n">
        <v>50.004</v>
      </c>
      <c r="Z23" s="1106" t="n">
        <v>5.438</v>
      </c>
      <c r="AA23" s="1107" t="n">
        <v>2.893343140860611</v>
      </c>
      <c r="AB23" s="109">
        <f>(AE23*AF23)/AC23</f>
        <v/>
      </c>
      <c r="AC23" s="1106" t="n">
        <v>33.787</v>
      </c>
      <c r="AD23" s="1106" t="n">
        <v>54.66770500000001</v>
      </c>
      <c r="AE23" s="1106" t="n">
        <v>6.3</v>
      </c>
      <c r="AF23" s="1107" t="n">
        <v>2.161923333333333</v>
      </c>
      <c r="AG23" s="110" t="inlineStr">
        <is>
          <t>1st Lien</t>
        </is>
      </c>
      <c r="AH23" s="110" t="inlineStr">
        <is>
          <t>Yes</t>
        </is>
      </c>
      <c r="AI23" s="110" t="inlineStr">
        <is>
          <t>3.0% / 2.0% / 1.0% / 1.0% / Par</t>
        </is>
      </c>
      <c r="AJ23" s="116" t="n">
        <v>5</v>
      </c>
    </row>
    <row r="24" ht="18.75" customFormat="1" customHeight="1" s="118">
      <c r="B24" s="119" t="inlineStr">
        <is>
          <t>Pro Forma Total /
Weighted Average - Eligible</t>
        </is>
      </c>
      <c r="C24" s="120" t="n"/>
      <c r="D24" s="120" t="n"/>
      <c r="E24" s="120" t="n"/>
      <c r="F24" s="121">
        <f>SUM(F8:F23)</f>
        <v/>
      </c>
      <c r="G24" s="120" t="n"/>
      <c r="H24" s="120" t="n"/>
      <c r="I24" s="122" t="n"/>
      <c r="J24" s="1108" t="n"/>
      <c r="K24" s="1109">
        <f>+SUMPRODUCT(K8:K23,$P$8:$P$23)/SUMPRODUCT($P$8:$P$23)</f>
        <v/>
      </c>
      <c r="L24" s="120" t="n"/>
      <c r="M24" s="120" t="n"/>
      <c r="N24" s="1110">
        <f>SUM(N8:N23)</f>
        <v/>
      </c>
      <c r="O24" s="1110">
        <f>SUM(O8:O23)</f>
        <v/>
      </c>
      <c r="P24" s="1110">
        <f>SUM(P8:P23)</f>
        <v/>
      </c>
      <c r="Q24" s="121">
        <f>+SUMPRODUCT(Q8:Q23,$P$8:$P$23)/SUMPRODUCT($P$8:$P$23)</f>
        <v/>
      </c>
      <c r="R24" s="121">
        <f>+SUMPRODUCT(R8:R23,$P$8:$P$23)/SUMPRODUCT($P$8:$P$23)</f>
        <v/>
      </c>
      <c r="S24" s="121">
        <f>+SUMPRODUCT(S8:S23,$P$8:$P$23)/SUMPRODUCT($P$8:$P$23)</f>
        <v/>
      </c>
      <c r="T24" s="121">
        <f>+SUMPRODUCT(T8:T23,$P$8:$P$23)/SUMPRODUCT($P$8:$P$23)</f>
        <v/>
      </c>
      <c r="U24" s="121">
        <f>+T24+S24</f>
        <v/>
      </c>
      <c r="V24" s="126" t="n"/>
      <c r="W24" s="126" t="n"/>
      <c r="X24" s="121">
        <f>+SUMPRODUCT(X8:X23,$P$8:$P$23)/SUMPRODUCT($P$8:$P$23)</f>
        <v/>
      </c>
      <c r="Y24" s="1110">
        <f>+SUMPRODUCT(Y8:Y23,$P$8:$P$23)/SUMPRODUCT($P$8:$P$23)</f>
        <v/>
      </c>
      <c r="Z24" s="1110">
        <f>+SUMPRODUCT(Z8:Z23,$P$8:$P$23)/SUMPRODUCT($P$8:$P$23)</f>
        <v/>
      </c>
      <c r="AA24" s="1111">
        <f>+SUMPRODUCT(AA8:AA23,$P$8:$P$23)/SUMPRODUCT($P$8:$P$23)</f>
        <v/>
      </c>
      <c r="AB24" s="121">
        <f>+SUMPRODUCT(AB8:AB23,$P$8:$P$23)/SUMPRODUCT($P$8:$P$23)</f>
        <v/>
      </c>
      <c r="AC24" s="1110">
        <f>+SUMPRODUCT(AC8:AC23,$P$8:$P$23)/SUMPRODUCT($P$8:$P$23)</f>
        <v/>
      </c>
      <c r="AD24" s="1110">
        <f>+SUMPRODUCT(AD8:AD23,$P$8:$P$23)/SUMPRODUCT($P$8:$P$23)</f>
        <v/>
      </c>
      <c r="AE24" s="1110">
        <f>+SUMPRODUCT(AE8:AE23,$P$8:$P$23)/SUMPRODUCT($P$8:$P$23)</f>
        <v/>
      </c>
      <c r="AF24" s="1111">
        <f>+SUMPRODUCT(AF8:AF23,$P$8:$P$23)/SUMPRODUCT($P$8:$P$23)</f>
        <v/>
      </c>
      <c r="AG24" s="128" t="n"/>
      <c r="AH24" s="129" t="n">
        <v>1</v>
      </c>
      <c r="AI24" s="128" t="n"/>
      <c r="AJ24" s="130">
        <f>+SUMPRODUCT(AJ8:AJ23,$P$8:$P$23)/SUMPRODUCT($P$8:$P$23)</f>
        <v/>
      </c>
    </row>
    <row r="25" ht="20.25" customHeight="1"/>
    <row r="26" ht="53.25" customFormat="1" customHeight="1" s="117">
      <c r="A26" s="1112" t="n"/>
      <c r="B26" s="105" t="n"/>
      <c r="C26" s="1102">
        <f>+C23+1</f>
        <v/>
      </c>
      <c r="D26" s="1103" t="inlineStr">
        <is>
          <t>Channel Factory</t>
        </is>
      </c>
      <c r="E26" s="1104" t="inlineStr">
        <is>
          <t>To Discuss</t>
        </is>
      </c>
      <c r="F26" s="109">
        <f>+P26/150</f>
        <v/>
      </c>
      <c r="G26" s="110" t="inlineStr">
        <is>
          <t>Video advertisement platform providing brand suitability and marketing performance optimization services through its proprietary and highly customizable software and data platform.</t>
        </is>
      </c>
      <c r="H26" s="110" t="inlineStr">
        <is>
          <t>Media</t>
        </is>
      </c>
      <c r="I26" s="111" t="n">
        <v>502010</v>
      </c>
      <c r="J26" s="111" t="inlineStr">
        <is>
          <t>Pacific</t>
        </is>
      </c>
      <c r="K26" s="1105" t="n">
        <v>7</v>
      </c>
      <c r="L26" s="113" t="n">
        <v>44070</v>
      </c>
      <c r="M26" s="113" t="n">
        <v>45896</v>
      </c>
      <c r="N26" s="1106" t="n">
        <v>0</v>
      </c>
      <c r="O26" s="1106" t="n">
        <v>2</v>
      </c>
      <c r="P26" s="1106">
        <f>+N26+O26</f>
        <v/>
      </c>
      <c r="Q26" s="109" t="n">
        <v>0</v>
      </c>
      <c r="R26" s="109" t="inlineStr">
        <is>
          <t>N/A</t>
        </is>
      </c>
      <c r="S26" s="109" t="n">
        <v>0.05</v>
      </c>
      <c r="T26" s="109" t="n">
        <v>0.05</v>
      </c>
      <c r="U26" s="109">
        <f>+S26+T26</f>
        <v/>
      </c>
      <c r="V26" s="109" t="inlineStr">
        <is>
          <t>Annually</t>
        </is>
      </c>
      <c r="W26" s="109" t="inlineStr">
        <is>
          <t>No</t>
        </is>
      </c>
      <c r="X26" s="109" t="inlineStr">
        <is>
          <t>N/A</t>
        </is>
      </c>
      <c r="Y26" s="1106" t="n">
        <v>71.77293</v>
      </c>
      <c r="Z26" s="1106" t="n">
        <v>6.68327</v>
      </c>
      <c r="AA26" s="1107" t="inlineStr">
        <is>
          <t>N/A</t>
        </is>
      </c>
      <c r="AB26" s="109" t="inlineStr">
        <is>
          <t>N/A</t>
        </is>
      </c>
      <c r="AC26" s="1106" t="n">
        <v>77.797</v>
      </c>
      <c r="AD26" s="1106" t="n">
        <v>109.421752</v>
      </c>
      <c r="AE26" s="1106" t="n">
        <v>11.465252</v>
      </c>
      <c r="AF26" s="1107" t="inlineStr">
        <is>
          <t>N/A</t>
        </is>
      </c>
      <c r="AG26" s="110" t="inlineStr">
        <is>
          <t>Unsecured</t>
        </is>
      </c>
      <c r="AH26" s="110" t="inlineStr">
        <is>
          <t>Yes</t>
        </is>
      </c>
      <c r="AI26" s="110" t="inlineStr">
        <is>
          <t>N/A</t>
        </is>
      </c>
      <c r="AJ26" s="116" t="n">
        <v>0</v>
      </c>
    </row>
    <row r="27" ht="18.75" customFormat="1" customHeight="1" s="118">
      <c r="B27" s="119" t="inlineStr">
        <is>
          <t>Pro Forma Total /
Weighted Average - To Discuss</t>
        </is>
      </c>
      <c r="C27" s="120" t="n"/>
      <c r="D27" s="120" t="n"/>
      <c r="E27" s="120" t="n"/>
      <c r="F27" s="121">
        <f>SUM(F26:F26)</f>
        <v/>
      </c>
      <c r="G27" s="120" t="n"/>
      <c r="H27" s="120" t="n"/>
      <c r="I27" s="122" t="n"/>
      <c r="J27" s="1108" t="n"/>
      <c r="K27" s="1109">
        <f>+SUMPRODUCT(K25:K26,$P$25:$P$26)/SUMPRODUCT($P$25:$P$26)</f>
        <v/>
      </c>
      <c r="L27" s="120" t="n"/>
      <c r="M27" s="120" t="n"/>
      <c r="N27" s="1110">
        <f>SUM(N26:N26)</f>
        <v/>
      </c>
      <c r="O27" s="1110">
        <f>SUM(O26:O26)</f>
        <v/>
      </c>
      <c r="P27" s="1110">
        <f>SUM(P26:P26)</f>
        <v/>
      </c>
      <c r="Q27" s="121">
        <f>+SUMPRODUCT(Q25:Q26,$P$25:$P$26)/SUMPRODUCT($P$25:$P$26)</f>
        <v/>
      </c>
      <c r="R27" s="121">
        <f>+SUMPRODUCT(R25:R26,$P$25:$P$26)/SUMPRODUCT($P$25:$P$26)</f>
        <v/>
      </c>
      <c r="S27" s="121">
        <f>+SUMPRODUCT(S25:S26,$P$25:$P$26)/SUMPRODUCT($P$25:$P$26)</f>
        <v/>
      </c>
      <c r="T27" s="121">
        <f>+SUMPRODUCT(T25:T26,$P$25:$P$26)/SUMPRODUCT($P$25:$P$26)</f>
        <v/>
      </c>
      <c r="U27" s="121">
        <f>+S27+T27</f>
        <v/>
      </c>
      <c r="V27" s="126" t="n"/>
      <c r="W27" s="126" t="n"/>
      <c r="X27" s="121">
        <f>+SUMPRODUCT(X25:X26,$P$25:$P$26)/SUMPRODUCT($P$25:$P$26)</f>
        <v/>
      </c>
      <c r="Y27" s="1110">
        <f>+SUMPRODUCT(Y25:Y26,$P$25:$P$26)/SUMPRODUCT($P$25:$P$26)</f>
        <v/>
      </c>
      <c r="Z27" s="1110">
        <f>+SUMPRODUCT(Z25:Z26,$P$25:$P$26)/SUMPRODUCT($P$25:$P$26)</f>
        <v/>
      </c>
      <c r="AA27" s="1111">
        <f>+SUMPRODUCT(AA25:AA26,$P$25:$P$26)/SUMPRODUCT($P$25:$P$26)</f>
        <v/>
      </c>
      <c r="AB27" s="121">
        <f>+SUMPRODUCT(AB25:AB26,$P$25:$P$26)/SUMPRODUCT($P$25:$P$26)</f>
        <v/>
      </c>
      <c r="AC27" s="1110">
        <f>+SUMPRODUCT(AC25:AC26,$P$25:$P$26)/SUMPRODUCT($P$25:$P$26)</f>
        <v/>
      </c>
      <c r="AD27" s="1110">
        <f>+SUMPRODUCT(AD25:AD26,$P$25:$P$26)/SUMPRODUCT($P$25:$P$26)</f>
        <v/>
      </c>
      <c r="AE27" s="1110">
        <f>+SUMPRODUCT(AE25:AE26,$P$25:$P$26)/SUMPRODUCT($P$25:$P$26)</f>
        <v/>
      </c>
      <c r="AF27" s="1111">
        <f>+SUMPRODUCT(AF25:AF26,$P$25:$P$26)/SUMPRODUCT($P$25:$P$26)</f>
        <v/>
      </c>
      <c r="AG27" s="128" t="n"/>
      <c r="AH27" s="129" t="n">
        <v>1</v>
      </c>
      <c r="AI27" s="128" t="n"/>
      <c r="AJ27" s="130">
        <f>+SUMPRODUCT(AJ25:AJ26,$P$25:$P$26)/SUMPRODUCT($P$25:$P$26)</f>
        <v/>
      </c>
    </row>
    <row r="28" ht="20.25" customHeight="1"/>
    <row r="29" ht="39" customFormat="1" customHeight="1" s="118">
      <c r="B29" s="132" t="inlineStr">
        <is>
          <t>Pro Forma Total /
Weighted Average - Total</t>
        </is>
      </c>
      <c r="C29" s="133" t="n"/>
      <c r="D29" s="133" t="n"/>
      <c r="E29" s="133" t="n"/>
      <c r="F29" s="134">
        <f>+F27+F24</f>
        <v/>
      </c>
      <c r="G29" s="133" t="n"/>
      <c r="H29" s="133" t="n"/>
      <c r="I29" s="135" t="n"/>
      <c r="J29" s="1113" t="n"/>
      <c r="K29" s="1114">
        <f>((K27*$P27)+(K24*$P24))/$P$29</f>
        <v/>
      </c>
      <c r="L29" s="133" t="n"/>
      <c r="M29" s="133" t="n"/>
      <c r="N29" s="1115">
        <f>+N27+N24</f>
        <v/>
      </c>
      <c r="O29" s="1115">
        <f>+O27+O24</f>
        <v/>
      </c>
      <c r="P29" s="1115">
        <f>+P27+P24</f>
        <v/>
      </c>
      <c r="Q29" s="134">
        <f>((Q27*$P27)+(Q24*$P24))/$P$29</f>
        <v/>
      </c>
      <c r="R29" s="134">
        <f>((R27*$P27)+(R24*$P24))/$P$29</f>
        <v/>
      </c>
      <c r="S29" s="134">
        <f>((S27*$P27)+(S24*$P24))/$P$29</f>
        <v/>
      </c>
      <c r="T29" s="134">
        <f>((T27*$P27)+(T24*$P24))/$P$29</f>
        <v/>
      </c>
      <c r="U29" s="134">
        <f>+T29+S29</f>
        <v/>
      </c>
      <c r="V29" s="139" t="n"/>
      <c r="W29" s="139" t="n"/>
      <c r="X29" s="134">
        <f>((X27*$P27)+(X24*$P24))/$P$29</f>
        <v/>
      </c>
      <c r="Y29" s="1115">
        <f>((Y27*$P27)+(Y24*$P24))/$P$29</f>
        <v/>
      </c>
      <c r="Z29" s="1115">
        <f>((Z27*$P27)+(Z24*$P24))/$P$29</f>
        <v/>
      </c>
      <c r="AA29" s="1116">
        <f>((AA27*$P27)+(AA24*$P24))/$P$29</f>
        <v/>
      </c>
      <c r="AB29" s="134">
        <f>((AB27*$P27)+(AB24*$P24))/$P$29</f>
        <v/>
      </c>
      <c r="AC29" s="1115">
        <f>((AC27*$P27)+(AC24*$P24))/$P$29</f>
        <v/>
      </c>
      <c r="AD29" s="1115">
        <f>((AD27*$P27)+(AD24*$P24))/$P$29</f>
        <v/>
      </c>
      <c r="AE29" s="1115">
        <f>((AE27*$P27)+(AE24*$P24))/$P$29</f>
        <v/>
      </c>
      <c r="AF29" s="1116">
        <f>((AF27*$P27)+(AF24*$P24))/$P$29</f>
        <v/>
      </c>
      <c r="AG29" s="141" t="n"/>
      <c r="AH29" s="142" t="n">
        <v>1</v>
      </c>
      <c r="AI29" s="141" t="n"/>
      <c r="AJ29" s="143">
        <f>((AJ27*$P27)+(AJ24*$P24))/$P$29</f>
        <v/>
      </c>
    </row>
    <row r="30" ht="20.25" customHeight="1"/>
    <row r="31">
      <c r="B31" s="144" t="inlineStr">
        <is>
          <t>Notes:</t>
        </is>
      </c>
      <c r="C31" s="145" t="n"/>
      <c r="D31" s="145" t="n"/>
      <c r="E31" s="145" t="n"/>
      <c r="G31" s="150" t="n"/>
      <c r="H31" s="150" t="n"/>
      <c r="I31" s="151" t="n"/>
      <c r="K31" s="150" t="n"/>
      <c r="L31" s="150" t="n"/>
      <c r="M31" s="150" t="n"/>
      <c r="N31" s="150" t="n"/>
      <c r="O31" s="150" t="n"/>
      <c r="R31" s="1117" t="n"/>
      <c r="S31" s="150" t="n"/>
      <c r="T31" s="150" t="n"/>
      <c r="U31" s="150" t="n"/>
      <c r="V31" s="150" t="n"/>
      <c r="W31" s="150" t="n"/>
      <c r="X31" s="150" t="n"/>
      <c r="Y31" s="150" t="n"/>
      <c r="Z31" s="150" t="n"/>
      <c r="AA31" s="1118" t="n"/>
      <c r="AB31" s="1118" t="n"/>
      <c r="AC31" s="1118" t="n"/>
      <c r="AD31" s="150" t="n"/>
      <c r="AE31" s="150" t="n"/>
      <c r="AF31" s="150" t="n"/>
      <c r="AG31" s="150" t="n"/>
      <c r="AH31" s="150" t="n"/>
      <c r="AI31" s="150" t="n"/>
      <c r="AJ31" s="150" t="n"/>
    </row>
    <row r="32" ht="15.75" customHeight="1">
      <c r="B32" s="149" t="inlineStr">
        <is>
          <t>1) Assumed $150 million of AUM (LP Capital + ABL).</t>
        </is>
      </c>
      <c r="C32" s="149" t="n"/>
      <c r="D32" s="149" t="n"/>
      <c r="E32" s="149" t="n"/>
      <c r="F32" s="150" t="n"/>
      <c r="G32" s="150" t="n"/>
      <c r="H32" s="150" t="n"/>
      <c r="I32" s="151" t="n"/>
      <c r="K32" s="150" t="n"/>
      <c r="L32" s="150" t="n"/>
      <c r="M32" s="150" t="n"/>
      <c r="N32" s="150" t="n"/>
      <c r="O32" s="150" t="n"/>
      <c r="P32" s="150" t="n"/>
      <c r="Q32" s="1119" t="n"/>
      <c r="R32" s="1119" t="n"/>
      <c r="S32" s="150" t="n"/>
      <c r="T32" s="150" t="n"/>
      <c r="U32" s="153" t="n"/>
      <c r="V32" s="153" t="n"/>
      <c r="W32" s="150" t="n"/>
      <c r="X32" s="150" t="n"/>
      <c r="Y32" s="150" t="n"/>
      <c r="Z32" s="150" t="n"/>
      <c r="AA32" s="150" t="n"/>
      <c r="AB32" s="150" t="n"/>
      <c r="AC32" s="150" t="n"/>
      <c r="AD32" s="150" t="n"/>
      <c r="AE32" s="150" t="n"/>
      <c r="AF32" s="150" t="n"/>
      <c r="AG32" s="150" t="n"/>
      <c r="AH32" s="150" t="n"/>
      <c r="AI32" s="150" t="n"/>
      <c r="AJ32" s="150" t="n"/>
    </row>
    <row r="33">
      <c r="B33" s="154" t="inlineStr">
        <is>
          <t xml:space="preserve">2) As of 12/31/2020. Leverage through Star Mountain's secured loan. Debt / EBITDA that is reported as “N/A” is for companies with negative EBITDA; Debt / EBITDA that is reported as “N/M” is shown for companies with a Debt / EBITDA greater than 50x; the Total / Weighted Average summary line is inclusive of all companies financials regardless of “N/M” or “N/A” status. </t>
        </is>
      </c>
      <c r="C33" s="154" t="n"/>
      <c r="D33" s="154" t="n"/>
      <c r="E33" s="154" t="n"/>
      <c r="F33" s="760" t="n"/>
      <c r="G33" s="760" t="n"/>
      <c r="H33" s="760" t="n"/>
      <c r="I33" s="156" t="n"/>
      <c r="K33" s="760" t="n"/>
      <c r="L33" s="760" t="n"/>
      <c r="M33" s="760" t="n"/>
      <c r="N33" s="760" t="n"/>
      <c r="O33" s="760" t="n"/>
      <c r="P33" s="760" t="n"/>
      <c r="Q33" s="760" t="n"/>
      <c r="R33" s="760" t="n"/>
      <c r="S33" s="760" t="n"/>
      <c r="T33" s="760" t="n"/>
      <c r="U33" s="760" t="n"/>
      <c r="V33" s="760" t="n"/>
      <c r="W33" s="760" t="n"/>
      <c r="X33" s="150" t="n"/>
      <c r="Y33" s="150" t="n"/>
      <c r="Z33" s="150" t="n"/>
      <c r="AA33" s="760" t="n"/>
      <c r="AB33" s="760" t="n"/>
      <c r="AC33" s="760" t="n"/>
      <c r="AD33" s="150" t="n"/>
      <c r="AE33" s="150" t="n"/>
      <c r="AF33" s="760" t="n"/>
      <c r="AG33" s="760" t="n"/>
      <c r="AH33" s="760" t="n"/>
      <c r="AI33" s="760" t="n"/>
      <c r="AJ33" s="760" t="n"/>
    </row>
    <row r="34">
      <c r="B34" s="154" t="inlineStr">
        <is>
          <t>3) Economic terms for Channel Factory refers to the Preferred Equity security.</t>
        </is>
      </c>
      <c r="C34" s="154" t="n"/>
      <c r="D34" s="154" t="n"/>
      <c r="E34" s="154" t="n"/>
      <c r="F34" s="760" t="n"/>
      <c r="G34" s="760" t="n"/>
      <c r="H34" s="760" t="n"/>
      <c r="I34" s="156" t="n"/>
      <c r="K34" s="760" t="n"/>
      <c r="L34" s="760" t="n"/>
      <c r="M34" s="760" t="n"/>
      <c r="N34" s="760" t="n"/>
      <c r="O34" s="760" t="n"/>
      <c r="P34" s="760" t="n"/>
      <c r="Q34" s="760" t="n"/>
      <c r="R34" s="760" t="n"/>
      <c r="S34" s="760" t="n"/>
      <c r="T34" s="760" t="n"/>
      <c r="U34" s="760" t="n"/>
      <c r="V34" s="760" t="n"/>
      <c r="W34" s="760" t="n"/>
      <c r="X34" s="150" t="n"/>
      <c r="Y34" s="150" t="n"/>
      <c r="Z34" s="150" t="n"/>
      <c r="AA34" s="760" t="n"/>
      <c r="AB34" s="760" t="n"/>
      <c r="AC34" s="760" t="n"/>
      <c r="AD34" s="150" t="n"/>
      <c r="AE34" s="150" t="n"/>
      <c r="AF34" s="760" t="n"/>
      <c r="AG34" s="760" t="n"/>
      <c r="AH34" s="760" t="n"/>
      <c r="AI34" s="760" t="n"/>
      <c r="AJ34" s="760" t="n"/>
    </row>
    <row r="35">
      <c r="B35" s="154" t="inlineStr">
        <is>
          <t xml:space="preserve">4) Maturity Date relates to the debt security for each company. Maturity Date for Channel Factory refers to the date where Star Mountain can exercise its put option. </t>
        </is>
      </c>
    </row>
    <row r="36">
      <c r="B36" s="154" t="inlineStr">
        <is>
          <t>5) Investment Dates for PureCars, Microf and NSC Technologies relate to the original investment, pre-dating the Fund.</t>
        </is>
      </c>
    </row>
  </sheetData>
  <conditionalFormatting sqref="B8:F8 B10:D23 B26:X26 C9:D9 E9:K23 H8:K8 L8:X23 Y16:Z23 AA8:AB23 AA26:AB26 AD11:AJ23 AF8:AJ9 AF26:AJ26 AG10:AJ10">
    <cfRule type="expression" priority="16" dxfId="2">
      <formula>MOD(ROW(),2)=0</formula>
    </cfRule>
  </conditionalFormatting>
  <conditionalFormatting sqref="B20">
    <cfRule type="expression" priority="15" dxfId="2">
      <formula>MOD(ROW(),2)=0</formula>
    </cfRule>
  </conditionalFormatting>
  <conditionalFormatting sqref="D20">
    <cfRule type="expression" priority="14" dxfId="2">
      <formula>MOD(ROW(),2)=0</formula>
    </cfRule>
  </conditionalFormatting>
  <conditionalFormatting sqref="B9:B12 D9:D12">
    <cfRule type="expression" priority="13" dxfId="2">
      <formula>MOD(ROW(),2)=0</formula>
    </cfRule>
  </conditionalFormatting>
  <conditionalFormatting sqref="D10 D13">
    <cfRule type="expression" priority="12" dxfId="2">
      <formula>MOD(ROW(),2)=0</formula>
    </cfRule>
  </conditionalFormatting>
  <conditionalFormatting sqref="G8">
    <cfRule type="expression" priority="11" dxfId="2">
      <formula>MOD(ROW(),2)=0</formula>
    </cfRule>
  </conditionalFormatting>
  <conditionalFormatting sqref="Y8:Z14">
    <cfRule type="expression" priority="10" dxfId="2">
      <formula>MOD(ROW(),2)=0</formula>
    </cfRule>
  </conditionalFormatting>
  <conditionalFormatting sqref="Y26:Z26">
    <cfRule type="expression" priority="9" dxfId="2">
      <formula>MOD(ROW(),2)=0</formula>
    </cfRule>
  </conditionalFormatting>
  <conditionalFormatting sqref="AD8:AE9">
    <cfRule type="expression" priority="8" dxfId="2">
      <formula>MOD(ROW(),2)=0</formula>
    </cfRule>
  </conditionalFormatting>
  <conditionalFormatting sqref="AD26:AE26">
    <cfRule type="expression" priority="7" dxfId="2">
      <formula>MOD(ROW(),2)=0</formula>
    </cfRule>
  </conditionalFormatting>
  <conditionalFormatting sqref="Y15:Z15">
    <cfRule type="expression" priority="6" dxfId="2">
      <formula>MOD(ROW(),2)=0</formula>
    </cfRule>
  </conditionalFormatting>
  <conditionalFormatting sqref="AF10">
    <cfRule type="expression" priority="5" dxfId="2">
      <formula>MOD(ROW(),2)=0</formula>
    </cfRule>
  </conditionalFormatting>
  <conditionalFormatting sqref="AD10:AE10">
    <cfRule type="expression" priority="4" dxfId="2">
      <formula>MOD(ROW(),2)=0</formula>
    </cfRule>
  </conditionalFormatting>
  <conditionalFormatting sqref="F26">
    <cfRule type="expression" priority="3" dxfId="2">
      <formula>MOD(ROW(),2)=0</formula>
    </cfRule>
  </conditionalFormatting>
  <conditionalFormatting sqref="AC8:AC23">
    <cfRule type="expression" priority="2" dxfId="2">
      <formula>MOD(ROW(),2)=0</formula>
    </cfRule>
  </conditionalFormatting>
  <conditionalFormatting sqref="AC26">
    <cfRule type="expression" priority="1" dxfId="2">
      <formula>MOD(ROW(),2)=0</formula>
    </cfRule>
  </conditionalFormatting>
  <pageMargins left="0.7" right="0.7" top="0.75" bottom="0.75" header="0.3" footer="0.3"/>
  <pageSetup orientation="landscape" scale="22" horizontalDpi="1200" verticalDpi="1200"/>
  <drawing xmlns:r="http://schemas.openxmlformats.org/officeDocument/2006/relationships" r:id="rId1"/>
</worksheet>
</file>

<file path=xl/worksheets/sheet5.xml><?xml version="1.0" encoding="utf-8"?>
<worksheet xmlns="http://schemas.openxmlformats.org/spreadsheetml/2006/main">
  <sheetPr codeName="Sheet6">
    <outlinePr summaryBelow="1" summaryRight="1"/>
    <pageSetUpPr/>
  </sheetPr>
  <dimension ref="A1:J77"/>
  <sheetViews>
    <sheetView workbookViewId="0">
      <selection activeCell="A4" sqref="A4:A8"/>
    </sheetView>
  </sheetViews>
  <sheetFormatPr baseColWidth="8" defaultRowHeight="15"/>
  <cols>
    <col width="36.28515625" bestFit="1" customWidth="1" min="1" max="1"/>
    <col width="71.28515625" bestFit="1" customWidth="1" min="2" max="2"/>
    <col width="25.28515625" customWidth="1" min="3" max="3"/>
    <col width="14.5703125" bestFit="1" customWidth="1" min="4" max="4"/>
    <col width="22.5703125" bestFit="1" customWidth="1" min="5" max="5"/>
    <col width="14.28515625" customWidth="1" min="6" max="6"/>
    <col width="14" customWidth="1" min="7" max="7"/>
    <col width="35.28515625" bestFit="1" customWidth="1" min="8" max="8"/>
    <col width="17.5703125" customWidth="1" min="9" max="9"/>
    <col width="11.5703125" customWidth="1" min="10" max="10"/>
    <col width="22.5703125" bestFit="1" customWidth="1" min="11" max="11"/>
  </cols>
  <sheetData>
    <row r="1" ht="15.75" customFormat="1" customHeight="1" s="374" thickBot="1">
      <c r="A1" s="599" t="inlineStr">
        <is>
          <t>Eligiblility Criteria</t>
        </is>
      </c>
      <c r="B1" s="600" t="n"/>
      <c r="C1" s="600" t="n"/>
      <c r="D1" s="600" t="n"/>
      <c r="E1" s="600" t="n"/>
      <c r="F1" s="600" t="n"/>
      <c r="G1" s="600" t="n"/>
      <c r="H1" s="601" t="n"/>
    </row>
    <row r="2" ht="14.25" customFormat="1" customHeight="1" s="374"/>
    <row r="3" ht="57" customFormat="1" customHeight="1" s="603">
      <c r="A3" s="602" t="inlineStr">
        <is>
          <t>Eligible loan types</t>
        </is>
      </c>
      <c r="B3" s="602" t="inlineStr">
        <is>
          <t>Minimum EBITDA for Second Lien (in $MM)</t>
        </is>
      </c>
      <c r="C3" s="602" t="inlineStr">
        <is>
          <t>Max Senior Leverage Ratio</t>
        </is>
      </c>
      <c r="D3" s="602" t="inlineStr">
        <is>
          <t>Max Total Leverage Ratio at Inclusion</t>
        </is>
      </c>
      <c r="E3" s="602" t="inlineStr">
        <is>
          <t>Minimum acquired price</t>
        </is>
      </c>
      <c r="F3" s="602" t="inlineStr">
        <is>
          <t>Maximum Original Maturity</t>
        </is>
      </c>
      <c r="G3" s="602" t="inlineStr">
        <is>
          <t>Domicile</t>
        </is>
      </c>
      <c r="H3" s="602" t="inlineStr">
        <is>
          <t>Not eligibile security types</t>
        </is>
      </c>
    </row>
    <row r="4" ht="14.25" customFormat="1" customHeight="1" s="374">
      <c r="A4" s="604" t="inlineStr">
        <is>
          <t>First Lien</t>
        </is>
      </c>
      <c r="B4" s="1120" t="n">
        <v>10</v>
      </c>
      <c r="C4" s="608" t="inlineStr">
        <is>
          <t>n/a</t>
        </is>
      </c>
      <c r="D4" s="608" t="n">
        <v>6.5</v>
      </c>
      <c r="E4" s="607" t="n">
        <v>0.9</v>
      </c>
      <c r="F4" s="608" t="n">
        <v>7</v>
      </c>
      <c r="G4" s="609" t="inlineStr">
        <is>
          <t>United States</t>
        </is>
      </c>
      <c r="H4" s="604" t="inlineStr">
        <is>
          <t>mezzanine loan</t>
        </is>
      </c>
      <c r="I4" s="610" t="n"/>
      <c r="J4" s="610" t="n"/>
    </row>
    <row r="5" ht="14.25" customFormat="1" customHeight="1" s="374">
      <c r="A5" s="611" t="inlineStr">
        <is>
          <t>FILO</t>
        </is>
      </c>
      <c r="H5" s="611" t="inlineStr">
        <is>
          <t>unsecured loan</t>
        </is>
      </c>
    </row>
    <row r="6" ht="14.25" customFormat="1" customHeight="1" s="374">
      <c r="A6" s="611" t="inlineStr">
        <is>
          <t>DDTL</t>
        </is>
      </c>
      <c r="H6" s="611" t="inlineStr">
        <is>
          <t>structured finance</t>
        </is>
      </c>
    </row>
    <row r="7" ht="14.25" customFormat="1" customHeight="1" s="374">
      <c r="A7" s="611" t="inlineStr">
        <is>
          <t>Revolver</t>
        </is>
      </c>
      <c r="H7" s="611" t="inlineStr">
        <is>
          <t>synthetic obligation</t>
        </is>
      </c>
    </row>
    <row r="8" ht="14.25" customFormat="1" customHeight="1" s="374">
      <c r="A8" s="611" t="inlineStr">
        <is>
          <t>Second Lien</t>
        </is>
      </c>
      <c r="H8" s="611" t="inlineStr">
        <is>
          <t>DIP</t>
        </is>
      </c>
    </row>
    <row r="9" ht="14.25" customFormat="1" customHeight="1" s="374">
      <c r="A9" s="611" t="n"/>
      <c r="H9" s="611" t="inlineStr">
        <is>
          <t>PIK</t>
        </is>
      </c>
    </row>
    <row r="10" ht="14.25" customFormat="1" customHeight="1" s="374">
      <c r="A10" s="611" t="n"/>
      <c r="H10" s="611" t="inlineStr">
        <is>
          <t>corporate rescue loan</t>
        </is>
      </c>
    </row>
    <row r="11" ht="14.25" customFormat="1" customHeight="1" s="374">
      <c r="H11" s="611" t="inlineStr">
        <is>
          <t>project finance loan</t>
        </is>
      </c>
    </row>
    <row r="12" ht="14.25" customFormat="1" customHeight="1" s="374">
      <c r="H12" s="611" t="inlineStr">
        <is>
          <t>credit linked note</t>
        </is>
      </c>
    </row>
    <row r="13" ht="14.25" customFormat="1" customHeight="1" s="374">
      <c r="H13" s="611" t="inlineStr">
        <is>
          <t xml:space="preserve">single purpose real estate </t>
        </is>
      </c>
    </row>
    <row r="14" ht="14.25" customFormat="1" customHeight="1" s="374">
      <c r="H14" s="611" t="inlineStr">
        <is>
          <t>construction loan</t>
        </is>
      </c>
    </row>
    <row r="15" ht="14.25" customFormat="1" customHeight="1" s="374">
      <c r="H15" s="611" t="inlineStr">
        <is>
          <t>CLO Security</t>
        </is>
      </c>
    </row>
    <row r="16" ht="14.25" customFormat="1" customHeight="1" s="374">
      <c r="H16" s="611" t="inlineStr">
        <is>
          <t>margin stock</t>
        </is>
      </c>
    </row>
    <row r="17" ht="14.25" customFormat="1" customHeight="1" s="374">
      <c r="H17" s="611" t="inlineStr">
        <is>
          <t>equity interest</t>
        </is>
      </c>
    </row>
    <row r="18" ht="14.25" customFormat="1" customHeight="1" s="374"/>
    <row r="19" ht="14.25" customFormat="1" customHeight="1" s="374"/>
    <row r="20" customFormat="1" s="374" thickBot="1"/>
    <row r="21" ht="15.75" customFormat="1" customHeight="1" s="374" thickBot="1">
      <c r="A21" s="599" t="inlineStr">
        <is>
          <t>Advance Rate</t>
        </is>
      </c>
      <c r="B21" s="612" t="n"/>
      <c r="C21" s="612" t="n"/>
      <c r="D21" s="613" t="n"/>
    </row>
    <row r="22" ht="14.25" customFormat="1" customHeight="1" s="374">
      <c r="A22" s="614" t="inlineStr">
        <is>
          <t>EBITDA (in $MM)</t>
        </is>
      </c>
      <c r="B22" s="615" t="inlineStr">
        <is>
          <t>&gt;</t>
        </is>
      </c>
      <c r="C22" s="615" t="inlineStr">
        <is>
          <t>&lt;=</t>
        </is>
      </c>
    </row>
    <row r="23" ht="14.25" customFormat="1" customHeight="1" s="374">
      <c r="A23" s="616" t="inlineStr">
        <is>
          <t xml:space="preserve">First Lien Loans with EBITDA </t>
        </is>
      </c>
      <c r="B23" s="1121" t="n">
        <v>20</v>
      </c>
      <c r="C23" s="618" t="n"/>
      <c r="D23" s="619" t="n">
        <v>0.675</v>
      </c>
    </row>
    <row r="24" ht="14.25" customFormat="1" customHeight="1" s="374">
      <c r="A24" s="616" t="inlineStr">
        <is>
          <t>First Lien Loan with EBITDA</t>
        </is>
      </c>
      <c r="B24" s="1121" t="n">
        <v>10</v>
      </c>
      <c r="C24" s="1121" t="n">
        <v>20</v>
      </c>
      <c r="D24" s="620" t="n">
        <v>0.65</v>
      </c>
    </row>
    <row r="25" ht="14.25" customFormat="1" customHeight="1" s="374">
      <c r="A25" s="616" t="inlineStr">
        <is>
          <t>First Lien Loan with EBITDA</t>
        </is>
      </c>
      <c r="B25" s="1121" t="n"/>
      <c r="C25" s="1121" t="n">
        <v>10</v>
      </c>
      <c r="D25" s="619" t="n">
        <v>0.625</v>
      </c>
    </row>
    <row r="26" ht="14.25" customFormat="1" customHeight="1" s="374">
      <c r="A26" s="614" t="inlineStr">
        <is>
          <t>Senior Net Leverage</t>
        </is>
      </c>
      <c r="B26" s="621" t="n"/>
      <c r="C26" s="621" t="n"/>
    </row>
    <row r="27" ht="14.25" customFormat="1" customHeight="1" s="374">
      <c r="A27" s="616" t="inlineStr">
        <is>
          <t>First Lien Last Out Loan</t>
        </is>
      </c>
      <c r="B27" s="618" t="n"/>
      <c r="C27" s="618" t="n">
        <v>0.75</v>
      </c>
      <c r="D27" s="622" t="n">
        <v>0.625</v>
      </c>
    </row>
    <row r="28" ht="14.25" customFormat="1" customHeight="1" s="374">
      <c r="A28" s="616" t="inlineStr">
        <is>
          <t>First Lien Last Out Loan</t>
        </is>
      </c>
      <c r="B28" s="618" t="n">
        <v>0.75</v>
      </c>
      <c r="C28" s="618" t="n">
        <v>1.25</v>
      </c>
      <c r="D28" s="622" t="n">
        <v>0.575</v>
      </c>
    </row>
    <row r="29" ht="14.25" customFormat="1" customHeight="1" s="374">
      <c r="A29" s="616" t="inlineStr">
        <is>
          <t>First Lien Last Out Loan</t>
        </is>
      </c>
      <c r="B29" s="618" t="n">
        <v>1.25</v>
      </c>
      <c r="C29" s="618" t="n"/>
      <c r="D29" s="622" t="n">
        <v>0.45</v>
      </c>
    </row>
    <row r="30" ht="14.25" customFormat="1" customHeight="1" s="374">
      <c r="D30" s="623" t="n"/>
    </row>
    <row r="31" ht="14.25" customFormat="1" customHeight="1" s="374">
      <c r="A31" s="616" t="inlineStr">
        <is>
          <t>Second Lien Loan</t>
        </is>
      </c>
      <c r="B31" s="618" t="inlineStr">
        <is>
          <t>na</t>
        </is>
      </c>
      <c r="C31" s="618" t="inlineStr">
        <is>
          <t>na</t>
        </is>
      </c>
      <c r="D31" s="622" t="n">
        <v>0.45</v>
      </c>
    </row>
    <row r="32" ht="14.25" customFormat="1" customHeight="1" s="374"/>
    <row r="33" hidden="1" ht="14.25" customFormat="1" customHeight="1" s="628">
      <c r="A33" s="624" t="inlineStr">
        <is>
          <t xml:space="preserve">For loans Senior Net Leverage exceeds </t>
        </is>
      </c>
      <c r="B33" s="625" t="n"/>
      <c r="C33" s="626" t="n"/>
      <c r="D33" s="627" t="n"/>
    </row>
    <row r="34" hidden="1" ht="14.25" customFormat="1" customHeight="1" s="628">
      <c r="A34" s="629" t="inlineStr">
        <is>
          <t>above portion will advance at</t>
        </is>
      </c>
      <c r="B34" s="630" t="n"/>
      <c r="D34" s="631" t="n"/>
    </row>
    <row r="35" hidden="1" ht="14.25" customFormat="1" customHeight="1" s="628">
      <c r="A35" s="629" t="inlineStr">
        <is>
          <t xml:space="preserve">will receive </t>
        </is>
      </c>
      <c r="B35" s="630" t="n"/>
      <c r="C35" s="628" t="inlineStr">
        <is>
          <t>advance</t>
        </is>
      </c>
      <c r="D35" s="631" t="n"/>
    </row>
    <row r="36" hidden="1" ht="14.25" customFormat="1" customHeight="1" s="628">
      <c r="A36" s="632" t="inlineStr">
        <is>
          <t>for the portion of Total Lev &gt;</t>
        </is>
      </c>
      <c r="B36" s="1122" t="n"/>
      <c r="C36" s="634" t="n"/>
      <c r="D36" s="635" t="n"/>
    </row>
    <row r="37" ht="14.25" customFormat="1" customHeight="1" s="374">
      <c r="A37" s="636" t="n"/>
    </row>
    <row r="38" customFormat="1" s="374" thickBot="1"/>
    <row r="39" ht="15.75" customFormat="1" customHeight="1" s="374" thickBot="1">
      <c r="A39" s="599" t="inlineStr">
        <is>
          <t>Maximum Portfolio Advance Rate</t>
        </is>
      </c>
      <c r="B39" s="612" t="n"/>
      <c r="C39" s="612" t="n"/>
      <c r="D39" s="613" t="n"/>
    </row>
    <row r="40" ht="14.25" customFormat="1" customHeight="1" s="374">
      <c r="B40" s="637" t="inlineStr">
        <is>
          <t>&gt;=</t>
        </is>
      </c>
      <c r="C40" s="637" t="inlineStr">
        <is>
          <t>&lt;</t>
        </is>
      </c>
    </row>
    <row r="41" ht="14.25" customFormat="1" customHeight="1" s="374">
      <c r="A41" s="638" t="inlineStr">
        <is>
          <t xml:space="preserve">discrete obligors </t>
        </is>
      </c>
      <c r="B41" s="639" t="n">
        <v>20</v>
      </c>
      <c r="C41" s="639" t="n"/>
      <c r="D41" s="640" t="n">
        <v>0.65</v>
      </c>
    </row>
    <row r="42" ht="14.25" customFormat="1" customHeight="1" s="374">
      <c r="A42" s="638" t="inlineStr">
        <is>
          <t xml:space="preserve">discrete obligors </t>
        </is>
      </c>
      <c r="B42" s="639" t="n">
        <v>12</v>
      </c>
      <c r="C42" s="639" t="n">
        <v>20</v>
      </c>
      <c r="D42" s="640" t="n">
        <v>0.625</v>
      </c>
    </row>
    <row r="43" ht="14.25" customFormat="1" customHeight="1" s="374">
      <c r="A43" s="638" t="inlineStr">
        <is>
          <t xml:space="preserve">discrete obligors </t>
        </is>
      </c>
      <c r="B43" s="639" t="n"/>
      <c r="C43" s="639" t="n">
        <v>12</v>
      </c>
      <c r="D43" s="640" t="n">
        <v>0.55</v>
      </c>
    </row>
    <row r="44" ht="14.25" customFormat="1" customHeight="1" s="374"/>
    <row r="45" customFormat="1" s="374" thickBot="1"/>
    <row r="46" ht="15.75" customFormat="1" customHeight="1" s="374" thickBot="1">
      <c r="A46" s="599" t="inlineStr">
        <is>
          <t>Assigned Value Grid</t>
        </is>
      </c>
      <c r="B46" s="612" t="n"/>
      <c r="C46" s="612" t="n"/>
      <c r="D46" s="613" t="n"/>
    </row>
    <row r="47" ht="14.25" customFormat="1" customHeight="1" s="374"/>
    <row r="48" ht="38.25" customFormat="1" customHeight="1" s="603">
      <c r="A48" s="535" t="inlineStr">
        <is>
          <t>Obligor</t>
        </is>
      </c>
      <c r="B48" s="534" t="inlineStr">
        <is>
          <t>First Lien Loans (senior net lev)</t>
        </is>
      </c>
      <c r="C48" s="534" t="inlineStr">
        <is>
          <t>FLLO/2nd Lien Loans (Total Net Lev)</t>
        </is>
      </c>
      <c r="D48" s="534" t="inlineStr">
        <is>
          <t>Applicable Collateral Value</t>
        </is>
      </c>
    </row>
    <row r="49" ht="14.25" customFormat="1" customHeight="1" s="374">
      <c r="A49" s="641" t="inlineStr">
        <is>
          <t>Tier 1</t>
        </is>
      </c>
      <c r="B49" s="642" t="n">
        <v>3.25</v>
      </c>
      <c r="C49" s="642" t="n">
        <v>3.75</v>
      </c>
      <c r="D49" s="643" t="n">
        <v>1</v>
      </c>
    </row>
    <row r="50" ht="14.25" customFormat="1" customHeight="1" s="374">
      <c r="A50" s="641" t="inlineStr">
        <is>
          <t>Tier 2</t>
        </is>
      </c>
      <c r="B50" s="642" t="n">
        <v>4</v>
      </c>
      <c r="C50" s="642" t="n">
        <v>4.25</v>
      </c>
      <c r="D50" s="643" t="n">
        <v>0.925</v>
      </c>
    </row>
    <row r="51" customFormat="1" s="374" thickBot="1">
      <c r="A51" s="644" t="inlineStr">
        <is>
          <t>Tier 3</t>
        </is>
      </c>
      <c r="B51" s="645" t="n">
        <v>5</v>
      </c>
      <c r="C51" s="645" t="n">
        <v>5</v>
      </c>
      <c r="D51" s="646" t="n">
        <v>0.85</v>
      </c>
    </row>
    <row r="52" customFormat="1" s="374" thickBot="1">
      <c r="A52" s="647" t="inlineStr">
        <is>
          <t>portion of 0% value if Leverage</t>
        </is>
      </c>
      <c r="B52" s="648" t="inlineStr">
        <is>
          <t>&gt;=</t>
        </is>
      </c>
      <c r="C52" s="649" t="n">
        <v>5</v>
      </c>
      <c r="D52" s="650" t="n">
        <v>0</v>
      </c>
    </row>
    <row r="53" ht="14.25" customFormat="1" customHeight="1" s="374">
      <c r="A53" s="322" t="inlineStr">
        <is>
          <t>Total 0% if leverage at inclusion</t>
        </is>
      </c>
      <c r="B53" s="614" t="inlineStr">
        <is>
          <t>&gt;</t>
        </is>
      </c>
      <c r="C53" s="651" t="n">
        <v>6.5</v>
      </c>
      <c r="D53" s="652" t="n">
        <v>0</v>
      </c>
    </row>
    <row r="54" customFormat="1" s="374" thickBot="1">
      <c r="I54" s="653" t="n"/>
    </row>
    <row r="55" ht="15.75" customFormat="1" customHeight="1" s="374" thickBot="1">
      <c r="A55" s="599" t="inlineStr">
        <is>
          <t>Concentration Limitation</t>
        </is>
      </c>
      <c r="B55" s="612" t="n"/>
      <c r="C55" s="612" t="n"/>
      <c r="D55" s="613" t="n"/>
    </row>
    <row r="56" ht="14.25" customFormat="1" customHeight="1" s="374"/>
    <row r="57" ht="14.25" customFormat="1" customHeight="1" s="374">
      <c r="A57" s="571" t="inlineStr">
        <is>
          <t>1a</t>
        </is>
      </c>
      <c r="B57" s="374" t="inlineStr">
        <is>
          <t>Max Second lien and FILO with senior lev in front of SMC &gt;= 1.50x</t>
        </is>
      </c>
      <c r="C57" s="1123" t="n">
        <v>1.5</v>
      </c>
      <c r="D57" s="655" t="n">
        <v>0.2</v>
      </c>
    </row>
    <row r="58" ht="14.25" customFormat="1" customHeight="1" s="374">
      <c r="A58" s="571" t="inlineStr">
        <is>
          <t>1b</t>
        </is>
      </c>
      <c r="B58" s="374" t="inlineStr">
        <is>
          <t>Max Second Lien</t>
        </is>
      </c>
      <c r="D58" s="655" t="n">
        <v>0.1</v>
      </c>
    </row>
    <row r="59" ht="14.25" customFormat="1" customHeight="1" s="374">
      <c r="A59" s="571" t="n">
        <v>2</v>
      </c>
      <c r="B59" s="374" t="inlineStr">
        <is>
          <t>Max Non-First Lien (Second Lien and FILO with Senior Lev in front of SMC &gt; )</t>
        </is>
      </c>
      <c r="C59" s="1123" t="n">
        <v>1</v>
      </c>
      <c r="D59" s="655" t="n">
        <v>0.3</v>
      </c>
    </row>
    <row r="60" ht="14.25" customFormat="1" customHeight="1" s="374">
      <c r="A60" s="571" t="n">
        <v>3</v>
      </c>
      <c r="B60" s="374" t="inlineStr">
        <is>
          <t xml:space="preserve">Max EBITDA &lt; (in $MM) </t>
        </is>
      </c>
      <c r="C60" s="656" t="n">
        <v>5</v>
      </c>
      <c r="D60" s="655" t="n">
        <v>0.15</v>
      </c>
      <c r="I60" s="653" t="n"/>
    </row>
    <row r="61" ht="14.25" customFormat="1" customHeight="1" s="374">
      <c r="A61" s="571" t="n">
        <v>4</v>
      </c>
      <c r="B61" s="374" t="inlineStr">
        <is>
          <t>Max Obligors</t>
        </is>
      </c>
      <c r="D61" s="655" t="n">
        <v>0.075</v>
      </c>
    </row>
    <row r="62" ht="14.25" customFormat="1" customHeight="1" s="374">
      <c r="A62" s="571" t="inlineStr">
        <is>
          <t>5a</t>
        </is>
      </c>
      <c r="B62" s="374" t="inlineStr">
        <is>
          <t>Max Largest Industry</t>
        </is>
      </c>
      <c r="D62" s="655" t="n">
        <v>0.2</v>
      </c>
    </row>
    <row r="63" ht="14.25" customFormat="1" customHeight="1" s="374">
      <c r="A63" s="571" t="inlineStr">
        <is>
          <t>5b</t>
        </is>
      </c>
      <c r="B63" s="374" t="inlineStr">
        <is>
          <t>Max Second Largest Industry</t>
        </is>
      </c>
      <c r="D63" s="655" t="n">
        <v>0.15</v>
      </c>
    </row>
    <row r="64" ht="14.25" customFormat="1" customHeight="1" s="374">
      <c r="A64" s="571" t="inlineStr">
        <is>
          <t>5c</t>
        </is>
      </c>
      <c r="B64" s="374" t="inlineStr">
        <is>
          <t>Max Other Industries</t>
        </is>
      </c>
      <c r="D64" s="655" t="n">
        <v>0.1</v>
      </c>
    </row>
    <row r="65" ht="14.25" customFormat="1" customHeight="1" s="374">
      <c r="A65" s="571" t="n">
        <v>6</v>
      </c>
      <c r="B65" s="374" t="inlineStr">
        <is>
          <t>Max Fixed Rate</t>
        </is>
      </c>
      <c r="D65" s="655" t="n">
        <v>0.1</v>
      </c>
    </row>
    <row r="66" ht="14.25" customFormat="1" customHeight="1" s="374">
      <c r="A66" s="571" t="n">
        <v>7</v>
      </c>
      <c r="B66" s="374" t="inlineStr">
        <is>
          <t>Max limit industry</t>
        </is>
      </c>
      <c r="D66" s="655" t="n">
        <v>0.1</v>
      </c>
    </row>
    <row r="67" ht="14.25" customFormat="1" customHeight="1" s="374">
      <c r="A67" s="571" t="n">
        <v>8</v>
      </c>
      <c r="B67" s="374" t="inlineStr">
        <is>
          <t>Max DDTL and Revolver</t>
        </is>
      </c>
      <c r="D67" s="655" t="n">
        <v>0.15</v>
      </c>
    </row>
    <row r="68" ht="14.25" customFormat="1" customHeight="1" s="374">
      <c r="A68" s="571" t="inlineStr">
        <is>
          <t>9a</t>
        </is>
      </c>
      <c r="B68" s="374" t="inlineStr">
        <is>
          <t>Max Non-Sponsor/Non-Family Office</t>
        </is>
      </c>
      <c r="D68" s="655" t="n">
        <v>0.15</v>
      </c>
    </row>
    <row r="69" ht="14.25" customFormat="1" customHeight="1" s="374">
      <c r="A69" s="571" t="inlineStr">
        <is>
          <t>9b</t>
        </is>
      </c>
      <c r="B69" s="374" t="inlineStr">
        <is>
          <t>Max Dividend Recap in Non-Sponsor/Non-Family Office</t>
        </is>
      </c>
      <c r="D69" s="655" t="n">
        <v>0.1</v>
      </c>
    </row>
    <row r="70" ht="14.25" customFormat="1" customHeight="1" s="374">
      <c r="A70" s="571" t="n"/>
      <c r="D70" s="657" t="n"/>
    </row>
    <row r="71" ht="14.25" customFormat="1" customHeight="1" s="374">
      <c r="A71" s="572" t="inlineStr">
        <is>
          <t>*</t>
        </is>
      </c>
      <c r="D71" s="657" t="n"/>
    </row>
    <row r="72" ht="14.25" customFormat="1" customHeight="1" s="374">
      <c r="A72" s="621" t="inlineStr">
        <is>
          <t>Limit industry:</t>
        </is>
      </c>
      <c r="D72" s="657" t="n"/>
    </row>
    <row r="73" ht="14.25" customFormat="1" customHeight="1" s="374">
      <c r="A73" s="618" t="inlineStr">
        <is>
          <t>energy</t>
        </is>
      </c>
      <c r="D73" s="657" t="n"/>
    </row>
    <row r="74" ht="14.25" customFormat="1" customHeight="1" s="374">
      <c r="A74" s="618" t="inlineStr">
        <is>
          <t>travel</t>
        </is>
      </c>
      <c r="D74" s="657" t="n"/>
    </row>
    <row r="75" ht="14.25" customFormat="1" customHeight="1" s="374">
      <c r="A75" s="618" t="inlineStr">
        <is>
          <t>hospitality</t>
        </is>
      </c>
      <c r="D75" s="657" t="n"/>
    </row>
    <row r="76" ht="14.25" customFormat="1" customHeight="1" s="374">
      <c r="A76" s="618" t="inlineStr">
        <is>
          <t>leisure</t>
        </is>
      </c>
      <c r="D76" s="657" t="n"/>
    </row>
    <row r="77" ht="14.25" customFormat="1" customHeight="1" s="374">
      <c r="A77" s="571" t="n"/>
      <c r="D77" s="657" t="n"/>
    </row>
    <row r="78" ht="14.25" customFormat="1" customHeight="1" s="374"/>
    <row r="79" ht="14.25" customFormat="1" customHeight="1" s="374"/>
  </sheetData>
  <pageMargins left="0.7" right="0.7" top="0.75" bottom="0.75" header="0.3" footer="0.3"/>
  <pageSetup orientation="portrait"/>
</worksheet>
</file>

<file path=xl/worksheets/sheet6.xml><?xml version="1.0" encoding="utf-8"?>
<worksheet xmlns="http://schemas.openxmlformats.org/spreadsheetml/2006/main">
  <sheetPr codeName="Sheet4">
    <outlinePr summaryBelow="1" summaryRight="1"/>
    <pageSetUpPr/>
  </sheetPr>
  <dimension ref="C1:Q118"/>
  <sheetViews>
    <sheetView topLeftCell="B1" zoomScale="89" zoomScaleNormal="89" workbookViewId="0">
      <selection activeCell="Q34" sqref="Q34:Q35"/>
    </sheetView>
  </sheetViews>
  <sheetFormatPr baseColWidth="8" defaultRowHeight="15"/>
  <cols>
    <col hidden="1" width="40.5703125" customWidth="1" min="1" max="1"/>
    <col width="7.28515625" customWidth="1" min="2" max="2"/>
    <col width="35.85546875" bestFit="1" customWidth="1" style="9" min="3" max="3"/>
    <col width="24.85546875" customWidth="1" min="4" max="4"/>
    <col width="29.85546875" bestFit="1" customWidth="1" min="5" max="5"/>
    <col width="20" bestFit="1" customWidth="1" min="6" max="6"/>
    <col width="12" bestFit="1" customWidth="1" min="7" max="7"/>
    <col width="17.28515625" customWidth="1" style="10" min="8" max="8"/>
    <col width="14.28515625" customWidth="1" style="10" min="9" max="9"/>
    <col width="15" bestFit="1" customWidth="1" style="10" min="10" max="10"/>
    <col width="16.85546875" bestFit="1" customWidth="1" min="11" max="12"/>
    <col width="10.28515625" customWidth="1" style="10" min="13" max="13"/>
    <col width="13" customWidth="1" style="10" min="14" max="14"/>
    <col width="20.28515625" customWidth="1" style="68" min="15" max="15"/>
    <col width="18.5703125" bestFit="1" customWidth="1" min="16" max="16"/>
    <col width="44.5703125" bestFit="1" customWidth="1" style="664" min="17" max="17"/>
  </cols>
  <sheetData>
    <row r="1" ht="12.75" customFormat="1" customHeight="1" s="322">
      <c r="H1" s="373" t="n"/>
      <c r="I1" s="373" t="n"/>
      <c r="J1" s="373" t="n"/>
      <c r="K1" s="373" t="n"/>
      <c r="L1" s="373" t="n"/>
      <c r="M1" s="373" t="n"/>
      <c r="N1" s="373" t="n"/>
      <c r="O1" s="573" t="n"/>
      <c r="Q1" s="660" t="n"/>
    </row>
    <row r="2" ht="38.25" customFormat="1" customHeight="1" s="322">
      <c r="F2" s="574" t="n"/>
      <c r="H2" s="937" t="inlineStr">
        <is>
          <t>EBITDA as of Credit Quality Deterioration VAE</t>
        </is>
      </c>
      <c r="I2" s="974" t="n"/>
      <c r="J2" s="975" t="n"/>
      <c r="K2" s="937" t="inlineStr">
        <is>
          <t>Total &amp; Senior Debt as of Credit Deterioration VAE</t>
        </is>
      </c>
      <c r="L2" s="974" t="n"/>
      <c r="M2" s="974" t="n"/>
      <c r="N2" s="975" t="n"/>
      <c r="O2" s="937" t="inlineStr">
        <is>
          <t>Interest Coverage as of Credit Quality Deterioration VAE</t>
        </is>
      </c>
      <c r="P2" s="373" t="n"/>
      <c r="Q2" s="661" t="n"/>
    </row>
    <row r="3" ht="12.75" customFormat="1" customHeight="1" s="322">
      <c r="E3" s="575" t="n"/>
      <c r="F3" s="575" t="n"/>
      <c r="H3" s="586" t="n"/>
      <c r="I3" s="586" t="n"/>
      <c r="J3" s="586" t="n"/>
      <c r="K3" s="586" t="n"/>
      <c r="L3" s="586" t="n"/>
      <c r="M3" s="586" t="n"/>
      <c r="N3" s="586" t="n"/>
      <c r="O3" s="587" t="n"/>
      <c r="P3" s="375" t="n"/>
      <c r="Q3" s="662" t="n"/>
    </row>
    <row r="4" ht="36.75" customFormat="1" customHeight="1" s="322">
      <c r="C4" s="937" t="inlineStr">
        <is>
          <t>Borrower</t>
        </is>
      </c>
      <c r="D4" s="937" t="inlineStr">
        <is>
          <t>Event Type</t>
        </is>
      </c>
      <c r="E4" s="937" t="inlineStr">
        <is>
          <t>Credit Quality 
Deterioration Event</t>
        </is>
      </c>
      <c r="F4" s="937" t="inlineStr">
        <is>
          <t>Material Modification</t>
        </is>
      </c>
      <c r="G4" s="937" t="inlineStr">
        <is>
          <t>Date of Original VAE</t>
        </is>
      </c>
      <c r="H4" s="937" t="inlineStr">
        <is>
          <t>TTM EBITDA</t>
        </is>
      </c>
      <c r="I4" s="937" t="inlineStr">
        <is>
          <t>Agent Adjusted Haircut ($)</t>
        </is>
      </c>
      <c r="J4" s="937" t="inlineStr">
        <is>
          <t>Permitted TTM EBITDA in USD</t>
        </is>
      </c>
      <c r="K4" s="937" t="inlineStr">
        <is>
          <t>Senior Debt</t>
        </is>
      </c>
      <c r="L4" s="937" t="inlineStr">
        <is>
          <t>Total Debt</t>
        </is>
      </c>
      <c r="M4" s="937" t="inlineStr">
        <is>
          <t>Net Senior Leverage</t>
        </is>
      </c>
      <c r="N4" s="937" t="inlineStr">
        <is>
          <t>Net Total Leverage</t>
        </is>
      </c>
      <c r="O4" s="937" t="inlineStr">
        <is>
          <t>Interest Coverage</t>
        </is>
      </c>
      <c r="P4" s="937" t="inlineStr">
        <is>
          <t>VAE Agent Assigned Value</t>
        </is>
      </c>
      <c r="Q4" s="937" t="inlineStr">
        <is>
          <t>Comments</t>
        </is>
      </c>
    </row>
    <row r="5" ht="12.75" customFormat="1" customHeight="1" s="322">
      <c r="C5" s="743" t="inlineStr">
        <is>
          <t>Klein Hersh</t>
        </is>
      </c>
      <c r="D5" s="744" t="inlineStr">
        <is>
          <t>Increase in Lev</t>
        </is>
      </c>
      <c r="E5" s="744" t="inlineStr">
        <is>
          <t>(ii) Net Senior Leverage Ratio Test</t>
        </is>
      </c>
      <c r="F5" s="744" t="inlineStr">
        <is>
          <t>n/a</t>
        </is>
      </c>
      <c r="G5" s="745" t="n">
        <v>45016</v>
      </c>
      <c r="H5" s="1124" t="n">
        <v>38549875.0310786</v>
      </c>
      <c r="I5" s="579" t="n"/>
      <c r="J5" s="1125">
        <f>IFERROR(H5-I5,"-")</f>
        <v/>
      </c>
      <c r="K5" s="1126" t="n">
        <v>203358691.75</v>
      </c>
      <c r="L5" s="1126" t="n">
        <v>203358691.75</v>
      </c>
      <c r="M5" s="1127">
        <f>IFERROR(K5/J5,"-")</f>
        <v/>
      </c>
      <c r="N5" s="1127">
        <f>IFERROR(L5/J5,"-")</f>
        <v/>
      </c>
      <c r="O5" s="1128" t="inlineStr">
        <is>
          <t>N/A</t>
        </is>
      </c>
      <c r="P5" s="722" t="n">
        <v>0</v>
      </c>
      <c r="Q5" s="723" t="n"/>
    </row>
    <row r="6" ht="12.75" customFormat="1" customHeight="1" s="322">
      <c r="C6" s="743" t="inlineStr">
        <is>
          <t>Consolidated Machine &amp; Tool Holdings</t>
        </is>
      </c>
      <c r="D6" s="744" t="inlineStr">
        <is>
          <t>Increase in Lev</t>
        </is>
      </c>
      <c r="E6" s="744" t="inlineStr">
        <is>
          <t>(ii) Net Senior Leverage Ratio Test</t>
        </is>
      </c>
      <c r="F6" s="744" t="inlineStr">
        <is>
          <t>n/a</t>
        </is>
      </c>
      <c r="G6" s="745" t="n">
        <v>45107</v>
      </c>
      <c r="H6" s="1124" t="n">
        <v>10658991</v>
      </c>
      <c r="I6" s="579" t="n"/>
      <c r="J6" s="1125">
        <f>IFERROR(H6-I6,"-")</f>
        <v/>
      </c>
      <c r="K6" s="1126">
        <f>50426000-232471</f>
        <v/>
      </c>
      <c r="L6" s="1126">
        <f>K6</f>
        <v/>
      </c>
      <c r="M6" s="1127">
        <f>IFERROR(K6/J6,"-")</f>
        <v/>
      </c>
      <c r="N6" s="1127">
        <f>IFERROR(L6/J6,"-")</f>
        <v/>
      </c>
      <c r="O6" s="1128" t="n">
        <v>4.05</v>
      </c>
      <c r="P6" s="722" t="n">
        <v>0</v>
      </c>
      <c r="Q6" s="723" t="n"/>
    </row>
    <row r="7" ht="12.75" customFormat="1" customHeight="1" s="322">
      <c r="C7" s="743" t="inlineStr">
        <is>
          <t>Acara Home Health</t>
        </is>
      </c>
      <c r="D7" s="744" t="inlineStr">
        <is>
          <t>Increase in Lev</t>
        </is>
      </c>
      <c r="E7" s="744" t="inlineStr">
        <is>
          <t>(ii) Net Senior Leverage Ratio Test</t>
        </is>
      </c>
      <c r="F7" s="744" t="inlineStr">
        <is>
          <t>n/a</t>
        </is>
      </c>
      <c r="G7" s="745" t="n">
        <v>45107</v>
      </c>
      <c r="H7" s="1124" t="n">
        <v>8205983</v>
      </c>
      <c r="I7" s="1129" t="n"/>
      <c r="J7" s="1125">
        <f>IFERROR(H7-I7,"-")</f>
        <v/>
      </c>
      <c r="K7" s="1126">
        <f>40825498-1192999</f>
        <v/>
      </c>
      <c r="L7" s="1126">
        <f>K7</f>
        <v/>
      </c>
      <c r="M7" s="1127">
        <f>IFERROR(K7/J7,"-")</f>
        <v/>
      </c>
      <c r="N7" s="1127">
        <f>IFERROR(L7/J7,"-")</f>
        <v/>
      </c>
      <c r="O7" s="1128" t="n">
        <v>3.3</v>
      </c>
      <c r="P7" s="722" t="n">
        <v>0</v>
      </c>
      <c r="Q7" s="724" t="inlineStr">
        <is>
          <t>SM input due to amortization payment default</t>
        </is>
      </c>
    </row>
    <row r="8" ht="12.75" customFormat="1" customHeight="1" s="322">
      <c r="C8" s="743" t="inlineStr">
        <is>
          <t>Rip-It</t>
        </is>
      </c>
      <c r="D8" s="744" t="inlineStr">
        <is>
          <t>Increase in Lev</t>
        </is>
      </c>
      <c r="E8" s="744" t="inlineStr">
        <is>
          <t>(ii) Net Senior Leverage Ratio Test</t>
        </is>
      </c>
      <c r="F8" s="744" t="inlineStr">
        <is>
          <t>n/a</t>
        </is>
      </c>
      <c r="G8" s="745" t="n">
        <v>45107</v>
      </c>
      <c r="H8" s="1124" t="n">
        <v>4923528</v>
      </c>
      <c r="I8" s="1129" t="n"/>
      <c r="J8" s="1125">
        <f>IFERROR(H8-I8,"-")</f>
        <v/>
      </c>
      <c r="K8" s="1126">
        <f>24397895-587108</f>
        <v/>
      </c>
      <c r="L8" s="1126">
        <f>K8</f>
        <v/>
      </c>
      <c r="M8" s="1127">
        <f>IFERROR(K8/J8,"-")</f>
        <v/>
      </c>
      <c r="N8" s="1127">
        <f>IFERROR(L8/J8,"-")</f>
        <v/>
      </c>
      <c r="O8" s="1128" t="n">
        <v>3.3</v>
      </c>
      <c r="P8" s="722" t="n">
        <v>0</v>
      </c>
      <c r="Q8" s="723" t="n"/>
    </row>
    <row r="9" ht="12.75" customFormat="1" customHeight="1" s="322">
      <c r="C9" s="743" t="inlineStr">
        <is>
          <t>Mission</t>
        </is>
      </c>
      <c r="D9" s="744" t="inlineStr">
        <is>
          <t>Increase in Lev</t>
        </is>
      </c>
      <c r="E9" s="744" t="inlineStr">
        <is>
          <t>(ii) Net Senior Leverage Ratio Test</t>
        </is>
      </c>
      <c r="F9" s="744" t="inlineStr">
        <is>
          <t>n/a</t>
        </is>
      </c>
      <c r="G9" s="745" t="n">
        <v>45107</v>
      </c>
      <c r="H9" s="1124" t="n">
        <v>7668847</v>
      </c>
      <c r="I9" s="1129" t="n"/>
      <c r="J9" s="1125">
        <f>IFERROR(H9-I9,"-")</f>
        <v/>
      </c>
      <c r="K9" s="1126">
        <f>33468000-2250422</f>
        <v/>
      </c>
      <c r="L9" s="1126">
        <f>K9</f>
        <v/>
      </c>
      <c r="M9" s="1127">
        <f>IFERROR(K9/J9,"-")</f>
        <v/>
      </c>
      <c r="N9" s="1127">
        <f>IFERROR(L9/J9,"-")</f>
        <v/>
      </c>
      <c r="O9" s="1128" t="n">
        <v>2.62</v>
      </c>
      <c r="P9" s="722" t="n">
        <v>0</v>
      </c>
      <c r="Q9" s="723" t="n"/>
    </row>
    <row r="10" ht="12.75" customFormat="1" customHeight="1" s="322">
      <c r="C10" s="743" t="inlineStr">
        <is>
          <t>48forty Intermediate Holdings, Inc.</t>
        </is>
      </c>
      <c r="D10" s="744" t="inlineStr">
        <is>
          <t>Increase in Lev</t>
        </is>
      </c>
      <c r="E10" s="744" t="inlineStr">
        <is>
          <t>(ii) Net Senior Leverage Ratio Test</t>
        </is>
      </c>
      <c r="F10" s="744" t="inlineStr">
        <is>
          <t>n/a</t>
        </is>
      </c>
      <c r="G10" s="745" t="n">
        <v>45107</v>
      </c>
      <c r="H10" s="1124" t="n">
        <v>284956000</v>
      </c>
      <c r="I10" s="579" t="n"/>
      <c r="J10" s="1125">
        <f>IFERROR(H10-I10,"-")</f>
        <v/>
      </c>
      <c r="K10" s="1126">
        <f>1726506000-14723000</f>
        <v/>
      </c>
      <c r="L10" s="1126">
        <f>K10</f>
        <v/>
      </c>
      <c r="M10" s="1127">
        <f>IFERROR(K10/J10,"-")</f>
        <v/>
      </c>
      <c r="N10" s="1127">
        <f>IFERROR(L10/J10,"-")</f>
        <v/>
      </c>
      <c r="O10" s="1128" t="inlineStr">
        <is>
          <t>N/A</t>
        </is>
      </c>
      <c r="P10" s="722" t="n">
        <v>0</v>
      </c>
      <c r="Q10" s="723" t="n"/>
    </row>
    <row r="11" ht="12.75" customFormat="1" customHeight="1" s="322">
      <c r="C11" s="743" t="inlineStr">
        <is>
          <t>USBid Inc.</t>
        </is>
      </c>
      <c r="D11" s="744" t="inlineStr">
        <is>
          <t>Increase in Lev</t>
        </is>
      </c>
      <c r="E11" s="744" t="inlineStr">
        <is>
          <t>(ii) Net Senior Leverage Ratio Test</t>
        </is>
      </c>
      <c r="F11" s="744" t="inlineStr">
        <is>
          <t>n/a</t>
        </is>
      </c>
      <c r="G11" s="745" t="n">
        <v>45199</v>
      </c>
      <c r="H11" s="747" t="n">
        <v>8403793</v>
      </c>
      <c r="I11" s="579" t="n"/>
      <c r="J11" s="1125">
        <f>IFERROR(H11-I11,"-")</f>
        <v/>
      </c>
      <c r="K11" s="1126">
        <f>40000000-972687</f>
        <v/>
      </c>
      <c r="L11" s="1126">
        <f>K11</f>
        <v/>
      </c>
      <c r="M11" s="1127">
        <f>IFERROR(K11/J11,"-")</f>
        <v/>
      </c>
      <c r="N11" s="1127">
        <f>IFERROR(L11/J11,"-")</f>
        <v/>
      </c>
      <c r="O11" s="1128" t="n">
        <v>1.71</v>
      </c>
      <c r="P11" s="722" t="n">
        <v>0</v>
      </c>
      <c r="Q11" s="723" t="n"/>
    </row>
    <row r="12" ht="12.75" customFormat="1" customHeight="1" s="322">
      <c r="C12" s="743" t="inlineStr">
        <is>
          <t>Masterwork Electronics</t>
        </is>
      </c>
      <c r="D12" s="744" t="inlineStr">
        <is>
          <t>Increase in Lev</t>
        </is>
      </c>
      <c r="E12" s="744" t="inlineStr">
        <is>
          <t>(ii) Net Senior Leverage Ratio Test</t>
        </is>
      </c>
      <c r="F12" s="744" t="inlineStr">
        <is>
          <t>n/a</t>
        </is>
      </c>
      <c r="G12" s="745" t="n">
        <v>45199</v>
      </c>
      <c r="H12" s="747" t="n">
        <v>9646806</v>
      </c>
      <c r="I12" s="579" t="n"/>
      <c r="J12" s="1125">
        <f>IFERROR(H12-I12,"-")</f>
        <v/>
      </c>
      <c r="K12" s="1126">
        <f>52262500-621438</f>
        <v/>
      </c>
      <c r="L12" s="1126">
        <f>K12</f>
        <v/>
      </c>
      <c r="M12" s="1127">
        <f>IFERROR(K12/J12,"-")</f>
        <v/>
      </c>
      <c r="N12" s="1127">
        <f>IFERROR(L12/J12,"-")</f>
        <v/>
      </c>
      <c r="O12" s="1128" t="n">
        <v>1.45</v>
      </c>
      <c r="P12" s="722" t="n">
        <v>0</v>
      </c>
      <c r="Q12" s="723" t="n"/>
    </row>
    <row r="13" ht="12.75" customFormat="1" customHeight="1" s="322">
      <c r="C13" s="743" t="inlineStr">
        <is>
          <t>Five Iron Golf</t>
        </is>
      </c>
      <c r="D13" s="744" t="inlineStr">
        <is>
          <t>Increase in Lev</t>
        </is>
      </c>
      <c r="E13" s="744" t="inlineStr">
        <is>
          <t>(ii) Net Senior Leverage Ratio Test</t>
        </is>
      </c>
      <c r="F13" s="744" t="inlineStr">
        <is>
          <t>n/a</t>
        </is>
      </c>
      <c r="G13" s="745" t="n">
        <v>45199</v>
      </c>
      <c r="H13" s="747" t="n">
        <v>2088928</v>
      </c>
      <c r="I13" s="579" t="n"/>
      <c r="J13" s="1125">
        <f>IFERROR(H13-I13,"-")</f>
        <v/>
      </c>
      <c r="K13" s="1126" t="n">
        <v>13920100</v>
      </c>
      <c r="L13" s="1126" t="n">
        <v>13920100</v>
      </c>
      <c r="M13" s="1127" t="n">
        <v>6.66</v>
      </c>
      <c r="N13" s="1127" t="n">
        <v>6.66</v>
      </c>
      <c r="O13" s="1128" t="n">
        <v>1.1</v>
      </c>
      <c r="P13" s="722" t="n">
        <v>0.85</v>
      </c>
      <c r="Q13" s="723" t="inlineStr">
        <is>
          <t>Agent waived in asset at 85% value</t>
        </is>
      </c>
    </row>
    <row r="14" ht="12.75" customFormat="1" customHeight="1" s="322">
      <c r="C14" s="743" t="inlineStr">
        <is>
          <t>Swyft Filings</t>
        </is>
      </c>
      <c r="D14" s="744" t="inlineStr">
        <is>
          <t>Increase in Lev</t>
        </is>
      </c>
      <c r="E14" s="744" t="inlineStr">
        <is>
          <t>(ii) Net Senior Leverage Ratio Test</t>
        </is>
      </c>
      <c r="F14" s="744" t="inlineStr">
        <is>
          <t>n/a</t>
        </is>
      </c>
      <c r="G14" s="745" t="n">
        <v>45382</v>
      </c>
      <c r="H14" s="747" t="n">
        <v>13629846</v>
      </c>
      <c r="I14" s="579" t="n"/>
      <c r="J14" s="1125">
        <f>IFERROR(H14-I14,"-")</f>
        <v/>
      </c>
      <c r="K14" s="1126">
        <f>75593886-4943321</f>
        <v/>
      </c>
      <c r="L14" s="1126">
        <f>K14</f>
        <v/>
      </c>
      <c r="M14" s="1127">
        <f>IFERROR(K14/J14,"-")</f>
        <v/>
      </c>
      <c r="N14" s="1127">
        <f>IFERROR(L14/J14,"-")</f>
        <v/>
      </c>
      <c r="O14" s="1128" t="n">
        <v>1.66</v>
      </c>
      <c r="P14" s="722" t="n">
        <v>0.9</v>
      </c>
      <c r="Q14" s="723" t="n"/>
    </row>
    <row r="15" ht="25.5" customFormat="1" customHeight="1" s="322">
      <c r="C15" s="743" t="inlineStr">
        <is>
          <t>HighStar Traffic</t>
        </is>
      </c>
      <c r="D15" s="744" t="inlineStr">
        <is>
          <t>Increase in Lev</t>
        </is>
      </c>
      <c r="E15" s="744" t="inlineStr">
        <is>
          <t>(ii) Net Senior Leverage Ratio Test</t>
        </is>
      </c>
      <c r="F15" s="744" t="inlineStr">
        <is>
          <t>n/a</t>
        </is>
      </c>
      <c r="G15" s="745" t="n">
        <v>45382</v>
      </c>
      <c r="H15" s="747" t="n">
        <v>22687383.98833333</v>
      </c>
      <c r="I15" s="579" t="n"/>
      <c r="J15" s="1125">
        <f>IFERROR(H15-I15,"-")</f>
        <v/>
      </c>
      <c r="K15" s="1126">
        <f>98722202-2934000</f>
        <v/>
      </c>
      <c r="L15" s="1126">
        <f>K15</f>
        <v/>
      </c>
      <c r="M15" s="1127">
        <f>IFERROR(K15/J15,"-")</f>
        <v/>
      </c>
      <c r="N15" s="1127">
        <f>IFERROR(L15/J15,"-")</f>
        <v/>
      </c>
      <c r="O15" s="1128" t="n">
        <v>2.23</v>
      </c>
      <c r="P15" s="725">
        <f>MIN(INDEX(Portfolio!$AF$9:$AF$46,MATCH(VAE!C15,Portfolio!$B$9:$B$46,0)),INDEX(Portfolio!$AE$9:$AE$46,MATCH(VAE!C15,Portfolio!$B$9:$B$46,0)))</f>
        <v/>
      </c>
      <c r="Q15" s="723" t="inlineStr">
        <is>
          <t>No adjustment to Assigned Value, receiving structural Applicable Collateral Value. Watch List.</t>
        </is>
      </c>
    </row>
    <row r="16" ht="25.5" customFormat="1" customHeight="1" s="322">
      <c r="C16" s="743" t="inlineStr">
        <is>
          <t>Gridsource</t>
        </is>
      </c>
      <c r="D16" s="744" t="inlineStr">
        <is>
          <t>Increase in Lev</t>
        </is>
      </c>
      <c r="E16" s="744" t="inlineStr">
        <is>
          <t>(ii) Net Senior Leverage Ratio Test</t>
        </is>
      </c>
      <c r="F16" s="744" t="inlineStr">
        <is>
          <t>n/a</t>
        </is>
      </c>
      <c r="G16" s="745" t="n">
        <v>45382</v>
      </c>
      <c r="H16" s="747" t="n">
        <v>18795842</v>
      </c>
      <c r="I16" s="579" t="n"/>
      <c r="J16" s="1125">
        <f>IFERROR(H16-I16,"-")</f>
        <v/>
      </c>
      <c r="K16" s="1126" t="n">
        <v>83559582</v>
      </c>
      <c r="L16" s="1126" t="n">
        <v>83559582</v>
      </c>
      <c r="M16" s="1127" t="n">
        <v>4.45</v>
      </c>
      <c r="N16" s="1127" t="n">
        <v>4.45</v>
      </c>
      <c r="O16" s="1128" t="n">
        <v>1.66</v>
      </c>
      <c r="P16" s="725" t="n">
        <v>0.9723000000000001</v>
      </c>
      <c r="Q16" s="723" t="inlineStr">
        <is>
          <t>No adjustment to Assigned Value, receiving structural Applicable Collateral Value. Watch List.</t>
        </is>
      </c>
    </row>
    <row r="17" ht="25.5" customFormat="1" customHeight="1" s="322">
      <c r="C17" s="743" t="inlineStr">
        <is>
          <t>Preferred Care Home Health</t>
        </is>
      </c>
      <c r="D17" s="744" t="inlineStr">
        <is>
          <t>Increase in Lev</t>
        </is>
      </c>
      <c r="E17" s="744" t="inlineStr">
        <is>
          <t>(ii) Net Senior Leverage Ratio Test</t>
        </is>
      </c>
      <c r="F17" s="744" t="inlineStr">
        <is>
          <t>n/a</t>
        </is>
      </c>
      <c r="G17" s="745" t="n">
        <v>45382</v>
      </c>
      <c r="H17" s="747" t="n">
        <v>7059136.571717649</v>
      </c>
      <c r="I17" s="579" t="n"/>
      <c r="J17" s="1125">
        <f>IFERROR(H17-I17,"-")</f>
        <v/>
      </c>
      <c r="K17" s="1126" t="n">
        <v>35152982</v>
      </c>
      <c r="L17" s="1126">
        <f>K17</f>
        <v/>
      </c>
      <c r="M17" s="1127">
        <f>IFERROR(K17/J17,"-")</f>
        <v/>
      </c>
      <c r="N17" s="1127">
        <f>IFERROR(L17/J17,"-")</f>
        <v/>
      </c>
      <c r="O17" s="1128" t="n">
        <v>1.74</v>
      </c>
      <c r="P17" s="725">
        <f>MIN(INDEX(Portfolio!$AF$9:$AF$46,MATCH(VAE!C17,Portfolio!$B$9:$B$46,0)),INDEX(Portfolio!$AE$9:$AE$46,MATCH(VAE!C17,Portfolio!$B$9:$B$46,0)))</f>
        <v/>
      </c>
      <c r="Q17" s="723" t="inlineStr">
        <is>
          <t>No adjustment to Assigned Value, receiving structural Applicable Collateral Value. Watch List.</t>
        </is>
      </c>
    </row>
    <row r="18" ht="12.75" customFormat="1" customHeight="1" s="322">
      <c r="C18" s="743" t="inlineStr">
        <is>
          <t>Chicken Soup For The Soul</t>
        </is>
      </c>
      <c r="D18" s="744" t="inlineStr">
        <is>
          <t>Obligor default</t>
        </is>
      </c>
      <c r="E18" s="744" t="inlineStr">
        <is>
          <t>-</t>
        </is>
      </c>
      <c r="F18" s="744" t="inlineStr">
        <is>
          <t>n/a</t>
        </is>
      </c>
      <c r="G18" s="745" t="n">
        <v>45473</v>
      </c>
      <c r="H18" s="747" t="n">
        <v>0</v>
      </c>
      <c r="I18" s="579" t="n"/>
      <c r="J18" s="1125">
        <f>IFERROR(H18-I18,"-")</f>
        <v/>
      </c>
      <c r="K18" s="1126" t="n">
        <v>0</v>
      </c>
      <c r="L18" s="1126">
        <f>K18</f>
        <v/>
      </c>
      <c r="M18" s="1127">
        <f>IFERROR(K18/J18,"-")</f>
        <v/>
      </c>
      <c r="N18" s="1127">
        <f>IFERROR(L18/J18,"-")</f>
        <v/>
      </c>
      <c r="O18" s="1128" t="n">
        <v>0</v>
      </c>
      <c r="P18" s="722" t="n">
        <v>0</v>
      </c>
      <c r="Q18" s="724" t="inlineStr">
        <is>
          <t>SM input</t>
        </is>
      </c>
    </row>
    <row r="19" ht="25.5" customFormat="1" customHeight="1" s="322">
      <c r="C19" s="743" t="inlineStr">
        <is>
          <t>NSC Technologies</t>
        </is>
      </c>
      <c r="D19" s="744" t="inlineStr">
        <is>
          <t>Increase in Lev</t>
        </is>
      </c>
      <c r="E19" s="744" t="inlineStr">
        <is>
          <t>(ii) Net Senior Leverage Ratio Test</t>
        </is>
      </c>
      <c r="F19" s="744" t="inlineStr">
        <is>
          <t>-</t>
        </is>
      </c>
      <c r="G19" s="745" t="n">
        <v>45473</v>
      </c>
      <c r="H19" s="747" t="n">
        <v>16988825.47983742</v>
      </c>
      <c r="I19" s="579" t="n"/>
      <c r="J19" s="1125">
        <f>IFERROR(H19-I19,"-")</f>
        <v/>
      </c>
      <c r="K19" s="1126">
        <f>76025160-1705006</f>
        <v/>
      </c>
      <c r="L19" s="1126">
        <f>K19</f>
        <v/>
      </c>
      <c r="M19" s="1127">
        <f>IFERROR(K19/J19,"-")</f>
        <v/>
      </c>
      <c r="N19" s="1127">
        <f>IFERROR(L19/J19,"-")</f>
        <v/>
      </c>
      <c r="O19" s="1128" t="n">
        <v>2.14</v>
      </c>
      <c r="P19" s="725">
        <f>MIN(INDEX(Portfolio!$AF$9:$AF$46,MATCH(VAE!C19,Portfolio!$B$9:$B$46,0)),INDEX(Portfolio!$AE$9:$AE$46,MATCH(VAE!C19,Portfolio!$B$9:$B$46,0)))</f>
        <v/>
      </c>
      <c r="Q19" s="723" t="inlineStr">
        <is>
          <t>No adjustment to Assigned Value, receiving structural Applicable Collateral Value. Watch List.</t>
        </is>
      </c>
    </row>
    <row r="20" ht="12.75" customFormat="1" customHeight="1" s="322">
      <c r="C20" s="743" t="inlineStr">
        <is>
          <t>MechanAir</t>
        </is>
      </c>
      <c r="D20" s="744" t="inlineStr">
        <is>
          <t>Material Mod (f)</t>
        </is>
      </c>
      <c r="E20" s="744" t="inlineStr">
        <is>
          <t>(ii) Net Senior Leverage Ratio Test</t>
        </is>
      </c>
      <c r="F20" s="744" t="inlineStr">
        <is>
          <t>(f) Amends Covenants</t>
        </is>
      </c>
      <c r="G20" s="745" t="n">
        <v>45473</v>
      </c>
      <c r="H20" s="747" t="n">
        <v>11405000</v>
      </c>
      <c r="I20" s="579" t="n"/>
      <c r="J20" s="1125">
        <f>IFERROR(H20-I20,"-")</f>
        <v/>
      </c>
      <c r="K20" s="1126">
        <f>51192221-2717847</f>
        <v/>
      </c>
      <c r="L20" s="1126">
        <f>K20</f>
        <v/>
      </c>
      <c r="M20" s="1127">
        <f>IFERROR(K20/J20,"-")</f>
        <v/>
      </c>
      <c r="N20" s="1127">
        <f>IFERROR(L20/J20,"-")</f>
        <v/>
      </c>
      <c r="O20" s="1128" t="n">
        <v>2.56</v>
      </c>
      <c r="P20" s="722" t="n">
        <v>0.9</v>
      </c>
      <c r="Q20" s="723" t="inlineStr">
        <is>
          <t>to retain at 90% Assigned Value</t>
        </is>
      </c>
    </row>
    <row r="21" ht="12.75" customFormat="1" customHeight="1" s="322">
      <c r="C21" s="743" t="inlineStr">
        <is>
          <t>Microf</t>
        </is>
      </c>
      <c r="D21" s="744" t="inlineStr">
        <is>
          <t>Obligor payment default</t>
        </is>
      </c>
      <c r="E21" s="744" t="inlineStr">
        <is>
          <t>-</t>
        </is>
      </c>
      <c r="F21" s="744" t="inlineStr">
        <is>
          <t>n/a</t>
        </is>
      </c>
      <c r="G21" s="745" t="n">
        <v>45473</v>
      </c>
      <c r="H21" s="747" t="n">
        <v>0</v>
      </c>
      <c r="I21" s="579" t="n"/>
      <c r="J21" s="1125">
        <f>IFERROR(H21-I21,"-")</f>
        <v/>
      </c>
      <c r="K21" s="1126" t="n">
        <v>0</v>
      </c>
      <c r="L21" s="1126">
        <f>K21</f>
        <v/>
      </c>
      <c r="M21" s="1127">
        <f>IFERROR(K21/J21,"-")</f>
        <v/>
      </c>
      <c r="N21" s="1127">
        <f>IFERROR(L21/J21,"-")</f>
        <v/>
      </c>
      <c r="O21" s="1128" t="n">
        <v>0</v>
      </c>
      <c r="P21" s="722" t="n">
        <v>0</v>
      </c>
      <c r="Q21" s="724" t="inlineStr">
        <is>
          <t>SM input</t>
        </is>
      </c>
    </row>
    <row r="22" ht="12.75" customFormat="1" customHeight="1" s="322">
      <c r="C22" s="743" t="inlineStr">
        <is>
          <t>Gridsource</t>
        </is>
      </c>
      <c r="D22" s="744" t="inlineStr">
        <is>
          <t>Material Mod (f)</t>
        </is>
      </c>
      <c r="E22" s="744" t="inlineStr">
        <is>
          <t>(ii) Net Senior Leverage Ratio Test</t>
        </is>
      </c>
      <c r="F22" s="744" t="inlineStr">
        <is>
          <t>(f) Amends Covenants</t>
        </is>
      </c>
      <c r="G22" s="745" t="n">
        <v>45473</v>
      </c>
      <c r="H22" s="747" t="n">
        <v>18795842</v>
      </c>
      <c r="I22" s="579" t="n"/>
      <c r="J22" s="1125">
        <f>IFERROR(H22-I22,"-")</f>
        <v/>
      </c>
      <c r="K22" s="1126" t="n">
        <v>83559582</v>
      </c>
      <c r="L22" s="1126">
        <f>K22</f>
        <v/>
      </c>
      <c r="M22" s="1127">
        <f>IFERROR(K22/J22,"-")</f>
        <v/>
      </c>
      <c r="N22" s="1127">
        <f>IFERROR(L22/J22,"-")</f>
        <v/>
      </c>
      <c r="O22" s="1128" t="n">
        <v>1.66</v>
      </c>
      <c r="P22" s="722" t="n">
        <v>0.9</v>
      </c>
      <c r="Q22" s="724" t="n"/>
    </row>
    <row r="23" ht="12.75" customFormat="1" customHeight="1" s="322">
      <c r="C23" s="743" t="inlineStr">
        <is>
          <t>Five Iron Golf</t>
        </is>
      </c>
      <c r="D23" s="744" t="inlineStr">
        <is>
          <t>Increase in Lev</t>
        </is>
      </c>
      <c r="E23" s="744" t="inlineStr">
        <is>
          <t>(ii) Net Senior Leverage Ratio Test</t>
        </is>
      </c>
      <c r="F23" s="744" t="inlineStr">
        <is>
          <t>n/a</t>
        </is>
      </c>
      <c r="G23" s="745" t="n">
        <v>45473</v>
      </c>
      <c r="H23" s="747" t="n">
        <v>4393220</v>
      </c>
      <c r="I23" s="579" t="n"/>
      <c r="J23" s="1125">
        <f>IFERROR(H23-I23,"-")</f>
        <v/>
      </c>
      <c r="K23" s="1126">
        <f>14775000-3000000</f>
        <v/>
      </c>
      <c r="L23" s="1126">
        <f>K23</f>
        <v/>
      </c>
      <c r="M23" s="1127">
        <f>IFERROR(K23/J23,"-")</f>
        <v/>
      </c>
      <c r="N23" s="1127">
        <f>IFERROR(L23/J23,"-")</f>
        <v/>
      </c>
      <c r="O23" s="1128" t="n">
        <v>2.99</v>
      </c>
      <c r="P23" s="722" t="n">
        <v>0.9</v>
      </c>
      <c r="Q23" s="724" t="n"/>
    </row>
    <row r="24" ht="12.75" customFormat="1" customHeight="1" s="322">
      <c r="C24" s="743" t="inlineStr">
        <is>
          <t>Stryker Electric</t>
        </is>
      </c>
      <c r="D24" s="744" t="inlineStr">
        <is>
          <t>Obligor payment default</t>
        </is>
      </c>
      <c r="E24" s="744" t="inlineStr">
        <is>
          <t>-</t>
        </is>
      </c>
      <c r="F24" s="744" t="inlineStr">
        <is>
          <t>n/a</t>
        </is>
      </c>
      <c r="G24" s="745" t="n">
        <v>45504</v>
      </c>
      <c r="H24" s="747" t="n">
        <v>0</v>
      </c>
      <c r="I24" s="579" t="n"/>
      <c r="J24" s="1125">
        <f>IFERROR(H24-I24,"-")</f>
        <v/>
      </c>
      <c r="K24" s="1126" t="n">
        <v>0</v>
      </c>
      <c r="L24" s="1126">
        <f>K24</f>
        <v/>
      </c>
      <c r="M24" s="1127">
        <f>IFERROR(K24/J24,"-")</f>
        <v/>
      </c>
      <c r="N24" s="1127">
        <f>IFERROR(L24/J24,"-")</f>
        <v/>
      </c>
      <c r="O24" s="1128" t="n">
        <v>0</v>
      </c>
      <c r="P24" s="722" t="n">
        <v>0</v>
      </c>
      <c r="Q24" s="724" t="inlineStr">
        <is>
          <t>SM input</t>
        </is>
      </c>
    </row>
    <row r="25" ht="25.5" customFormat="1" customHeight="1" s="322">
      <c r="C25" s="743" t="inlineStr">
        <is>
          <t>NW Entertainment, LLC</t>
        </is>
      </c>
      <c r="D25" s="744" t="inlineStr">
        <is>
          <t>Increase in Lev</t>
        </is>
      </c>
      <c r="E25" s="744" t="inlineStr">
        <is>
          <t>(ii) Net Senior Leverage Ratio Test</t>
        </is>
      </c>
      <c r="F25" s="744" t="inlineStr">
        <is>
          <t>-</t>
        </is>
      </c>
      <c r="G25" s="745" t="n">
        <v>45657</v>
      </c>
      <c r="H25" s="747" t="n">
        <v>11986225.82</v>
      </c>
      <c r="I25" s="579" t="n"/>
      <c r="J25" s="1125">
        <f>IFERROR(H25-I25,"-")</f>
        <v/>
      </c>
      <c r="K25" s="747">
        <f>3000000+3600000+46800000-45291</f>
        <v/>
      </c>
      <c r="L25" s="747">
        <f>3000000+3600000+46800000-45291</f>
        <v/>
      </c>
      <c r="M25" s="1127">
        <f>IFERROR(K25/J25,"-")</f>
        <v/>
      </c>
      <c r="N25" s="1127">
        <f>IFERROR(L25/J25,"-")</f>
        <v/>
      </c>
      <c r="O25" s="1128" t="n">
        <v>1.63</v>
      </c>
      <c r="P25" s="725">
        <f>MIN(INDEX(Portfolio!$AF$9:$AF$46,MATCH(VAE!C25,Portfolio!$B$9:$B$46,0)),INDEX(Portfolio!$AE$9:$AE$46,MATCH(VAE!C25,Portfolio!$B$9:$B$46,0)))</f>
        <v/>
      </c>
      <c r="Q25" s="723" t="inlineStr">
        <is>
          <t>No adjustment to Assigned Value, receiving structural Applicable Collateral Value. Watch List.</t>
        </is>
      </c>
    </row>
    <row r="26" ht="38.25" customFormat="1" customHeight="1" s="322">
      <c r="C26" s="743" t="inlineStr">
        <is>
          <t>Gridsource</t>
        </is>
      </c>
      <c r="D26" s="744" t="n"/>
      <c r="E26" s="744" t="n"/>
      <c r="F26" s="744" t="n"/>
      <c r="G26" s="745" t="n">
        <v>45657</v>
      </c>
      <c r="H26" s="747" t="n">
        <v>21528213</v>
      </c>
      <c r="I26" s="579" t="n"/>
      <c r="J26" s="1125">
        <f>IFERROR(H26-I26,"-")</f>
        <v/>
      </c>
      <c r="K26" s="747" t="n">
        <v>74196729</v>
      </c>
      <c r="L26" s="747" t="n">
        <v>74196729</v>
      </c>
      <c r="M26" s="1127">
        <f>IFERROR(K26/J26,"-")</f>
        <v/>
      </c>
      <c r="N26" s="1127">
        <f>IFERROR(L26/J26,"-")</f>
        <v/>
      </c>
      <c r="O26" s="1128" t="n">
        <v>1.76</v>
      </c>
      <c r="P26" s="725" t="n">
        <v>0.9644</v>
      </c>
      <c r="Q26" s="723" t="inlineStr">
        <is>
          <t>Removed from VAE and assigning applicable collateral value based on Obligor's improved performance.</t>
        </is>
      </c>
    </row>
    <row r="27" ht="38.25" customFormat="1" customHeight="1" s="322">
      <c r="C27" s="743" t="inlineStr">
        <is>
          <t>Five Iron Golf</t>
        </is>
      </c>
      <c r="D27" s="744" t="n"/>
      <c r="E27" s="744" t="n"/>
      <c r="F27" s="744" t="n"/>
      <c r="G27" s="745" t="n">
        <v>45657</v>
      </c>
      <c r="H27" s="747" t="n">
        <v>4510238</v>
      </c>
      <c r="I27" s="579" t="n"/>
      <c r="J27" s="1125">
        <f>IFERROR(H27-I27,"-")</f>
        <v/>
      </c>
      <c r="K27" s="747" t="n">
        <v>11854233</v>
      </c>
      <c r="L27" s="747" t="n">
        <v>11854233</v>
      </c>
      <c r="M27" s="1127">
        <f>IFERROR(K27/J27,"-")</f>
        <v/>
      </c>
      <c r="N27" s="1127">
        <f>IFERROR(L27/J27,"-")</f>
        <v/>
      </c>
      <c r="O27" s="747" t="n"/>
      <c r="P27" s="725" t="n">
        <v>1</v>
      </c>
      <c r="Q27" s="723" t="inlineStr">
        <is>
          <t>Removed from VAE and assigning applicable collateral value based on Obligor's improved performance.</t>
        </is>
      </c>
    </row>
    <row r="28" ht="36.75" customFormat="1" customHeight="1" s="322">
      <c r="C28" s="743" t="inlineStr">
        <is>
          <t>Integrated Pain Associates</t>
        </is>
      </c>
      <c r="D28" s="744" t="inlineStr">
        <is>
          <t>Increase in Lev</t>
        </is>
      </c>
      <c r="E28" s="744" t="inlineStr">
        <is>
          <t>(ii) Net Senior Leverage Ratio Test</t>
        </is>
      </c>
      <c r="F28" s="744" t="inlineStr">
        <is>
          <t>-</t>
        </is>
      </c>
      <c r="G28" s="745" t="n">
        <v>45747</v>
      </c>
      <c r="H28" s="747" t="n">
        <v>11238587.55</v>
      </c>
      <c r="I28" s="579" t="n"/>
      <c r="J28" s="582">
        <f>IFERROR(H28-I28,"-")</f>
        <v/>
      </c>
      <c r="K28" s="747" t="n">
        <v>62640000</v>
      </c>
      <c r="L28" s="747" t="n">
        <v>62640000</v>
      </c>
      <c r="M28" s="590" t="n">
        <v>5.57</v>
      </c>
      <c r="N28" s="590">
        <f>IFERROR(L28/J28,"-")</f>
        <v/>
      </c>
      <c r="O28" s="1128" t="n">
        <v>1.22</v>
      </c>
      <c r="P28" s="726" t="n">
        <v>0.7511</v>
      </c>
      <c r="Q28" s="723" t="inlineStr">
        <is>
          <t>No adjustment to Assigned Value, receiving structural Applicable Collateral Value. Watch List.</t>
        </is>
      </c>
    </row>
    <row r="29" ht="63.75" customFormat="1" customHeight="1" s="322">
      <c r="C29" s="743" t="inlineStr">
        <is>
          <t>CorTech</t>
        </is>
      </c>
      <c r="D29" s="744" t="inlineStr">
        <is>
          <t>Material Mod (a)</t>
        </is>
      </c>
      <c r="E29" s="744" t="inlineStr">
        <is>
          <t>-</t>
        </is>
      </c>
      <c r="F29" s="744" t="inlineStr">
        <is>
          <t>(b) Extends Maturity/Payment Date</t>
        </is>
      </c>
      <c r="G29" s="745" t="n">
        <v>45785</v>
      </c>
      <c r="H29" s="747" t="n">
        <v>14329819.45</v>
      </c>
      <c r="I29" s="579" t="n"/>
      <c r="J29" s="582">
        <f>IFERROR(H29-I29,"-")</f>
        <v/>
      </c>
      <c r="K29" s="747" t="n">
        <v>66737599.46</v>
      </c>
      <c r="L29" s="747" t="n">
        <v>66737599.46</v>
      </c>
      <c r="M29" s="590">
        <f>IFERROR(K29/J29,"-")</f>
        <v/>
      </c>
      <c r="N29" s="590">
        <f>IFERROR(L29/J29,"-")</f>
        <v/>
      </c>
      <c r="O29" s="1128" t="n">
        <v>2.79</v>
      </c>
      <c r="P29" s="726" t="n">
        <v>0.85</v>
      </c>
      <c r="Q29" s="723" t="inlineStr">
        <is>
          <t>SM waived principal payment to allow the company to focus on a sale process, which they plan to initiate later this quarter. Given the material modification applicable collateral value is reduced to 85%</t>
        </is>
      </c>
    </row>
    <row r="30" ht="35.25" customFormat="1" customHeight="1" s="322">
      <c r="C30" s="743" t="inlineStr">
        <is>
          <t>Trailer Park Group</t>
        </is>
      </c>
      <c r="D30" s="744" t="inlineStr">
        <is>
          <t>Increase in Lev</t>
        </is>
      </c>
      <c r="E30" s="744" t="inlineStr">
        <is>
          <t>(ii) Net Senior Leverage Ratio Test</t>
        </is>
      </c>
      <c r="F30" s="744" t="inlineStr">
        <is>
          <t>-</t>
        </is>
      </c>
      <c r="G30" s="745" t="n">
        <v>45846</v>
      </c>
      <c r="H30" s="747" t="n">
        <v>21935120.59</v>
      </c>
      <c r="I30" s="579" t="n"/>
      <c r="J30" s="582" t="n">
        <v>92923897.66</v>
      </c>
      <c r="K30" s="747">
        <f>'SM Support'!K34+'SM Support'!I34+'SM Support'!H34-'SM Support'!L34</f>
        <v/>
      </c>
      <c r="L30" s="747">
        <f>'SM Support'!L34+'SM Support'!J34+'SM Support'!I34-'SM Support'!M34</f>
        <v/>
      </c>
      <c r="M30" s="590" t="n">
        <v>4.24</v>
      </c>
      <c r="N30" s="590">
        <f>IFERROR(L30/J30,"-")</f>
        <v/>
      </c>
      <c r="O30" s="1128">
        <f>'SM Support'!O34</f>
        <v/>
      </c>
      <c r="P30" s="726" t="n">
        <v>0.9457</v>
      </c>
      <c r="Q30" s="723" t="inlineStr">
        <is>
          <t>No adjustment to Assigned Value, receiving structural Applicable Collateral Value. Watch List.</t>
        </is>
      </c>
    </row>
    <row r="31" ht="12.75" customFormat="1" customHeight="1" s="322">
      <c r="C31" s="743" t="inlineStr">
        <is>
          <t>Texas Contract Manufacturing Group</t>
        </is>
      </c>
      <c r="D31" s="744" t="inlineStr">
        <is>
          <t>Obligor payment default</t>
        </is>
      </c>
      <c r="E31" s="744" t="inlineStr">
        <is>
          <t>-</t>
        </is>
      </c>
      <c r="F31" s="744" t="inlineStr">
        <is>
          <t>-</t>
        </is>
      </c>
      <c r="G31" s="745" t="n">
        <v>45859</v>
      </c>
      <c r="H31" s="747" t="n">
        <v>4590010.09</v>
      </c>
      <c r="I31" s="579" t="n"/>
      <c r="J31" s="582">
        <f>IFERROR(H31-I31,"-")</f>
        <v/>
      </c>
      <c r="K31" s="747" t="n">
        <v>13226560.32</v>
      </c>
      <c r="L31" s="747" t="n">
        <v>13226560.32</v>
      </c>
      <c r="M31" s="590" t="n">
        <v>2.88</v>
      </c>
      <c r="N31" s="590">
        <f>IFERROR(L31/J31,"-")</f>
        <v/>
      </c>
      <c r="O31" s="1128" t="n">
        <v>1.71</v>
      </c>
      <c r="P31" s="726" t="n">
        <v>0</v>
      </c>
      <c r="Q31" s="723" t="inlineStr">
        <is>
          <t>Payment Default</t>
        </is>
      </c>
    </row>
    <row r="32" ht="12.75" customFormat="1" customHeight="1" s="322">
      <c r="C32" s="743" t="inlineStr">
        <is>
          <t>MechanAir</t>
        </is>
      </c>
      <c r="D32" s="744" t="inlineStr">
        <is>
          <t>Obligor payment default</t>
        </is>
      </c>
      <c r="E32" s="744" t="inlineStr">
        <is>
          <t>-</t>
        </is>
      </c>
      <c r="F32" s="744" t="inlineStr">
        <is>
          <t>-</t>
        </is>
      </c>
      <c r="G32" s="745" t="n">
        <v>45898</v>
      </c>
      <c r="H32" s="747" t="n">
        <v>11167470.48</v>
      </c>
      <c r="I32" s="579" t="n"/>
      <c r="J32" s="582">
        <f>IFERROR(H32-I32,"-")</f>
        <v/>
      </c>
      <c r="K32" s="747" t="n">
        <v>56285319.14</v>
      </c>
      <c r="L32" s="747" t="n">
        <v>56285319.14</v>
      </c>
      <c r="M32" s="590" t="n">
        <v>5.04</v>
      </c>
      <c r="N32" s="590">
        <f>IFERROR(L32/J32,"-")</f>
        <v/>
      </c>
      <c r="O32" s="1128" t="n">
        <v>1.85</v>
      </c>
      <c r="P32" s="726" t="n">
        <v>0</v>
      </c>
      <c r="Q32" s="723" t="inlineStr">
        <is>
          <t>Payment Default</t>
        </is>
      </c>
    </row>
    <row r="33" ht="25.5" customFormat="1" customHeight="1" s="322">
      <c r="C33" s="743" t="inlineStr">
        <is>
          <t>Japonesque</t>
        </is>
      </c>
      <c r="D33" s="744" t="inlineStr">
        <is>
          <t>Increase in Lev</t>
        </is>
      </c>
      <c r="E33" s="744" t="inlineStr">
        <is>
          <t>-</t>
        </is>
      </c>
      <c r="F33" s="744" t="inlineStr">
        <is>
          <t>-</t>
        </is>
      </c>
      <c r="G33" s="745" t="n">
        <v>45944</v>
      </c>
      <c r="H33" s="747" t="n">
        <v>10548166</v>
      </c>
      <c r="I33" s="579" t="n"/>
      <c r="J33" s="582">
        <f>IFERROR(H33-I33,"-")</f>
        <v/>
      </c>
      <c r="K33" s="747" t="n">
        <v>47510735</v>
      </c>
      <c r="L33" s="747" t="n">
        <v>47510735</v>
      </c>
      <c r="M33" s="590">
        <f>IFERROR(K33/J33,"-")</f>
        <v/>
      </c>
      <c r="N33" s="590">
        <f>IFERROR(L33/J33,"-")</f>
        <v/>
      </c>
      <c r="O33" s="747" t="inlineStr">
        <is>
          <t>1.44x</t>
        </is>
      </c>
      <c r="P33" s="726" t="n">
        <v>0.9743000000000001</v>
      </c>
      <c r="Q33" s="723" t="inlineStr">
        <is>
          <t>No adjustment to Assigned Value, receiving structural Applicable Collateral Value. Watch List.</t>
        </is>
      </c>
    </row>
    <row r="34" ht="25.5" customFormat="1" customHeight="1" s="322">
      <c r="C34" s="743" t="inlineStr">
        <is>
          <t>Gridsource</t>
        </is>
      </c>
      <c r="D34" s="744" t="inlineStr">
        <is>
          <t>Increase in Lev</t>
        </is>
      </c>
      <c r="E34" s="744" t="inlineStr">
        <is>
          <t>-</t>
        </is>
      </c>
      <c r="F34" s="744" t="inlineStr">
        <is>
          <t>-</t>
        </is>
      </c>
      <c r="G34" s="745" t="n">
        <v>45944</v>
      </c>
      <c r="H34" s="747" t="n">
        <v>29422622</v>
      </c>
      <c r="I34" s="579" t="n"/>
      <c r="J34" s="582">
        <f>IFERROR(H34-I34,"-")</f>
        <v/>
      </c>
      <c r="K34" s="747" t="n">
        <v>130797282</v>
      </c>
      <c r="L34" s="747" t="n">
        <v>130797282</v>
      </c>
      <c r="M34" s="590">
        <f>IFERROR(K34/J34,"-")</f>
        <v/>
      </c>
      <c r="N34" s="590">
        <f>IFERROR(L34/J34,"-")</f>
        <v/>
      </c>
      <c r="O34" s="747" t="inlineStr">
        <is>
          <t>2.11x</t>
        </is>
      </c>
      <c r="P34" s="726" t="n">
        <v>0.9209000000000001</v>
      </c>
      <c r="Q34" s="723" t="inlineStr">
        <is>
          <t>No adjustment to Assigned Value, receiving structural Applicable Collateral Value. Watch List.</t>
        </is>
      </c>
    </row>
    <row r="35" ht="25.5" customFormat="1" customHeight="1" s="322">
      <c r="C35" s="743" t="inlineStr">
        <is>
          <t>Jefferson Solutions Group</t>
        </is>
      </c>
      <c r="D35" s="744" t="inlineStr">
        <is>
          <t>Increase in Lev</t>
        </is>
      </c>
      <c r="E35" s="744" t="inlineStr">
        <is>
          <t>(ii) Net Senior Leverage Ratio Test</t>
        </is>
      </c>
      <c r="F35" s="744" t="inlineStr">
        <is>
          <t>-</t>
        </is>
      </c>
      <c r="G35" s="745" t="n">
        <v>46037</v>
      </c>
      <c r="H35" s="747" t="n">
        <v>5411890</v>
      </c>
      <c r="I35" s="579" t="n"/>
      <c r="J35" s="582">
        <f>IFERROR(H35-I35,"-")</f>
        <v/>
      </c>
      <c r="K35" s="747" t="n">
        <v>30209948</v>
      </c>
      <c r="L35" s="747" t="n">
        <v>30209948</v>
      </c>
      <c r="M35" s="590">
        <f>IFERROR(K35/J35,"-")</f>
        <v/>
      </c>
      <c r="N35" s="590">
        <f>IFERROR(L35/J35,"-")</f>
        <v/>
      </c>
      <c r="O35" s="1128" t="n">
        <v>1.28</v>
      </c>
      <c r="P35" s="726" t="n">
        <v>0.8688</v>
      </c>
      <c r="Q35" s="723" t="inlineStr">
        <is>
          <t>No adjustment to Assigned Value, receiving structural Applicable Collateral Value. Watch List.</t>
        </is>
      </c>
    </row>
    <row r="36" ht="12.75" customFormat="1" customHeight="1" s="322">
      <c r="C36" s="743" t="n"/>
      <c r="D36" s="744" t="n"/>
      <c r="E36" s="744" t="n"/>
      <c r="F36" s="744" t="n"/>
      <c r="G36" s="745" t="n"/>
      <c r="H36" s="747" t="n"/>
      <c r="I36" s="579" t="n"/>
      <c r="J36" s="582">
        <f>IFERROR(H36-I36,"-")</f>
        <v/>
      </c>
      <c r="K36" s="747" t="n"/>
      <c r="L36" s="747" t="n"/>
      <c r="M36" s="590">
        <f>IFERROR(K36/J36,"-")</f>
        <v/>
      </c>
      <c r="N36" s="590">
        <f>IFERROR(L36/J36,"-")</f>
        <v/>
      </c>
      <c r="O36" s="747" t="n"/>
      <c r="P36" s="726" t="n"/>
      <c r="Q36" s="723" t="n"/>
    </row>
    <row r="37" ht="12.75" customFormat="1" customHeight="1" s="322">
      <c r="C37" s="743" t="n"/>
      <c r="D37" s="744" t="n"/>
      <c r="E37" s="744" t="n"/>
      <c r="F37" s="744" t="n"/>
      <c r="G37" s="745" t="n"/>
      <c r="H37" s="747" t="n"/>
      <c r="I37" s="579" t="n"/>
      <c r="J37" s="582">
        <f>IFERROR(H37-I37,"-")</f>
        <v/>
      </c>
      <c r="K37" s="747" t="n"/>
      <c r="L37" s="747" t="n"/>
      <c r="M37" s="590">
        <f>IFERROR(K37/J37,"-")</f>
        <v/>
      </c>
      <c r="N37" s="590">
        <f>IFERROR(L37/J37,"-")</f>
        <v/>
      </c>
      <c r="O37" s="747" t="n"/>
      <c r="P37" s="726" t="n"/>
      <c r="Q37" s="723" t="n"/>
    </row>
    <row r="38" ht="12.75" customFormat="1" customHeight="1" s="322">
      <c r="C38" s="743" t="n"/>
      <c r="D38" s="744" t="n"/>
      <c r="E38" s="744" t="n"/>
      <c r="F38" s="744" t="n"/>
      <c r="G38" s="745" t="n"/>
      <c r="H38" s="747" t="n"/>
      <c r="I38" s="579" t="n"/>
      <c r="J38" s="582">
        <f>IFERROR(H38-I38,"-")</f>
        <v/>
      </c>
      <c r="K38" s="747" t="n"/>
      <c r="L38" s="747" t="n"/>
      <c r="M38" s="590">
        <f>IFERROR(K38/J38,"-")</f>
        <v/>
      </c>
      <c r="N38" s="590">
        <f>IFERROR(L38/J38,"-")</f>
        <v/>
      </c>
      <c r="O38" s="747" t="n"/>
      <c r="P38" s="726" t="n"/>
      <c r="Q38" s="723" t="n"/>
    </row>
    <row r="39" ht="12.75" customFormat="1" customHeight="1" s="322">
      <c r="C39" s="743" t="n"/>
      <c r="D39" s="744" t="n"/>
      <c r="E39" s="744" t="n"/>
      <c r="F39" s="744" t="n"/>
      <c r="G39" s="745" t="n"/>
      <c r="H39" s="747" t="n"/>
      <c r="I39" s="579" t="n"/>
      <c r="J39" s="582">
        <f>IFERROR(H39-I39,"-")</f>
        <v/>
      </c>
      <c r="K39" s="747" t="n"/>
      <c r="L39" s="747" t="n"/>
      <c r="M39" s="590">
        <f>IFERROR(K39/J39,"-")</f>
        <v/>
      </c>
      <c r="N39" s="590">
        <f>IFERROR(L39/J39,"-")</f>
        <v/>
      </c>
      <c r="O39" s="747" t="n"/>
      <c r="P39" s="726" t="n"/>
      <c r="Q39" s="723" t="n"/>
    </row>
    <row r="40" ht="12.75" customFormat="1" customHeight="1" s="322">
      <c r="C40" s="743" t="n"/>
      <c r="D40" s="744" t="n"/>
      <c r="E40" s="744" t="n"/>
      <c r="F40" s="744" t="n"/>
      <c r="G40" s="745" t="n"/>
      <c r="H40" s="747" t="n"/>
      <c r="I40" s="579" t="n"/>
      <c r="J40" s="582">
        <f>IFERROR(H40-I40,"-")</f>
        <v/>
      </c>
      <c r="K40" s="747" t="n"/>
      <c r="L40" s="747" t="n"/>
      <c r="M40" s="590">
        <f>IFERROR(K40/J40,"-")</f>
        <v/>
      </c>
      <c r="N40" s="590">
        <f>IFERROR(L40/J40,"-")</f>
        <v/>
      </c>
      <c r="O40" s="747" t="n"/>
      <c r="P40" s="726" t="n"/>
      <c r="Q40" s="723" t="n"/>
    </row>
    <row r="41" ht="12.75" customFormat="1" customHeight="1" s="322">
      <c r="C41" s="743" t="n"/>
      <c r="D41" s="744" t="n"/>
      <c r="E41" s="744" t="n"/>
      <c r="F41" s="744" t="n"/>
      <c r="G41" s="745" t="n"/>
      <c r="H41" s="747" t="n"/>
      <c r="I41" s="579" t="n"/>
      <c r="J41" s="582">
        <f>IFERROR(H41-I41,"-")</f>
        <v/>
      </c>
      <c r="K41" s="747" t="n"/>
      <c r="L41" s="747" t="n"/>
      <c r="M41" s="590">
        <f>IFERROR(K41/J41,"-")</f>
        <v/>
      </c>
      <c r="N41" s="590">
        <f>IFERROR(L41/J41,"-")</f>
        <v/>
      </c>
      <c r="O41" s="747" t="n"/>
      <c r="P41" s="726" t="n"/>
      <c r="Q41" s="723" t="n"/>
    </row>
    <row r="42" ht="12.75" customFormat="1" customHeight="1" s="322">
      <c r="C42" s="743" t="n"/>
      <c r="D42" s="744" t="n"/>
      <c r="E42" s="744" t="n"/>
      <c r="F42" s="744" t="n"/>
      <c r="G42" s="745" t="n"/>
      <c r="H42" s="747" t="n"/>
      <c r="I42" s="579" t="n"/>
      <c r="J42" s="582">
        <f>IFERROR(H42-I42,"-")</f>
        <v/>
      </c>
      <c r="K42" s="747" t="n"/>
      <c r="L42" s="747" t="n"/>
      <c r="M42" s="590">
        <f>IFERROR(K42/J42,"-")</f>
        <v/>
      </c>
      <c r="N42" s="590">
        <f>IFERROR(L42/J42,"-")</f>
        <v/>
      </c>
      <c r="O42" s="747" t="n"/>
      <c r="P42" s="726" t="n"/>
      <c r="Q42" s="723" t="n"/>
    </row>
    <row r="43" ht="12.75" customFormat="1" customHeight="1" s="322">
      <c r="C43" s="743" t="n"/>
      <c r="D43" s="744" t="n"/>
      <c r="E43" s="744" t="n"/>
      <c r="F43" s="744" t="n"/>
      <c r="G43" s="745" t="n"/>
      <c r="H43" s="747" t="n"/>
      <c r="I43" s="579" t="n"/>
      <c r="J43" s="582">
        <f>IFERROR(H43-I43,"-")</f>
        <v/>
      </c>
      <c r="K43" s="747" t="n"/>
      <c r="L43" s="747" t="n"/>
      <c r="M43" s="590">
        <f>IFERROR(K43/J43,"-")</f>
        <v/>
      </c>
      <c r="N43" s="590">
        <f>IFERROR(L43/J43,"-")</f>
        <v/>
      </c>
      <c r="O43" s="747" t="n"/>
      <c r="P43" s="726" t="n"/>
      <c r="Q43" s="723" t="n"/>
    </row>
    <row r="44" ht="12.75" customFormat="1" customHeight="1" s="322">
      <c r="C44" s="743" t="n"/>
      <c r="D44" s="744" t="n"/>
      <c r="E44" s="744" t="n"/>
      <c r="F44" s="744" t="n"/>
      <c r="G44" s="745" t="n"/>
      <c r="H44" s="747" t="n"/>
      <c r="I44" s="579" t="n"/>
      <c r="J44" s="582">
        <f>IFERROR(H44-I44,"-")</f>
        <v/>
      </c>
      <c r="K44" s="747" t="n"/>
      <c r="L44" s="747" t="n"/>
      <c r="M44" s="590">
        <f>IFERROR(K44/J44,"-")</f>
        <v/>
      </c>
      <c r="N44" s="590">
        <f>IFERROR(L44/J44,"-")</f>
        <v/>
      </c>
      <c r="O44" s="747" t="n"/>
      <c r="P44" s="726" t="n"/>
      <c r="Q44" s="723" t="n"/>
    </row>
    <row r="45" ht="12.75" customFormat="1" customHeight="1" s="322">
      <c r="C45" s="743" t="n"/>
      <c r="D45" s="744" t="n"/>
      <c r="E45" s="744" t="n"/>
      <c r="F45" s="744" t="n"/>
      <c r="G45" s="745" t="n"/>
      <c r="H45" s="747" t="n"/>
      <c r="I45" s="579" t="n"/>
      <c r="J45" s="582">
        <f>IFERROR(H45-I45,"-")</f>
        <v/>
      </c>
      <c r="K45" s="747" t="n"/>
      <c r="L45" s="747" t="n"/>
      <c r="M45" s="590">
        <f>IFERROR(K45/J45,"-")</f>
        <v/>
      </c>
      <c r="N45" s="590">
        <f>IFERROR(L45/J45,"-")</f>
        <v/>
      </c>
      <c r="O45" s="747" t="n"/>
      <c r="P45" s="726" t="n"/>
      <c r="Q45" s="723" t="n"/>
    </row>
    <row r="46" ht="12.75" customFormat="1" customHeight="1" s="322">
      <c r="C46" s="743" t="n"/>
      <c r="D46" s="744" t="n"/>
      <c r="E46" s="744" t="n"/>
      <c r="F46" s="744" t="n"/>
      <c r="G46" s="745" t="n"/>
      <c r="H46" s="747" t="n"/>
      <c r="I46" s="579" t="n"/>
      <c r="J46" s="582">
        <f>IFERROR(H46-I46,"-")</f>
        <v/>
      </c>
      <c r="K46" s="747" t="n"/>
      <c r="L46" s="747" t="n"/>
      <c r="M46" s="590">
        <f>IFERROR(K46/J46,"-")</f>
        <v/>
      </c>
      <c r="N46" s="590">
        <f>IFERROR(L46/J46,"-")</f>
        <v/>
      </c>
      <c r="O46" s="747" t="n"/>
      <c r="P46" s="726" t="n"/>
      <c r="Q46" s="723" t="n"/>
    </row>
    <row r="47" ht="12.75" customFormat="1" customHeight="1" s="322">
      <c r="C47" s="743" t="n"/>
      <c r="D47" s="744" t="n"/>
      <c r="E47" s="744" t="n"/>
      <c r="F47" s="744" t="n"/>
      <c r="G47" s="745" t="n"/>
      <c r="H47" s="747" t="n"/>
      <c r="I47" s="579" t="n"/>
      <c r="J47" s="582">
        <f>IFERROR(H47-I47,"-")</f>
        <v/>
      </c>
      <c r="K47" s="747" t="n"/>
      <c r="L47" s="747" t="n"/>
      <c r="M47" s="590">
        <f>IFERROR(K47/J47,"-")</f>
        <v/>
      </c>
      <c r="N47" s="590">
        <f>IFERROR(L47/J47,"-")</f>
        <v/>
      </c>
      <c r="O47" s="747" t="n"/>
      <c r="P47" s="726" t="n"/>
      <c r="Q47" s="723" t="n"/>
    </row>
    <row r="48" ht="12.75" customFormat="1" customHeight="1" s="322">
      <c r="C48" s="743" t="n"/>
      <c r="D48" s="744" t="n"/>
      <c r="E48" s="744" t="n"/>
      <c r="F48" s="744" t="n"/>
      <c r="G48" s="745" t="n"/>
      <c r="H48" s="747" t="n"/>
      <c r="I48" s="579" t="n"/>
      <c r="J48" s="582">
        <f>IFERROR(H48-I48,"-")</f>
        <v/>
      </c>
      <c r="K48" s="747" t="n"/>
      <c r="L48" s="747" t="n"/>
      <c r="M48" s="590">
        <f>IFERROR(K48/J48,"-")</f>
        <v/>
      </c>
      <c r="N48" s="590">
        <f>IFERROR(L48/J48,"-")</f>
        <v/>
      </c>
      <c r="O48" s="747" t="n"/>
      <c r="P48" s="726" t="n"/>
      <c r="Q48" s="723" t="n"/>
    </row>
    <row r="49" ht="12.75" customFormat="1" customHeight="1" s="322">
      <c r="C49" s="743" t="n"/>
      <c r="D49" s="744" t="n"/>
      <c r="E49" s="744" t="n"/>
      <c r="F49" s="744" t="n"/>
      <c r="G49" s="745" t="n"/>
      <c r="H49" s="747" t="n"/>
      <c r="I49" s="579" t="n"/>
      <c r="J49" s="582">
        <f>IFERROR(H49-I49,"-")</f>
        <v/>
      </c>
      <c r="K49" s="747" t="n"/>
      <c r="L49" s="747" t="n"/>
      <c r="M49" s="590">
        <f>IFERROR(K49/J49,"-")</f>
        <v/>
      </c>
      <c r="N49" s="590">
        <f>IFERROR(L49/J49,"-")</f>
        <v/>
      </c>
      <c r="O49" s="747" t="n"/>
      <c r="P49" s="726" t="n"/>
      <c r="Q49" s="723" t="n"/>
    </row>
    <row r="50" ht="12.75" customFormat="1" customHeight="1" s="322">
      <c r="C50" s="743" t="n"/>
      <c r="D50" s="744" t="n"/>
      <c r="E50" s="744" t="n"/>
      <c r="F50" s="744" t="n"/>
      <c r="G50" s="745" t="n"/>
      <c r="H50" s="747" t="n"/>
      <c r="I50" s="579" t="n"/>
      <c r="J50" s="582">
        <f>IFERROR(H50-I50,"-")</f>
        <v/>
      </c>
      <c r="K50" s="747" t="n"/>
      <c r="L50" s="747" t="n"/>
      <c r="M50" s="590">
        <f>IFERROR(K50/J50,"-")</f>
        <v/>
      </c>
      <c r="N50" s="590">
        <f>IFERROR(L50/J50,"-")</f>
        <v/>
      </c>
      <c r="O50" s="747" t="n"/>
      <c r="P50" s="726" t="n"/>
      <c r="Q50" s="723" t="n"/>
    </row>
    <row r="51" ht="12.75" customFormat="1" customHeight="1" s="322">
      <c r="C51" s="743" t="n"/>
      <c r="D51" s="744" t="n"/>
      <c r="E51" s="744" t="n"/>
      <c r="F51" s="744" t="n"/>
      <c r="G51" s="745" t="n"/>
      <c r="H51" s="747" t="n"/>
      <c r="I51" s="579" t="n"/>
      <c r="J51" s="582">
        <f>IFERROR(H51-I51,"-")</f>
        <v/>
      </c>
      <c r="K51" s="747" t="n"/>
      <c r="L51" s="747" t="n"/>
      <c r="M51" s="590">
        <f>IFERROR(K51/J51,"-")</f>
        <v/>
      </c>
      <c r="N51" s="590">
        <f>IFERROR(L51/J51,"-")</f>
        <v/>
      </c>
      <c r="O51" s="747" t="n"/>
      <c r="P51" s="726" t="n"/>
      <c r="Q51" s="723" t="n"/>
    </row>
    <row r="52" ht="12.75" customFormat="1" customHeight="1" s="322">
      <c r="C52" s="743" t="n"/>
      <c r="D52" s="744" t="n"/>
      <c r="E52" s="744" t="n"/>
      <c r="F52" s="744" t="n"/>
      <c r="G52" s="745" t="n"/>
      <c r="H52" s="747" t="n"/>
      <c r="I52" s="579" t="n"/>
      <c r="J52" s="582">
        <f>IFERROR(H52-I52,"-")</f>
        <v/>
      </c>
      <c r="K52" s="747" t="n"/>
      <c r="L52" s="747" t="n"/>
      <c r="M52" s="590">
        <f>IFERROR(K52/J52,"-")</f>
        <v/>
      </c>
      <c r="N52" s="590">
        <f>IFERROR(L52/J52,"-")</f>
        <v/>
      </c>
      <c r="O52" s="747" t="n"/>
      <c r="P52" s="726" t="n"/>
      <c r="Q52" s="723" t="n"/>
    </row>
    <row r="53" ht="12.75" customFormat="1" customHeight="1" s="322">
      <c r="C53" s="743" t="n"/>
      <c r="D53" s="744" t="n"/>
      <c r="E53" s="744" t="n"/>
      <c r="F53" s="744" t="n"/>
      <c r="G53" s="745" t="n"/>
      <c r="H53" s="747" t="n"/>
      <c r="I53" s="579" t="n"/>
      <c r="J53" s="582">
        <f>IFERROR(H53-I53,"-")</f>
        <v/>
      </c>
      <c r="K53" s="747" t="n"/>
      <c r="L53" s="747" t="n"/>
      <c r="M53" s="590">
        <f>IFERROR(K53/J53,"-")</f>
        <v/>
      </c>
      <c r="N53" s="590">
        <f>IFERROR(L53/J53,"-")</f>
        <v/>
      </c>
      <c r="O53" s="747" t="n"/>
      <c r="P53" s="726" t="n"/>
      <c r="Q53" s="723" t="n"/>
    </row>
    <row r="54" ht="12.75" customFormat="1" customHeight="1" s="322">
      <c r="C54" s="743" t="n"/>
      <c r="D54" s="744" t="n"/>
      <c r="E54" s="744" t="n"/>
      <c r="F54" s="744" t="n"/>
      <c r="G54" s="745" t="n"/>
      <c r="H54" s="747" t="n"/>
      <c r="I54" s="579" t="n"/>
      <c r="J54" s="582">
        <f>IFERROR(H54-I54,"-")</f>
        <v/>
      </c>
      <c r="K54" s="747" t="n"/>
      <c r="L54" s="747" t="n"/>
      <c r="M54" s="590">
        <f>IFERROR(K54/J54,"-")</f>
        <v/>
      </c>
      <c r="N54" s="590">
        <f>IFERROR(L54/J54,"-")</f>
        <v/>
      </c>
      <c r="O54" s="747" t="n"/>
      <c r="P54" s="726" t="n"/>
      <c r="Q54" s="723" t="n"/>
    </row>
    <row r="55" ht="12.75" customFormat="1" customHeight="1" s="322">
      <c r="C55" s="743" t="n"/>
      <c r="D55" s="744" t="n"/>
      <c r="E55" s="744" t="n"/>
      <c r="F55" s="744" t="n"/>
      <c r="G55" s="745" t="n"/>
      <c r="H55" s="747" t="n"/>
      <c r="I55" s="579" t="n"/>
      <c r="J55" s="582">
        <f>IFERROR(H55-I55,"-")</f>
        <v/>
      </c>
      <c r="K55" s="747" t="n"/>
      <c r="L55" s="747" t="n"/>
      <c r="M55" s="590">
        <f>IFERROR(K55/J55,"-")</f>
        <v/>
      </c>
      <c r="N55" s="590">
        <f>IFERROR(L55/J55,"-")</f>
        <v/>
      </c>
      <c r="O55" s="747" t="n"/>
      <c r="P55" s="726" t="n"/>
      <c r="Q55" s="723" t="n"/>
    </row>
    <row r="56" ht="12.75" customFormat="1" customHeight="1" s="322">
      <c r="C56" s="743" t="n"/>
      <c r="D56" s="744" t="n"/>
      <c r="E56" s="744" t="n"/>
      <c r="F56" s="744" t="n"/>
      <c r="G56" s="745" t="n"/>
      <c r="H56" s="747" t="n"/>
      <c r="I56" s="579" t="n"/>
      <c r="J56" s="582">
        <f>IFERROR(H56-I56,"-")</f>
        <v/>
      </c>
      <c r="K56" s="747" t="n"/>
      <c r="L56" s="747" t="n"/>
      <c r="M56" s="590">
        <f>IFERROR(K56/J56,"-")</f>
        <v/>
      </c>
      <c r="N56" s="590">
        <f>IFERROR(L56/J56,"-")</f>
        <v/>
      </c>
      <c r="O56" s="747" t="n"/>
      <c r="P56" s="726" t="n"/>
      <c r="Q56" s="723" t="n"/>
    </row>
    <row r="57" ht="12.75" customFormat="1" customHeight="1" s="322">
      <c r="C57" s="743" t="n"/>
      <c r="D57" s="744" t="n"/>
      <c r="E57" s="744" t="n"/>
      <c r="F57" s="744" t="n"/>
      <c r="G57" s="745" t="n"/>
      <c r="H57" s="747" t="n"/>
      <c r="I57" s="579" t="n"/>
      <c r="J57" s="582">
        <f>IFERROR(H57-I57,"-")</f>
        <v/>
      </c>
      <c r="K57" s="747" t="n"/>
      <c r="L57" s="747" t="n"/>
      <c r="M57" s="590">
        <f>IFERROR(K57/J57,"-")</f>
        <v/>
      </c>
      <c r="N57" s="590">
        <f>IFERROR(L57/J57,"-")</f>
        <v/>
      </c>
      <c r="O57" s="747" t="n"/>
      <c r="P57" s="726" t="n"/>
      <c r="Q57" s="723" t="n"/>
    </row>
    <row r="58" ht="12.75" customFormat="1" customHeight="1" s="322">
      <c r="C58" s="743" t="n"/>
      <c r="D58" s="744" t="n"/>
      <c r="E58" s="744" t="n"/>
      <c r="F58" s="744" t="n"/>
      <c r="G58" s="745" t="n"/>
      <c r="H58" s="747" t="n"/>
      <c r="I58" s="579" t="n"/>
      <c r="J58" s="582">
        <f>IFERROR(H58-I58,"-")</f>
        <v/>
      </c>
      <c r="K58" s="747" t="n"/>
      <c r="L58" s="747" t="n"/>
      <c r="M58" s="590">
        <f>IFERROR(K58/J58,"-")</f>
        <v/>
      </c>
      <c r="N58" s="590">
        <f>IFERROR(L58/J58,"-")</f>
        <v/>
      </c>
      <c r="O58" s="747" t="n"/>
      <c r="P58" s="726" t="n"/>
      <c r="Q58" s="723" t="n"/>
    </row>
    <row r="59" ht="12.75" customFormat="1" customHeight="1" s="322">
      <c r="C59" s="743" t="n"/>
      <c r="D59" s="744" t="n"/>
      <c r="E59" s="744" t="n"/>
      <c r="F59" s="744" t="n"/>
      <c r="G59" s="745" t="n"/>
      <c r="H59" s="747" t="n"/>
      <c r="I59" s="579" t="n"/>
      <c r="J59" s="582">
        <f>IFERROR(H59-I59,"-")</f>
        <v/>
      </c>
      <c r="K59" s="747" t="n"/>
      <c r="L59" s="747" t="n"/>
      <c r="M59" s="590">
        <f>IFERROR(K59/J59,"-")</f>
        <v/>
      </c>
      <c r="N59" s="590">
        <f>IFERROR(L59/J59,"-")</f>
        <v/>
      </c>
      <c r="O59" s="747" t="n"/>
      <c r="P59" s="726" t="n"/>
      <c r="Q59" s="723" t="n"/>
    </row>
    <row r="60" ht="12.75" customFormat="1" customHeight="1" s="322">
      <c r="C60" s="743" t="n"/>
      <c r="D60" s="744" t="n"/>
      <c r="E60" s="744" t="n"/>
      <c r="F60" s="744" t="n"/>
      <c r="G60" s="745" t="n"/>
      <c r="H60" s="747" t="n"/>
      <c r="I60" s="579" t="n"/>
      <c r="J60" s="582">
        <f>IFERROR(H60-I60,"-")</f>
        <v/>
      </c>
      <c r="K60" s="747" t="n"/>
      <c r="L60" s="747" t="n"/>
      <c r="M60" s="590">
        <f>IFERROR(K60/J60,"-")</f>
        <v/>
      </c>
      <c r="N60" s="590">
        <f>IFERROR(L60/J60,"-")</f>
        <v/>
      </c>
      <c r="O60" s="747" t="n"/>
      <c r="P60" s="726" t="n"/>
      <c r="Q60" s="723" t="n"/>
    </row>
    <row r="61" ht="12.75" customFormat="1" customHeight="1" s="322">
      <c r="C61" s="743" t="n"/>
      <c r="D61" s="744" t="n"/>
      <c r="E61" s="744" t="n"/>
      <c r="F61" s="744" t="n"/>
      <c r="G61" s="745" t="n"/>
      <c r="H61" s="747" t="n"/>
      <c r="I61" s="579" t="n"/>
      <c r="J61" s="582">
        <f>IFERROR(H61-I61,"-")</f>
        <v/>
      </c>
      <c r="K61" s="747" t="n"/>
      <c r="L61" s="747" t="n"/>
      <c r="M61" s="590">
        <f>IFERROR(K61/J61,"-")</f>
        <v/>
      </c>
      <c r="N61" s="590">
        <f>IFERROR(L61/J61,"-")</f>
        <v/>
      </c>
      <c r="O61" s="747" t="n"/>
      <c r="P61" s="726" t="n"/>
      <c r="Q61" s="723" t="n"/>
    </row>
    <row r="62" ht="12.75" customFormat="1" customHeight="1" s="322">
      <c r="C62" s="743" t="n"/>
      <c r="D62" s="744" t="n"/>
      <c r="E62" s="744" t="n"/>
      <c r="F62" s="744" t="n"/>
      <c r="G62" s="745" t="n"/>
      <c r="H62" s="747" t="n"/>
      <c r="I62" s="579" t="n"/>
      <c r="J62" s="582">
        <f>IFERROR(H62-I62,"-")</f>
        <v/>
      </c>
      <c r="K62" s="747" t="n"/>
      <c r="L62" s="747" t="n"/>
      <c r="M62" s="590">
        <f>IFERROR(K62/J62,"-")</f>
        <v/>
      </c>
      <c r="N62" s="590">
        <f>IFERROR(L62/J62,"-")</f>
        <v/>
      </c>
      <c r="O62" s="747" t="n"/>
      <c r="P62" s="726" t="n"/>
      <c r="Q62" s="723" t="n"/>
    </row>
    <row r="63" ht="12.75" customFormat="1" customHeight="1" s="322">
      <c r="C63" s="743" t="n"/>
      <c r="D63" s="744" t="n"/>
      <c r="E63" s="744" t="n"/>
      <c r="F63" s="744" t="n"/>
      <c r="G63" s="745" t="n"/>
      <c r="H63" s="747" t="n"/>
      <c r="I63" s="579" t="n"/>
      <c r="J63" s="582">
        <f>IFERROR(H63-I63,"-")</f>
        <v/>
      </c>
      <c r="K63" s="747" t="n"/>
      <c r="L63" s="747" t="n"/>
      <c r="M63" s="590">
        <f>IFERROR(K63/J63,"-")</f>
        <v/>
      </c>
      <c r="N63" s="590">
        <f>IFERROR(L63/J63,"-")</f>
        <v/>
      </c>
      <c r="O63" s="747" t="n"/>
      <c r="P63" s="726" t="n"/>
      <c r="Q63" s="723" t="n"/>
    </row>
    <row r="64" ht="12.75" customFormat="1" customHeight="1" s="322">
      <c r="C64" s="743" t="n"/>
      <c r="D64" s="744" t="n"/>
      <c r="E64" s="744" t="n"/>
      <c r="F64" s="744" t="n"/>
      <c r="G64" s="745" t="n"/>
      <c r="H64" s="747" t="n"/>
      <c r="I64" s="579" t="n"/>
      <c r="J64" s="582">
        <f>IFERROR(H64-I64,"-")</f>
        <v/>
      </c>
      <c r="K64" s="747" t="n"/>
      <c r="L64" s="747" t="n"/>
      <c r="M64" s="590">
        <f>IFERROR(K64/J64,"-")</f>
        <v/>
      </c>
      <c r="N64" s="590">
        <f>IFERROR(L64/J64,"-")</f>
        <v/>
      </c>
      <c r="O64" s="747" t="n"/>
      <c r="P64" s="726" t="n"/>
      <c r="Q64" s="723" t="n"/>
    </row>
    <row r="65" ht="12.75" customFormat="1" customHeight="1" s="322">
      <c r="C65" s="743" t="n"/>
      <c r="D65" s="744" t="n"/>
      <c r="E65" s="744" t="n"/>
      <c r="F65" s="744" t="n"/>
      <c r="G65" s="745" t="n"/>
      <c r="H65" s="747" t="n"/>
      <c r="I65" s="579" t="n"/>
      <c r="J65" s="582">
        <f>IFERROR(H65-I65,"-")</f>
        <v/>
      </c>
      <c r="K65" s="747" t="n"/>
      <c r="L65" s="747" t="n"/>
      <c r="M65" s="590">
        <f>IFERROR(K65/J65,"-")</f>
        <v/>
      </c>
      <c r="N65" s="590">
        <f>IFERROR(L65/J65,"-")</f>
        <v/>
      </c>
      <c r="O65" s="747" t="n"/>
      <c r="P65" s="726" t="n"/>
      <c r="Q65" s="723" t="n"/>
    </row>
    <row r="66" ht="12.75" customFormat="1" customHeight="1" s="322">
      <c r="C66" s="743" t="n"/>
      <c r="D66" s="744" t="n"/>
      <c r="E66" s="744" t="n"/>
      <c r="F66" s="744" t="n"/>
      <c r="G66" s="745" t="n"/>
      <c r="H66" s="747" t="n"/>
      <c r="I66" s="579" t="n"/>
      <c r="J66" s="582">
        <f>IFERROR(H66-I66,"-")</f>
        <v/>
      </c>
      <c r="K66" s="747" t="n"/>
      <c r="L66" s="747" t="n"/>
      <c r="M66" s="590">
        <f>IFERROR(K66/J66,"-")</f>
        <v/>
      </c>
      <c r="N66" s="590">
        <f>IFERROR(L66/J66,"-")</f>
        <v/>
      </c>
      <c r="O66" s="747" t="n"/>
      <c r="P66" s="726" t="n"/>
      <c r="Q66" s="723" t="n"/>
    </row>
    <row r="67" ht="12.75" customFormat="1" customHeight="1" s="322">
      <c r="C67" s="743" t="n"/>
      <c r="D67" s="744" t="n"/>
      <c r="E67" s="744" t="n"/>
      <c r="F67" s="744" t="n"/>
      <c r="G67" s="745" t="n"/>
      <c r="H67" s="747" t="n"/>
      <c r="I67" s="579" t="n"/>
      <c r="J67" s="582">
        <f>IFERROR(H67-I67,"-")</f>
        <v/>
      </c>
      <c r="K67" s="747" t="n"/>
      <c r="L67" s="747" t="n"/>
      <c r="M67" s="590">
        <f>IFERROR(K67/J67,"-")</f>
        <v/>
      </c>
      <c r="N67" s="590">
        <f>IFERROR(L67/J67,"-")</f>
        <v/>
      </c>
      <c r="O67" s="747" t="n"/>
      <c r="P67" s="726" t="n"/>
      <c r="Q67" s="723" t="n"/>
    </row>
    <row r="68" ht="12.75" customFormat="1" customHeight="1" s="322">
      <c r="C68" s="743" t="n"/>
      <c r="D68" s="744" t="n"/>
      <c r="E68" s="744" t="n"/>
      <c r="F68" s="744" t="n"/>
      <c r="G68" s="745" t="n"/>
      <c r="H68" s="747" t="n"/>
      <c r="I68" s="579" t="n"/>
      <c r="J68" s="582">
        <f>IFERROR(H68-I68,"-")</f>
        <v/>
      </c>
      <c r="K68" s="747" t="n"/>
      <c r="L68" s="747" t="n"/>
      <c r="M68" s="590">
        <f>IFERROR(K68/J68,"-")</f>
        <v/>
      </c>
      <c r="N68" s="590">
        <f>IFERROR(L68/J68,"-")</f>
        <v/>
      </c>
      <c r="O68" s="747" t="n"/>
      <c r="P68" s="726" t="n"/>
      <c r="Q68" s="723" t="n"/>
    </row>
    <row r="69" ht="12.75" customFormat="1" customHeight="1" s="322">
      <c r="C69" s="743" t="n"/>
      <c r="D69" s="744" t="n"/>
      <c r="E69" s="744" t="n"/>
      <c r="F69" s="744" t="n"/>
      <c r="G69" s="745" t="n"/>
      <c r="H69" s="747" t="n"/>
      <c r="I69" s="579" t="n"/>
      <c r="J69" s="582">
        <f>IFERROR(H69-I69,"-")</f>
        <v/>
      </c>
      <c r="K69" s="747" t="n"/>
      <c r="L69" s="747" t="n"/>
      <c r="M69" s="590">
        <f>IFERROR(K69/J69,"-")</f>
        <v/>
      </c>
      <c r="N69" s="590">
        <f>IFERROR(L69/J69,"-")</f>
        <v/>
      </c>
      <c r="O69" s="747" t="n"/>
      <c r="P69" s="726" t="n"/>
      <c r="Q69" s="723" t="n"/>
    </row>
    <row r="70" ht="12.75" customFormat="1" customHeight="1" s="322">
      <c r="C70" s="743" t="n"/>
      <c r="D70" s="744" t="n"/>
      <c r="E70" s="744" t="n"/>
      <c r="F70" s="744" t="n"/>
      <c r="G70" s="745" t="n"/>
      <c r="H70" s="747" t="n"/>
      <c r="I70" s="579" t="n"/>
      <c r="J70" s="582">
        <f>IFERROR(H70-I70,"-")</f>
        <v/>
      </c>
      <c r="K70" s="747" t="n"/>
      <c r="L70" s="747" t="n"/>
      <c r="M70" s="590">
        <f>IFERROR(K70/J70,"-")</f>
        <v/>
      </c>
      <c r="N70" s="590">
        <f>IFERROR(L70/J70,"-")</f>
        <v/>
      </c>
      <c r="O70" s="747" t="n"/>
      <c r="P70" s="726" t="n"/>
      <c r="Q70" s="723" t="n"/>
    </row>
    <row r="71" ht="12.75" customFormat="1" customHeight="1" s="322">
      <c r="C71" s="743" t="n"/>
      <c r="D71" s="744" t="n"/>
      <c r="E71" s="744" t="n"/>
      <c r="F71" s="744" t="n"/>
      <c r="G71" s="745" t="n"/>
      <c r="H71" s="747" t="n"/>
      <c r="I71" s="579" t="n"/>
      <c r="J71" s="582">
        <f>IFERROR(H71-I71,"-")</f>
        <v/>
      </c>
      <c r="K71" s="747" t="n"/>
      <c r="L71" s="747" t="n"/>
      <c r="M71" s="590">
        <f>IFERROR(K71/J71,"-")</f>
        <v/>
      </c>
      <c r="N71" s="590">
        <f>IFERROR(L71/J71,"-")</f>
        <v/>
      </c>
      <c r="O71" s="747" t="n"/>
      <c r="P71" s="726" t="n"/>
      <c r="Q71" s="723" t="n"/>
    </row>
    <row r="72" ht="12.75" customFormat="1" customHeight="1" s="322">
      <c r="C72" s="743" t="n"/>
      <c r="D72" s="744" t="n"/>
      <c r="E72" s="744" t="n"/>
      <c r="F72" s="744" t="n"/>
      <c r="G72" s="745" t="n"/>
      <c r="H72" s="747" t="n"/>
      <c r="I72" s="579" t="n"/>
      <c r="J72" s="582">
        <f>IFERROR(H72-I72,"-")</f>
        <v/>
      </c>
      <c r="K72" s="747" t="n"/>
      <c r="L72" s="747" t="n"/>
      <c r="M72" s="590">
        <f>IFERROR(K72/J72,"-")</f>
        <v/>
      </c>
      <c r="N72" s="590">
        <f>IFERROR(L72/J72,"-")</f>
        <v/>
      </c>
      <c r="O72" s="747" t="n"/>
      <c r="P72" s="726" t="n"/>
      <c r="Q72" s="723" t="n"/>
    </row>
    <row r="73" ht="12.75" customFormat="1" customHeight="1" s="322">
      <c r="C73" s="743" t="n"/>
      <c r="D73" s="744" t="n"/>
      <c r="E73" s="744" t="n"/>
      <c r="F73" s="744" t="n"/>
      <c r="G73" s="745" t="n"/>
      <c r="H73" s="747" t="n"/>
      <c r="I73" s="579" t="n"/>
      <c r="J73" s="582">
        <f>IFERROR(H73-I73,"-")</f>
        <v/>
      </c>
      <c r="K73" s="747" t="n"/>
      <c r="L73" s="747" t="n"/>
      <c r="M73" s="590">
        <f>IFERROR(K73/J73,"-")</f>
        <v/>
      </c>
      <c r="N73" s="590">
        <f>IFERROR(L73/J73,"-")</f>
        <v/>
      </c>
      <c r="O73" s="747" t="n"/>
      <c r="P73" s="726" t="n"/>
      <c r="Q73" s="723" t="n"/>
    </row>
    <row r="74" ht="12.75" customFormat="1" customHeight="1" s="322">
      <c r="C74" s="743" t="n"/>
      <c r="D74" s="744" t="n"/>
      <c r="E74" s="744" t="n"/>
      <c r="F74" s="744" t="n"/>
      <c r="G74" s="745" t="n"/>
      <c r="H74" s="747" t="n"/>
      <c r="I74" s="579" t="n"/>
      <c r="J74" s="582">
        <f>IFERROR(H74-I74,"-")</f>
        <v/>
      </c>
      <c r="K74" s="747" t="n"/>
      <c r="L74" s="747" t="n"/>
      <c r="M74" s="590">
        <f>IFERROR(K74/J74,"-")</f>
        <v/>
      </c>
      <c r="N74" s="590">
        <f>IFERROR(L74/J74,"-")</f>
        <v/>
      </c>
      <c r="O74" s="747" t="n"/>
      <c r="P74" s="726" t="n"/>
      <c r="Q74" s="723" t="n"/>
    </row>
    <row r="75" ht="12.75" customFormat="1" customHeight="1" s="322">
      <c r="C75" s="743" t="n"/>
      <c r="D75" s="744" t="n"/>
      <c r="E75" s="744" t="n"/>
      <c r="F75" s="744" t="n"/>
      <c r="G75" s="745" t="n"/>
      <c r="H75" s="747" t="n"/>
      <c r="I75" s="579" t="n"/>
      <c r="J75" s="582">
        <f>IFERROR(H75-I75,"-")</f>
        <v/>
      </c>
      <c r="K75" s="747" t="n"/>
      <c r="L75" s="747" t="n"/>
      <c r="M75" s="590">
        <f>IFERROR(K75/J75,"-")</f>
        <v/>
      </c>
      <c r="N75" s="590">
        <f>IFERROR(L75/J75,"-")</f>
        <v/>
      </c>
      <c r="O75" s="747" t="n"/>
      <c r="P75" s="726" t="n"/>
      <c r="Q75" s="723" t="n"/>
    </row>
    <row r="76" ht="12.75" customFormat="1" customHeight="1" s="322">
      <c r="C76" s="743" t="n"/>
      <c r="D76" s="744" t="n"/>
      <c r="E76" s="744" t="n"/>
      <c r="F76" s="744" t="n"/>
      <c r="G76" s="745" t="n"/>
      <c r="H76" s="747" t="n"/>
      <c r="I76" s="579" t="n"/>
      <c r="J76" s="582">
        <f>IFERROR(H76-I76,"-")</f>
        <v/>
      </c>
      <c r="K76" s="747" t="n"/>
      <c r="L76" s="747" t="n"/>
      <c r="M76" s="590">
        <f>IFERROR(K76/J76,"-")</f>
        <v/>
      </c>
      <c r="N76" s="590">
        <f>IFERROR(L76/J76,"-")</f>
        <v/>
      </c>
      <c r="O76" s="747" t="n"/>
      <c r="P76" s="726" t="n"/>
      <c r="Q76" s="723" t="n"/>
    </row>
    <row r="77" ht="12.75" customFormat="1" customHeight="1" s="322">
      <c r="C77" s="743" t="n"/>
      <c r="D77" s="744" t="n"/>
      <c r="E77" s="744" t="n"/>
      <c r="F77" s="744" t="n"/>
      <c r="G77" s="745" t="n"/>
      <c r="H77" s="747" t="n"/>
      <c r="I77" s="579" t="n"/>
      <c r="J77" s="582">
        <f>IFERROR(H77-I77,"-")</f>
        <v/>
      </c>
      <c r="K77" s="747" t="n"/>
      <c r="L77" s="747" t="n"/>
      <c r="M77" s="590">
        <f>IFERROR(K77/J77,"-")</f>
        <v/>
      </c>
      <c r="N77" s="590">
        <f>IFERROR(L77/J77,"-")</f>
        <v/>
      </c>
      <c r="O77" s="747" t="n"/>
      <c r="P77" s="726" t="n"/>
      <c r="Q77" s="723" t="n"/>
    </row>
    <row r="78" ht="12.75" customFormat="1" customHeight="1" s="322">
      <c r="C78" s="743" t="n"/>
      <c r="D78" s="744" t="n"/>
      <c r="E78" s="744" t="n"/>
      <c r="F78" s="744" t="n"/>
      <c r="G78" s="745" t="n"/>
      <c r="H78" s="747" t="n"/>
      <c r="I78" s="579" t="n"/>
      <c r="J78" s="582">
        <f>IFERROR(H78-I78,"-")</f>
        <v/>
      </c>
      <c r="K78" s="747" t="n"/>
      <c r="L78" s="747" t="n"/>
      <c r="M78" s="590">
        <f>IFERROR(K78/J78,"-")</f>
        <v/>
      </c>
      <c r="N78" s="590">
        <f>IFERROR(L78/J78,"-")</f>
        <v/>
      </c>
      <c r="O78" s="747" t="n"/>
      <c r="P78" s="726" t="n"/>
      <c r="Q78" s="723" t="n"/>
    </row>
    <row r="79" ht="12.75" customFormat="1" customHeight="1" s="322">
      <c r="C79" s="743" t="n"/>
      <c r="D79" s="744" t="n"/>
      <c r="E79" s="744" t="n"/>
      <c r="F79" s="744" t="n"/>
      <c r="G79" s="745" t="n"/>
      <c r="H79" s="747" t="n"/>
      <c r="I79" s="579" t="n"/>
      <c r="J79" s="582">
        <f>IFERROR(H79-I79,"-")</f>
        <v/>
      </c>
      <c r="K79" s="747" t="n"/>
      <c r="L79" s="747" t="n"/>
      <c r="M79" s="590">
        <f>IFERROR(K79/J79,"-")</f>
        <v/>
      </c>
      <c r="N79" s="590">
        <f>IFERROR(L79/J79,"-")</f>
        <v/>
      </c>
      <c r="O79" s="747" t="n"/>
      <c r="P79" s="726" t="n"/>
      <c r="Q79" s="723" t="n"/>
    </row>
    <row r="80" ht="12.75" customFormat="1" customHeight="1" s="322">
      <c r="C80" s="743" t="n"/>
      <c r="D80" s="744" t="n"/>
      <c r="E80" s="744" t="n"/>
      <c r="F80" s="744" t="n"/>
      <c r="G80" s="745" t="n"/>
      <c r="H80" s="747" t="n"/>
      <c r="I80" s="579" t="n"/>
      <c r="J80" s="582">
        <f>IFERROR(H80-I80,"-")</f>
        <v/>
      </c>
      <c r="K80" s="747" t="n"/>
      <c r="L80" s="747" t="n"/>
      <c r="M80" s="590">
        <f>IFERROR(K80/J80,"-")</f>
        <v/>
      </c>
      <c r="N80" s="590">
        <f>IFERROR(L80/J80,"-")</f>
        <v/>
      </c>
      <c r="O80" s="747" t="n"/>
      <c r="P80" s="726" t="n"/>
      <c r="Q80" s="723" t="n"/>
    </row>
    <row r="81" ht="12.75" customFormat="1" customHeight="1" s="322">
      <c r="C81" s="743" t="n"/>
      <c r="D81" s="744" t="n"/>
      <c r="E81" s="744" t="n"/>
      <c r="F81" s="744" t="n"/>
      <c r="G81" s="745" t="n"/>
      <c r="H81" s="747" t="n"/>
      <c r="I81" s="579" t="n"/>
      <c r="J81" s="582">
        <f>IFERROR(H81-I81,"-")</f>
        <v/>
      </c>
      <c r="K81" s="747" t="n"/>
      <c r="L81" s="747" t="n"/>
      <c r="M81" s="590">
        <f>IFERROR(K81/J81,"-")</f>
        <v/>
      </c>
      <c r="N81" s="590">
        <f>IFERROR(L81/J81,"-")</f>
        <v/>
      </c>
      <c r="O81" s="747" t="n"/>
      <c r="P81" s="726" t="n"/>
      <c r="Q81" s="723" t="n"/>
    </row>
    <row r="82" ht="12.75" customFormat="1" customHeight="1" s="322">
      <c r="C82" s="743" t="n"/>
      <c r="D82" s="744" t="n"/>
      <c r="E82" s="744" t="n"/>
      <c r="F82" s="744" t="n"/>
      <c r="G82" s="745" t="n"/>
      <c r="H82" s="747" t="n"/>
      <c r="I82" s="579" t="n"/>
      <c r="J82" s="582">
        <f>IFERROR(H82-I82,"-")</f>
        <v/>
      </c>
      <c r="K82" s="747" t="n"/>
      <c r="L82" s="747" t="n"/>
      <c r="M82" s="590">
        <f>IFERROR(K82/J82,"-")</f>
        <v/>
      </c>
      <c r="N82" s="590">
        <f>IFERROR(L82/J82,"-")</f>
        <v/>
      </c>
      <c r="O82" s="747" t="n"/>
      <c r="P82" s="726" t="n"/>
      <c r="Q82" s="723" t="n"/>
    </row>
    <row r="83" ht="12.75" customFormat="1" customHeight="1" s="322">
      <c r="C83" s="743" t="n"/>
      <c r="D83" s="744" t="n"/>
      <c r="E83" s="744" t="n"/>
      <c r="F83" s="744" t="n"/>
      <c r="G83" s="745" t="n"/>
      <c r="H83" s="747" t="n"/>
      <c r="I83" s="579" t="n"/>
      <c r="J83" s="582">
        <f>IFERROR(H83-I83,"-")</f>
        <v/>
      </c>
      <c r="K83" s="747" t="n"/>
      <c r="L83" s="747" t="n"/>
      <c r="M83" s="590">
        <f>IFERROR(K83/J83,"-")</f>
        <v/>
      </c>
      <c r="N83" s="590">
        <f>IFERROR(L83/J83,"-")</f>
        <v/>
      </c>
      <c r="O83" s="747" t="n"/>
      <c r="P83" s="726" t="n"/>
      <c r="Q83" s="723" t="n"/>
    </row>
    <row r="84" ht="12.75" customFormat="1" customHeight="1" s="322">
      <c r="C84" s="743" t="n"/>
      <c r="D84" s="744" t="n"/>
      <c r="E84" s="744" t="n"/>
      <c r="F84" s="744" t="n"/>
      <c r="G84" s="745" t="n"/>
      <c r="H84" s="747" t="n"/>
      <c r="I84" s="579" t="n"/>
      <c r="J84" s="582">
        <f>IFERROR(H84-I84,"-")</f>
        <v/>
      </c>
      <c r="K84" s="747" t="n"/>
      <c r="L84" s="747" t="n"/>
      <c r="M84" s="590">
        <f>IFERROR(K84/J84,"-")</f>
        <v/>
      </c>
      <c r="N84" s="590">
        <f>IFERROR(L84/J84,"-")</f>
        <v/>
      </c>
      <c r="O84" s="747" t="n"/>
      <c r="P84" s="726" t="n"/>
      <c r="Q84" s="723" t="n"/>
    </row>
    <row r="85" ht="12.75" customFormat="1" customHeight="1" s="322">
      <c r="C85" s="743" t="n"/>
      <c r="D85" s="744" t="n"/>
      <c r="E85" s="744" t="n"/>
      <c r="F85" s="744" t="n"/>
      <c r="G85" s="745" t="n"/>
      <c r="H85" s="747" t="n"/>
      <c r="I85" s="579" t="n"/>
      <c r="J85" s="582">
        <f>IFERROR(H85-I85,"-")</f>
        <v/>
      </c>
      <c r="K85" s="747" t="n"/>
      <c r="L85" s="747" t="n"/>
      <c r="M85" s="590">
        <f>IFERROR(K85/J85,"-")</f>
        <v/>
      </c>
      <c r="N85" s="590">
        <f>IFERROR(L85/J85,"-")</f>
        <v/>
      </c>
      <c r="O85" s="747" t="n"/>
      <c r="P85" s="726" t="n"/>
      <c r="Q85" s="723" t="n"/>
    </row>
    <row r="86" ht="12.75" customFormat="1" customHeight="1" s="322">
      <c r="C86" s="743" t="n"/>
      <c r="D86" s="744" t="n"/>
      <c r="E86" s="744" t="n"/>
      <c r="F86" s="744" t="n"/>
      <c r="G86" s="745" t="n"/>
      <c r="H86" s="747" t="n"/>
      <c r="I86" s="579" t="n"/>
      <c r="J86" s="582">
        <f>IFERROR(H86-I86,"-")</f>
        <v/>
      </c>
      <c r="K86" s="747" t="n"/>
      <c r="L86" s="747" t="n"/>
      <c r="M86" s="590">
        <f>IFERROR(K86/J86,"-")</f>
        <v/>
      </c>
      <c r="N86" s="590">
        <f>IFERROR(L86/J86,"-")</f>
        <v/>
      </c>
      <c r="O86" s="747" t="n"/>
      <c r="P86" s="726" t="n"/>
      <c r="Q86" s="723" t="n"/>
    </row>
    <row r="87" ht="12.75" customFormat="1" customHeight="1" s="322">
      <c r="C87" s="743" t="n"/>
      <c r="D87" s="744" t="n"/>
      <c r="E87" s="744" t="n"/>
      <c r="F87" s="744" t="n"/>
      <c r="G87" s="745" t="n"/>
      <c r="H87" s="747" t="n"/>
      <c r="I87" s="579" t="n"/>
      <c r="J87" s="582">
        <f>IFERROR(H87-I87,"-")</f>
        <v/>
      </c>
      <c r="K87" s="747" t="n"/>
      <c r="L87" s="747" t="n"/>
      <c r="M87" s="590">
        <f>IFERROR(K87/J87,"-")</f>
        <v/>
      </c>
      <c r="N87" s="590">
        <f>IFERROR(L87/J87,"-")</f>
        <v/>
      </c>
      <c r="O87" s="747" t="n"/>
      <c r="P87" s="726" t="n"/>
      <c r="Q87" s="723" t="n"/>
    </row>
    <row r="88" ht="12.75" customFormat="1" customHeight="1" s="322">
      <c r="C88" s="743" t="n"/>
      <c r="D88" s="744" t="n"/>
      <c r="E88" s="744" t="n"/>
      <c r="F88" s="744" t="n"/>
      <c r="G88" s="745" t="n"/>
      <c r="H88" s="747" t="n"/>
      <c r="I88" s="579" t="n"/>
      <c r="J88" s="582">
        <f>IFERROR(H88-I88,"-")</f>
        <v/>
      </c>
      <c r="K88" s="747" t="n"/>
      <c r="L88" s="747" t="n"/>
      <c r="M88" s="590">
        <f>IFERROR(K88/J88,"-")</f>
        <v/>
      </c>
      <c r="N88" s="590">
        <f>IFERROR(L88/J88,"-")</f>
        <v/>
      </c>
      <c r="O88" s="747" t="n"/>
      <c r="P88" s="726" t="n"/>
      <c r="Q88" s="723" t="n"/>
    </row>
    <row r="89" ht="12.75" customFormat="1" customHeight="1" s="322">
      <c r="C89" s="743" t="n"/>
      <c r="D89" s="744" t="n"/>
      <c r="E89" s="744" t="n"/>
      <c r="F89" s="744" t="n"/>
      <c r="G89" s="745" t="n"/>
      <c r="H89" s="747" t="n"/>
      <c r="I89" s="579" t="n"/>
      <c r="J89" s="582">
        <f>IFERROR(H89-I89,"-")</f>
        <v/>
      </c>
      <c r="K89" s="747" t="n"/>
      <c r="L89" s="747" t="n"/>
      <c r="M89" s="590">
        <f>IFERROR(K89/J89,"-")</f>
        <v/>
      </c>
      <c r="N89" s="590">
        <f>IFERROR(L89/J89,"-")</f>
        <v/>
      </c>
      <c r="O89" s="747" t="n"/>
      <c r="P89" s="726" t="n"/>
      <c r="Q89" s="723" t="n"/>
    </row>
    <row r="90" ht="12.75" customFormat="1" customHeight="1" s="322">
      <c r="C90" s="743" t="n"/>
      <c r="D90" s="744" t="n"/>
      <c r="E90" s="744" t="n"/>
      <c r="F90" s="744" t="n"/>
      <c r="G90" s="745" t="n"/>
      <c r="H90" s="747" t="n"/>
      <c r="I90" s="579" t="n"/>
      <c r="J90" s="582">
        <f>IFERROR(H90-I90,"-")</f>
        <v/>
      </c>
      <c r="K90" s="747" t="n"/>
      <c r="L90" s="747" t="n"/>
      <c r="M90" s="590">
        <f>IFERROR(K90/J90,"-")</f>
        <v/>
      </c>
      <c r="N90" s="590">
        <f>IFERROR(L90/J90,"-")</f>
        <v/>
      </c>
      <c r="O90" s="747" t="n"/>
      <c r="P90" s="726" t="n"/>
      <c r="Q90" s="723" t="n"/>
    </row>
    <row r="91" ht="12.75" customFormat="1" customHeight="1" s="322">
      <c r="C91" s="743" t="n"/>
      <c r="D91" s="744" t="n"/>
      <c r="E91" s="744" t="n"/>
      <c r="F91" s="744" t="n"/>
      <c r="G91" s="745" t="n"/>
      <c r="H91" s="747" t="n"/>
      <c r="I91" s="579" t="n"/>
      <c r="J91" s="582">
        <f>IFERROR(H91-I91,"-")</f>
        <v/>
      </c>
      <c r="K91" s="747" t="n"/>
      <c r="L91" s="747" t="n"/>
      <c r="M91" s="590">
        <f>IFERROR(K91/J91,"-")</f>
        <v/>
      </c>
      <c r="N91" s="590">
        <f>IFERROR(L91/J91,"-")</f>
        <v/>
      </c>
      <c r="O91" s="747" t="n"/>
      <c r="P91" s="726" t="n"/>
      <c r="Q91" s="723" t="n"/>
    </row>
    <row r="92" ht="12.75" customFormat="1" customHeight="1" s="322">
      <c r="C92" s="743" t="n"/>
      <c r="D92" s="744" t="n"/>
      <c r="E92" s="744" t="n"/>
      <c r="F92" s="744" t="n"/>
      <c r="G92" s="745" t="n"/>
      <c r="H92" s="747" t="n"/>
      <c r="I92" s="579" t="n"/>
      <c r="J92" s="582">
        <f>IFERROR(H92-I92,"-")</f>
        <v/>
      </c>
      <c r="K92" s="747" t="n"/>
      <c r="L92" s="747" t="n"/>
      <c r="M92" s="590">
        <f>IFERROR(K92/J92,"-")</f>
        <v/>
      </c>
      <c r="N92" s="590">
        <f>IFERROR(L92/J92,"-")</f>
        <v/>
      </c>
      <c r="O92" s="747" t="n"/>
      <c r="P92" s="726" t="n"/>
      <c r="Q92" s="723" t="n"/>
    </row>
    <row r="93" ht="12.75" customFormat="1" customHeight="1" s="322">
      <c r="C93" s="743" t="n"/>
      <c r="D93" s="744" t="n"/>
      <c r="E93" s="744" t="n"/>
      <c r="F93" s="744" t="n"/>
      <c r="G93" s="745" t="n"/>
      <c r="H93" s="747" t="n"/>
      <c r="I93" s="579" t="n"/>
      <c r="J93" s="582">
        <f>IFERROR(H93-I93,"-")</f>
        <v/>
      </c>
      <c r="K93" s="747" t="n"/>
      <c r="L93" s="747" t="n"/>
      <c r="M93" s="590">
        <f>IFERROR(K93/J93,"-")</f>
        <v/>
      </c>
      <c r="N93" s="590">
        <f>IFERROR(L93/J93,"-")</f>
        <v/>
      </c>
      <c r="O93" s="747" t="n"/>
      <c r="P93" s="726" t="n"/>
      <c r="Q93" s="723" t="n"/>
    </row>
    <row r="94" ht="12.75" customFormat="1" customHeight="1" s="322">
      <c r="C94" s="743" t="n"/>
      <c r="D94" s="744" t="n"/>
      <c r="E94" s="744" t="n"/>
      <c r="F94" s="744" t="n"/>
      <c r="G94" s="745" t="n"/>
      <c r="H94" s="747" t="n"/>
      <c r="I94" s="579" t="n"/>
      <c r="J94" s="582">
        <f>IFERROR(H94-I94,"-")</f>
        <v/>
      </c>
      <c r="K94" s="747" t="n"/>
      <c r="L94" s="747" t="n"/>
      <c r="M94" s="590">
        <f>IFERROR(K94/J94,"-")</f>
        <v/>
      </c>
      <c r="N94" s="590">
        <f>IFERROR(L94/J94,"-")</f>
        <v/>
      </c>
      <c r="O94" s="747" t="n"/>
      <c r="P94" s="726" t="n"/>
      <c r="Q94" s="723" t="n"/>
    </row>
    <row r="95" ht="12.75" customFormat="1" customHeight="1" s="322">
      <c r="C95" s="743" t="n"/>
      <c r="D95" s="744" t="n"/>
      <c r="E95" s="744" t="n"/>
      <c r="F95" s="744" t="n"/>
      <c r="G95" s="745" t="n"/>
      <c r="H95" s="747" t="n"/>
      <c r="I95" s="579" t="n"/>
      <c r="J95" s="582">
        <f>IFERROR(H95-I95,"-")</f>
        <v/>
      </c>
      <c r="K95" s="747" t="n"/>
      <c r="L95" s="747" t="n"/>
      <c r="M95" s="590">
        <f>IFERROR(K95/J95,"-")</f>
        <v/>
      </c>
      <c r="N95" s="590">
        <f>IFERROR(L95/J95,"-")</f>
        <v/>
      </c>
      <c r="O95" s="747" t="n"/>
      <c r="P95" s="726" t="n"/>
      <c r="Q95" s="723" t="n"/>
    </row>
    <row r="96" ht="12.75" customFormat="1" customHeight="1" s="322">
      <c r="C96" s="743" t="n"/>
      <c r="D96" s="744" t="n"/>
      <c r="E96" s="744" t="n"/>
      <c r="F96" s="744" t="n"/>
      <c r="G96" s="745" t="n"/>
      <c r="H96" s="747" t="n"/>
      <c r="I96" s="579" t="n"/>
      <c r="J96" s="582">
        <f>IFERROR(H96-I96,"-")</f>
        <v/>
      </c>
      <c r="K96" s="747" t="n"/>
      <c r="L96" s="747" t="n"/>
      <c r="M96" s="590">
        <f>IFERROR(K96/J96,"-")</f>
        <v/>
      </c>
      <c r="N96" s="590">
        <f>IFERROR(L96/J96,"-")</f>
        <v/>
      </c>
      <c r="O96" s="747" t="n"/>
      <c r="P96" s="726" t="n"/>
      <c r="Q96" s="723" t="n"/>
    </row>
    <row r="97" ht="12.75" customFormat="1" customHeight="1" s="322">
      <c r="C97" s="585" t="n"/>
      <c r="H97" s="373" t="n"/>
      <c r="I97" s="373" t="n"/>
      <c r="J97" s="373" t="n"/>
      <c r="M97" s="373" t="n"/>
      <c r="N97" s="373" t="n"/>
      <c r="O97" s="573" t="n"/>
      <c r="Q97" s="660" t="n"/>
    </row>
    <row r="98" ht="12.75" customFormat="1" customHeight="1" s="322">
      <c r="C98" s="585" t="n"/>
      <c r="H98" s="373" t="n"/>
      <c r="I98" s="373" t="n"/>
      <c r="J98" s="373" t="n"/>
      <c r="M98" s="373" t="n"/>
      <c r="N98" s="373" t="n"/>
      <c r="O98" s="573" t="n"/>
      <c r="Q98" s="660" t="n"/>
    </row>
    <row r="99" ht="12.75" customFormat="1" customHeight="1" s="322">
      <c r="C99" s="585" t="n"/>
      <c r="H99" s="373" t="n"/>
      <c r="I99" s="373" t="n"/>
      <c r="J99" s="373" t="n"/>
      <c r="M99" s="373" t="n"/>
      <c r="N99" s="373" t="n"/>
      <c r="O99" s="573" t="n"/>
      <c r="Q99" s="660" t="n"/>
    </row>
    <row r="100" ht="12.75" customFormat="1" customHeight="1" s="322">
      <c r="C100" s="585" t="n"/>
      <c r="H100" s="373" t="n"/>
      <c r="I100" s="373" t="n"/>
      <c r="J100" s="373" t="n"/>
      <c r="M100" s="373" t="n"/>
      <c r="N100" s="373" t="n"/>
      <c r="O100" s="573" t="n"/>
      <c r="Q100" s="660" t="n"/>
    </row>
    <row r="101" ht="12.75" customFormat="1" customHeight="1" s="322">
      <c r="C101" s="585" t="n"/>
      <c r="H101" s="373" t="n"/>
      <c r="I101" s="373" t="n"/>
      <c r="J101" s="373" t="n"/>
      <c r="M101" s="373" t="n"/>
      <c r="N101" s="373" t="n"/>
      <c r="O101" s="573" t="n"/>
      <c r="Q101" s="660" t="n"/>
    </row>
    <row r="102" ht="12.75" customFormat="1" customHeight="1" s="322">
      <c r="C102" s="585" t="n"/>
      <c r="H102" s="373" t="n"/>
      <c r="I102" s="373" t="n"/>
      <c r="J102" s="373" t="n"/>
      <c r="M102" s="373" t="n"/>
      <c r="N102" s="373" t="n"/>
      <c r="O102" s="573" t="n"/>
      <c r="Q102" s="660" t="n"/>
    </row>
    <row r="103" ht="12.75" customFormat="1" customHeight="1" s="322">
      <c r="C103" s="585" t="n"/>
      <c r="H103" s="373" t="n"/>
      <c r="I103" s="373" t="n"/>
      <c r="J103" s="373" t="n"/>
      <c r="M103" s="373" t="n"/>
      <c r="N103" s="373" t="n"/>
      <c r="O103" s="573" t="n"/>
      <c r="Q103" s="660" t="n"/>
    </row>
    <row r="104" ht="12.75" customFormat="1" customHeight="1" s="322">
      <c r="C104" s="585" t="n"/>
      <c r="H104" s="373" t="n"/>
      <c r="I104" s="373" t="n"/>
      <c r="J104" s="373" t="n"/>
      <c r="M104" s="373" t="n"/>
      <c r="N104" s="373" t="n"/>
      <c r="O104" s="573" t="n"/>
      <c r="Q104" s="660" t="n"/>
    </row>
    <row r="105" ht="12.75" customFormat="1" customHeight="1" s="322">
      <c r="C105" s="585" t="n"/>
      <c r="H105" s="373" t="n"/>
      <c r="I105" s="373" t="n"/>
      <c r="J105" s="373" t="n"/>
      <c r="M105" s="373" t="n"/>
      <c r="N105" s="373" t="n"/>
      <c r="O105" s="573" t="n"/>
      <c r="Q105" s="660" t="n"/>
    </row>
    <row r="106" ht="12.75" customFormat="1" customHeight="1" s="322">
      <c r="C106" s="585" t="n"/>
      <c r="H106" s="373" t="n"/>
      <c r="I106" s="373" t="n"/>
      <c r="J106" s="373" t="n"/>
      <c r="M106" s="373" t="n"/>
      <c r="N106" s="373" t="n"/>
      <c r="O106" s="573" t="n"/>
      <c r="Q106" s="660" t="n"/>
    </row>
    <row r="107" ht="12.75" customFormat="1" customHeight="1" s="322">
      <c r="C107" s="585" t="n"/>
      <c r="H107" s="373" t="n"/>
      <c r="I107" s="373" t="n"/>
      <c r="J107" s="373" t="n"/>
      <c r="M107" s="373" t="n"/>
      <c r="N107" s="373" t="n"/>
      <c r="O107" s="573" t="n"/>
      <c r="Q107" s="660" t="n"/>
    </row>
    <row r="108" ht="12.75" customFormat="1" customHeight="1" s="322">
      <c r="C108" s="585" t="n"/>
      <c r="H108" s="373" t="n"/>
      <c r="I108" s="373" t="n"/>
      <c r="J108" s="373" t="n"/>
      <c r="M108" s="373" t="n"/>
      <c r="N108" s="373" t="n"/>
      <c r="O108" s="573" t="n"/>
      <c r="Q108" s="660" t="n"/>
    </row>
    <row r="109" ht="12.75" customFormat="1" customHeight="1" s="322">
      <c r="C109" s="585" t="n"/>
      <c r="H109" s="373" t="n"/>
      <c r="I109" s="373" t="n"/>
      <c r="J109" s="373" t="n"/>
      <c r="M109" s="373" t="n"/>
      <c r="N109" s="373" t="n"/>
      <c r="O109" s="573" t="n"/>
      <c r="Q109" s="660" t="n"/>
    </row>
    <row r="110" ht="12.75" customFormat="1" customHeight="1" s="322">
      <c r="C110" s="585" t="n"/>
      <c r="H110" s="373" t="n"/>
      <c r="I110" s="373" t="n"/>
      <c r="J110" s="373" t="n"/>
      <c r="M110" s="373" t="n"/>
      <c r="N110" s="373" t="n"/>
      <c r="O110" s="573" t="n"/>
      <c r="Q110" s="660" t="n"/>
    </row>
    <row r="111" ht="12.75" customFormat="1" customHeight="1" s="322">
      <c r="C111" s="585" t="n"/>
      <c r="H111" s="373" t="n"/>
      <c r="I111" s="373" t="n"/>
      <c r="J111" s="373" t="n"/>
      <c r="M111" s="373" t="n"/>
      <c r="N111" s="373" t="n"/>
      <c r="O111" s="573" t="n"/>
      <c r="Q111" s="660" t="n"/>
    </row>
    <row r="112" ht="12.75" customFormat="1" customHeight="1" s="322">
      <c r="C112" s="585" t="n"/>
      <c r="H112" s="373" t="n"/>
      <c r="I112" s="373" t="n"/>
      <c r="J112" s="373" t="n"/>
      <c r="M112" s="373" t="n"/>
      <c r="N112" s="373" t="n"/>
      <c r="O112" s="573" t="n"/>
      <c r="Q112" s="660" t="n"/>
    </row>
    <row r="113" ht="12.75" customFormat="1" customHeight="1" s="322">
      <c r="C113" s="585" t="n"/>
      <c r="H113" s="373" t="n"/>
      <c r="I113" s="373" t="n"/>
      <c r="J113" s="373" t="n"/>
      <c r="M113" s="373" t="n"/>
      <c r="N113" s="373" t="n"/>
      <c r="O113" s="573" t="n"/>
      <c r="Q113" s="660" t="n"/>
    </row>
    <row r="114" ht="12.75" customFormat="1" customHeight="1" s="322">
      <c r="C114" s="585" t="n"/>
      <c r="H114" s="373" t="n"/>
      <c r="I114" s="373" t="n"/>
      <c r="J114" s="373" t="n"/>
      <c r="M114" s="373" t="n"/>
      <c r="N114" s="373" t="n"/>
      <c r="O114" s="573" t="n"/>
      <c r="Q114" s="660" t="n"/>
    </row>
    <row r="115" ht="12.75" customFormat="1" customHeight="1" s="322">
      <c r="C115" s="585" t="n"/>
      <c r="H115" s="373" t="n"/>
      <c r="I115" s="373" t="n"/>
      <c r="J115" s="373" t="n"/>
      <c r="M115" s="373" t="n"/>
      <c r="N115" s="373" t="n"/>
      <c r="O115" s="573" t="n"/>
      <c r="Q115" s="660" t="n"/>
    </row>
    <row r="116" ht="12.75" customFormat="1" customHeight="1" s="322">
      <c r="C116" s="585" t="n"/>
      <c r="H116" s="373" t="n"/>
      <c r="I116" s="373" t="n"/>
      <c r="J116" s="373" t="n"/>
      <c r="M116" s="373" t="n"/>
      <c r="N116" s="373" t="n"/>
      <c r="O116" s="573" t="n"/>
      <c r="Q116" s="660" t="n"/>
    </row>
    <row r="117" ht="12.75" customFormat="1" customHeight="1" s="322">
      <c r="C117" s="585" t="n"/>
      <c r="H117" s="373" t="n"/>
      <c r="I117" s="373" t="n"/>
      <c r="J117" s="373" t="n"/>
      <c r="M117" s="373" t="n"/>
      <c r="N117" s="373" t="n"/>
      <c r="O117" s="573" t="n"/>
      <c r="Q117" s="660" t="n"/>
    </row>
    <row r="118" ht="12.75" customFormat="1" customHeight="1" s="322">
      <c r="C118" s="585" t="n"/>
      <c r="H118" s="373" t="n"/>
      <c r="I118" s="373" t="n"/>
      <c r="J118" s="373" t="n"/>
      <c r="M118" s="373" t="n"/>
      <c r="N118" s="373" t="n"/>
      <c r="O118" s="573" t="n"/>
      <c r="Q118" s="660" t="n"/>
    </row>
  </sheetData>
  <mergeCells count="2">
    <mergeCell ref="K2:N2"/>
    <mergeCell ref="H2:J2"/>
  </mergeCells>
  <dataValidations count="7">
    <dataValidation sqref="D89:D96" showDropDown="0" showInputMessage="1" showErrorMessage="1" allowBlank="1" type="list">
      <formula1>"Material Mod (a),Material Mod (b),Material Mod (c),Material Mod (d),Material Mod (e),Material Mod (f),Obligor Insolvency,Obligor default,Obligor payment default,Reporting Failure"</formula1>
    </dataValidation>
    <dataValidation sqref="F19:F20 F25:F96" showDropDown="0" showInputMessage="1" showErrorMessage="1" allowBlank="1" type="list">
      <formula1>"-,(a) Reduces/Waives Principal,(b) Extends Maturity/Payment Date,(c) Waives Interest,(d) Subordinates Loan,(e) Releases Collateral/Lien,(f) Amends Covenants"</formula1>
    </dataValidation>
    <dataValidation sqref="C53:C96" showDropDown="1" showInputMessage="1" showErrorMessage="1" allowBlank="1" type="list">
      <formula1>OFFSET($A$1,0,0,COUNTA($A:$A))</formula1>
    </dataValidation>
    <dataValidation sqref="D59:D88" showDropDown="0" showInputMessage="1" showErrorMessage="1" allowBlank="1" type="list">
      <formula1>"Increase of Lev,Material Mod (a),Material Mod (b),Material Mod (c),Material Mod (d),Material Mod (e),Material Mod (f),Obligor Insolvency,Obligor default,Obligor payment default,Reporting Failure"</formula1>
    </dataValidation>
    <dataValidation sqref="F5:F18 F21:F24" showDropDown="0" showInputMessage="1" showErrorMessage="1" allowBlank="1" type="list">
      <formula1>"n/a,(a) Reduces/Waives Principal,(b) Extends Maturity/Payment Date,(c) Reduce/defer Interest,(d) Subordinates Loan,(e) Releases Collateral/Lien,(f) Amends Covenants"</formula1>
    </dataValidation>
    <dataValidation sqref="E5:E96" showDropDown="0" showInputMessage="1" showErrorMessage="1" allowBlank="1" type="list">
      <formula1>"-,(i) Cash Interest Coverage Ratio Test,(ii) Net Senior Leverage Ratio Test,(iii) Net Total Leverage Ratio Test"</formula1>
    </dataValidation>
    <dataValidation sqref="D5:D58" showDropDown="0" showInputMessage="1" showErrorMessage="1" allowBlank="1" type="list">
      <formula1>"Increase in Lev,Material Mod (a),Material Mod (b),Material Mod (c),Material Mod (d),Material Mod (e),Material Mod (f),Obligor Insolvency,Obligor default,Obligor payment default,Reporting Failure"</formula1>
    </dataValidation>
  </dataValidations>
  <pageMargins left="0.7" right="0.7" top="0.75" bottom="0.75" header="0.3" footer="0.3"/>
  <pageSetup orientation="portrait"/>
</worksheet>
</file>

<file path=xl/worksheets/sheet7.xml><?xml version="1.0" encoding="utf-8"?>
<worksheet xmlns="http://schemas.openxmlformats.org/spreadsheetml/2006/main">
  <sheetPr>
    <outlinePr summaryBelow="1" summaryRight="1"/>
    <pageSetUpPr/>
  </sheetPr>
  <dimension ref="C1:R97"/>
  <sheetViews>
    <sheetView topLeftCell="B1" workbookViewId="0">
      <selection activeCell="Q5" sqref="Q5"/>
    </sheetView>
  </sheetViews>
  <sheetFormatPr baseColWidth="8" defaultRowHeight="15"/>
  <cols>
    <col hidden="1" width="40.5703125" customWidth="1" min="1" max="1"/>
    <col width="7.28515625" customWidth="1" min="2" max="2"/>
    <col width="35.85546875" bestFit="1" customWidth="1" style="9" min="3" max="3"/>
    <col width="24.85546875" customWidth="1" min="4" max="4"/>
    <col width="29.85546875" bestFit="1" customWidth="1" min="5" max="5"/>
    <col width="20" bestFit="1" customWidth="1" min="6" max="6"/>
    <col width="12" bestFit="1" customWidth="1" min="7" max="7"/>
    <col width="12" customWidth="1" min="8" max="8"/>
    <col width="15" bestFit="1" customWidth="1" style="10" min="9" max="9"/>
    <col width="14.28515625" customWidth="1" style="10" min="10" max="10"/>
    <col width="15" bestFit="1" customWidth="1" style="10" min="11" max="11"/>
    <col width="16.85546875" bestFit="1" customWidth="1" min="12" max="13"/>
    <col width="10.28515625" customWidth="1" style="10" min="14" max="14"/>
    <col width="13" customWidth="1" style="10" min="15" max="15"/>
    <col width="20.28515625" customWidth="1" style="68" min="16" max="16"/>
    <col width="18.5703125" bestFit="1" customWidth="1" min="17" max="17"/>
    <col width="44.5703125" bestFit="1" customWidth="1" style="664" min="18" max="18"/>
  </cols>
  <sheetData>
    <row r="1" ht="12.75" customFormat="1" customHeight="1" s="322">
      <c r="I1" s="373" t="n"/>
      <c r="J1" s="373" t="n"/>
      <c r="K1" s="373" t="n"/>
      <c r="L1" s="373" t="n"/>
      <c r="M1" s="373" t="n"/>
      <c r="N1" s="373" t="n"/>
      <c r="O1" s="373" t="n"/>
      <c r="P1" s="573" t="n"/>
      <c r="R1" s="660" t="n"/>
    </row>
    <row r="2" ht="25.5" customFormat="1" customHeight="1" s="322">
      <c r="F2" s="574" t="n"/>
      <c r="I2" s="937" t="inlineStr">
        <is>
          <t>EBITDA as of Current QSR</t>
        </is>
      </c>
      <c r="J2" s="974" t="n"/>
      <c r="K2" s="975" t="n"/>
      <c r="L2" s="937" t="inlineStr">
        <is>
          <t>Total &amp; Senior Debt as of Current QSR</t>
        </is>
      </c>
      <c r="M2" s="974" t="n"/>
      <c r="N2" s="974" t="n"/>
      <c r="O2" s="975" t="n"/>
      <c r="P2" s="937" t="inlineStr">
        <is>
          <t>Interest Coverage as of Current QSR</t>
        </is>
      </c>
      <c r="Q2" s="373" t="n"/>
      <c r="R2" s="661" t="n"/>
    </row>
    <row r="3" ht="12.75" customFormat="1" customHeight="1" s="322">
      <c r="E3" s="575" t="n"/>
      <c r="F3" s="575" t="n"/>
      <c r="I3" s="586" t="n"/>
      <c r="J3" s="586" t="n"/>
      <c r="K3" s="586" t="n"/>
      <c r="L3" s="586" t="n"/>
      <c r="M3" s="586" t="n"/>
      <c r="N3" s="586" t="n"/>
      <c r="O3" s="586" t="n"/>
      <c r="P3" s="587" t="n"/>
      <c r="Q3" s="375" t="n"/>
      <c r="R3" s="662" t="n"/>
    </row>
    <row r="4" ht="36.75" customFormat="1" customHeight="1" s="322">
      <c r="C4" s="937" t="inlineStr">
        <is>
          <t>Borrower</t>
        </is>
      </c>
      <c r="D4" s="937" t="inlineStr">
        <is>
          <t>Initial VAE Event Type</t>
        </is>
      </c>
      <c r="E4" s="937" t="inlineStr">
        <is>
          <t>Initial Credit Quality 
Deterioration Event</t>
        </is>
      </c>
      <c r="F4" s="937" t="inlineStr">
        <is>
          <t>Initial Material Modification</t>
        </is>
      </c>
      <c r="G4" s="937" t="inlineStr">
        <is>
          <t>Date of Original VAE</t>
        </is>
      </c>
      <c r="H4" s="937" t="inlineStr">
        <is>
          <t>Date of VAE Reset</t>
        </is>
      </c>
      <c r="I4" s="937" t="inlineStr">
        <is>
          <t>TTM EBITDA</t>
        </is>
      </c>
      <c r="J4" s="937" t="inlineStr">
        <is>
          <t>Agent Adjusted Haircut ($)</t>
        </is>
      </c>
      <c r="K4" s="937" t="inlineStr">
        <is>
          <t>Permitted TTM EBITDA in USD</t>
        </is>
      </c>
      <c r="L4" s="937" t="inlineStr">
        <is>
          <t>Senior Debt</t>
        </is>
      </c>
      <c r="M4" s="937" t="inlineStr">
        <is>
          <t>Total Debt</t>
        </is>
      </c>
      <c r="N4" s="937" t="inlineStr">
        <is>
          <t>Net Senior Leverage</t>
        </is>
      </c>
      <c r="O4" s="937" t="inlineStr">
        <is>
          <t>Net Total Leverage</t>
        </is>
      </c>
      <c r="P4" s="937" t="inlineStr">
        <is>
          <t>Interest Coverage</t>
        </is>
      </c>
      <c r="Q4" s="937" t="inlineStr">
        <is>
          <t>Assigned Value (based on model)</t>
        </is>
      </c>
      <c r="R4" s="937" t="inlineStr">
        <is>
          <t>Comments</t>
        </is>
      </c>
    </row>
    <row r="5" ht="38.25" customFormat="1" customHeight="1" s="322">
      <c r="C5" s="576" t="inlineStr">
        <is>
          <t>Five Iron Golf</t>
        </is>
      </c>
      <c r="D5" s="492" t="inlineStr">
        <is>
          <t>Increase in Lev</t>
        </is>
      </c>
      <c r="E5" s="492" t="inlineStr">
        <is>
          <t>(ii) Net Senior Leverage Ratio Test</t>
        </is>
      </c>
      <c r="F5" s="492" t="inlineStr">
        <is>
          <t>n/a</t>
        </is>
      </c>
      <c r="G5" s="577" t="n">
        <v>45199</v>
      </c>
      <c r="H5" s="577" t="n">
        <v>45657</v>
      </c>
      <c r="I5" s="584">
        <f>'Loan Tape - Settled'!BA28*1000000</f>
        <v/>
      </c>
      <c r="J5" s="579" t="n"/>
      <c r="K5" s="1125">
        <f>IFERROR(I5-J5,"-")</f>
        <v/>
      </c>
      <c r="L5" s="1130">
        <f>'SM Support'!K12-'SM Support'!L12</f>
        <v/>
      </c>
      <c r="M5" s="1130">
        <f>L5</f>
        <v/>
      </c>
      <c r="N5" s="1127">
        <f>IFERROR(L5/K5,"-")</f>
        <v/>
      </c>
      <c r="O5" s="1127">
        <f>IFERROR(M5/K5,"-")</f>
        <v/>
      </c>
      <c r="P5" s="1131">
        <f>'Loan Tape - Settled'!BF28</f>
        <v/>
      </c>
      <c r="Q5" s="670">
        <f>Portfolio!AL33</f>
        <v/>
      </c>
      <c r="R5" s="663" t="inlineStr">
        <is>
          <t>Removed from VAE and assigning applicable collateral value based on obligor's improved performance</t>
        </is>
      </c>
    </row>
    <row r="6" ht="38.25" customFormat="1" customHeight="1" s="322">
      <c r="C6" s="576" t="inlineStr">
        <is>
          <t>Gridsource</t>
        </is>
      </c>
      <c r="D6" s="492" t="inlineStr">
        <is>
          <t>Material Mod (f)</t>
        </is>
      </c>
      <c r="E6" s="492" t="inlineStr">
        <is>
          <t>(ii) Net Senior Leverage Ratio Test</t>
        </is>
      </c>
      <c r="F6" s="492" t="inlineStr">
        <is>
          <t>(f) Amends Covenants</t>
        </is>
      </c>
      <c r="G6" s="577" t="n">
        <v>45382</v>
      </c>
      <c r="H6" s="577" t="n">
        <v>45657</v>
      </c>
      <c r="I6" s="584">
        <f>'Loan Tape - Settled'!AZ34*1000000</f>
        <v/>
      </c>
      <c r="J6" s="579" t="n"/>
      <c r="K6" s="1125">
        <f>IFERROR(I6-J6,"-")</f>
        <v/>
      </c>
      <c r="L6" s="1130">
        <f>'SM Support'!K14-'SM Support'!L14</f>
        <v/>
      </c>
      <c r="M6" s="1130">
        <f>L6</f>
        <v/>
      </c>
      <c r="N6" s="1127">
        <f>IFERROR(L6/K6,"-")</f>
        <v/>
      </c>
      <c r="O6" s="1127">
        <f>IFERROR(M6/K6,"-")</f>
        <v/>
      </c>
      <c r="P6" s="1131">
        <f>'Loan Tape - Settled'!BF34</f>
        <v/>
      </c>
      <c r="Q6" s="670">
        <f>Portfolio!AL39</f>
        <v/>
      </c>
      <c r="R6" s="663" t="inlineStr">
        <is>
          <t>Removed from VAE and assigning applicable collateral value based on obligor's improved performance</t>
        </is>
      </c>
    </row>
    <row r="7" ht="12.75" customFormat="1" customHeight="1" s="322">
      <c r="C7" s="576" t="n"/>
      <c r="D7" s="492" t="n"/>
      <c r="E7" s="492" t="n"/>
      <c r="F7" s="492" t="n"/>
      <c r="G7" s="577" t="n"/>
      <c r="H7" s="577" t="n"/>
      <c r="I7" s="584" t="n"/>
      <c r="J7" s="579" t="n"/>
      <c r="K7" s="582">
        <f>IFERROR(I7-J7,"-")</f>
        <v/>
      </c>
      <c r="L7" s="584" t="n"/>
      <c r="M7" s="584" t="n"/>
      <c r="N7" s="590">
        <f>IFERROR(L7/K7,"-")</f>
        <v/>
      </c>
      <c r="O7" s="590">
        <f>IFERROR(M7/K7,"-")</f>
        <v/>
      </c>
      <c r="P7" s="584" t="n"/>
      <c r="Q7" s="583" t="n"/>
      <c r="R7" s="663" t="n"/>
    </row>
    <row r="8" ht="12.75" customFormat="1" customHeight="1" s="322">
      <c r="C8" s="576" t="n"/>
      <c r="D8" s="492" t="n"/>
      <c r="E8" s="492" t="n"/>
      <c r="F8" s="492" t="n"/>
      <c r="G8" s="577" t="n"/>
      <c r="H8" s="577" t="n"/>
      <c r="I8" s="584" t="n"/>
      <c r="J8" s="579" t="n"/>
      <c r="K8" s="582">
        <f>IFERROR(I8-J8,"-")</f>
        <v/>
      </c>
      <c r="L8" s="584" t="n"/>
      <c r="M8" s="584" t="n"/>
      <c r="N8" s="590">
        <f>IFERROR(L8/K8,"-")</f>
        <v/>
      </c>
      <c r="O8" s="590">
        <f>IFERROR(M8/K8,"-")</f>
        <v/>
      </c>
      <c r="P8" s="584" t="n"/>
      <c r="Q8" s="583" t="n"/>
      <c r="R8" s="663" t="n"/>
    </row>
    <row r="9" ht="12.75" customFormat="1" customHeight="1" s="322">
      <c r="C9" s="576" t="n"/>
      <c r="D9" s="492" t="n"/>
      <c r="E9" s="492" t="n"/>
      <c r="F9" s="492" t="n"/>
      <c r="G9" s="577" t="n"/>
      <c r="H9" s="577" t="n"/>
      <c r="I9" s="584" t="n"/>
      <c r="J9" s="579" t="n"/>
      <c r="K9" s="582">
        <f>IFERROR(I9-J9,"-")</f>
        <v/>
      </c>
      <c r="L9" s="584" t="n"/>
      <c r="M9" s="584" t="n"/>
      <c r="N9" s="590">
        <f>IFERROR(L9/K9,"-")</f>
        <v/>
      </c>
      <c r="O9" s="590">
        <f>IFERROR(M9/K9,"-")</f>
        <v/>
      </c>
      <c r="P9" s="584" t="n"/>
      <c r="Q9" s="583" t="n"/>
      <c r="R9" s="663" t="n"/>
    </row>
    <row r="10" ht="12.75" customFormat="1" customHeight="1" s="322">
      <c r="C10" s="576" t="n"/>
      <c r="D10" s="492" t="n"/>
      <c r="E10" s="492" t="n"/>
      <c r="F10" s="492" t="n"/>
      <c r="G10" s="577" t="n"/>
      <c r="H10" s="577" t="n"/>
      <c r="I10" s="584" t="n"/>
      <c r="J10" s="579" t="n"/>
      <c r="K10" s="582">
        <f>IFERROR(I10-J10,"-")</f>
        <v/>
      </c>
      <c r="L10" s="584" t="n"/>
      <c r="M10" s="584" t="n"/>
      <c r="N10" s="590">
        <f>IFERROR(L10/K10,"-")</f>
        <v/>
      </c>
      <c r="O10" s="590">
        <f>IFERROR(M10/K10,"-")</f>
        <v/>
      </c>
      <c r="P10" s="584" t="n"/>
      <c r="Q10" s="583" t="n"/>
      <c r="R10" s="663" t="n"/>
    </row>
    <row r="11" ht="12.75" customFormat="1" customHeight="1" s="322">
      <c r="C11" s="576" t="n"/>
      <c r="D11" s="492" t="n"/>
      <c r="E11" s="492" t="n"/>
      <c r="F11" s="492" t="n"/>
      <c r="G11" s="577" t="n"/>
      <c r="H11" s="577" t="n"/>
      <c r="I11" s="584" t="n"/>
      <c r="J11" s="579" t="n"/>
      <c r="K11" s="582">
        <f>IFERROR(I11-J11,"-")</f>
        <v/>
      </c>
      <c r="L11" s="584" t="n"/>
      <c r="M11" s="584" t="n"/>
      <c r="N11" s="590">
        <f>IFERROR(L11/K11,"-")</f>
        <v/>
      </c>
      <c r="O11" s="590">
        <f>IFERROR(M11/K11,"-")</f>
        <v/>
      </c>
      <c r="P11" s="584" t="n"/>
      <c r="Q11" s="583" t="n"/>
      <c r="R11" s="663" t="n"/>
    </row>
    <row r="12" ht="12.75" customFormat="1" customHeight="1" s="322">
      <c r="C12" s="576" t="n"/>
      <c r="D12" s="492" t="n"/>
      <c r="E12" s="492" t="n"/>
      <c r="F12" s="492" t="n"/>
      <c r="G12" s="577" t="n"/>
      <c r="H12" s="577" t="n"/>
      <c r="I12" s="584" t="n"/>
      <c r="J12" s="579" t="n"/>
      <c r="K12" s="582">
        <f>IFERROR(I12-J12,"-")</f>
        <v/>
      </c>
      <c r="L12" s="584" t="n"/>
      <c r="M12" s="584" t="n"/>
      <c r="N12" s="590">
        <f>IFERROR(L12/K12,"-")</f>
        <v/>
      </c>
      <c r="O12" s="590">
        <f>IFERROR(M12/K12,"-")</f>
        <v/>
      </c>
      <c r="P12" s="584" t="n"/>
      <c r="Q12" s="583" t="n"/>
      <c r="R12" s="663" t="n"/>
    </row>
    <row r="13" ht="12.75" customFormat="1" customHeight="1" s="322">
      <c r="C13" s="576" t="n"/>
      <c r="D13" s="492" t="n"/>
      <c r="E13" s="492" t="n"/>
      <c r="F13" s="492" t="n"/>
      <c r="G13" s="577" t="n"/>
      <c r="H13" s="577" t="n"/>
      <c r="I13" s="584" t="n"/>
      <c r="J13" s="579" t="n"/>
      <c r="K13" s="582">
        <f>IFERROR(I13-J13,"-")</f>
        <v/>
      </c>
      <c r="L13" s="584" t="n"/>
      <c r="M13" s="584" t="n"/>
      <c r="N13" s="590">
        <f>IFERROR(L13/K13,"-")</f>
        <v/>
      </c>
      <c r="O13" s="590">
        <f>IFERROR(M13/K13,"-")</f>
        <v/>
      </c>
      <c r="P13" s="584" t="n"/>
      <c r="Q13" s="583" t="n"/>
      <c r="R13" s="663" t="n"/>
    </row>
    <row r="14" ht="12.75" customFormat="1" customHeight="1" s="322">
      <c r="C14" s="576" t="n"/>
      <c r="D14" s="492" t="n"/>
      <c r="E14" s="492" t="n"/>
      <c r="F14" s="492" t="n"/>
      <c r="G14" s="577" t="n"/>
      <c r="H14" s="577" t="n"/>
      <c r="I14" s="584" t="n"/>
      <c r="J14" s="579" t="n"/>
      <c r="K14" s="582">
        <f>IFERROR(I14-J14,"-")</f>
        <v/>
      </c>
      <c r="L14" s="584" t="n"/>
      <c r="M14" s="584" t="n"/>
      <c r="N14" s="590">
        <f>IFERROR(L14/K14,"-")</f>
        <v/>
      </c>
      <c r="O14" s="590">
        <f>IFERROR(M14/K14,"-")</f>
        <v/>
      </c>
      <c r="P14" s="584" t="n"/>
      <c r="Q14" s="583" t="n"/>
      <c r="R14" s="663" t="n"/>
    </row>
    <row r="15" ht="12.75" customFormat="1" customHeight="1" s="322">
      <c r="C15" s="576" t="n"/>
      <c r="D15" s="492" t="n"/>
      <c r="E15" s="492" t="n"/>
      <c r="F15" s="492" t="n"/>
      <c r="G15" s="577" t="n"/>
      <c r="H15" s="577" t="n"/>
      <c r="I15" s="584" t="n"/>
      <c r="J15" s="579" t="n"/>
      <c r="K15" s="582">
        <f>IFERROR(I15-J15,"-")</f>
        <v/>
      </c>
      <c r="L15" s="584" t="n"/>
      <c r="M15" s="584" t="n"/>
      <c r="N15" s="590">
        <f>IFERROR(L15/K15,"-")</f>
        <v/>
      </c>
      <c r="O15" s="590">
        <f>IFERROR(M15/K15,"-")</f>
        <v/>
      </c>
      <c r="P15" s="584" t="n"/>
      <c r="Q15" s="583" t="n"/>
      <c r="R15" s="663" t="n"/>
    </row>
    <row r="16" ht="12.75" customFormat="1" customHeight="1" s="322">
      <c r="C16" s="576" t="n"/>
      <c r="D16" s="492" t="n"/>
      <c r="E16" s="492" t="n"/>
      <c r="F16" s="492" t="n"/>
      <c r="G16" s="577" t="n"/>
      <c r="H16" s="577" t="n"/>
      <c r="I16" s="584" t="n"/>
      <c r="J16" s="579" t="n"/>
      <c r="K16" s="582">
        <f>IFERROR(I16-J16,"-")</f>
        <v/>
      </c>
      <c r="L16" s="584" t="n"/>
      <c r="M16" s="584" t="n"/>
      <c r="N16" s="590">
        <f>IFERROR(L16/K16,"-")</f>
        <v/>
      </c>
      <c r="O16" s="590">
        <f>IFERROR(M16/K16,"-")</f>
        <v/>
      </c>
      <c r="P16" s="584" t="n"/>
      <c r="Q16" s="583" t="n"/>
      <c r="R16" s="663" t="n"/>
    </row>
    <row r="17" ht="12.75" customFormat="1" customHeight="1" s="322">
      <c r="C17" s="576" t="n"/>
      <c r="D17" s="492" t="n"/>
      <c r="E17" s="492" t="n"/>
      <c r="F17" s="492" t="n"/>
      <c r="G17" s="577" t="n"/>
      <c r="H17" s="577" t="n"/>
      <c r="I17" s="584" t="n"/>
      <c r="J17" s="579" t="n"/>
      <c r="K17" s="582">
        <f>IFERROR(I17-J17,"-")</f>
        <v/>
      </c>
      <c r="L17" s="584" t="n"/>
      <c r="M17" s="584" t="n"/>
      <c r="N17" s="590">
        <f>IFERROR(L17/K17,"-")</f>
        <v/>
      </c>
      <c r="O17" s="590">
        <f>IFERROR(M17/K17,"-")</f>
        <v/>
      </c>
      <c r="P17" s="584" t="n"/>
      <c r="Q17" s="583" t="n"/>
      <c r="R17" s="663" t="n"/>
    </row>
    <row r="18" ht="12.75" customFormat="1" customHeight="1" s="322">
      <c r="C18" s="576" t="n"/>
      <c r="D18" s="492" t="n"/>
      <c r="E18" s="492" t="n"/>
      <c r="F18" s="492" t="n"/>
      <c r="G18" s="577" t="n"/>
      <c r="H18" s="577" t="n"/>
      <c r="I18" s="584" t="n"/>
      <c r="J18" s="579" t="n"/>
      <c r="K18" s="582">
        <f>IFERROR(I18-J18,"-")</f>
        <v/>
      </c>
      <c r="L18" s="584" t="n"/>
      <c r="M18" s="584" t="n"/>
      <c r="N18" s="590">
        <f>IFERROR(L18/K18,"-")</f>
        <v/>
      </c>
      <c r="O18" s="590">
        <f>IFERROR(M18/K18,"-")</f>
        <v/>
      </c>
      <c r="P18" s="584" t="n"/>
      <c r="Q18" s="583" t="n"/>
      <c r="R18" s="663" t="n"/>
    </row>
    <row r="19" ht="12.75" customFormat="1" customHeight="1" s="322">
      <c r="C19" s="576" t="n"/>
      <c r="D19" s="492" t="n"/>
      <c r="E19" s="492" t="n"/>
      <c r="F19" s="492" t="n"/>
      <c r="G19" s="577" t="n"/>
      <c r="H19" s="577" t="n"/>
      <c r="I19" s="584" t="n"/>
      <c r="J19" s="579" t="n"/>
      <c r="K19" s="582">
        <f>IFERROR(I19-J19,"-")</f>
        <v/>
      </c>
      <c r="L19" s="584" t="n"/>
      <c r="M19" s="584" t="n"/>
      <c r="N19" s="590">
        <f>IFERROR(L19/K19,"-")</f>
        <v/>
      </c>
      <c r="O19" s="590">
        <f>IFERROR(M19/K19,"-")</f>
        <v/>
      </c>
      <c r="P19" s="584" t="n"/>
      <c r="Q19" s="583" t="n"/>
      <c r="R19" s="663" t="n"/>
    </row>
    <row r="20" ht="12.75" customFormat="1" customHeight="1" s="322">
      <c r="C20" s="576" t="n"/>
      <c r="D20" s="492" t="n"/>
      <c r="E20" s="492" t="n"/>
      <c r="F20" s="492" t="n"/>
      <c r="G20" s="577" t="n"/>
      <c r="H20" s="577" t="n"/>
      <c r="I20" s="584" t="n"/>
      <c r="J20" s="579" t="n"/>
      <c r="K20" s="582">
        <f>IFERROR(I20-J20,"-")</f>
        <v/>
      </c>
      <c r="L20" s="584" t="n"/>
      <c r="M20" s="584" t="n"/>
      <c r="N20" s="590">
        <f>IFERROR(L20/K20,"-")</f>
        <v/>
      </c>
      <c r="O20" s="590">
        <f>IFERROR(M20/K20,"-")</f>
        <v/>
      </c>
      <c r="P20" s="584" t="n"/>
      <c r="Q20" s="583" t="n"/>
      <c r="R20" s="663" t="n"/>
    </row>
    <row r="21" ht="12.75" customFormat="1" customHeight="1" s="322">
      <c r="C21" s="576" t="n"/>
      <c r="D21" s="492" t="n"/>
      <c r="E21" s="492" t="n"/>
      <c r="F21" s="492" t="n"/>
      <c r="G21" s="577" t="n"/>
      <c r="H21" s="577" t="n"/>
      <c r="I21" s="584" t="n"/>
      <c r="J21" s="579" t="n"/>
      <c r="K21" s="582">
        <f>IFERROR(I21-J21,"-")</f>
        <v/>
      </c>
      <c r="L21" s="584" t="n"/>
      <c r="M21" s="584" t="n"/>
      <c r="N21" s="590">
        <f>IFERROR(L21/K21,"-")</f>
        <v/>
      </c>
      <c r="O21" s="590">
        <f>IFERROR(M21/K21,"-")</f>
        <v/>
      </c>
      <c r="P21" s="584" t="n"/>
      <c r="Q21" s="583" t="n"/>
      <c r="R21" s="663" t="n"/>
    </row>
    <row r="22" ht="12.75" customFormat="1" customHeight="1" s="322">
      <c r="C22" s="576" t="n"/>
      <c r="D22" s="492" t="n"/>
      <c r="E22" s="492" t="n"/>
      <c r="F22" s="492" t="n"/>
      <c r="G22" s="577" t="n"/>
      <c r="H22" s="577" t="n"/>
      <c r="I22" s="584" t="n"/>
      <c r="J22" s="579" t="n"/>
      <c r="K22" s="582">
        <f>IFERROR(I22-J22,"-")</f>
        <v/>
      </c>
      <c r="L22" s="584" t="n"/>
      <c r="M22" s="584" t="n"/>
      <c r="N22" s="590">
        <f>IFERROR(L22/K22,"-")</f>
        <v/>
      </c>
      <c r="O22" s="590">
        <f>IFERROR(M22/K22,"-")</f>
        <v/>
      </c>
      <c r="P22" s="584" t="n"/>
      <c r="Q22" s="583" t="n"/>
      <c r="R22" s="663" t="n"/>
    </row>
    <row r="23" ht="12.75" customFormat="1" customHeight="1" s="322">
      <c r="C23" s="576" t="n"/>
      <c r="D23" s="492" t="n"/>
      <c r="E23" s="492" t="n"/>
      <c r="F23" s="492" t="n"/>
      <c r="G23" s="577" t="n"/>
      <c r="H23" s="577" t="n"/>
      <c r="I23" s="584" t="n"/>
      <c r="J23" s="579" t="n"/>
      <c r="K23" s="582">
        <f>IFERROR(I23-J23,"-")</f>
        <v/>
      </c>
      <c r="L23" s="584" t="n"/>
      <c r="M23" s="584" t="n"/>
      <c r="N23" s="590">
        <f>IFERROR(L23/K23,"-")</f>
        <v/>
      </c>
      <c r="O23" s="590">
        <f>IFERROR(M23/K23,"-")</f>
        <v/>
      </c>
      <c r="P23" s="584" t="n"/>
      <c r="Q23" s="583" t="n"/>
      <c r="R23" s="663" t="n"/>
    </row>
    <row r="24" ht="12.75" customFormat="1" customHeight="1" s="322">
      <c r="C24" s="576" t="n"/>
      <c r="D24" s="492" t="n"/>
      <c r="E24" s="492" t="n"/>
      <c r="F24" s="492" t="n"/>
      <c r="G24" s="577" t="n"/>
      <c r="H24" s="577" t="n"/>
      <c r="I24" s="584" t="n"/>
      <c r="J24" s="579" t="n"/>
      <c r="K24" s="582">
        <f>IFERROR(I24-J24,"-")</f>
        <v/>
      </c>
      <c r="L24" s="584" t="n"/>
      <c r="M24" s="584" t="n"/>
      <c r="N24" s="590">
        <f>IFERROR(L24/K24,"-")</f>
        <v/>
      </c>
      <c r="O24" s="590">
        <f>IFERROR(M24/K24,"-")</f>
        <v/>
      </c>
      <c r="P24" s="584" t="n"/>
      <c r="Q24" s="583" t="n"/>
      <c r="R24" s="663" t="n"/>
    </row>
    <row r="25" ht="12.75" customFormat="1" customHeight="1" s="322">
      <c r="C25" s="576" t="n"/>
      <c r="D25" s="492" t="n"/>
      <c r="E25" s="492" t="n"/>
      <c r="F25" s="492" t="n"/>
      <c r="G25" s="577" t="n"/>
      <c r="H25" s="577" t="n"/>
      <c r="I25" s="584" t="n"/>
      <c r="J25" s="579" t="n"/>
      <c r="K25" s="582">
        <f>IFERROR(I25-J25,"-")</f>
        <v/>
      </c>
      <c r="L25" s="584" t="n"/>
      <c r="M25" s="584" t="n"/>
      <c r="N25" s="590">
        <f>IFERROR(L25/K25,"-")</f>
        <v/>
      </c>
      <c r="O25" s="590">
        <f>IFERROR(M25/K25,"-")</f>
        <v/>
      </c>
      <c r="P25" s="584" t="n"/>
      <c r="Q25" s="583" t="n"/>
      <c r="R25" s="663" t="n"/>
    </row>
    <row r="26" ht="12.75" customFormat="1" customHeight="1" s="322">
      <c r="C26" s="576" t="n"/>
      <c r="D26" s="492" t="n"/>
      <c r="E26" s="492" t="n"/>
      <c r="F26" s="492" t="n"/>
      <c r="G26" s="577" t="n"/>
      <c r="H26" s="577" t="n"/>
      <c r="I26" s="584" t="n"/>
      <c r="J26" s="579" t="n"/>
      <c r="K26" s="582">
        <f>IFERROR(I26-J26,"-")</f>
        <v/>
      </c>
      <c r="L26" s="584" t="n"/>
      <c r="M26" s="584" t="n"/>
      <c r="N26" s="590">
        <f>IFERROR(L26/K26,"-")</f>
        <v/>
      </c>
      <c r="O26" s="590">
        <f>IFERROR(M26/K26,"-")</f>
        <v/>
      </c>
      <c r="P26" s="584" t="n"/>
      <c r="Q26" s="583" t="n"/>
      <c r="R26" s="663" t="n"/>
    </row>
    <row r="27" ht="12.75" customFormat="1" customHeight="1" s="322">
      <c r="C27" s="576" t="n"/>
      <c r="D27" s="492" t="n"/>
      <c r="E27" s="492" t="n"/>
      <c r="F27" s="492" t="n"/>
      <c r="G27" s="577" t="n"/>
      <c r="H27" s="577" t="n"/>
      <c r="I27" s="584" t="n"/>
      <c r="J27" s="579" t="n"/>
      <c r="K27" s="582">
        <f>IFERROR(I27-J27,"-")</f>
        <v/>
      </c>
      <c r="L27" s="584" t="n"/>
      <c r="M27" s="584" t="n"/>
      <c r="N27" s="590">
        <f>IFERROR(L27/K27,"-")</f>
        <v/>
      </c>
      <c r="O27" s="590">
        <f>IFERROR(M27/K27,"-")</f>
        <v/>
      </c>
      <c r="P27" s="584" t="n"/>
      <c r="Q27" s="583" t="n"/>
      <c r="R27" s="663" t="n"/>
    </row>
    <row r="28" ht="12.75" customFormat="1" customHeight="1" s="322">
      <c r="C28" s="576" t="n"/>
      <c r="D28" s="492" t="n"/>
      <c r="E28" s="492" t="n"/>
      <c r="F28" s="492" t="n"/>
      <c r="G28" s="577" t="n"/>
      <c r="H28" s="577" t="n"/>
      <c r="I28" s="584" t="n"/>
      <c r="J28" s="579" t="n"/>
      <c r="K28" s="582">
        <f>IFERROR(I28-J28,"-")</f>
        <v/>
      </c>
      <c r="L28" s="584" t="n"/>
      <c r="M28" s="584" t="n"/>
      <c r="N28" s="590">
        <f>IFERROR(L28/K28,"-")</f>
        <v/>
      </c>
      <c r="O28" s="590">
        <f>IFERROR(M28/K28,"-")</f>
        <v/>
      </c>
      <c r="P28" s="584" t="n"/>
      <c r="Q28" s="583" t="n"/>
      <c r="R28" s="663" t="n"/>
    </row>
    <row r="29" ht="12.75" customFormat="1" customHeight="1" s="322">
      <c r="C29" s="576" t="n"/>
      <c r="D29" s="492" t="n"/>
      <c r="E29" s="492" t="n"/>
      <c r="F29" s="492" t="n"/>
      <c r="G29" s="577" t="n"/>
      <c r="H29" s="577" t="n"/>
      <c r="I29" s="584" t="n"/>
      <c r="J29" s="579" t="n"/>
      <c r="K29" s="582">
        <f>IFERROR(I29-J29,"-")</f>
        <v/>
      </c>
      <c r="L29" s="584" t="n"/>
      <c r="M29" s="584" t="n"/>
      <c r="N29" s="590">
        <f>IFERROR(L29/K29,"-")</f>
        <v/>
      </c>
      <c r="O29" s="590">
        <f>IFERROR(M29/K29,"-")</f>
        <v/>
      </c>
      <c r="P29" s="584" t="n"/>
      <c r="Q29" s="583" t="n"/>
      <c r="R29" s="663" t="n"/>
    </row>
    <row r="30" ht="12.75" customFormat="1" customHeight="1" s="322">
      <c r="C30" s="576" t="n"/>
      <c r="D30" s="492" t="n"/>
      <c r="E30" s="492" t="n"/>
      <c r="F30" s="492" t="n"/>
      <c r="G30" s="577" t="n"/>
      <c r="H30" s="577" t="n"/>
      <c r="I30" s="584" t="n"/>
      <c r="J30" s="579" t="n"/>
      <c r="K30" s="582">
        <f>IFERROR(I30-J30,"-")</f>
        <v/>
      </c>
      <c r="L30" s="584" t="n"/>
      <c r="M30" s="584" t="n"/>
      <c r="N30" s="590">
        <f>IFERROR(L30/K30,"-")</f>
        <v/>
      </c>
      <c r="O30" s="590">
        <f>IFERROR(M30/K30,"-")</f>
        <v/>
      </c>
      <c r="P30" s="584" t="n"/>
      <c r="Q30" s="583" t="n"/>
      <c r="R30" s="663" t="n"/>
    </row>
    <row r="31" ht="12.75" customFormat="1" customHeight="1" s="322">
      <c r="C31" s="576" t="n"/>
      <c r="D31" s="492" t="n"/>
      <c r="E31" s="492" t="n"/>
      <c r="F31" s="492" t="n"/>
      <c r="G31" s="577" t="n"/>
      <c r="H31" s="577" t="n"/>
      <c r="I31" s="584" t="n"/>
      <c r="J31" s="579" t="n"/>
      <c r="K31" s="582">
        <f>IFERROR(I31-J31,"-")</f>
        <v/>
      </c>
      <c r="L31" s="584" t="n"/>
      <c r="M31" s="584" t="n"/>
      <c r="N31" s="590">
        <f>IFERROR(L31/K31,"-")</f>
        <v/>
      </c>
      <c r="O31" s="590">
        <f>IFERROR(M31/K31,"-")</f>
        <v/>
      </c>
      <c r="P31" s="584" t="n"/>
      <c r="Q31" s="583" t="n"/>
      <c r="R31" s="663" t="n"/>
    </row>
    <row r="32" ht="12.75" customFormat="1" customHeight="1" s="322">
      <c r="C32" s="576" t="n"/>
      <c r="D32" s="492" t="n"/>
      <c r="E32" s="492" t="n"/>
      <c r="F32" s="492" t="n"/>
      <c r="G32" s="577" t="n"/>
      <c r="H32" s="577" t="n"/>
      <c r="I32" s="584" t="n"/>
      <c r="J32" s="579" t="n"/>
      <c r="K32" s="582">
        <f>IFERROR(I32-J32,"-")</f>
        <v/>
      </c>
      <c r="L32" s="584" t="n"/>
      <c r="M32" s="584" t="n"/>
      <c r="N32" s="590">
        <f>IFERROR(L32/K32,"-")</f>
        <v/>
      </c>
      <c r="O32" s="590">
        <f>IFERROR(M32/K32,"-")</f>
        <v/>
      </c>
      <c r="P32" s="584" t="n"/>
      <c r="Q32" s="583" t="n"/>
      <c r="R32" s="663" t="n"/>
    </row>
    <row r="33" ht="12.75" customFormat="1" customHeight="1" s="322">
      <c r="C33" s="576" t="n"/>
      <c r="D33" s="492" t="n"/>
      <c r="E33" s="492" t="n"/>
      <c r="F33" s="492" t="n"/>
      <c r="G33" s="577" t="n"/>
      <c r="H33" s="577" t="n"/>
      <c r="I33" s="584" t="n"/>
      <c r="J33" s="579" t="n"/>
      <c r="K33" s="582">
        <f>IFERROR(I33-J33,"-")</f>
        <v/>
      </c>
      <c r="L33" s="584" t="n"/>
      <c r="M33" s="584" t="n"/>
      <c r="N33" s="590">
        <f>IFERROR(L33/K33,"-")</f>
        <v/>
      </c>
      <c r="O33" s="590">
        <f>IFERROR(M33/K33,"-")</f>
        <v/>
      </c>
      <c r="P33" s="584" t="n"/>
      <c r="Q33" s="583" t="n"/>
      <c r="R33" s="663" t="n"/>
    </row>
    <row r="34" ht="12.75" customFormat="1" customHeight="1" s="322">
      <c r="C34" s="576" t="n"/>
      <c r="D34" s="492" t="n"/>
      <c r="E34" s="492" t="n"/>
      <c r="F34" s="492" t="n"/>
      <c r="G34" s="577" t="n"/>
      <c r="H34" s="577" t="n"/>
      <c r="I34" s="584" t="n"/>
      <c r="J34" s="579" t="n"/>
      <c r="K34" s="582">
        <f>IFERROR(I34-J34,"-")</f>
        <v/>
      </c>
      <c r="L34" s="584" t="n"/>
      <c r="M34" s="584" t="n"/>
      <c r="N34" s="590">
        <f>IFERROR(L34/K34,"-")</f>
        <v/>
      </c>
      <c r="O34" s="590">
        <f>IFERROR(M34/K34,"-")</f>
        <v/>
      </c>
      <c r="P34" s="584" t="n"/>
      <c r="Q34" s="583" t="n"/>
      <c r="R34" s="663" t="n"/>
    </row>
    <row r="35" ht="12.75" customFormat="1" customHeight="1" s="322">
      <c r="C35" s="576" t="n"/>
      <c r="D35" s="492" t="n"/>
      <c r="E35" s="492" t="n"/>
      <c r="F35" s="492" t="n"/>
      <c r="G35" s="577" t="n"/>
      <c r="H35" s="577" t="n"/>
      <c r="I35" s="584" t="n"/>
      <c r="J35" s="579" t="n"/>
      <c r="K35" s="582">
        <f>IFERROR(I35-J35,"-")</f>
        <v/>
      </c>
      <c r="L35" s="584" t="n"/>
      <c r="M35" s="584" t="n"/>
      <c r="N35" s="590">
        <f>IFERROR(L35/K35,"-")</f>
        <v/>
      </c>
      <c r="O35" s="590">
        <f>IFERROR(M35/K35,"-")</f>
        <v/>
      </c>
      <c r="P35" s="584" t="n"/>
      <c r="Q35" s="583" t="n"/>
      <c r="R35" s="663" t="n"/>
    </row>
    <row r="36" ht="12.75" customFormat="1" customHeight="1" s="322">
      <c r="C36" s="576" t="n"/>
      <c r="D36" s="492" t="n"/>
      <c r="E36" s="492" t="n"/>
      <c r="F36" s="492" t="n"/>
      <c r="G36" s="577" t="n"/>
      <c r="H36" s="577" t="n"/>
      <c r="I36" s="584" t="n"/>
      <c r="J36" s="579" t="n"/>
      <c r="K36" s="582">
        <f>IFERROR(I36-J36,"-")</f>
        <v/>
      </c>
      <c r="L36" s="584" t="n"/>
      <c r="M36" s="584" t="n"/>
      <c r="N36" s="590">
        <f>IFERROR(L36/K36,"-")</f>
        <v/>
      </c>
      <c r="O36" s="590">
        <f>IFERROR(M36/K36,"-")</f>
        <v/>
      </c>
      <c r="P36" s="584" t="n"/>
      <c r="Q36" s="583" t="n"/>
      <c r="R36" s="663" t="n"/>
    </row>
    <row r="37" ht="12.75" customFormat="1" customHeight="1" s="322">
      <c r="C37" s="576" t="n"/>
      <c r="D37" s="492" t="n"/>
      <c r="E37" s="492" t="n"/>
      <c r="F37" s="492" t="n"/>
      <c r="G37" s="577" t="n"/>
      <c r="H37" s="577" t="n"/>
      <c r="I37" s="584" t="n"/>
      <c r="J37" s="579" t="n"/>
      <c r="K37" s="582">
        <f>IFERROR(I37-J37,"-")</f>
        <v/>
      </c>
      <c r="L37" s="584" t="n"/>
      <c r="M37" s="584" t="n"/>
      <c r="N37" s="590">
        <f>IFERROR(L37/K37,"-")</f>
        <v/>
      </c>
      <c r="O37" s="590">
        <f>IFERROR(M37/K37,"-")</f>
        <v/>
      </c>
      <c r="P37" s="584" t="n"/>
      <c r="Q37" s="583" t="n"/>
      <c r="R37" s="663" t="n"/>
    </row>
    <row r="38" ht="12.75" customFormat="1" customHeight="1" s="322">
      <c r="C38" s="576" t="n"/>
      <c r="D38" s="492" t="n"/>
      <c r="E38" s="492" t="n"/>
      <c r="F38" s="492" t="n"/>
      <c r="G38" s="577" t="n"/>
      <c r="H38" s="577" t="n"/>
      <c r="I38" s="584" t="n"/>
      <c r="J38" s="579" t="n"/>
      <c r="K38" s="582">
        <f>IFERROR(I38-J38,"-")</f>
        <v/>
      </c>
      <c r="L38" s="584" t="n"/>
      <c r="M38" s="584" t="n"/>
      <c r="N38" s="590">
        <f>IFERROR(L38/K38,"-")</f>
        <v/>
      </c>
      <c r="O38" s="590">
        <f>IFERROR(M38/K38,"-")</f>
        <v/>
      </c>
      <c r="P38" s="584" t="n"/>
      <c r="Q38" s="583" t="n"/>
      <c r="R38" s="663" t="n"/>
    </row>
    <row r="39" ht="12.75" customFormat="1" customHeight="1" s="322">
      <c r="C39" s="576" t="n"/>
      <c r="D39" s="492" t="n"/>
      <c r="E39" s="492" t="n"/>
      <c r="F39" s="492" t="n"/>
      <c r="G39" s="577" t="n"/>
      <c r="H39" s="577" t="n"/>
      <c r="I39" s="584" t="n"/>
      <c r="J39" s="579" t="n"/>
      <c r="K39" s="582">
        <f>IFERROR(I39-J39,"-")</f>
        <v/>
      </c>
      <c r="L39" s="584" t="n"/>
      <c r="M39" s="584" t="n"/>
      <c r="N39" s="590">
        <f>IFERROR(L39/K39,"-")</f>
        <v/>
      </c>
      <c r="O39" s="590">
        <f>IFERROR(M39/K39,"-")</f>
        <v/>
      </c>
      <c r="P39" s="584" t="n"/>
      <c r="Q39" s="583" t="n"/>
      <c r="R39" s="663" t="n"/>
    </row>
    <row r="40" ht="12.75" customFormat="1" customHeight="1" s="322">
      <c r="C40" s="576" t="n"/>
      <c r="D40" s="492" t="n"/>
      <c r="E40" s="492" t="n"/>
      <c r="F40" s="492" t="n"/>
      <c r="G40" s="577" t="n"/>
      <c r="H40" s="577" t="n"/>
      <c r="I40" s="584" t="n"/>
      <c r="J40" s="579" t="n"/>
      <c r="K40" s="582">
        <f>IFERROR(I40-J40,"-")</f>
        <v/>
      </c>
      <c r="L40" s="584" t="n"/>
      <c r="M40" s="584" t="n"/>
      <c r="N40" s="590">
        <f>IFERROR(L40/K40,"-")</f>
        <v/>
      </c>
      <c r="O40" s="590">
        <f>IFERROR(M40/K40,"-")</f>
        <v/>
      </c>
      <c r="P40" s="584" t="n"/>
      <c r="Q40" s="583" t="n"/>
      <c r="R40" s="663" t="n"/>
    </row>
    <row r="41" ht="12.75" customFormat="1" customHeight="1" s="322">
      <c r="C41" s="576" t="n"/>
      <c r="D41" s="492" t="n"/>
      <c r="E41" s="492" t="n"/>
      <c r="F41" s="492" t="n"/>
      <c r="G41" s="577" t="n"/>
      <c r="H41" s="577" t="n"/>
      <c r="I41" s="584" t="n"/>
      <c r="J41" s="579" t="n"/>
      <c r="K41" s="582">
        <f>IFERROR(I41-J41,"-")</f>
        <v/>
      </c>
      <c r="L41" s="584" t="n"/>
      <c r="M41" s="584" t="n"/>
      <c r="N41" s="590">
        <f>IFERROR(L41/K41,"-")</f>
        <v/>
      </c>
      <c r="O41" s="590">
        <f>IFERROR(M41/K41,"-")</f>
        <v/>
      </c>
      <c r="P41" s="584" t="n"/>
      <c r="Q41" s="583" t="n"/>
      <c r="R41" s="663" t="n"/>
    </row>
    <row r="42" ht="12.75" customFormat="1" customHeight="1" s="322">
      <c r="C42" s="576" t="n"/>
      <c r="D42" s="492" t="n"/>
      <c r="E42" s="492" t="n"/>
      <c r="F42" s="492" t="n"/>
      <c r="G42" s="577" t="n"/>
      <c r="H42" s="577" t="n"/>
      <c r="I42" s="584" t="n"/>
      <c r="J42" s="579" t="n"/>
      <c r="K42" s="582">
        <f>IFERROR(I42-J42,"-")</f>
        <v/>
      </c>
      <c r="L42" s="584" t="n"/>
      <c r="M42" s="584" t="n"/>
      <c r="N42" s="590">
        <f>IFERROR(L42/K42,"-")</f>
        <v/>
      </c>
      <c r="O42" s="590">
        <f>IFERROR(M42/K42,"-")</f>
        <v/>
      </c>
      <c r="P42" s="584" t="n"/>
      <c r="Q42" s="583" t="n"/>
      <c r="R42" s="663" t="n"/>
    </row>
    <row r="43" ht="12.75" customFormat="1" customHeight="1" s="322">
      <c r="C43" s="576" t="n"/>
      <c r="D43" s="492" t="n"/>
      <c r="E43" s="492" t="n"/>
      <c r="F43" s="492" t="n"/>
      <c r="G43" s="577" t="n"/>
      <c r="H43" s="577" t="n"/>
      <c r="I43" s="584" t="n"/>
      <c r="J43" s="579" t="n"/>
      <c r="K43" s="582">
        <f>IFERROR(I43-J43,"-")</f>
        <v/>
      </c>
      <c r="L43" s="584" t="n"/>
      <c r="M43" s="584" t="n"/>
      <c r="N43" s="590">
        <f>IFERROR(L43/K43,"-")</f>
        <v/>
      </c>
      <c r="O43" s="590">
        <f>IFERROR(M43/K43,"-")</f>
        <v/>
      </c>
      <c r="P43" s="584" t="n"/>
      <c r="Q43" s="583" t="n"/>
      <c r="R43" s="663" t="n"/>
    </row>
    <row r="44" ht="12.75" customFormat="1" customHeight="1" s="322">
      <c r="C44" s="576" t="n"/>
      <c r="D44" s="492" t="n"/>
      <c r="E44" s="492" t="n"/>
      <c r="F44" s="492" t="n"/>
      <c r="G44" s="577" t="n"/>
      <c r="H44" s="577" t="n"/>
      <c r="I44" s="584" t="n"/>
      <c r="J44" s="579" t="n"/>
      <c r="K44" s="582">
        <f>IFERROR(I44-J44,"-")</f>
        <v/>
      </c>
      <c r="L44" s="584" t="n"/>
      <c r="M44" s="584" t="n"/>
      <c r="N44" s="590">
        <f>IFERROR(L44/K44,"-")</f>
        <v/>
      </c>
      <c r="O44" s="590">
        <f>IFERROR(M44/K44,"-")</f>
        <v/>
      </c>
      <c r="P44" s="584" t="n"/>
      <c r="Q44" s="583" t="n"/>
      <c r="R44" s="663" t="n"/>
    </row>
    <row r="45" ht="12.75" customFormat="1" customHeight="1" s="322">
      <c r="C45" s="576" t="n"/>
      <c r="D45" s="492" t="n"/>
      <c r="E45" s="492" t="n"/>
      <c r="F45" s="492" t="n"/>
      <c r="G45" s="577" t="n"/>
      <c r="H45" s="577" t="n"/>
      <c r="I45" s="584" t="n"/>
      <c r="J45" s="579" t="n"/>
      <c r="K45" s="582">
        <f>IFERROR(I45-J45,"-")</f>
        <v/>
      </c>
      <c r="L45" s="584" t="n"/>
      <c r="M45" s="584" t="n"/>
      <c r="N45" s="590">
        <f>IFERROR(L45/K45,"-")</f>
        <v/>
      </c>
      <c r="O45" s="590">
        <f>IFERROR(M45/K45,"-")</f>
        <v/>
      </c>
      <c r="P45" s="584" t="n"/>
      <c r="Q45" s="583" t="n"/>
      <c r="R45" s="663" t="n"/>
    </row>
    <row r="46" ht="12.75" customFormat="1" customHeight="1" s="322">
      <c r="C46" s="576" t="n"/>
      <c r="D46" s="492" t="n"/>
      <c r="E46" s="492" t="n"/>
      <c r="F46" s="492" t="n"/>
      <c r="G46" s="577" t="n"/>
      <c r="H46" s="577" t="n"/>
      <c r="I46" s="584" t="n"/>
      <c r="J46" s="579" t="n"/>
      <c r="K46" s="582">
        <f>IFERROR(I46-J46,"-")</f>
        <v/>
      </c>
      <c r="L46" s="584" t="n"/>
      <c r="M46" s="584" t="n"/>
      <c r="N46" s="590">
        <f>IFERROR(L46/K46,"-")</f>
        <v/>
      </c>
      <c r="O46" s="590">
        <f>IFERROR(M46/K46,"-")</f>
        <v/>
      </c>
      <c r="P46" s="584" t="n"/>
      <c r="Q46" s="583" t="n"/>
      <c r="R46" s="663" t="n"/>
    </row>
    <row r="47" ht="12.75" customFormat="1" customHeight="1" s="322">
      <c r="C47" s="576" t="n"/>
      <c r="D47" s="492" t="n"/>
      <c r="E47" s="492" t="n"/>
      <c r="F47" s="492" t="n"/>
      <c r="G47" s="577" t="n"/>
      <c r="H47" s="577" t="n"/>
      <c r="I47" s="584" t="n"/>
      <c r="J47" s="579" t="n"/>
      <c r="K47" s="582">
        <f>IFERROR(I47-J47,"-")</f>
        <v/>
      </c>
      <c r="L47" s="584" t="n"/>
      <c r="M47" s="584" t="n"/>
      <c r="N47" s="590">
        <f>IFERROR(L47/K47,"-")</f>
        <v/>
      </c>
      <c r="O47" s="590">
        <f>IFERROR(M47/K47,"-")</f>
        <v/>
      </c>
      <c r="P47" s="584" t="n"/>
      <c r="Q47" s="583" t="n"/>
      <c r="R47" s="663" t="n"/>
    </row>
    <row r="48" ht="12.75" customFormat="1" customHeight="1" s="322">
      <c r="C48" s="576" t="n"/>
      <c r="D48" s="492" t="n"/>
      <c r="E48" s="492" t="n"/>
      <c r="F48" s="492" t="n"/>
      <c r="G48" s="577" t="n"/>
      <c r="H48" s="577" t="n"/>
      <c r="I48" s="584" t="n"/>
      <c r="J48" s="579" t="n"/>
      <c r="K48" s="582">
        <f>IFERROR(I48-J48,"-")</f>
        <v/>
      </c>
      <c r="L48" s="584" t="n"/>
      <c r="M48" s="584" t="n"/>
      <c r="N48" s="590">
        <f>IFERROR(L48/K48,"-")</f>
        <v/>
      </c>
      <c r="O48" s="590">
        <f>IFERROR(M48/K48,"-")</f>
        <v/>
      </c>
      <c r="P48" s="584" t="n"/>
      <c r="Q48" s="583" t="n"/>
      <c r="R48" s="663" t="n"/>
    </row>
    <row r="49" ht="12.75" customFormat="1" customHeight="1" s="322">
      <c r="C49" s="576" t="n"/>
      <c r="D49" s="492" t="n"/>
      <c r="E49" s="492" t="n"/>
      <c r="F49" s="492" t="n"/>
      <c r="G49" s="577" t="n"/>
      <c r="H49" s="577" t="n"/>
      <c r="I49" s="584" t="n"/>
      <c r="J49" s="579" t="n"/>
      <c r="K49" s="582">
        <f>IFERROR(I49-J49,"-")</f>
        <v/>
      </c>
      <c r="L49" s="584" t="n"/>
      <c r="M49" s="584" t="n"/>
      <c r="N49" s="590">
        <f>IFERROR(L49/K49,"-")</f>
        <v/>
      </c>
      <c r="O49" s="590">
        <f>IFERROR(M49/K49,"-")</f>
        <v/>
      </c>
      <c r="P49" s="584" t="n"/>
      <c r="Q49" s="583" t="n"/>
      <c r="R49" s="663" t="n"/>
    </row>
    <row r="50" ht="12.75" customFormat="1" customHeight="1" s="322">
      <c r="C50" s="576" t="n"/>
      <c r="D50" s="492" t="n"/>
      <c r="E50" s="492" t="n"/>
      <c r="F50" s="492" t="n"/>
      <c r="G50" s="577" t="n"/>
      <c r="H50" s="577" t="n"/>
      <c r="I50" s="584" t="n"/>
      <c r="J50" s="579" t="n"/>
      <c r="K50" s="582">
        <f>IFERROR(I50-J50,"-")</f>
        <v/>
      </c>
      <c r="L50" s="584" t="n"/>
      <c r="M50" s="584" t="n"/>
      <c r="N50" s="590">
        <f>IFERROR(L50/K50,"-")</f>
        <v/>
      </c>
      <c r="O50" s="590">
        <f>IFERROR(M50/K50,"-")</f>
        <v/>
      </c>
      <c r="P50" s="584" t="n"/>
      <c r="Q50" s="583" t="n"/>
      <c r="R50" s="663" t="n"/>
    </row>
    <row r="51" ht="12.75" customFormat="1" customHeight="1" s="322">
      <c r="C51" s="576" t="n"/>
      <c r="D51" s="492" t="n"/>
      <c r="E51" s="492" t="n"/>
      <c r="F51" s="492" t="n"/>
      <c r="G51" s="577" t="n"/>
      <c r="H51" s="577" t="n"/>
      <c r="I51" s="584" t="n"/>
      <c r="J51" s="579" t="n"/>
      <c r="K51" s="582">
        <f>IFERROR(I51-J51,"-")</f>
        <v/>
      </c>
      <c r="L51" s="584" t="n"/>
      <c r="M51" s="584" t="n"/>
      <c r="N51" s="590">
        <f>IFERROR(L51/K51,"-")</f>
        <v/>
      </c>
      <c r="O51" s="590">
        <f>IFERROR(M51/K51,"-")</f>
        <v/>
      </c>
      <c r="P51" s="584" t="n"/>
      <c r="Q51" s="583" t="n"/>
      <c r="R51" s="663" t="n"/>
    </row>
    <row r="52" ht="12.75" customFormat="1" customHeight="1" s="322">
      <c r="C52" s="576" t="n"/>
      <c r="D52" s="492" t="n"/>
      <c r="E52" s="492" t="n"/>
      <c r="F52" s="492" t="n"/>
      <c r="G52" s="577" t="n"/>
      <c r="H52" s="577" t="n"/>
      <c r="I52" s="584" t="n"/>
      <c r="J52" s="579" t="n"/>
      <c r="K52" s="582">
        <f>IFERROR(I52-J52,"-")</f>
        <v/>
      </c>
      <c r="L52" s="584" t="n"/>
      <c r="M52" s="584" t="n"/>
      <c r="N52" s="590">
        <f>IFERROR(L52/K52,"-")</f>
        <v/>
      </c>
      <c r="O52" s="590">
        <f>IFERROR(M52/K52,"-")</f>
        <v/>
      </c>
      <c r="P52" s="584" t="n"/>
      <c r="Q52" s="583" t="n"/>
      <c r="R52" s="663" t="n"/>
    </row>
    <row r="53" ht="12.75" customFormat="1" customHeight="1" s="322">
      <c r="C53" s="576" t="n"/>
      <c r="D53" s="492" t="n"/>
      <c r="E53" s="492" t="n"/>
      <c r="F53" s="492" t="n"/>
      <c r="G53" s="577" t="n"/>
      <c r="H53" s="577" t="n"/>
      <c r="I53" s="584" t="n"/>
      <c r="J53" s="579" t="n"/>
      <c r="K53" s="582">
        <f>IFERROR(I53-J53,"-")</f>
        <v/>
      </c>
      <c r="L53" s="584" t="n"/>
      <c r="M53" s="584" t="n"/>
      <c r="N53" s="590">
        <f>IFERROR(L53/K53,"-")</f>
        <v/>
      </c>
      <c r="O53" s="590">
        <f>IFERROR(M53/K53,"-")</f>
        <v/>
      </c>
      <c r="P53" s="584" t="n"/>
      <c r="Q53" s="583" t="n"/>
      <c r="R53" s="663" t="n"/>
    </row>
    <row r="54" ht="12.75" customFormat="1" customHeight="1" s="322">
      <c r="C54" s="576" t="n"/>
      <c r="D54" s="492" t="n"/>
      <c r="E54" s="492" t="n"/>
      <c r="F54" s="492" t="n"/>
      <c r="G54" s="577" t="n"/>
      <c r="H54" s="577" t="n"/>
      <c r="I54" s="584" t="n"/>
      <c r="J54" s="579" t="n"/>
      <c r="K54" s="582">
        <f>IFERROR(I54-J54,"-")</f>
        <v/>
      </c>
      <c r="L54" s="584" t="n"/>
      <c r="M54" s="584" t="n"/>
      <c r="N54" s="590">
        <f>IFERROR(L54/K54,"-")</f>
        <v/>
      </c>
      <c r="O54" s="590">
        <f>IFERROR(M54/K54,"-")</f>
        <v/>
      </c>
      <c r="P54" s="584" t="n"/>
      <c r="Q54" s="583" t="n"/>
      <c r="R54" s="663" t="n"/>
    </row>
    <row r="55" ht="12.75" customFormat="1" customHeight="1" s="322">
      <c r="C55" s="576" t="n"/>
      <c r="D55" s="492" t="n"/>
      <c r="E55" s="492" t="n"/>
      <c r="F55" s="492" t="n"/>
      <c r="G55" s="577" t="n"/>
      <c r="H55" s="577" t="n"/>
      <c r="I55" s="584" t="n"/>
      <c r="J55" s="579" t="n"/>
      <c r="K55" s="582">
        <f>IFERROR(I55-J55,"-")</f>
        <v/>
      </c>
      <c r="L55" s="584" t="n"/>
      <c r="M55" s="584" t="n"/>
      <c r="N55" s="590">
        <f>IFERROR(L55/K55,"-")</f>
        <v/>
      </c>
      <c r="O55" s="590">
        <f>IFERROR(M55/K55,"-")</f>
        <v/>
      </c>
      <c r="P55" s="584" t="n"/>
      <c r="Q55" s="583" t="n"/>
      <c r="R55" s="663" t="n"/>
    </row>
    <row r="56" ht="12.75" customFormat="1" customHeight="1" s="322">
      <c r="C56" s="576" t="n"/>
      <c r="D56" s="492" t="n"/>
      <c r="E56" s="492" t="n"/>
      <c r="F56" s="492" t="n"/>
      <c r="G56" s="577" t="n"/>
      <c r="H56" s="577" t="n"/>
      <c r="I56" s="584" t="n"/>
      <c r="J56" s="579" t="n"/>
      <c r="K56" s="582">
        <f>IFERROR(I56-J56,"-")</f>
        <v/>
      </c>
      <c r="L56" s="584" t="n"/>
      <c r="M56" s="584" t="n"/>
      <c r="N56" s="590">
        <f>IFERROR(L56/K56,"-")</f>
        <v/>
      </c>
      <c r="O56" s="590">
        <f>IFERROR(M56/K56,"-")</f>
        <v/>
      </c>
      <c r="P56" s="584" t="n"/>
      <c r="Q56" s="583" t="n"/>
      <c r="R56" s="663" t="n"/>
    </row>
    <row r="57" ht="12.75" customFormat="1" customHeight="1" s="322">
      <c r="C57" s="576" t="n"/>
      <c r="D57" s="492" t="n"/>
      <c r="E57" s="492" t="n"/>
      <c r="F57" s="492" t="n"/>
      <c r="G57" s="577" t="n"/>
      <c r="H57" s="577" t="n"/>
      <c r="I57" s="584" t="n"/>
      <c r="J57" s="579" t="n"/>
      <c r="K57" s="582">
        <f>IFERROR(I57-J57,"-")</f>
        <v/>
      </c>
      <c r="L57" s="584" t="n"/>
      <c r="M57" s="584" t="n"/>
      <c r="N57" s="590">
        <f>IFERROR(L57/K57,"-")</f>
        <v/>
      </c>
      <c r="O57" s="590">
        <f>IFERROR(M57/K57,"-")</f>
        <v/>
      </c>
      <c r="P57" s="584" t="n"/>
      <c r="Q57" s="583" t="n"/>
      <c r="R57" s="663" t="n"/>
    </row>
    <row r="58" ht="12.75" customFormat="1" customHeight="1" s="322">
      <c r="C58" s="576" t="n"/>
      <c r="D58" s="492" t="n"/>
      <c r="E58" s="492" t="n"/>
      <c r="F58" s="492" t="n"/>
      <c r="G58" s="577" t="n"/>
      <c r="H58" s="577" t="n"/>
      <c r="I58" s="584" t="n"/>
      <c r="J58" s="579" t="n"/>
      <c r="K58" s="582">
        <f>IFERROR(I58-J58,"-")</f>
        <v/>
      </c>
      <c r="L58" s="584" t="n"/>
      <c r="M58" s="584" t="n"/>
      <c r="N58" s="590">
        <f>IFERROR(L58/K58,"-")</f>
        <v/>
      </c>
      <c r="O58" s="590">
        <f>IFERROR(M58/K58,"-")</f>
        <v/>
      </c>
      <c r="P58" s="584" t="n"/>
      <c r="Q58" s="583" t="n"/>
      <c r="R58" s="663" t="n"/>
    </row>
    <row r="59" ht="12.75" customFormat="1" customHeight="1" s="322">
      <c r="C59" s="576" t="n"/>
      <c r="D59" s="492" t="n"/>
      <c r="E59" s="492" t="n"/>
      <c r="F59" s="492" t="n"/>
      <c r="G59" s="577" t="n"/>
      <c r="H59" s="577" t="n"/>
      <c r="I59" s="584" t="n"/>
      <c r="J59" s="579" t="n"/>
      <c r="K59" s="582">
        <f>IFERROR(I59-J59,"-")</f>
        <v/>
      </c>
      <c r="L59" s="584" t="n"/>
      <c r="M59" s="584" t="n"/>
      <c r="N59" s="590">
        <f>IFERROR(L59/K59,"-")</f>
        <v/>
      </c>
      <c r="O59" s="590">
        <f>IFERROR(M59/K59,"-")</f>
        <v/>
      </c>
      <c r="P59" s="584" t="n"/>
      <c r="Q59" s="583" t="n"/>
      <c r="R59" s="663" t="n"/>
    </row>
    <row r="60" ht="12.75" customFormat="1" customHeight="1" s="322">
      <c r="C60" s="576" t="n"/>
      <c r="D60" s="492" t="n"/>
      <c r="E60" s="492" t="n"/>
      <c r="F60" s="492" t="n"/>
      <c r="G60" s="577" t="n"/>
      <c r="H60" s="577" t="n"/>
      <c r="I60" s="584" t="n"/>
      <c r="J60" s="579" t="n"/>
      <c r="K60" s="582">
        <f>IFERROR(I60-J60,"-")</f>
        <v/>
      </c>
      <c r="L60" s="584" t="n"/>
      <c r="M60" s="584" t="n"/>
      <c r="N60" s="590">
        <f>IFERROR(L60/K60,"-")</f>
        <v/>
      </c>
      <c r="O60" s="590">
        <f>IFERROR(M60/K60,"-")</f>
        <v/>
      </c>
      <c r="P60" s="584" t="n"/>
      <c r="Q60" s="583" t="n"/>
      <c r="R60" s="663" t="n"/>
    </row>
    <row r="61" ht="12.75" customFormat="1" customHeight="1" s="322">
      <c r="C61" s="576" t="n"/>
      <c r="D61" s="492" t="n"/>
      <c r="E61" s="492" t="n"/>
      <c r="F61" s="492" t="n"/>
      <c r="G61" s="577" t="n"/>
      <c r="H61" s="577" t="n"/>
      <c r="I61" s="584" t="n"/>
      <c r="J61" s="579" t="n"/>
      <c r="K61" s="582">
        <f>IFERROR(I61-J61,"-")</f>
        <v/>
      </c>
      <c r="L61" s="584" t="n"/>
      <c r="M61" s="584" t="n"/>
      <c r="N61" s="590">
        <f>IFERROR(L61/K61,"-")</f>
        <v/>
      </c>
      <c r="O61" s="590">
        <f>IFERROR(M61/K61,"-")</f>
        <v/>
      </c>
      <c r="P61" s="584" t="n"/>
      <c r="Q61" s="583" t="n"/>
      <c r="R61" s="663" t="n"/>
    </row>
    <row r="62" ht="12.75" customFormat="1" customHeight="1" s="322">
      <c r="C62" s="576" t="n"/>
      <c r="D62" s="492" t="n"/>
      <c r="E62" s="492" t="n"/>
      <c r="F62" s="492" t="n"/>
      <c r="G62" s="577" t="n"/>
      <c r="H62" s="577" t="n"/>
      <c r="I62" s="584" t="n"/>
      <c r="J62" s="579" t="n"/>
      <c r="K62" s="582">
        <f>IFERROR(I62-J62,"-")</f>
        <v/>
      </c>
      <c r="L62" s="584" t="n"/>
      <c r="M62" s="584" t="n"/>
      <c r="N62" s="590">
        <f>IFERROR(L62/K62,"-")</f>
        <v/>
      </c>
      <c r="O62" s="590">
        <f>IFERROR(M62/K62,"-")</f>
        <v/>
      </c>
      <c r="P62" s="584" t="n"/>
      <c r="Q62" s="583" t="n"/>
      <c r="R62" s="663" t="n"/>
    </row>
    <row r="63" ht="12.75" customFormat="1" customHeight="1" s="322">
      <c r="C63" s="576" t="n"/>
      <c r="D63" s="492" t="n"/>
      <c r="E63" s="492" t="n"/>
      <c r="F63" s="492" t="n"/>
      <c r="G63" s="577" t="n"/>
      <c r="H63" s="577" t="n"/>
      <c r="I63" s="584" t="n"/>
      <c r="J63" s="579" t="n"/>
      <c r="K63" s="582">
        <f>IFERROR(I63-J63,"-")</f>
        <v/>
      </c>
      <c r="L63" s="584" t="n"/>
      <c r="M63" s="584" t="n"/>
      <c r="N63" s="590">
        <f>IFERROR(L63/K63,"-")</f>
        <v/>
      </c>
      <c r="O63" s="590">
        <f>IFERROR(M63/K63,"-")</f>
        <v/>
      </c>
      <c r="P63" s="584" t="n"/>
      <c r="Q63" s="583" t="n"/>
      <c r="R63" s="663" t="n"/>
    </row>
    <row r="64" ht="12.75" customFormat="1" customHeight="1" s="322">
      <c r="C64" s="576" t="n"/>
      <c r="D64" s="492" t="n"/>
      <c r="E64" s="492" t="n"/>
      <c r="F64" s="492" t="n"/>
      <c r="G64" s="577" t="n"/>
      <c r="H64" s="577" t="n"/>
      <c r="I64" s="584" t="n"/>
      <c r="J64" s="579" t="n"/>
      <c r="K64" s="582">
        <f>IFERROR(I64-J64,"-")</f>
        <v/>
      </c>
      <c r="L64" s="584" t="n"/>
      <c r="M64" s="584" t="n"/>
      <c r="N64" s="590">
        <f>IFERROR(L64/K64,"-")</f>
        <v/>
      </c>
      <c r="O64" s="590">
        <f>IFERROR(M64/K64,"-")</f>
        <v/>
      </c>
      <c r="P64" s="584" t="n"/>
      <c r="Q64" s="583" t="n"/>
      <c r="R64" s="663" t="n"/>
    </row>
    <row r="65" ht="12.75" customFormat="1" customHeight="1" s="322">
      <c r="C65" s="576" t="n"/>
      <c r="D65" s="492" t="n"/>
      <c r="E65" s="492" t="n"/>
      <c r="F65" s="492" t="n"/>
      <c r="G65" s="577" t="n"/>
      <c r="H65" s="577" t="n"/>
      <c r="I65" s="584" t="n"/>
      <c r="J65" s="579" t="n"/>
      <c r="K65" s="582">
        <f>IFERROR(I65-J65,"-")</f>
        <v/>
      </c>
      <c r="L65" s="584" t="n"/>
      <c r="M65" s="584" t="n"/>
      <c r="N65" s="590">
        <f>IFERROR(L65/K65,"-")</f>
        <v/>
      </c>
      <c r="O65" s="590">
        <f>IFERROR(M65/K65,"-")</f>
        <v/>
      </c>
      <c r="P65" s="584" t="n"/>
      <c r="Q65" s="583" t="n"/>
      <c r="R65" s="663" t="n"/>
    </row>
    <row r="66" ht="12.75" customFormat="1" customHeight="1" s="322">
      <c r="C66" s="576" t="n"/>
      <c r="D66" s="492" t="n"/>
      <c r="E66" s="492" t="n"/>
      <c r="F66" s="492" t="n"/>
      <c r="G66" s="577" t="n"/>
      <c r="H66" s="577" t="n"/>
      <c r="I66" s="584" t="n"/>
      <c r="J66" s="579" t="n"/>
      <c r="K66" s="582">
        <f>IFERROR(I66-J66,"-")</f>
        <v/>
      </c>
      <c r="L66" s="584" t="n"/>
      <c r="M66" s="584" t="n"/>
      <c r="N66" s="590">
        <f>IFERROR(L66/K66,"-")</f>
        <v/>
      </c>
      <c r="O66" s="590">
        <f>IFERROR(M66/K66,"-")</f>
        <v/>
      </c>
      <c r="P66" s="584" t="n"/>
      <c r="Q66" s="583" t="n"/>
      <c r="R66" s="663" t="n"/>
    </row>
    <row r="67" ht="12.75" customFormat="1" customHeight="1" s="322">
      <c r="C67" s="576" t="n"/>
      <c r="D67" s="492" t="n"/>
      <c r="E67" s="492" t="n"/>
      <c r="F67" s="492" t="n"/>
      <c r="G67" s="577" t="n"/>
      <c r="H67" s="577" t="n"/>
      <c r="I67" s="584" t="n"/>
      <c r="J67" s="579" t="n"/>
      <c r="K67" s="582">
        <f>IFERROR(I67-J67,"-")</f>
        <v/>
      </c>
      <c r="L67" s="584" t="n"/>
      <c r="M67" s="584" t="n"/>
      <c r="N67" s="590">
        <f>IFERROR(L67/K67,"-")</f>
        <v/>
      </c>
      <c r="O67" s="590">
        <f>IFERROR(M67/K67,"-")</f>
        <v/>
      </c>
      <c r="P67" s="584" t="n"/>
      <c r="Q67" s="583" t="n"/>
      <c r="R67" s="663" t="n"/>
    </row>
    <row r="68" ht="12.75" customFormat="1" customHeight="1" s="322">
      <c r="C68" s="576" t="n"/>
      <c r="D68" s="492" t="n"/>
      <c r="E68" s="492" t="n"/>
      <c r="F68" s="492" t="n"/>
      <c r="G68" s="577" t="n"/>
      <c r="H68" s="577" t="n"/>
      <c r="I68" s="584" t="n"/>
      <c r="J68" s="579" t="n"/>
      <c r="K68" s="582">
        <f>IFERROR(I68-J68,"-")</f>
        <v/>
      </c>
      <c r="L68" s="584" t="n"/>
      <c r="M68" s="584" t="n"/>
      <c r="N68" s="590">
        <f>IFERROR(L68/K68,"-")</f>
        <v/>
      </c>
      <c r="O68" s="590">
        <f>IFERROR(M68/K68,"-")</f>
        <v/>
      </c>
      <c r="P68" s="584" t="n"/>
      <c r="Q68" s="583" t="n"/>
      <c r="R68" s="663" t="n"/>
    </row>
    <row r="69" ht="12.75" customFormat="1" customHeight="1" s="322">
      <c r="C69" s="576" t="n"/>
      <c r="D69" s="492" t="n"/>
      <c r="E69" s="492" t="n"/>
      <c r="F69" s="492" t="n"/>
      <c r="G69" s="577" t="n"/>
      <c r="H69" s="577" t="n"/>
      <c r="I69" s="584" t="n"/>
      <c r="J69" s="579" t="n"/>
      <c r="K69" s="582">
        <f>IFERROR(I69-J69,"-")</f>
        <v/>
      </c>
      <c r="L69" s="584" t="n"/>
      <c r="M69" s="584" t="n"/>
      <c r="N69" s="590">
        <f>IFERROR(L69/K69,"-")</f>
        <v/>
      </c>
      <c r="O69" s="590">
        <f>IFERROR(M69/K69,"-")</f>
        <v/>
      </c>
      <c r="P69" s="584" t="n"/>
      <c r="Q69" s="583" t="n"/>
      <c r="R69" s="663" t="n"/>
    </row>
    <row r="70" ht="12.75" customFormat="1" customHeight="1" s="322">
      <c r="C70" s="576" t="n"/>
      <c r="D70" s="492" t="n"/>
      <c r="E70" s="492" t="n"/>
      <c r="F70" s="492" t="n"/>
      <c r="G70" s="577" t="n"/>
      <c r="H70" s="577" t="n"/>
      <c r="I70" s="584" t="n"/>
      <c r="J70" s="579" t="n"/>
      <c r="K70" s="582">
        <f>IFERROR(I70-J70,"-")</f>
        <v/>
      </c>
      <c r="L70" s="584" t="n"/>
      <c r="M70" s="584" t="n"/>
      <c r="N70" s="590">
        <f>IFERROR(L70/K70,"-")</f>
        <v/>
      </c>
      <c r="O70" s="590">
        <f>IFERROR(M70/K70,"-")</f>
        <v/>
      </c>
      <c r="P70" s="584" t="n"/>
      <c r="Q70" s="583" t="n"/>
      <c r="R70" s="663" t="n"/>
    </row>
    <row r="71" ht="12.75" customFormat="1" customHeight="1" s="322">
      <c r="C71" s="576" t="n"/>
      <c r="D71" s="492" t="n"/>
      <c r="E71" s="492" t="n"/>
      <c r="F71" s="492" t="n"/>
      <c r="G71" s="577" t="n"/>
      <c r="H71" s="577" t="n"/>
      <c r="I71" s="584" t="n"/>
      <c r="J71" s="579" t="n"/>
      <c r="K71" s="582">
        <f>IFERROR(I71-J71,"-")</f>
        <v/>
      </c>
      <c r="L71" s="584" t="n"/>
      <c r="M71" s="584" t="n"/>
      <c r="N71" s="590">
        <f>IFERROR(L71/K71,"-")</f>
        <v/>
      </c>
      <c r="O71" s="590">
        <f>IFERROR(M71/K71,"-")</f>
        <v/>
      </c>
      <c r="P71" s="584" t="n"/>
      <c r="Q71" s="583" t="n"/>
      <c r="R71" s="663" t="n"/>
    </row>
    <row r="72" ht="12.75" customFormat="1" customHeight="1" s="322">
      <c r="C72" s="576" t="n"/>
      <c r="D72" s="492" t="n"/>
      <c r="E72" s="492" t="n"/>
      <c r="F72" s="492" t="n"/>
      <c r="G72" s="577" t="n"/>
      <c r="H72" s="577" t="n"/>
      <c r="I72" s="584" t="n"/>
      <c r="J72" s="579" t="n"/>
      <c r="K72" s="582">
        <f>IFERROR(I72-J72,"-")</f>
        <v/>
      </c>
      <c r="L72" s="584" t="n"/>
      <c r="M72" s="584" t="n"/>
      <c r="N72" s="590">
        <f>IFERROR(L72/K72,"-")</f>
        <v/>
      </c>
      <c r="O72" s="590">
        <f>IFERROR(M72/K72,"-")</f>
        <v/>
      </c>
      <c r="P72" s="584" t="n"/>
      <c r="Q72" s="583" t="n"/>
      <c r="R72" s="663" t="n"/>
    </row>
    <row r="73" ht="12.75" customFormat="1" customHeight="1" s="322">
      <c r="C73" s="576" t="n"/>
      <c r="D73" s="492" t="n"/>
      <c r="E73" s="492" t="n"/>
      <c r="F73" s="492" t="n"/>
      <c r="G73" s="577" t="n"/>
      <c r="H73" s="577" t="n"/>
      <c r="I73" s="584" t="n"/>
      <c r="J73" s="579" t="n"/>
      <c r="K73" s="582">
        <f>IFERROR(I73-J73,"-")</f>
        <v/>
      </c>
      <c r="L73" s="584" t="n"/>
      <c r="M73" s="584" t="n"/>
      <c r="N73" s="590">
        <f>IFERROR(L73/K73,"-")</f>
        <v/>
      </c>
      <c r="O73" s="590">
        <f>IFERROR(M73/K73,"-")</f>
        <v/>
      </c>
      <c r="P73" s="584" t="n"/>
      <c r="Q73" s="583" t="n"/>
      <c r="R73" s="663" t="n"/>
    </row>
    <row r="74" ht="12.75" customFormat="1" customHeight="1" s="322">
      <c r="C74" s="576" t="n"/>
      <c r="D74" s="492" t="n"/>
      <c r="E74" s="492" t="n"/>
      <c r="F74" s="492" t="n"/>
      <c r="G74" s="577" t="n"/>
      <c r="H74" s="577" t="n"/>
      <c r="I74" s="584" t="n"/>
      <c r="J74" s="579" t="n"/>
      <c r="K74" s="582">
        <f>IFERROR(I74-J74,"-")</f>
        <v/>
      </c>
      <c r="L74" s="584" t="n"/>
      <c r="M74" s="584" t="n"/>
      <c r="N74" s="590">
        <f>IFERROR(L74/K74,"-")</f>
        <v/>
      </c>
      <c r="O74" s="590">
        <f>IFERROR(M74/K74,"-")</f>
        <v/>
      </c>
      <c r="P74" s="584" t="n"/>
      <c r="Q74" s="583" t="n"/>
      <c r="R74" s="663" t="n"/>
    </row>
    <row r="75" ht="12.75" customFormat="1" customHeight="1" s="322">
      <c r="C75" s="576" t="n"/>
      <c r="D75" s="492" t="n"/>
      <c r="E75" s="492" t="n"/>
      <c r="F75" s="492" t="n"/>
      <c r="G75" s="577" t="n"/>
      <c r="H75" s="577" t="n"/>
      <c r="I75" s="584" t="n"/>
      <c r="J75" s="579" t="n"/>
      <c r="K75" s="582">
        <f>IFERROR(I75-J75,"-")</f>
        <v/>
      </c>
      <c r="L75" s="584" t="n"/>
      <c r="M75" s="584" t="n"/>
      <c r="N75" s="590">
        <f>IFERROR(L75/K75,"-")</f>
        <v/>
      </c>
      <c r="O75" s="590">
        <f>IFERROR(M75/K75,"-")</f>
        <v/>
      </c>
      <c r="P75" s="584" t="n"/>
      <c r="Q75" s="583" t="n"/>
      <c r="R75" s="663" t="n"/>
    </row>
    <row r="76" ht="12.75" customFormat="1" customHeight="1" s="322">
      <c r="C76" s="585" t="n"/>
      <c r="I76" s="373" t="n"/>
      <c r="J76" s="373" t="n"/>
      <c r="K76" s="373" t="n"/>
      <c r="N76" s="373" t="n"/>
      <c r="O76" s="373" t="n"/>
      <c r="P76" s="573" t="n"/>
      <c r="R76" s="660" t="n"/>
    </row>
    <row r="77" ht="12.75" customFormat="1" customHeight="1" s="322">
      <c r="C77" s="585" t="n"/>
      <c r="I77" s="373" t="n"/>
      <c r="J77" s="373" t="n"/>
      <c r="K77" s="373" t="n"/>
      <c r="N77" s="373" t="n"/>
      <c r="O77" s="373" t="n"/>
      <c r="P77" s="573" t="n"/>
      <c r="R77" s="660" t="n"/>
    </row>
    <row r="78" ht="12.75" customFormat="1" customHeight="1" s="322">
      <c r="C78" s="585" t="n"/>
      <c r="I78" s="373" t="n"/>
      <c r="J78" s="373" t="n"/>
      <c r="K78" s="373" t="n"/>
      <c r="N78" s="373" t="n"/>
      <c r="O78" s="373" t="n"/>
      <c r="P78" s="573" t="n"/>
      <c r="R78" s="660" t="n"/>
    </row>
    <row r="79" ht="12.75" customFormat="1" customHeight="1" s="322">
      <c r="C79" s="585" t="n"/>
      <c r="I79" s="373" t="n"/>
      <c r="J79" s="373" t="n"/>
      <c r="K79" s="373" t="n"/>
      <c r="N79" s="373" t="n"/>
      <c r="O79" s="373" t="n"/>
      <c r="P79" s="573" t="n"/>
      <c r="R79" s="660" t="n"/>
    </row>
    <row r="80" ht="12.75" customFormat="1" customHeight="1" s="322">
      <c r="C80" s="585" t="n"/>
      <c r="I80" s="373" t="n"/>
      <c r="J80" s="373" t="n"/>
      <c r="K80" s="373" t="n"/>
      <c r="N80" s="373" t="n"/>
      <c r="O80" s="373" t="n"/>
      <c r="P80" s="573" t="n"/>
      <c r="R80" s="660" t="n"/>
    </row>
    <row r="81" ht="12.75" customFormat="1" customHeight="1" s="322">
      <c r="C81" s="585" t="n"/>
      <c r="I81" s="373" t="n"/>
      <c r="J81" s="373" t="n"/>
      <c r="K81" s="373" t="n"/>
      <c r="N81" s="373" t="n"/>
      <c r="O81" s="373" t="n"/>
      <c r="P81" s="573" t="n"/>
      <c r="R81" s="660" t="n"/>
    </row>
    <row r="82" ht="12.75" customFormat="1" customHeight="1" s="322">
      <c r="C82" s="585" t="n"/>
      <c r="I82" s="373" t="n"/>
      <c r="J82" s="373" t="n"/>
      <c r="K82" s="373" t="n"/>
      <c r="N82" s="373" t="n"/>
      <c r="O82" s="373" t="n"/>
      <c r="P82" s="573" t="n"/>
      <c r="R82" s="660" t="n"/>
    </row>
    <row r="83" ht="12.75" customFormat="1" customHeight="1" s="322">
      <c r="C83" s="585" t="n"/>
      <c r="I83" s="373" t="n"/>
      <c r="J83" s="373" t="n"/>
      <c r="K83" s="373" t="n"/>
      <c r="N83" s="373" t="n"/>
      <c r="O83" s="373" t="n"/>
      <c r="P83" s="573" t="n"/>
      <c r="R83" s="660" t="n"/>
    </row>
    <row r="84" ht="12.75" customFormat="1" customHeight="1" s="322">
      <c r="C84" s="585" t="n"/>
      <c r="I84" s="373" t="n"/>
      <c r="J84" s="373" t="n"/>
      <c r="K84" s="373" t="n"/>
      <c r="N84" s="373" t="n"/>
      <c r="O84" s="373" t="n"/>
      <c r="P84" s="573" t="n"/>
      <c r="R84" s="660" t="n"/>
    </row>
    <row r="85" ht="12.75" customFormat="1" customHeight="1" s="322">
      <c r="C85" s="585" t="n"/>
      <c r="I85" s="373" t="n"/>
      <c r="J85" s="373" t="n"/>
      <c r="K85" s="373" t="n"/>
      <c r="N85" s="373" t="n"/>
      <c r="O85" s="373" t="n"/>
      <c r="P85" s="573" t="n"/>
      <c r="R85" s="660" t="n"/>
    </row>
    <row r="86" ht="12.75" customFormat="1" customHeight="1" s="322">
      <c r="C86" s="585" t="n"/>
      <c r="I86" s="373" t="n"/>
      <c r="J86" s="373" t="n"/>
      <c r="K86" s="373" t="n"/>
      <c r="N86" s="373" t="n"/>
      <c r="O86" s="373" t="n"/>
      <c r="P86" s="573" t="n"/>
      <c r="R86" s="660" t="n"/>
    </row>
    <row r="87" ht="12.75" customFormat="1" customHeight="1" s="322">
      <c r="C87" s="585" t="n"/>
      <c r="I87" s="373" t="n"/>
      <c r="J87" s="373" t="n"/>
      <c r="K87" s="373" t="n"/>
      <c r="N87" s="373" t="n"/>
      <c r="O87" s="373" t="n"/>
      <c r="P87" s="573" t="n"/>
      <c r="R87" s="660" t="n"/>
    </row>
    <row r="88" ht="12.75" customFormat="1" customHeight="1" s="322">
      <c r="C88" s="585" t="n"/>
      <c r="I88" s="373" t="n"/>
      <c r="J88" s="373" t="n"/>
      <c r="K88" s="373" t="n"/>
      <c r="N88" s="373" t="n"/>
      <c r="O88" s="373" t="n"/>
      <c r="P88" s="573" t="n"/>
      <c r="R88" s="660" t="n"/>
    </row>
    <row r="89" ht="12.75" customFormat="1" customHeight="1" s="322">
      <c r="C89" s="585" t="n"/>
      <c r="I89" s="373" t="n"/>
      <c r="J89" s="373" t="n"/>
      <c r="K89" s="373" t="n"/>
      <c r="N89" s="373" t="n"/>
      <c r="O89" s="373" t="n"/>
      <c r="P89" s="573" t="n"/>
      <c r="R89" s="660" t="n"/>
    </row>
    <row r="90" ht="12.75" customFormat="1" customHeight="1" s="322">
      <c r="C90" s="585" t="n"/>
      <c r="I90" s="373" t="n"/>
      <c r="J90" s="373" t="n"/>
      <c r="K90" s="373" t="n"/>
      <c r="N90" s="373" t="n"/>
      <c r="O90" s="373" t="n"/>
      <c r="P90" s="573" t="n"/>
      <c r="R90" s="660" t="n"/>
    </row>
    <row r="91" ht="12.75" customFormat="1" customHeight="1" s="322">
      <c r="C91" s="585" t="n"/>
      <c r="I91" s="373" t="n"/>
      <c r="J91" s="373" t="n"/>
      <c r="K91" s="373" t="n"/>
      <c r="N91" s="373" t="n"/>
      <c r="O91" s="373" t="n"/>
      <c r="P91" s="573" t="n"/>
      <c r="R91" s="660" t="n"/>
    </row>
    <row r="92" ht="12.75" customFormat="1" customHeight="1" s="322">
      <c r="C92" s="585" t="n"/>
      <c r="I92" s="373" t="n"/>
      <c r="J92" s="373" t="n"/>
      <c r="K92" s="373" t="n"/>
      <c r="N92" s="373" t="n"/>
      <c r="O92" s="373" t="n"/>
      <c r="P92" s="573" t="n"/>
      <c r="R92" s="660" t="n"/>
    </row>
    <row r="93" ht="12.75" customFormat="1" customHeight="1" s="322">
      <c r="C93" s="585" t="n"/>
      <c r="I93" s="373" t="n"/>
      <c r="J93" s="373" t="n"/>
      <c r="K93" s="373" t="n"/>
      <c r="N93" s="373" t="n"/>
      <c r="O93" s="373" t="n"/>
      <c r="P93" s="573" t="n"/>
      <c r="R93" s="660" t="n"/>
    </row>
    <row r="94" ht="12.75" customFormat="1" customHeight="1" s="322">
      <c r="C94" s="585" t="n"/>
      <c r="I94" s="373" t="n"/>
      <c r="J94" s="373" t="n"/>
      <c r="K94" s="373" t="n"/>
      <c r="N94" s="373" t="n"/>
      <c r="O94" s="373" t="n"/>
      <c r="P94" s="573" t="n"/>
      <c r="R94" s="660" t="n"/>
    </row>
    <row r="95" ht="12.75" customFormat="1" customHeight="1" s="322">
      <c r="C95" s="585" t="n"/>
      <c r="I95" s="373" t="n"/>
      <c r="J95" s="373" t="n"/>
      <c r="K95" s="373" t="n"/>
      <c r="N95" s="373" t="n"/>
      <c r="O95" s="373" t="n"/>
      <c r="P95" s="573" t="n"/>
      <c r="R95" s="660" t="n"/>
    </row>
    <row r="96" ht="12.75" customFormat="1" customHeight="1" s="322">
      <c r="C96" s="585" t="n"/>
      <c r="I96" s="373" t="n"/>
      <c r="J96" s="373" t="n"/>
      <c r="K96" s="373" t="n"/>
      <c r="N96" s="373" t="n"/>
      <c r="O96" s="373" t="n"/>
      <c r="P96" s="573" t="n"/>
      <c r="R96" s="660" t="n"/>
    </row>
    <row r="97" ht="12.75" customFormat="1" customHeight="1" s="322">
      <c r="C97" s="585" t="n"/>
      <c r="I97" s="373" t="n"/>
      <c r="J97" s="373" t="n"/>
      <c r="K97" s="373" t="n"/>
      <c r="N97" s="373" t="n"/>
      <c r="O97" s="373" t="n"/>
      <c r="P97" s="573" t="n"/>
      <c r="R97" s="660" t="n"/>
    </row>
  </sheetData>
  <sheetProtection selectLockedCells="0" selectUnlockedCells="0" algorithmName="SHA-512" sheet="1" objects="1" insertRows="1" insertHyperlinks="1" autoFilter="1" scenarios="1" formatColumns="1" deleteColumns="1" insertColumns="1" pivotTables="1" deleteRows="1" formatCells="1" saltValue="fviPF9idSPmqBNkK57AE1Q==" formatRows="1" sort="1" spinCount="100000" hashValue="JZX+5dw6UCInnh6q9XYhfhtUv8ipIG3H2AmCYCml7IrgTlc2ye/71zYOkMot8VR119mK3ntwZpQVD8GnatHaDg=="/>
  <mergeCells count="2">
    <mergeCell ref="L2:O2"/>
    <mergeCell ref="I2:K2"/>
  </mergeCells>
  <dataValidations count="7">
    <dataValidation sqref="F5:F6" showDropDown="0" showInputMessage="1" showErrorMessage="1" allowBlank="1" type="list">
      <formula1>"n/a,(a) Reduces/Waives Principal,(b) Extends Maturity/Payment Date,(c) Reduce/defer Interest,(d) Subordinates Loan,(e) Releases Collateral/Lien,(f) Amends Covenants"</formula1>
    </dataValidation>
    <dataValidation sqref="D38:D67" showDropDown="0" showInputMessage="1" showErrorMessage="1" allowBlank="1" type="list">
      <formula1>"Increase of Lev,Material Mod (a),Material Mod (b),Material Mod (c),Material Mod (d),Material Mod (e),Material Mod (f),Obligor Insolvency,Obligor default,Obligor payment default,Reporting Failure"</formula1>
    </dataValidation>
    <dataValidation sqref="C32:C75" showDropDown="1" showInputMessage="1" showErrorMessage="1" allowBlank="1" type="list">
      <formula1>OFFSET($A$1,0,0,COUNTA($A:$A))</formula1>
    </dataValidation>
    <dataValidation sqref="D68:D75" showDropDown="0" showInputMessage="1" showErrorMessage="1" allowBlank="1" type="list">
      <formula1>"Material Mod (a),Material Mod (b),Material Mod (c),Material Mod (d),Material Mod (e),Material Mod (f),Obligor Insolvency,Obligor default,Obligor payment default,Reporting Failure"</formula1>
    </dataValidation>
    <dataValidation sqref="F7:F75" showDropDown="0" showInputMessage="1" showErrorMessage="1" allowBlank="1" type="list">
      <formula1>"-,(a) Reduces/Waives Principal,(b) Extends Maturity/Payment Date,(c) Waives Interest,(d) Subordinates Loan,(e) Releases Collateral/Lien,(f) Amends Covenants"</formula1>
    </dataValidation>
    <dataValidation sqref="D5:D37" showDropDown="0" showInputMessage="1" showErrorMessage="1" allowBlank="1" type="list">
      <formula1>"Increase in Lev,Material Mod (a),Material Mod (b),Material Mod (c),Material Mod (d),Material Mod (e),Material Mod (f),Obligor Insolvency,Obligor default,Obligor payment default,Reporting Failure"</formula1>
    </dataValidation>
    <dataValidation sqref="E5:E75" showDropDown="0" showInputMessage="1" showErrorMessage="1" allowBlank="1" type="list">
      <formula1>"-,(i) Cash Interest Coverage Ratio Test,(ii) Net Senior Leverage Ratio Test,(iii) Net Total Leverage Ratio Test"</formula1>
    </dataValidation>
  </dataValidations>
  <pageMargins left="0.7" right="0.7" top="0.75" bottom="0.75" header="0.3" footer="0.3"/>
</worksheet>
</file>

<file path=xl/worksheets/sheet8.xml><?xml version="1.0" encoding="utf-8"?>
<worksheet xmlns="http://schemas.openxmlformats.org/spreadsheetml/2006/main">
  <sheetPr codeName="Sheet5">
    <outlinePr summaryBelow="1" summaryRight="1"/>
    <pageSetUpPr/>
  </sheetPr>
  <dimension ref="A1:BJ124"/>
  <sheetViews>
    <sheetView workbookViewId="0">
      <pane xSplit="3" ySplit="4" topLeftCell="D5" activePane="bottomRight" state="frozen"/>
      <selection pane="topRight" activeCell="D1" sqref="D1"/>
      <selection pane="bottomLeft" activeCell="A5" sqref="A5"/>
      <selection pane="bottomRight" activeCell="AO46" sqref="AO46"/>
    </sheetView>
  </sheetViews>
  <sheetFormatPr baseColWidth="8" defaultColWidth="8.85546875" defaultRowHeight="15"/>
  <cols>
    <col width="11.5703125" bestFit="1" customWidth="1" min="1" max="1"/>
    <col width="10.5703125" customWidth="1" min="2" max="2"/>
    <col width="5.5703125" customWidth="1" min="3" max="3"/>
    <col width="46.28515625" customWidth="1" min="4" max="4"/>
    <col width="7.5703125" bestFit="1" customWidth="1" min="5" max="5"/>
    <col width="9.5703125" bestFit="1" customWidth="1" min="6" max="6"/>
    <col width="42.5703125" bestFit="1" customWidth="1" min="7" max="7"/>
    <col width="9" bestFit="1" customWidth="1" min="8" max="8"/>
    <col hidden="1" width="9.28515625" customWidth="1" min="9" max="9"/>
    <col width="12.28515625" bestFit="1" customWidth="1" min="10" max="10"/>
    <col width="12.5703125" bestFit="1" customWidth="1" min="11" max="11"/>
    <col width="13.28515625" bestFit="1" customWidth="1" min="12" max="12"/>
    <col width="14.5703125" bestFit="1" customWidth="1" min="13" max="13"/>
    <col width="11.5703125" bestFit="1" customWidth="1" min="14" max="14"/>
    <col hidden="1" width="11.28515625" customWidth="1" min="15" max="15"/>
    <col hidden="1" width="11" customWidth="1" min="16" max="16"/>
    <col width="8.85546875" bestFit="1" customWidth="1" min="17" max="17"/>
    <col hidden="1" width="4.28515625" customWidth="1" min="18" max="18"/>
    <col width="5.5703125" bestFit="1" customWidth="1" min="19" max="19"/>
    <col width="14" bestFit="1" customWidth="1" min="20" max="20"/>
    <col width="11.28515625" bestFit="1" customWidth="1" min="21" max="22"/>
    <col width="9.5703125" bestFit="1" customWidth="1" min="23" max="23"/>
    <col width="40.28515625" bestFit="1" customWidth="1" min="24" max="24"/>
    <col width="10.28515625" bestFit="1" customWidth="1" min="25" max="25"/>
    <col width="8.28515625" customWidth="1" min="26" max="26"/>
    <col hidden="1" width="21" customWidth="1" min="27" max="27"/>
    <col hidden="1" width="15.28515625" customWidth="1" min="28" max="28"/>
    <col hidden="1" width="9.5703125" customWidth="1" min="29" max="29"/>
    <col width="8.85546875" bestFit="1" customWidth="1" min="30" max="30"/>
    <col width="11" bestFit="1" customWidth="1" min="31" max="31"/>
    <col width="12.5703125" bestFit="1" customWidth="1" min="32" max="32"/>
    <col hidden="1" width="8.28515625" customWidth="1" min="33" max="33"/>
    <col hidden="1" width="6" customWidth="1" min="34" max="34"/>
    <col hidden="1" width="5.5703125" customWidth="1" min="35" max="35"/>
    <col hidden="1" width="8.28515625" customWidth="1" min="36" max="36"/>
    <col hidden="1" width="14.5703125" customWidth="1" min="37" max="37"/>
    <col hidden="1" width="11.28515625" customWidth="1" min="38" max="38"/>
    <col hidden="1" width="14" customWidth="1" min="39" max="39"/>
    <col width="11.5703125" customWidth="1" style="230" min="40" max="41"/>
    <col width="6" customWidth="1" min="42" max="42"/>
    <col width="46" customWidth="1" min="43" max="44"/>
    <col width="8.85546875" customWidth="1" min="45" max="45"/>
    <col width="12.28515625" customWidth="1" min="46" max="46"/>
    <col width="29" customWidth="1" min="47" max="47"/>
    <col width="12.5703125" customWidth="1" min="48" max="48"/>
    <col width="14.5703125" customWidth="1" min="49" max="49"/>
    <col width="12.5703125" customWidth="1" min="50" max="50"/>
    <col width="11" customWidth="1" min="51" max="51"/>
    <col width="12.5703125" customWidth="1" min="52" max="52"/>
    <col width="13" customWidth="1" min="53" max="53"/>
    <col width="10.5703125" customWidth="1" min="54" max="54"/>
    <col width="14" customWidth="1" min="55" max="55"/>
    <col width="9.28515625" customWidth="1" min="56" max="56"/>
    <col width="9.5703125" customWidth="1" min="57" max="58"/>
    <col width="8.85546875" customWidth="1" min="59" max="60"/>
    <col width="12.28515625" customWidth="1" min="61" max="61"/>
    <col width="11.5703125" customWidth="1" min="62" max="62"/>
    <col width="8.85546875" customWidth="1" min="63" max="63"/>
  </cols>
  <sheetData>
    <row r="1" ht="15.75" customHeight="1" thickBot="1">
      <c r="A1" s="231" t="inlineStr">
        <is>
          <t> </t>
        </is>
      </c>
      <c r="B1" s="940" t="n"/>
      <c r="F1" s="232" t="n"/>
      <c r="G1" s="232" t="n"/>
      <c r="H1" s="232" t="n"/>
      <c r="I1" s="232" t="n"/>
      <c r="J1" s="232" t="n"/>
      <c r="K1" s="232" t="n"/>
      <c r="L1" s="232" t="n"/>
      <c r="M1" s="232" t="n"/>
      <c r="N1" s="232" t="n"/>
      <c r="O1" s="232" t="n"/>
      <c r="P1" s="232" t="n"/>
      <c r="Q1" s="232" t="n"/>
      <c r="R1" s="232" t="n"/>
      <c r="S1" s="232" t="n"/>
      <c r="T1" s="232" t="n"/>
      <c r="U1" s="232" t="n"/>
      <c r="V1" s="232" t="n"/>
      <c r="W1" s="232" t="n"/>
      <c r="X1" s="232" t="n"/>
      <c r="Y1" s="232" t="n"/>
      <c r="Z1" s="232" t="n"/>
      <c r="AA1" s="232" t="n"/>
      <c r="AB1" s="232" t="n"/>
      <c r="AC1" s="232" t="n"/>
      <c r="AD1" s="232" t="n"/>
      <c r="AE1" s="232" t="n"/>
      <c r="AF1" s="232" t="n"/>
      <c r="AG1" s="232" t="n"/>
      <c r="AH1" s="232" t="n"/>
      <c r="AI1" s="232" t="n"/>
      <c r="AJ1" s="232" t="n"/>
      <c r="AK1" s="232" t="n"/>
      <c r="AL1" s="232" t="n"/>
      <c r="AM1" s="232" t="n"/>
      <c r="AN1" s="233" t="n"/>
      <c r="AO1" s="233" t="n"/>
      <c r="AP1" s="1132" t="n"/>
      <c r="AQ1" s="1133">
        <f>SUM(AQ6:AQ55)</f>
        <v/>
      </c>
      <c r="AR1" s="1133">
        <f>SUM(AR6:AR55)</f>
        <v/>
      </c>
      <c r="AS1" s="232" t="n"/>
    </row>
    <row r="2">
      <c r="A2" s="236">
        <f>Availability!F5</f>
        <v/>
      </c>
      <c r="B2" s="941">
        <f> "As of date " &amp; TEXT(A2, "mm/dd/yyyy")</f>
        <v/>
      </c>
      <c r="G2" s="232" t="n"/>
      <c r="H2" s="232" t="n"/>
      <c r="I2" s="232" t="n"/>
      <c r="J2" s="232" t="n"/>
      <c r="K2" s="232" t="n"/>
      <c r="L2" s="232" t="n"/>
      <c r="M2" s="1134" t="n"/>
      <c r="N2" s="1134" t="n"/>
      <c r="O2" s="232" t="n"/>
      <c r="P2" s="232" t="n"/>
      <c r="Q2" s="232" t="n"/>
      <c r="R2" s="232" t="n"/>
      <c r="S2" s="232" t="n"/>
      <c r="T2" s="232" t="n"/>
      <c r="U2" s="232" t="n"/>
      <c r="V2" s="232" t="n"/>
      <c r="W2" s="232" t="n"/>
      <c r="X2" s="232" t="n"/>
      <c r="Y2" s="232" t="n"/>
      <c r="Z2" s="232" t="n"/>
      <c r="AA2" s="232" t="n"/>
      <c r="AB2" s="232" t="n"/>
      <c r="AC2" s="232" t="n"/>
      <c r="AD2" s="232" t="n"/>
      <c r="AE2" s="232" t="n"/>
      <c r="AF2" s="232" t="n"/>
      <c r="AG2" s="232" t="n"/>
      <c r="AH2" s="232" t="n"/>
      <c r="AI2" s="232" t="n"/>
      <c r="AJ2" s="232" t="n"/>
      <c r="AK2" s="232" t="n"/>
      <c r="AL2" s="232" t="n"/>
      <c r="AM2" s="232" t="n"/>
      <c r="AN2" s="233" t="n"/>
      <c r="AO2" s="233" t="n"/>
      <c r="AP2" s="238" t="n"/>
      <c r="AQ2" s="239" t="inlineStr">
        <is>
          <t>Total Par Amount for</t>
        </is>
      </c>
      <c r="AR2" s="239" t="inlineStr">
        <is>
          <t>Total Outsanding Amount for</t>
        </is>
      </c>
      <c r="AS2" s="232" t="n"/>
      <c r="AT2" s="229" t="inlineStr">
        <is>
          <t>Financial</t>
        </is>
      </c>
    </row>
    <row r="3" ht="15.75" customHeight="1" thickBot="1">
      <c r="A3" s="240" t="n"/>
      <c r="B3" s="240" t="n"/>
      <c r="C3" s="240" t="n"/>
      <c r="D3" s="240" t="n"/>
      <c r="E3" s="240" t="n"/>
      <c r="F3" s="240" t="n"/>
      <c r="G3" s="240" t="n"/>
      <c r="H3" s="240" t="n"/>
      <c r="I3" s="240" t="n"/>
      <c r="J3" s="240" t="n"/>
      <c r="K3" s="240" t="n"/>
      <c r="L3" s="240" t="n"/>
      <c r="M3" s="240" t="n"/>
      <c r="N3" s="240" t="n"/>
      <c r="O3" s="240" t="n"/>
      <c r="P3" s="240" t="n"/>
      <c r="Q3" s="240" t="n"/>
      <c r="R3" s="240" t="n"/>
      <c r="S3" s="240" t="n"/>
      <c r="T3" s="240" t="n"/>
      <c r="U3" s="240" t="n"/>
      <c r="V3" s="240" t="n"/>
      <c r="W3" s="240" t="n"/>
      <c r="X3" s="240" t="n"/>
      <c r="Y3" s="240" t="n"/>
      <c r="Z3" s="240" t="n"/>
      <c r="AA3" s="240" t="n"/>
      <c r="AB3" s="240" t="n"/>
      <c r="AC3" s="240" t="n"/>
      <c r="AD3" s="240" t="n"/>
      <c r="AE3" s="240" t="n"/>
      <c r="AF3" s="240" t="n"/>
      <c r="AG3" s="240" t="n"/>
      <c r="AH3" s="240" t="n"/>
      <c r="AI3" s="240" t="n"/>
      <c r="AJ3" s="240" t="n"/>
      <c r="AK3" s="240" t="n"/>
      <c r="AL3" s="240" t="n"/>
      <c r="AM3" s="240" t="n"/>
      <c r="AN3" s="241" t="n"/>
      <c r="AO3" s="241" t="n"/>
      <c r="AP3" s="240" t="n"/>
      <c r="AQ3" s="242" t="inlineStr">
        <is>
          <t>Star Mountain Lower Middle-Market Capital Corp.</t>
        </is>
      </c>
      <c r="AR3" s="242" t="inlineStr">
        <is>
          <t>Star Mountain Lower Middle-Market Capital Corp.</t>
        </is>
      </c>
      <c r="AS3" s="240" t="n"/>
      <c r="BC3" t="n"/>
      <c r="BD3" t="n"/>
    </row>
    <row r="4" ht="60" customFormat="1" customHeight="1" s="87">
      <c r="A4" s="243" t="n"/>
      <c r="B4" s="244" t="inlineStr">
        <is>
          <t>Date</t>
        </is>
      </c>
      <c r="C4" s="244" t="inlineStr">
        <is>
          <t>Fund ID</t>
        </is>
      </c>
      <c r="D4" s="244" t="inlineStr">
        <is>
          <t>Fund</t>
        </is>
      </c>
      <c r="E4" s="244" t="inlineStr">
        <is>
          <t>Loan ID #</t>
        </is>
      </c>
      <c r="F4" s="244" t="inlineStr">
        <is>
          <t>Loan Number</t>
        </is>
      </c>
      <c r="G4" s="244" t="inlineStr">
        <is>
          <t>Obligor Name</t>
        </is>
      </c>
      <c r="H4" s="244" t="inlineStr">
        <is>
          <t>Security</t>
        </is>
      </c>
      <c r="I4" s="244" t="inlineStr">
        <is>
          <t>SMC Role</t>
        </is>
      </c>
      <c r="J4" s="245" t="inlineStr">
        <is>
          <t>Loan Type</t>
        </is>
      </c>
      <c r="K4" s="245" t="inlineStr">
        <is>
          <t>Security Type</t>
        </is>
      </c>
      <c r="L4" s="245" t="inlineStr">
        <is>
          <t>Loan Denomination</t>
        </is>
      </c>
      <c r="M4" s="245" t="inlineStr">
        <is>
          <t>Commitment Balance (Dollar Equivalent)</t>
        </is>
      </c>
      <c r="N4" s="245" t="inlineStr">
        <is>
          <t>OLB (Dollar Equivalent)</t>
        </is>
      </c>
      <c r="O4" s="245" t="inlineStr">
        <is>
          <t>Unfunded Settled LTD</t>
        </is>
      </c>
      <c r="P4" s="245" t="inlineStr">
        <is>
          <t>OLB (Dollar Equivalent)</t>
        </is>
      </c>
      <c r="Q4" s="245" t="inlineStr">
        <is>
          <t>Purchase Price</t>
        </is>
      </c>
      <c r="R4" s="245" t="inlineStr">
        <is>
          <t>OID</t>
        </is>
      </c>
      <c r="S4" s="245" t="inlineStr">
        <is>
          <t>FMV</t>
        </is>
      </c>
      <c r="T4" s="245" t="inlineStr">
        <is>
          <t>Exposure Country</t>
        </is>
      </c>
      <c r="U4" s="245" t="inlineStr">
        <is>
          <t>Investment Date</t>
        </is>
      </c>
      <c r="V4" s="245" t="inlineStr">
        <is>
          <t>Maturity Date</t>
        </is>
      </c>
      <c r="W4" s="246" t="inlineStr">
        <is>
          <t>Fixed/Floating</t>
        </is>
      </c>
      <c r="X4" s="245" t="inlineStr">
        <is>
          <t>Industry Classification</t>
        </is>
      </c>
      <c r="Y4" s="245" t="inlineStr">
        <is>
          <t>Payment Frequency</t>
        </is>
      </c>
      <c r="Z4" s="245" t="inlineStr">
        <is>
          <t>Publicly Rated</t>
        </is>
      </c>
      <c r="AA4" s="245" t="inlineStr">
        <is>
          <t>Moody's Loan Rating (if applicable)</t>
        </is>
      </c>
      <c r="AB4" s="245" t="inlineStr">
        <is>
          <t>S&amp;P Loan Rating (if applicable)</t>
        </is>
      </c>
      <c r="AC4" s="245" t="inlineStr">
        <is>
          <t>Covenant Lite</t>
        </is>
      </c>
      <c r="AD4" s="245" t="inlineStr">
        <is>
          <t>PIK (%)</t>
        </is>
      </c>
      <c r="AE4" s="245" t="inlineStr">
        <is>
          <t>Spread / Coupon (%)</t>
        </is>
      </c>
      <c r="AF4" s="245" t="inlineStr">
        <is>
          <t>SOFR floor if applicable (%)</t>
        </is>
      </c>
      <c r="AG4" s="245" t="inlineStr">
        <is>
          <t>Facility delayed draw</t>
        </is>
      </c>
      <c r="AH4" s="245" t="inlineStr">
        <is>
          <t>Asset cusip</t>
        </is>
      </c>
      <c r="AI4" s="245" t="inlineStr">
        <is>
          <t>All In Rate</t>
        </is>
      </c>
      <c r="AJ4" s="245" t="inlineStr">
        <is>
          <t>Moodys Rating</t>
        </is>
      </c>
      <c r="AK4" s="245" t="inlineStr">
        <is>
          <t>Moody's Public Rating Status</t>
        </is>
      </c>
      <c r="AL4" s="245" t="inlineStr">
        <is>
          <t>DBRS Rating</t>
        </is>
      </c>
      <c r="AM4" s="245" t="inlineStr">
        <is>
          <t>DBRS Credit Estimate Status</t>
        </is>
      </c>
      <c r="AN4" s="247" t="inlineStr">
        <is>
          <t>Inception Date</t>
        </is>
      </c>
      <c r="AO4" s="247" t="inlineStr">
        <is>
          <t>Inclusion Date</t>
        </is>
      </c>
      <c r="AP4" s="248" t="inlineStr">
        <is>
          <t>PIK</t>
        </is>
      </c>
      <c r="AQ4" s="1135" t="inlineStr">
        <is>
          <t>Quantity Settled LTD ex PIK</t>
        </is>
      </c>
      <c r="AR4" s="1136" t="inlineStr">
        <is>
          <t>Outstanding Settled LTD ex PIK</t>
        </is>
      </c>
      <c r="AS4" s="243" t="n"/>
      <c r="AT4" s="251" t="inlineStr">
        <is>
          <t>Frequency of Reporting (m/q)</t>
        </is>
      </c>
      <c r="AU4" s="251" t="inlineStr">
        <is>
          <t>Last Financial Received</t>
        </is>
      </c>
      <c r="AV4" s="251" t="inlineStr">
        <is>
          <t>Initial Adjusted TTM EBITDA</t>
        </is>
      </c>
      <c r="AW4" s="251" t="inlineStr">
        <is>
          <t>Initial TTM Non-adjusted EBITDA</t>
        </is>
      </c>
      <c r="AX4" s="251" t="inlineStr">
        <is>
          <t>Initial Senior Net Leverage Senior</t>
        </is>
      </c>
      <c r="AY4" s="251" t="inlineStr">
        <is>
          <t>Initial Total Net Leverage</t>
        </is>
      </c>
      <c r="AZ4" s="252" t="inlineStr">
        <is>
          <t xml:space="preserve">Current Adjusted TTM EBITDA  </t>
        </is>
      </c>
      <c r="BA4" s="251" t="inlineStr">
        <is>
          <t>Current TTM Non-adjusted EBITDA</t>
        </is>
      </c>
      <c r="BB4" s="251" t="n"/>
      <c r="BC4" s="251" t="inlineStr">
        <is>
          <t>Current Senior Net Leverage Senior</t>
        </is>
      </c>
      <c r="BD4" s="251" t="inlineStr">
        <is>
          <t>Current Total Net Leverage</t>
        </is>
      </c>
      <c r="BE4" s="251" t="inlineStr">
        <is>
          <t>Initial Interest Coverage</t>
        </is>
      </c>
      <c r="BF4" s="251" t="inlineStr">
        <is>
          <t>Current Interest Coverage</t>
        </is>
      </c>
      <c r="BI4" s="253" t="inlineStr">
        <is>
          <t>Net Detachment</t>
        </is>
      </c>
      <c r="BJ4" s="253" t="inlineStr">
        <is>
          <t>Net Attachment</t>
        </is>
      </c>
    </row>
    <row r="5">
      <c r="A5" s="254">
        <f>CONCATENATE(C5,E5)</f>
        <v/>
      </c>
      <c r="B5" s="1137">
        <f>$A$2</f>
        <v/>
      </c>
      <c r="C5" s="256" t="inlineStr">
        <is>
          <t>smc</t>
        </is>
      </c>
      <c r="D5" s="257" t="inlineStr">
        <is>
          <t>Star Mountain Lower Middle-Market Capital Corp.</t>
        </is>
      </c>
      <c r="E5" s="315" t="n">
        <v>1</v>
      </c>
      <c r="F5" s="316" t="n">
        <v>100001</v>
      </c>
      <c r="G5" s="287" t="inlineStr">
        <is>
          <t>Consolidated Machine &amp; Tool Holdings</t>
        </is>
      </c>
      <c r="H5" s="287" t="inlineStr">
        <is>
          <t>1st Lien</t>
        </is>
      </c>
      <c r="I5" s="289" t="n"/>
      <c r="J5" s="259" t="inlineStr">
        <is>
          <t>First Lien</t>
        </is>
      </c>
      <c r="K5" s="259" t="inlineStr">
        <is>
          <t>Term Loan</t>
        </is>
      </c>
      <c r="L5" s="291" t="inlineStr">
        <is>
          <t>USD</t>
        </is>
      </c>
      <c r="M5" s="1138">
        <f>INDEX('SM Support'!$D$3:$D$64,MATCH('Loan Tape - Settled'!G5,'SM Support'!$B$3:$B$62,0))</f>
        <v/>
      </c>
      <c r="N5" s="1139">
        <f>M5</f>
        <v/>
      </c>
      <c r="O5" s="1140" t="n"/>
      <c r="P5" s="1140" t="n"/>
      <c r="Q5" s="263" t="n">
        <v>1</v>
      </c>
      <c r="R5" s="264" t="n"/>
      <c r="S5" s="265">
        <f>INDEX('SM Support'!$E$3:$E$64,MATCH('Loan Tape - Settled'!G5,'SM Support'!$B$3:$B$64,0))/INDEX('SM Support'!$D$3:$D$64,MATCH('Loan Tape - Settled'!G5,'SM Support'!$B$3:$B$64,0))</f>
        <v/>
      </c>
      <c r="T5" s="287" t="inlineStr">
        <is>
          <t>United States</t>
        </is>
      </c>
      <c r="U5" s="290" t="n">
        <v>43845</v>
      </c>
      <c r="V5" s="1141" t="n">
        <v>46203</v>
      </c>
      <c r="W5" s="287" t="inlineStr">
        <is>
          <t>Floating</t>
        </is>
      </c>
      <c r="X5" s="298" t="inlineStr">
        <is>
          <t>Aerospace &amp; Defense</t>
        </is>
      </c>
      <c r="Y5" s="287" t="inlineStr">
        <is>
          <t>M</t>
        </is>
      </c>
      <c r="Z5" s="291" t="inlineStr">
        <is>
          <t>No</t>
        </is>
      </c>
      <c r="AA5" s="292" t="n"/>
      <c r="AB5" s="292" t="n"/>
      <c r="AC5" s="293" t="n">
        <v>0</v>
      </c>
      <c r="AD5" s="1142" t="n">
        <v>0.1598302821403551</v>
      </c>
      <c r="AE5" s="1142" t="n">
        <v>0.008370436916378029</v>
      </c>
      <c r="AF5" s="1142" t="n">
        <v>0.02</v>
      </c>
      <c r="AG5" s="270" t="n"/>
      <c r="AH5" s="270" t="n"/>
      <c r="AI5" s="1143" t="n"/>
      <c r="AJ5" s="272" t="n"/>
      <c r="AK5" s="272" t="n"/>
      <c r="AL5" s="272" t="n"/>
      <c r="AM5" s="272" t="n"/>
      <c r="AN5" s="273" t="n">
        <v>43845</v>
      </c>
      <c r="AO5" s="273" t="n">
        <v>44379</v>
      </c>
      <c r="AP5" s="274" t="n">
        <v>0</v>
      </c>
      <c r="AQ5" s="1144">
        <f>IF($D5=$AQ$3,$M5-$AP5,0)</f>
        <v/>
      </c>
      <c r="AR5" s="1145">
        <f>IF($D5=$AR$3,$N5-$AP5,0)</f>
        <v/>
      </c>
      <c r="AT5" s="1146" t="inlineStr">
        <is>
          <t>m</t>
        </is>
      </c>
      <c r="AU5" s="1147">
        <f>'SM Support'!$F$1</f>
        <v/>
      </c>
      <c r="AV5" s="1146" t="n">
        <v>6.444</v>
      </c>
      <c r="AW5" s="1148">
        <f>AV5</f>
        <v/>
      </c>
      <c r="AX5" s="1149" t="n">
        <v>2.203134698944755</v>
      </c>
      <c r="AY5" s="1150">
        <f>AX5</f>
        <v/>
      </c>
      <c r="AZ5" s="1151">
        <f>INDEX('SM Support'!$G$3:$G$64,MATCH('Loan Tape - Settled'!G5,'SM Support'!$B$3:$B$64,0))/1000000</f>
        <v/>
      </c>
      <c r="BA5" s="1148">
        <f>AZ5</f>
        <v/>
      </c>
      <c r="BB5" s="1152" t="n"/>
      <c r="BC5" s="1153">
        <f>INDEX('SM Support'!$M$3:$M$64,MATCH('Loan Tape - Settled'!G5,'SM Support'!$B$3:$B$64,0))</f>
        <v/>
      </c>
      <c r="BD5" s="1154">
        <f>BC5</f>
        <v/>
      </c>
      <c r="BE5" s="1155" t="n">
        <v>4.05</v>
      </c>
      <c r="BF5" s="1156">
        <f>INDEX('SM Support'!O$3:O$64,MATCH('Loan Tape - Settled'!$G5,'SM Support'!$B$3:$B$64,0))</f>
        <v/>
      </c>
      <c r="BG5" s="1152" t="n"/>
      <c r="BH5" s="1152" t="n"/>
      <c r="BI5" s="1157">
        <f>INDEX('SM Support'!$M$3:$M$144,MATCH('Loan Tape - Settled'!G5,'SM Support'!$B$3:$B$144,0))</f>
        <v/>
      </c>
      <c r="BJ5" s="1157">
        <f>INDEX('SM Support'!$N$3:$N$144,MATCH('Loan Tape - Settled'!G5,'SM Support'!$B$3:$B$144,0))</f>
        <v/>
      </c>
    </row>
    <row r="6">
      <c r="A6" s="254">
        <f>CONCATENATE(C6,E6)</f>
        <v/>
      </c>
      <c r="B6" s="1137">
        <f>$A$2</f>
        <v/>
      </c>
      <c r="C6" s="286" t="inlineStr">
        <is>
          <t>smc</t>
        </is>
      </c>
      <c r="D6" s="287" t="inlineStr">
        <is>
          <t>Star Mountain Lower Middle-Market Capital Corp.</t>
        </is>
      </c>
      <c r="E6" s="288">
        <f>E5+1</f>
        <v/>
      </c>
      <c r="F6" s="314">
        <f>F5+1</f>
        <v/>
      </c>
      <c r="G6" s="287" t="inlineStr">
        <is>
          <t>SkyBell Technologies</t>
        </is>
      </c>
      <c r="H6" s="287" t="inlineStr">
        <is>
          <t>1st Lien</t>
        </is>
      </c>
      <c r="I6" s="289" t="n"/>
      <c r="J6" s="259" t="inlineStr">
        <is>
          <t>First Lien</t>
        </is>
      </c>
      <c r="K6" s="259" t="inlineStr">
        <is>
          <t>Term Loan</t>
        </is>
      </c>
      <c r="L6" s="291" t="inlineStr">
        <is>
          <t>USD</t>
        </is>
      </c>
      <c r="M6" s="1138">
        <f>INDEX('SM Support'!$D$3:$D$64,MATCH('Loan Tape - Settled'!G6,'SM Support'!$B$3:$B$62,0))</f>
        <v/>
      </c>
      <c r="N6" s="1139">
        <f>M6</f>
        <v/>
      </c>
      <c r="O6" s="1140" t="n"/>
      <c r="P6" s="1140" t="n"/>
      <c r="Q6" s="263" t="n">
        <v>1</v>
      </c>
      <c r="R6" s="264" t="n"/>
      <c r="S6" s="265">
        <f>INDEX('SM Support'!$E$3:$E$64,MATCH('Loan Tape - Settled'!G6,'SM Support'!$B$3:$B$64,0))/INDEX('SM Support'!$D$3:$D$64,MATCH('Loan Tape - Settled'!G6,'SM Support'!$B$3:$B$64,0))</f>
        <v/>
      </c>
      <c r="T6" s="287" t="inlineStr">
        <is>
          <t>United States</t>
        </is>
      </c>
      <c r="U6" s="290" t="n">
        <v>43812</v>
      </c>
      <c r="V6" s="1141" t="n">
        <v>45639</v>
      </c>
      <c r="W6" s="287" t="inlineStr">
        <is>
          <t>Floating</t>
        </is>
      </c>
      <c r="X6" s="298" t="inlineStr">
        <is>
          <t>Household Durables</t>
        </is>
      </c>
      <c r="Y6" s="287" t="inlineStr">
        <is>
          <t>M</t>
        </is>
      </c>
      <c r="Z6" s="291" t="inlineStr">
        <is>
          <t>No</t>
        </is>
      </c>
      <c r="AA6" s="292" t="n"/>
      <c r="AB6" s="292" t="n"/>
      <c r="AC6" s="293" t="n">
        <v>0</v>
      </c>
      <c r="AD6" s="1142" t="n">
        <v>0.1746047</v>
      </c>
      <c r="AE6" s="1142" t="n">
        <v>0</v>
      </c>
      <c r="AF6" s="1142" t="n">
        <v>0.02</v>
      </c>
      <c r="AG6" s="270" t="n"/>
      <c r="AH6" s="270" t="n"/>
      <c r="AI6" s="1143" t="n"/>
      <c r="AJ6" s="272" t="n"/>
      <c r="AK6" s="272" t="n"/>
      <c r="AL6" s="272" t="n"/>
      <c r="AM6" s="272" t="n"/>
      <c r="AN6" s="273" t="n">
        <v>43812</v>
      </c>
      <c r="AO6" s="273" t="n">
        <v>44379</v>
      </c>
      <c r="AP6" s="274" t="n">
        <v>0</v>
      </c>
      <c r="AQ6" s="1144">
        <f>IF($D6=$AQ$3,$M6-$AP6,0)</f>
        <v/>
      </c>
      <c r="AR6" s="1145">
        <f>IF($D6=$AR$3,$N6-$AP6,0)</f>
        <v/>
      </c>
      <c r="AT6" s="1146" t="inlineStr">
        <is>
          <t>m</t>
        </is>
      </c>
      <c r="AU6" s="1158">
        <f>AU5</f>
        <v/>
      </c>
      <c r="AV6" s="1146" t="n">
        <v>9.021000000000001</v>
      </c>
      <c r="AW6" s="1148">
        <f>AV6</f>
        <v/>
      </c>
      <c r="AX6" s="1149" t="n">
        <v>2.913867642168274</v>
      </c>
      <c r="AY6" s="1150">
        <f>AX6</f>
        <v/>
      </c>
      <c r="AZ6" s="1151">
        <f>INDEX('SM Support'!$G$3:$G$64,MATCH('Loan Tape - Settled'!G6,'SM Support'!$B$3:$B$64,0))/1000000</f>
        <v/>
      </c>
      <c r="BA6" s="1148">
        <f>AZ6</f>
        <v/>
      </c>
      <c r="BB6" s="1152" t="n"/>
      <c r="BC6" s="1153">
        <f>INDEX('SM Support'!$M$3:$M$64,MATCH('Loan Tape - Settled'!G6,'SM Support'!$B$3:$B$64,0))</f>
        <v/>
      </c>
      <c r="BD6" s="1154">
        <f>BC6</f>
        <v/>
      </c>
      <c r="BE6" s="1155" t="n">
        <v>2.31</v>
      </c>
      <c r="BF6" s="1156">
        <f>INDEX('SM Support'!O$3:O$64,MATCH('Loan Tape - Settled'!$G6,'SM Support'!$B$3:$B$64,0))</f>
        <v/>
      </c>
      <c r="BG6" s="1152" t="n"/>
      <c r="BH6" s="1152" t="n"/>
      <c r="BI6" s="1157">
        <f>INDEX('SM Support'!$M$3:$M$144,MATCH('Loan Tape - Settled'!G6,'SM Support'!$B$3:$B$144,0))</f>
        <v/>
      </c>
      <c r="BJ6" s="1157">
        <f>INDEX('SM Support'!$N$3:$N$144,MATCH('Loan Tape - Settled'!G6,'SM Support'!$B$3:$B$144,0))</f>
        <v/>
      </c>
    </row>
    <row r="7">
      <c r="A7" s="254">
        <f>CONCATENATE(C7,E7)</f>
        <v/>
      </c>
      <c r="B7" s="1137">
        <f>$A$2</f>
        <v/>
      </c>
      <c r="C7" s="286" t="inlineStr">
        <is>
          <t>smc</t>
        </is>
      </c>
      <c r="D7" s="287" t="inlineStr">
        <is>
          <t>Star Mountain Lower Middle-Market Capital Corp.</t>
        </is>
      </c>
      <c r="E7" s="288">
        <f>+E6+1</f>
        <v/>
      </c>
      <c r="F7" s="314">
        <f>F6+1</f>
        <v/>
      </c>
      <c r="G7" s="287" t="inlineStr">
        <is>
          <t>Microf</t>
        </is>
      </c>
      <c r="H7" s="257" t="inlineStr">
        <is>
          <t>1st Lien</t>
        </is>
      </c>
      <c r="I7" s="258" t="n"/>
      <c r="J7" s="259" t="inlineStr">
        <is>
          <t>First Lien</t>
        </is>
      </c>
      <c r="K7" s="259" t="inlineStr">
        <is>
          <t>Term Loan</t>
        </is>
      </c>
      <c r="L7" s="267" t="inlineStr">
        <is>
          <t>USD</t>
        </is>
      </c>
      <c r="M7" s="1138">
        <f>INDEX('SM Support'!$D$3:$D$64,MATCH('Loan Tape - Settled'!G7,'SM Support'!$B$3:$B$62,0))</f>
        <v/>
      </c>
      <c r="N7" s="1139">
        <f>M7</f>
        <v/>
      </c>
      <c r="O7" s="1140" t="n"/>
      <c r="P7" s="1140" t="n"/>
      <c r="Q7" s="263" t="n">
        <v>1</v>
      </c>
      <c r="R7" s="264" t="n"/>
      <c r="S7" s="265">
        <f>INDEX('SM Support'!$E$3:$E$64,MATCH('Loan Tape - Settled'!G7,'SM Support'!$B$3:$B$64,0))/INDEX('SM Support'!$D$3:$D$64,MATCH('Loan Tape - Settled'!G7,'SM Support'!$B$3:$B$64,0))</f>
        <v/>
      </c>
      <c r="T7" s="257" t="inlineStr">
        <is>
          <t>United States</t>
        </is>
      </c>
      <c r="U7" s="266" t="n">
        <v>43553</v>
      </c>
      <c r="V7" s="1141" t="n">
        <v>46721</v>
      </c>
      <c r="W7" s="257" t="inlineStr">
        <is>
          <t>Floating</t>
        </is>
      </c>
      <c r="X7" s="321" t="inlineStr">
        <is>
          <t>Consumer Finance</t>
        </is>
      </c>
      <c r="Y7" s="257" t="inlineStr">
        <is>
          <t>M</t>
        </is>
      </c>
      <c r="Z7" s="267" t="inlineStr">
        <is>
          <t>No</t>
        </is>
      </c>
      <c r="AA7" s="268" t="n"/>
      <c r="AB7" s="268" t="n"/>
      <c r="AC7" s="269" t="n">
        <v>0</v>
      </c>
      <c r="AD7" s="1142" t="n">
        <v>0</v>
      </c>
      <c r="AE7" s="1142" t="n">
        <v>0.1085</v>
      </c>
      <c r="AF7" s="1142" t="n">
        <v>0.02</v>
      </c>
      <c r="AG7" s="270" t="n"/>
      <c r="AH7" s="270" t="n"/>
      <c r="AI7" s="1143" t="n"/>
      <c r="AJ7" s="272" t="n"/>
      <c r="AK7" s="272" t="n"/>
      <c r="AL7" s="272" t="n"/>
      <c r="AM7" s="272" t="n"/>
      <c r="AN7" s="273" t="n">
        <v>43553</v>
      </c>
      <c r="AO7" s="273" t="n">
        <v>44379</v>
      </c>
      <c r="AP7" s="274" t="n">
        <v>0</v>
      </c>
      <c r="AQ7" s="1144">
        <f>IF($D7=$AQ$3,$M7-$AP7,0)</f>
        <v/>
      </c>
      <c r="AR7" s="1145">
        <f>IF($D7=$AR$3,$N7-$AP7,0)</f>
        <v/>
      </c>
      <c r="AT7" s="1146" t="inlineStr">
        <is>
          <t>m</t>
        </is>
      </c>
      <c r="AU7" s="1158">
        <f>AU6</f>
        <v/>
      </c>
      <c r="AV7" s="1146" t="n">
        <v>3.818</v>
      </c>
      <c r="AW7" s="1148">
        <f>AV7</f>
        <v/>
      </c>
      <c r="AX7" s="1149" t="n">
        <v>4</v>
      </c>
      <c r="AY7" s="1150">
        <f>AX7</f>
        <v/>
      </c>
      <c r="AZ7" s="1151">
        <f>INDEX('SM Support'!$G$3:$G$64,MATCH('Loan Tape - Settled'!G7,'SM Support'!$B$3:$B$64,0))/1000000</f>
        <v/>
      </c>
      <c r="BA7" s="1148">
        <f>AZ7</f>
        <v/>
      </c>
      <c r="BB7" s="1152" t="n"/>
      <c r="BC7" s="1153">
        <f>INDEX('SM Support'!$M$3:$M$64,MATCH('Loan Tape - Settled'!G7,'SM Support'!$B$3:$B$64,0))</f>
        <v/>
      </c>
      <c r="BD7" s="1154">
        <f>BC7</f>
        <v/>
      </c>
      <c r="BE7" s="1155" t="n">
        <v>2.39</v>
      </c>
      <c r="BF7" s="1156">
        <f>INDEX('SM Support'!O$3:O$64,MATCH('Loan Tape - Settled'!$G7,'SM Support'!$B$3:$B$64,0))</f>
        <v/>
      </c>
      <c r="BG7" s="1152" t="n"/>
      <c r="BH7" s="1152" t="n"/>
      <c r="BI7" s="1157">
        <f>INDEX('SM Support'!$M$3:$M$144,MATCH('Loan Tape - Settled'!G7,'SM Support'!$B$3:$B$144,0))</f>
        <v/>
      </c>
      <c r="BJ7" s="1157">
        <f>INDEX('SM Support'!$N$3:$N$144,MATCH('Loan Tape - Settled'!G7,'SM Support'!$B$3:$B$144,0))</f>
        <v/>
      </c>
    </row>
    <row r="8" ht="15" customHeight="1">
      <c r="A8" s="254">
        <f>CONCATENATE(C8,E8)</f>
        <v/>
      </c>
      <c r="B8" s="1137">
        <f>$A$2</f>
        <v/>
      </c>
      <c r="C8" s="286" t="inlineStr">
        <is>
          <t>smc</t>
        </is>
      </c>
      <c r="D8" s="287" t="inlineStr">
        <is>
          <t>Star Mountain Lower Middle-Market Capital Corp.</t>
        </is>
      </c>
      <c r="E8" s="288">
        <f>+E7+1</f>
        <v/>
      </c>
      <c r="F8" s="314">
        <f>F7+1</f>
        <v/>
      </c>
      <c r="G8" s="257" t="inlineStr">
        <is>
          <t>Linden Research</t>
        </is>
      </c>
      <c r="H8" s="257" t="inlineStr">
        <is>
          <t>1st Lien</t>
        </is>
      </c>
      <c r="I8" s="258" t="n"/>
      <c r="J8" s="259" t="inlineStr">
        <is>
          <t>First Lien</t>
        </is>
      </c>
      <c r="K8" s="259" t="inlineStr">
        <is>
          <t>Term Loan</t>
        </is>
      </c>
      <c r="L8" s="267" t="inlineStr">
        <is>
          <t>USD</t>
        </is>
      </c>
      <c r="M8" s="1138">
        <f>INDEX('SM Support'!$D$3:$D$64,MATCH('Loan Tape - Settled'!G8,'SM Support'!$B$3:$B$62,0))</f>
        <v/>
      </c>
      <c r="N8" s="1139">
        <f>M8</f>
        <v/>
      </c>
      <c r="O8" s="1140" t="n"/>
      <c r="P8" s="1140" t="n"/>
      <c r="Q8" s="263" t="n">
        <v>1</v>
      </c>
      <c r="R8" s="264" t="n"/>
      <c r="S8" s="265">
        <f>INDEX('SM Support'!$E$3:$E$64,MATCH('Loan Tape - Settled'!G8,'SM Support'!$B$3:$B$64,0))/INDEX('SM Support'!$D$3:$D$64,MATCH('Loan Tape - Settled'!G8,'SM Support'!$B$3:$B$64,0))</f>
        <v/>
      </c>
      <c r="T8" s="257" t="inlineStr">
        <is>
          <t>United States</t>
        </is>
      </c>
      <c r="U8" s="266" t="n">
        <v>44196</v>
      </c>
      <c r="V8" s="1141" t="n">
        <v>46295</v>
      </c>
      <c r="W8" s="257" t="inlineStr">
        <is>
          <t>Floating</t>
        </is>
      </c>
      <c r="X8" s="321" t="inlineStr">
        <is>
          <t>Entertainment</t>
        </is>
      </c>
      <c r="Y8" s="257" t="inlineStr">
        <is>
          <t>M</t>
        </is>
      </c>
      <c r="Z8" s="267" t="inlineStr">
        <is>
          <t>No</t>
        </is>
      </c>
      <c r="AA8" s="268" t="n"/>
      <c r="AB8" s="268" t="n"/>
      <c r="AC8" s="269" t="n">
        <v>0</v>
      </c>
      <c r="AD8" s="1142" t="n">
        <v>0.035389248246</v>
      </c>
      <c r="AE8" s="1142" t="n">
        <v>0.0726161</v>
      </c>
      <c r="AF8" s="1142" t="n">
        <v>0.01</v>
      </c>
      <c r="AG8" s="270" t="n"/>
      <c r="AH8" s="270" t="n"/>
      <c r="AI8" s="1143" t="n"/>
      <c r="AJ8" s="272" t="n"/>
      <c r="AK8" s="272" t="n"/>
      <c r="AL8" s="272" t="n"/>
      <c r="AM8" s="272" t="n"/>
      <c r="AN8" s="273" t="n">
        <v>44196</v>
      </c>
      <c r="AO8" s="273" t="n">
        <v>44379</v>
      </c>
      <c r="AP8" s="274" t="n">
        <v>0</v>
      </c>
      <c r="AQ8" s="1144">
        <f>IF($D8=$AQ$3,$M8-$AP8,0)</f>
        <v/>
      </c>
      <c r="AR8" s="1145">
        <f>IF($D8=$AR$3,$N8-$AP8,0)</f>
        <v/>
      </c>
      <c r="AT8" s="1146" t="inlineStr">
        <is>
          <t>m</t>
        </is>
      </c>
      <c r="AU8" s="1158">
        <f>AU7</f>
        <v/>
      </c>
      <c r="AV8" s="1146" t="n">
        <v>18.437</v>
      </c>
      <c r="AW8" s="1148">
        <f>AV8</f>
        <v/>
      </c>
      <c r="AX8" s="1149" t="n">
        <v>3.444161197591799</v>
      </c>
      <c r="AY8" s="1150">
        <f>AX8</f>
        <v/>
      </c>
      <c r="AZ8" s="1151">
        <f>INDEX('SM Support'!$G$3:$G$64,MATCH('Loan Tape - Settled'!G8,'SM Support'!$B$3:$B$64,0))/1000000</f>
        <v/>
      </c>
      <c r="BA8" s="1148">
        <f>AZ8</f>
        <v/>
      </c>
      <c r="BB8" s="1152" t="n"/>
      <c r="BC8" s="1153">
        <f>INDEX('SM Support'!$M$3:$M$64,MATCH('Loan Tape - Settled'!G8,'SM Support'!$B$3:$B$64,0))</f>
        <v/>
      </c>
      <c r="BD8" s="1154">
        <f>BC8</f>
        <v/>
      </c>
      <c r="BE8" s="1155" t="n">
        <v>2.07</v>
      </c>
      <c r="BF8" s="1156">
        <f>INDEX('SM Support'!O$3:O$64,MATCH('Loan Tape - Settled'!$G8,'SM Support'!$B$3:$B$64,0))</f>
        <v/>
      </c>
      <c r="BG8" s="1152" t="n"/>
      <c r="BH8" s="1152" t="n"/>
      <c r="BI8" s="1157">
        <f>INDEX('SM Support'!$M$3:$M$144,MATCH('Loan Tape - Settled'!G8,'SM Support'!$B$3:$B$144,0))</f>
        <v/>
      </c>
      <c r="BJ8" s="1157">
        <f>INDEX('SM Support'!$N$3:$N$144,MATCH('Loan Tape - Settled'!G8,'SM Support'!$B$3:$B$144,0))</f>
        <v/>
      </c>
    </row>
    <row r="9" ht="15" customHeight="1">
      <c r="A9" s="254">
        <f>CONCATENATE(C9,E9)</f>
        <v/>
      </c>
      <c r="B9" s="1137">
        <f>$A$2</f>
        <v/>
      </c>
      <c r="C9" s="286" t="inlineStr">
        <is>
          <t>smc</t>
        </is>
      </c>
      <c r="D9" s="287" t="inlineStr">
        <is>
          <t>Star Mountain Lower Middle-Market Capital Corp.</t>
        </is>
      </c>
      <c r="E9" s="288">
        <f>+E8+1</f>
        <v/>
      </c>
      <c r="F9" s="314">
        <f>F8+1</f>
        <v/>
      </c>
      <c r="G9" s="257" t="inlineStr">
        <is>
          <t>Fremont-Wright</t>
        </is>
      </c>
      <c r="H9" s="257" t="inlineStr">
        <is>
          <t>1st Lien</t>
        </is>
      </c>
      <c r="I9" s="258" t="n"/>
      <c r="J9" s="259" t="inlineStr">
        <is>
          <t>First Lien</t>
        </is>
      </c>
      <c r="K9" s="259" t="inlineStr">
        <is>
          <t>Term Loan</t>
        </is>
      </c>
      <c r="L9" s="267" t="inlineStr">
        <is>
          <t>USD</t>
        </is>
      </c>
      <c r="M9" s="1138">
        <f>INDEX('SM Support'!$D$3:$D$64,MATCH('Loan Tape - Settled'!G9,'SM Support'!$B$3:$B$62,0))</f>
        <v/>
      </c>
      <c r="N9" s="1139">
        <f>M9</f>
        <v/>
      </c>
      <c r="O9" s="1140" t="n"/>
      <c r="P9" s="1140" t="n"/>
      <c r="Q9" s="263" t="n">
        <v>1</v>
      </c>
      <c r="R9" s="264" t="n"/>
      <c r="S9" s="265">
        <f>INDEX('SM Support'!$E$3:$E$64,MATCH('Loan Tape - Settled'!G9,'SM Support'!$B$3:$B$64,0))/INDEX('SM Support'!$D$3:$D$64,MATCH('Loan Tape - Settled'!G9,'SM Support'!$B$3:$B$64,0))</f>
        <v/>
      </c>
      <c r="T9" s="257" t="inlineStr">
        <is>
          <t>United States</t>
        </is>
      </c>
      <c r="U9" s="266" t="n">
        <v>44167</v>
      </c>
      <c r="V9" s="1141" t="n">
        <v>46203</v>
      </c>
      <c r="W9" s="257" t="inlineStr">
        <is>
          <t>Floating</t>
        </is>
      </c>
      <c r="X9" s="321" t="inlineStr">
        <is>
          <t>Construction &amp; Engineering</t>
        </is>
      </c>
      <c r="Y9" s="257" t="inlineStr">
        <is>
          <t>M</t>
        </is>
      </c>
      <c r="Z9" s="267" t="inlineStr">
        <is>
          <t>No</t>
        </is>
      </c>
      <c r="AA9" s="268" t="n"/>
      <c r="AB9" s="268" t="n"/>
      <c r="AC9" s="269" t="n">
        <v>0</v>
      </c>
      <c r="AD9" s="1142" t="n">
        <v>0</v>
      </c>
      <c r="AE9" s="1142" t="n">
        <v>0.09099999999999998</v>
      </c>
      <c r="AF9" s="1142" t="n">
        <v>0.01</v>
      </c>
      <c r="AG9" s="270" t="n"/>
      <c r="AH9" s="270" t="n"/>
      <c r="AI9" s="1143" t="n"/>
      <c r="AJ9" s="272" t="n"/>
      <c r="AK9" s="272" t="n"/>
      <c r="AL9" s="272" t="n"/>
      <c r="AM9" s="272" t="n"/>
      <c r="AN9" s="273" t="n">
        <v>44167</v>
      </c>
      <c r="AO9" s="273" t="n">
        <v>44379</v>
      </c>
      <c r="AP9" s="274" t="n">
        <v>0</v>
      </c>
      <c r="AQ9" s="1144">
        <f>IF($D9=$AQ$3,$M9-$AP9,0)</f>
        <v/>
      </c>
      <c r="AR9" s="1145">
        <f>IF($D9=$AR$3,$N9-$AP9,0)</f>
        <v/>
      </c>
      <c r="AT9" s="1146" t="inlineStr">
        <is>
          <t>m</t>
        </is>
      </c>
      <c r="AU9" s="1158">
        <f>AU8</f>
        <v/>
      </c>
      <c r="AV9" s="1146" t="n">
        <v>12.63</v>
      </c>
      <c r="AW9" s="1148">
        <f>AV9</f>
        <v/>
      </c>
      <c r="AX9" s="1149" t="n">
        <v>3.125653206650831</v>
      </c>
      <c r="AY9" s="1150">
        <f>AX9</f>
        <v/>
      </c>
      <c r="AZ9" s="1151">
        <f>INDEX('SM Support'!$G$3:$G$64,MATCH('Loan Tape - Settled'!G9,'SM Support'!$B$3:$B$64,0))/1000000</f>
        <v/>
      </c>
      <c r="BA9" s="1148">
        <f>AZ9</f>
        <v/>
      </c>
      <c r="BB9" s="1152" t="n"/>
      <c r="BC9" s="1153">
        <f>INDEX('SM Support'!$M$3:$M$64,MATCH('Loan Tape - Settled'!G9,'SM Support'!$B$3:$B$64,0))</f>
        <v/>
      </c>
      <c r="BD9" s="1154">
        <f>BC9</f>
        <v/>
      </c>
      <c r="BE9" s="1155" t="n">
        <v>3.01</v>
      </c>
      <c r="BF9" s="1156">
        <f>INDEX('SM Support'!O$3:O$64,MATCH('Loan Tape - Settled'!$G9,'SM Support'!$B$3:$B$64,0))</f>
        <v/>
      </c>
      <c r="BG9" s="1152" t="n"/>
      <c r="BH9" s="1152" t="n"/>
      <c r="BI9" s="1157">
        <f>INDEX('SM Support'!$M$3:$M$144,MATCH('Loan Tape - Settled'!G9,'SM Support'!$B$3:$B$144,0))</f>
        <v/>
      </c>
      <c r="BJ9" s="1157">
        <f>INDEX('SM Support'!$N$3:$N$144,MATCH('Loan Tape - Settled'!G9,'SM Support'!$B$3:$B$144,0))</f>
        <v/>
      </c>
    </row>
    <row r="10" ht="15" customHeight="1">
      <c r="A10" s="254">
        <f>CONCATENATE(C10,E10)</f>
        <v/>
      </c>
      <c r="B10" s="1137">
        <f>$A$2</f>
        <v/>
      </c>
      <c r="C10" s="286" t="inlineStr">
        <is>
          <t>smc</t>
        </is>
      </c>
      <c r="D10" s="287" t="inlineStr">
        <is>
          <t>Star Mountain Lower Middle-Market Capital Corp.</t>
        </is>
      </c>
      <c r="E10" s="288">
        <f>+E9+1</f>
        <v/>
      </c>
      <c r="F10" s="314">
        <f>F9+1</f>
        <v/>
      </c>
      <c r="G10" s="257" t="inlineStr">
        <is>
          <t>Acara Home Health</t>
        </is>
      </c>
      <c r="H10" s="257" t="inlineStr">
        <is>
          <t>1st Lien</t>
        </is>
      </c>
      <c r="I10" s="258" t="n"/>
      <c r="J10" s="259" t="inlineStr">
        <is>
          <t>First Lien</t>
        </is>
      </c>
      <c r="K10" s="259" t="inlineStr">
        <is>
          <t>Term Loan</t>
        </is>
      </c>
      <c r="L10" s="267" t="inlineStr">
        <is>
          <t>USD</t>
        </is>
      </c>
      <c r="M10" s="1138">
        <f>INDEX('SM Support'!$D$3:$D$64,MATCH('Loan Tape - Settled'!G10,'SM Support'!$B$3:$B$62,0))</f>
        <v/>
      </c>
      <c r="N10" s="1139">
        <f>M10</f>
        <v/>
      </c>
      <c r="O10" s="1140" t="n"/>
      <c r="P10" s="1140" t="n"/>
      <c r="Q10" s="263" t="n">
        <v>1</v>
      </c>
      <c r="R10" s="295" t="n"/>
      <c r="S10" s="265">
        <f>INDEX('SM Support'!$E$3:$E$64,MATCH('Loan Tape - Settled'!G10,'SM Support'!$B$3:$B$64,0))/INDEX('SM Support'!$D$3:$D$64,MATCH('Loan Tape - Settled'!G10,'SM Support'!$B$3:$B$64,0))</f>
        <v/>
      </c>
      <c r="T10" s="257" t="inlineStr">
        <is>
          <t>United States</t>
        </is>
      </c>
      <c r="U10" s="266" t="n">
        <v>44274</v>
      </c>
      <c r="V10" s="1141" t="n">
        <v>46100</v>
      </c>
      <c r="W10" s="257" t="inlineStr">
        <is>
          <t>Floating</t>
        </is>
      </c>
      <c r="X10" s="321" t="inlineStr">
        <is>
          <t>Health Care Providers &amp; Services</t>
        </is>
      </c>
      <c r="Y10" s="257" t="inlineStr">
        <is>
          <t>M</t>
        </is>
      </c>
      <c r="Z10" s="267" t="inlineStr">
        <is>
          <t>No</t>
        </is>
      </c>
      <c r="AA10" s="268" t="n"/>
      <c r="AB10" s="268" t="n"/>
      <c r="AC10" s="269" t="n">
        <v>0</v>
      </c>
      <c r="AD10" s="1142" t="n">
        <v>0</v>
      </c>
      <c r="AE10" s="1142" t="n">
        <v>0.08500000000000001</v>
      </c>
      <c r="AF10" s="1142" t="n">
        <v>0.02</v>
      </c>
      <c r="AG10" s="270" t="n"/>
      <c r="AH10" s="270" t="n"/>
      <c r="AI10" s="1143" t="n"/>
      <c r="AJ10" s="272" t="n"/>
      <c r="AK10" s="272" t="n"/>
      <c r="AL10" s="272" t="n"/>
      <c r="AM10" s="272" t="n"/>
      <c r="AN10" s="273" t="n">
        <v>44274</v>
      </c>
      <c r="AO10" s="273" t="n">
        <v>44379</v>
      </c>
      <c r="AP10" s="274" t="n">
        <v>0</v>
      </c>
      <c r="AQ10" s="1144">
        <f>IF($D10=$AQ$3,$M10-$AP10,0)</f>
        <v/>
      </c>
      <c r="AR10" s="1145">
        <f>IF($D10=$AR$3,$N10-$AP10,0)</f>
        <v/>
      </c>
      <c r="AT10" s="1146" t="inlineStr">
        <is>
          <t>m</t>
        </is>
      </c>
      <c r="AU10" s="1158">
        <f>AU9</f>
        <v/>
      </c>
      <c r="AV10" s="1146" t="n">
        <v>10.016</v>
      </c>
      <c r="AW10" s="1148">
        <f>AV10</f>
        <v/>
      </c>
      <c r="AX10" s="1149" t="n">
        <v>3.6315514681212</v>
      </c>
      <c r="AY10" s="1150">
        <f>AX10</f>
        <v/>
      </c>
      <c r="AZ10" s="1151">
        <f>INDEX('SM Support'!$G$3:$G$64,MATCH('Loan Tape - Settled'!G10,'SM Support'!$B$3:$B$64,0))/1000000</f>
        <v/>
      </c>
      <c r="BA10" s="1148">
        <f>AZ10</f>
        <v/>
      </c>
      <c r="BB10" s="1152" t="n"/>
      <c r="BC10" s="1153">
        <f>INDEX('SM Support'!$M$3:$M$64,MATCH('Loan Tape - Settled'!G10,'SM Support'!$B$3:$B$64,0))</f>
        <v/>
      </c>
      <c r="BD10" s="1154">
        <f>BC10</f>
        <v/>
      </c>
      <c r="BE10" s="1155" t="n">
        <v>3.3</v>
      </c>
      <c r="BF10" s="1156">
        <f>INDEX('SM Support'!O$3:O$64,MATCH('Loan Tape - Settled'!$G10,'SM Support'!$B$3:$B$64,0))</f>
        <v/>
      </c>
      <c r="BG10" s="1152" t="n"/>
      <c r="BH10" s="1152" t="n"/>
      <c r="BI10" s="1157">
        <f>INDEX('SM Support'!$M$3:$M$144,MATCH('Loan Tape - Settled'!G10,'SM Support'!$B$3:$B$144,0))</f>
        <v/>
      </c>
      <c r="BJ10" s="1157">
        <f>INDEX('SM Support'!$N$3:$N$144,MATCH('Loan Tape - Settled'!G10,'SM Support'!$B$3:$B$144,0))</f>
        <v/>
      </c>
    </row>
    <row r="11" ht="15" customHeight="1">
      <c r="A11" s="254">
        <f>CONCATENATE(C11,E11)</f>
        <v/>
      </c>
      <c r="B11" s="1137">
        <f>$A$2</f>
        <v/>
      </c>
      <c r="C11" s="286" t="inlineStr">
        <is>
          <t>smc</t>
        </is>
      </c>
      <c r="D11" s="287" t="inlineStr">
        <is>
          <t>Star Mountain Lower Middle-Market Capital Corp.</t>
        </is>
      </c>
      <c r="E11" s="288">
        <f>+E10+1</f>
        <v/>
      </c>
      <c r="F11" s="314">
        <f>F10+1</f>
        <v/>
      </c>
      <c r="G11" s="257" t="inlineStr">
        <is>
          <t>CorTech</t>
        </is>
      </c>
      <c r="H11" s="257" t="inlineStr">
        <is>
          <t>1st Lien</t>
        </is>
      </c>
      <c r="I11" s="258" t="n"/>
      <c r="J11" s="259" t="inlineStr">
        <is>
          <t>First Lien</t>
        </is>
      </c>
      <c r="K11" s="259" t="inlineStr">
        <is>
          <t>Term Loan</t>
        </is>
      </c>
      <c r="L11" s="267" t="inlineStr">
        <is>
          <t>USD</t>
        </is>
      </c>
      <c r="M11" s="1138">
        <f>INDEX('SM Support'!$D$3:$D$64,MATCH('Loan Tape - Settled'!G11,'SM Support'!$B$3:$B$62,0))</f>
        <v/>
      </c>
      <c r="N11" s="1139">
        <f>M11</f>
        <v/>
      </c>
      <c r="O11" s="1140" t="n"/>
      <c r="P11" s="1140" t="n"/>
      <c r="Q11" s="263" t="n">
        <v>1</v>
      </c>
      <c r="R11" s="295" t="n"/>
      <c r="S11" s="265">
        <f>INDEX('SM Support'!$E$3:$E$64,MATCH('Loan Tape - Settled'!G11,'SM Support'!$B$3:$B$64,0))/INDEX('SM Support'!$D$3:$D$64,MATCH('Loan Tape - Settled'!G11,'SM Support'!$B$3:$B$64,0))</f>
        <v/>
      </c>
      <c r="T11" s="257" t="inlineStr">
        <is>
          <t>United States</t>
        </is>
      </c>
      <c r="U11" s="266" t="n">
        <v>43903</v>
      </c>
      <c r="V11" s="1141" t="n">
        <v>46203</v>
      </c>
      <c r="W11" s="257" t="inlineStr">
        <is>
          <t>Floating</t>
        </is>
      </c>
      <c r="X11" s="321" t="inlineStr">
        <is>
          <t>Professional Services</t>
        </is>
      </c>
      <c r="Y11" s="257" t="inlineStr">
        <is>
          <t>M</t>
        </is>
      </c>
      <c r="Z11" s="267" t="inlineStr">
        <is>
          <t>No</t>
        </is>
      </c>
      <c r="AA11" s="268" t="n"/>
      <c r="AB11" s="268" t="n"/>
      <c r="AC11" s="269" t="n">
        <v>0</v>
      </c>
      <c r="AD11" s="1142" t="n">
        <v>0</v>
      </c>
      <c r="AE11" s="1142" t="n">
        <v>0.076</v>
      </c>
      <c r="AF11" s="1142" t="n">
        <v>0.04</v>
      </c>
      <c r="AG11" s="270" t="n"/>
      <c r="AH11" s="270" t="n"/>
      <c r="AI11" s="1143" t="n"/>
      <c r="AJ11" s="272" t="n"/>
      <c r="AK11" s="272" t="n"/>
      <c r="AL11" s="272" t="n"/>
      <c r="AM11" s="272" t="n"/>
      <c r="AN11" s="273" t="n">
        <v>43903</v>
      </c>
      <c r="AO11" s="273" t="n">
        <v>44379</v>
      </c>
      <c r="AP11" s="274" t="n">
        <v>0</v>
      </c>
      <c r="AQ11" s="1144">
        <f>IF($D11=$AQ$3,$M11-$AP11,0)</f>
        <v/>
      </c>
      <c r="AR11" s="1145">
        <f>IF($D11=$AR$3,$N11-$AP11,0)</f>
        <v/>
      </c>
      <c r="AT11" s="1146" t="inlineStr">
        <is>
          <t>m</t>
        </is>
      </c>
      <c r="AU11" s="1158">
        <f>AU10</f>
        <v/>
      </c>
      <c r="AV11" s="1146" t="n">
        <v>10.414</v>
      </c>
      <c r="AW11" s="1148">
        <f>AV11</f>
        <v/>
      </c>
      <c r="AX11" s="1149" t="n">
        <v>2.611868638371423</v>
      </c>
      <c r="AY11" s="1150">
        <f>AX11</f>
        <v/>
      </c>
      <c r="AZ11" s="1151">
        <f>INDEX('SM Support'!$G$3:$G$64,MATCH('Loan Tape - Settled'!G11,'SM Support'!$B$3:$B$64,0))/1000000</f>
        <v/>
      </c>
      <c r="BA11" s="1148">
        <f>AZ11</f>
        <v/>
      </c>
      <c r="BB11" s="1152" t="n"/>
      <c r="BC11" s="1153">
        <f>INDEX('SM Support'!$M$3:$M$64,MATCH('Loan Tape - Settled'!G11,'SM Support'!$B$3:$B$64,0))</f>
        <v/>
      </c>
      <c r="BD11" s="1154">
        <f>BC11</f>
        <v/>
      </c>
      <c r="BE11" s="1155" t="n">
        <v>10.9</v>
      </c>
      <c r="BF11" s="1156">
        <f>INDEX('SM Support'!O$3:O$64,MATCH('Loan Tape - Settled'!$G11,'SM Support'!$B$3:$B$64,0))</f>
        <v/>
      </c>
      <c r="BG11" s="1152" t="n"/>
      <c r="BH11" s="1152" t="n"/>
      <c r="BI11" s="1157">
        <f>INDEX('SM Support'!$M$3:$M$144,MATCH('Loan Tape - Settled'!G11,'SM Support'!$B$3:$B$144,0))</f>
        <v/>
      </c>
      <c r="BJ11" s="1157">
        <f>INDEX('SM Support'!$N$3:$N$144,MATCH('Loan Tape - Settled'!G11,'SM Support'!$B$3:$B$144,0))</f>
        <v/>
      </c>
    </row>
    <row r="12" ht="15" customHeight="1">
      <c r="A12" s="254">
        <f>CONCATENATE(C12,E12)</f>
        <v/>
      </c>
      <c r="B12" s="1137">
        <f>$A$2</f>
        <v/>
      </c>
      <c r="C12" s="286" t="inlineStr">
        <is>
          <t>smc</t>
        </is>
      </c>
      <c r="D12" s="287" t="inlineStr">
        <is>
          <t>Star Mountain Lower Middle-Market Capital Corp.</t>
        </is>
      </c>
      <c r="E12" s="288">
        <f>+E11+1</f>
        <v/>
      </c>
      <c r="F12" s="314">
        <f>F11+1</f>
        <v/>
      </c>
      <c r="G12" s="257" t="inlineStr">
        <is>
          <t>Coop Home Goods</t>
        </is>
      </c>
      <c r="H12" s="257" t="inlineStr">
        <is>
          <t>FILO</t>
        </is>
      </c>
      <c r="I12" s="258" t="n"/>
      <c r="J12" s="259" t="inlineStr">
        <is>
          <t>FILO</t>
        </is>
      </c>
      <c r="K12" s="259" t="inlineStr">
        <is>
          <t>Term Loan</t>
        </is>
      </c>
      <c r="L12" s="291" t="inlineStr">
        <is>
          <t>USD</t>
        </is>
      </c>
      <c r="M12" s="1138">
        <f>INDEX('SM Support'!$D$3:$D$64,MATCH('Loan Tape - Settled'!G12,'SM Support'!$B$3:$B$62,0))</f>
        <v/>
      </c>
      <c r="N12" s="1139">
        <f>M12</f>
        <v/>
      </c>
      <c r="O12" s="1140" t="n"/>
      <c r="P12" s="1140" t="n"/>
      <c r="Q12" s="263" t="n">
        <v>1</v>
      </c>
      <c r="R12" s="295" t="n"/>
      <c r="S12" s="265">
        <f>INDEX('SM Support'!$E$3:$E$64,MATCH('Loan Tape - Settled'!G12,'SM Support'!$B$3:$B$64,0))/INDEX('SM Support'!$D$3:$D$64,MATCH('Loan Tape - Settled'!G12,'SM Support'!$B$3:$B$64,0))</f>
        <v/>
      </c>
      <c r="T12" s="257" t="inlineStr">
        <is>
          <t>United States</t>
        </is>
      </c>
      <c r="U12" s="266" t="n">
        <v>44365</v>
      </c>
      <c r="V12" s="1141" t="n">
        <v>46191</v>
      </c>
      <c r="W12" s="257" t="inlineStr">
        <is>
          <t>Floating</t>
        </is>
      </c>
      <c r="X12" s="321" t="inlineStr">
        <is>
          <t>Household Products</t>
        </is>
      </c>
      <c r="Y12" s="257" t="inlineStr">
        <is>
          <t>M</t>
        </is>
      </c>
      <c r="Z12" s="267" t="inlineStr">
        <is>
          <t>No</t>
        </is>
      </c>
      <c r="AA12" s="268" t="n"/>
      <c r="AB12" s="268" t="n"/>
      <c r="AC12" s="269" t="n">
        <v>0</v>
      </c>
      <c r="AD12" s="1142" t="n">
        <v>0</v>
      </c>
      <c r="AE12" s="1142" t="n">
        <v>0.0843482</v>
      </c>
      <c r="AF12" s="1142" t="n">
        <v>0.01</v>
      </c>
      <c r="AG12" s="270" t="n"/>
      <c r="AH12" s="270" t="n"/>
      <c r="AI12" s="1143" t="n"/>
      <c r="AJ12" s="272" t="n"/>
      <c r="AK12" s="272" t="n"/>
      <c r="AL12" s="272" t="n"/>
      <c r="AM12" s="272" t="n"/>
      <c r="AN12" s="273" t="n">
        <v>44365</v>
      </c>
      <c r="AO12" s="273" t="n">
        <v>44379</v>
      </c>
      <c r="AP12" s="274" t="n">
        <v>0</v>
      </c>
      <c r="AQ12" s="1144">
        <f>IF($D12=$AQ$3,$M12-$AP12,0)</f>
        <v/>
      </c>
      <c r="AR12" s="1145">
        <f>IF($D12=$AR$3,$N12-$AP12,0)</f>
        <v/>
      </c>
      <c r="AT12" s="1146" t="inlineStr">
        <is>
          <t>m</t>
        </is>
      </c>
      <c r="AU12" s="1158">
        <f>AU11</f>
        <v/>
      </c>
      <c r="AV12" s="1146" t="n">
        <v>8.051</v>
      </c>
      <c r="AW12" s="1148">
        <f>AV12</f>
        <v/>
      </c>
      <c r="AX12" s="1149" t="n">
        <v>3.477828841137747</v>
      </c>
      <c r="AY12" s="1150">
        <f>AX12</f>
        <v/>
      </c>
      <c r="AZ12" s="1151">
        <f>INDEX('SM Support'!$G$3:$G$64,MATCH('Loan Tape - Settled'!G12,'SM Support'!$B$3:$B$64,0))/1000000</f>
        <v/>
      </c>
      <c r="BA12" s="1148">
        <f>AZ12</f>
        <v/>
      </c>
      <c r="BB12" s="1152" t="n"/>
      <c r="BC12" s="1153">
        <f>INDEX('SM Support'!$M$3:$M$64,MATCH('Loan Tape - Settled'!G12,'SM Support'!$B$3:$B$64,0))</f>
        <v/>
      </c>
      <c r="BD12" s="1154">
        <f>BC12</f>
        <v/>
      </c>
      <c r="BE12" s="1155" t="n">
        <v>3.09</v>
      </c>
      <c r="BF12" s="1156">
        <f>INDEX('SM Support'!O$3:O$64,MATCH('Loan Tape - Settled'!$G12,'SM Support'!$B$3:$B$64,0))</f>
        <v/>
      </c>
      <c r="BG12" s="1152" t="n"/>
      <c r="BH12" s="1152" t="n"/>
      <c r="BI12" s="1157">
        <f>INDEX('SM Support'!$M$3:$M$144,MATCH('Loan Tape - Settled'!G12,'SM Support'!$B$3:$B$144,0))</f>
        <v/>
      </c>
      <c r="BJ12" s="1157">
        <f>INDEX('SM Support'!$N$3:$N$144,MATCH('Loan Tape - Settled'!G12,'SM Support'!$B$3:$B$144,0))</f>
        <v/>
      </c>
    </row>
    <row r="13" ht="15" customHeight="1">
      <c r="A13" s="254">
        <f>CONCATENATE(C13,E13)</f>
        <v/>
      </c>
      <c r="B13" s="1137">
        <f>$A$2</f>
        <v/>
      </c>
      <c r="C13" s="286" t="inlineStr">
        <is>
          <t>smc</t>
        </is>
      </c>
      <c r="D13" s="287" t="inlineStr">
        <is>
          <t>Star Mountain Lower Middle-Market Capital Corp.</t>
        </is>
      </c>
      <c r="E13" s="288">
        <f>+E12+1</f>
        <v/>
      </c>
      <c r="F13" s="314">
        <f>F12+1</f>
        <v/>
      </c>
      <c r="G13" s="257" t="inlineStr">
        <is>
          <t>Trailer Park Group</t>
        </is>
      </c>
      <c r="H13" s="257" t="inlineStr">
        <is>
          <t>FILO</t>
        </is>
      </c>
      <c r="I13" s="258" t="n"/>
      <c r="J13" s="259" t="inlineStr">
        <is>
          <t>FILO</t>
        </is>
      </c>
      <c r="K13" s="259" t="inlineStr">
        <is>
          <t>Term Loan</t>
        </is>
      </c>
      <c r="L13" s="291" t="inlineStr">
        <is>
          <t>USD</t>
        </is>
      </c>
      <c r="M13" s="1138">
        <f>INDEX('SM Support'!$D$3:$D$64,MATCH('Loan Tape - Settled'!G13,'SM Support'!$B$3:$B$62,0))</f>
        <v/>
      </c>
      <c r="N13" s="1139">
        <f>M13</f>
        <v/>
      </c>
      <c r="O13" s="1140" t="n"/>
      <c r="P13" s="1140" t="n"/>
      <c r="Q13" s="263" t="n">
        <v>1</v>
      </c>
      <c r="R13" s="295" t="n"/>
      <c r="S13" s="265">
        <f>INDEX('SM Support'!$E$3:$E$64,MATCH('Loan Tape - Settled'!G13,'SM Support'!$B$3:$B$64,0))/INDEX('SM Support'!$D$3:$D$64,MATCH('Loan Tape - Settled'!G13,'SM Support'!$B$3:$B$64,0))</f>
        <v/>
      </c>
      <c r="T13" s="257" t="inlineStr">
        <is>
          <t>United States</t>
        </is>
      </c>
      <c r="U13" s="266" t="n">
        <v>44410</v>
      </c>
      <c r="V13" s="1141" t="n">
        <v>46236</v>
      </c>
      <c r="W13" s="257" t="inlineStr">
        <is>
          <t>Floating</t>
        </is>
      </c>
      <c r="X13" s="321" t="inlineStr">
        <is>
          <t>Media</t>
        </is>
      </c>
      <c r="Y13" s="257" t="inlineStr">
        <is>
          <t>M</t>
        </is>
      </c>
      <c r="Z13" s="267" t="inlineStr">
        <is>
          <t>No</t>
        </is>
      </c>
      <c r="AA13" s="268" t="n"/>
      <c r="AB13" s="268" t="n"/>
      <c r="AC13" s="269" t="n">
        <v>0</v>
      </c>
      <c r="AD13" s="1142" t="n">
        <v>0.010060028469</v>
      </c>
      <c r="AE13" s="1142" t="n">
        <v>0.07364952822900001</v>
      </c>
      <c r="AF13" s="1142" t="n">
        <v>0.01</v>
      </c>
      <c r="AG13" s="270" t="n"/>
      <c r="AH13" s="270" t="n"/>
      <c r="AI13" s="1143" t="n"/>
      <c r="AJ13" s="272" t="n"/>
      <c r="AK13" s="272" t="n"/>
      <c r="AL13" s="272" t="n"/>
      <c r="AM13" s="272" t="n"/>
      <c r="AN13" s="273" t="n">
        <v>44410</v>
      </c>
      <c r="AO13" s="273" t="n">
        <v>44413</v>
      </c>
      <c r="AP13" s="274" t="n">
        <v>0</v>
      </c>
      <c r="AQ13" s="1144">
        <f>IF($D13=$AQ$3,$M13-$AP13,0)</f>
        <v/>
      </c>
      <c r="AR13" s="1145">
        <f>IF($D13=$AR$3,$N13-$AP13,0)</f>
        <v/>
      </c>
      <c r="AT13" s="1146" t="inlineStr">
        <is>
          <t>m</t>
        </is>
      </c>
      <c r="AU13" s="1158">
        <f>AU12</f>
        <v/>
      </c>
      <c r="AV13" s="1146" t="n">
        <v>9.282999999999999</v>
      </c>
      <c r="AW13" s="1148">
        <f>AV13</f>
        <v/>
      </c>
      <c r="AX13" s="1149" t="n">
        <v>3.231713885597328</v>
      </c>
      <c r="AY13" s="1150">
        <f>AX13</f>
        <v/>
      </c>
      <c r="AZ13" s="1151">
        <f>INDEX('SM Support'!$G$3:$G$64,MATCH('Loan Tape - Settled'!G13,'SM Support'!$B$3:$B$64,0))/1000000</f>
        <v/>
      </c>
      <c r="BA13" s="1148">
        <f>AZ13</f>
        <v/>
      </c>
      <c r="BB13" s="1152" t="n"/>
      <c r="BC13" s="1153">
        <f>INDEX('SM Support'!$M$3:$M$64,MATCH('Loan Tape - Settled'!G13,'SM Support'!$B$3:$B$64,0))</f>
        <v/>
      </c>
      <c r="BD13" s="1154">
        <f>BC13</f>
        <v/>
      </c>
      <c r="BE13" s="1155" t="n">
        <v>3.64</v>
      </c>
      <c r="BF13" s="1156">
        <f>INDEX('SM Support'!O$3:O$64,MATCH('Loan Tape - Settled'!$G13,'SM Support'!$B$3:$B$64,0))</f>
        <v/>
      </c>
      <c r="BG13" s="1152" t="n"/>
      <c r="BH13" s="1152" t="n"/>
      <c r="BI13" s="1157">
        <f>INDEX('SM Support'!$M$3:$M$144,MATCH('Loan Tape - Settled'!G13,'SM Support'!$B$3:$B$144,0))</f>
        <v/>
      </c>
      <c r="BJ13" s="1157">
        <f>INDEX('SM Support'!$N$3:$N$144,MATCH('Loan Tape - Settled'!G13,'SM Support'!$B$3:$B$144,0))</f>
        <v/>
      </c>
    </row>
    <row r="14" ht="15" customHeight="1">
      <c r="A14" s="254">
        <f>CONCATENATE(C14,E14)</f>
        <v/>
      </c>
      <c r="B14" s="1137">
        <f>$A$2</f>
        <v/>
      </c>
      <c r="C14" s="286" t="inlineStr">
        <is>
          <t>smc</t>
        </is>
      </c>
      <c r="D14" s="287" t="inlineStr">
        <is>
          <t>Star Mountain Lower Middle-Market Capital Corp.</t>
        </is>
      </c>
      <c r="E14" s="288">
        <f>+E13+1</f>
        <v/>
      </c>
      <c r="F14" s="314">
        <f>F13+1</f>
        <v/>
      </c>
      <c r="G14" s="257" t="inlineStr">
        <is>
          <t>MechanAir (I)</t>
        </is>
      </c>
      <c r="H14" s="257" t="inlineStr">
        <is>
          <t>1st Lien</t>
        </is>
      </c>
      <c r="I14" s="258" t="n"/>
      <c r="J14" s="259" t="inlineStr">
        <is>
          <t>First Lien</t>
        </is>
      </c>
      <c r="K14" s="259" t="inlineStr">
        <is>
          <t>Term Loan</t>
        </is>
      </c>
      <c r="L14" s="291" t="inlineStr">
        <is>
          <t>USD</t>
        </is>
      </c>
      <c r="M14" s="1138">
        <f>INDEX('SM Support'!$D$3:$D$64,MATCH('Loan Tape - Settled'!G14,'SM Support'!$B$3:$B$62,0))</f>
        <v/>
      </c>
      <c r="N14" s="1139">
        <f>M14</f>
        <v/>
      </c>
      <c r="O14" s="1140" t="n"/>
      <c r="P14" s="1140" t="n"/>
      <c r="Q14" s="263" t="n">
        <v>1</v>
      </c>
      <c r="R14" s="295" t="n"/>
      <c r="S14" s="265">
        <f>INDEX('SM Support'!$E$3:$E$64,MATCH('Loan Tape - Settled'!G14,'SM Support'!$B$3:$B$64,0))/INDEX('SM Support'!$D$3:$D$64,MATCH('Loan Tape - Settled'!G14,'SM Support'!$B$3:$B$64,0))</f>
        <v/>
      </c>
      <c r="T14" s="257" t="inlineStr">
        <is>
          <t>United States</t>
        </is>
      </c>
      <c r="U14" s="266" t="n">
        <v>46009</v>
      </c>
      <c r="V14" s="1141" t="n">
        <v>48200</v>
      </c>
      <c r="W14" s="257" t="inlineStr">
        <is>
          <t>Floating</t>
        </is>
      </c>
      <c r="X14" s="321" t="inlineStr">
        <is>
          <t>Construction &amp; Engineering</t>
        </is>
      </c>
      <c r="Y14" s="257" t="inlineStr">
        <is>
          <t>Q</t>
        </is>
      </c>
      <c r="Z14" s="267" t="inlineStr">
        <is>
          <t>No</t>
        </is>
      </c>
      <c r="AA14" s="268" t="n"/>
      <c r="AB14" s="268" t="n"/>
      <c r="AC14" s="269" t="n">
        <v>0</v>
      </c>
      <c r="AD14" s="1142" t="n">
        <v>0</v>
      </c>
      <c r="AE14" s="1142" t="n">
        <v>0.06</v>
      </c>
      <c r="AF14" s="1142" t="n">
        <v>0.01</v>
      </c>
      <c r="AG14" s="270" t="n"/>
      <c r="AH14" s="270" t="n"/>
      <c r="AI14" s="1143" t="n"/>
      <c r="AJ14" s="272" t="n"/>
      <c r="AK14" s="272" t="n"/>
      <c r="AL14" s="272" t="n"/>
      <c r="AM14" s="272" t="n"/>
      <c r="AN14" s="273" t="n">
        <v>46009</v>
      </c>
      <c r="AO14" s="273" t="n">
        <v>46009</v>
      </c>
      <c r="AP14" s="274" t="n">
        <v>0</v>
      </c>
      <c r="AQ14" s="1144">
        <f>IF($D14=$AQ$3,$M14-$AP14,0)</f>
        <v/>
      </c>
      <c r="AR14" s="1145">
        <f>IF($D14=$AR$3,$N14-$AP14,0)</f>
        <v/>
      </c>
      <c r="AT14" s="1146" t="inlineStr">
        <is>
          <t>m</t>
        </is>
      </c>
      <c r="AU14" s="1158">
        <f>AU13</f>
        <v/>
      </c>
      <c r="AV14" s="1146" t="n">
        <v>12.1</v>
      </c>
      <c r="AW14" s="1148">
        <f>AV14</f>
        <v/>
      </c>
      <c r="AX14" s="1149" t="n">
        <v>4.769555489256199</v>
      </c>
      <c r="AY14" s="1150">
        <f>AX14</f>
        <v/>
      </c>
      <c r="AZ14" s="1151">
        <f>INDEX('SM Support'!$G$3:$G$64,MATCH('Loan Tape - Settled'!G14,'SM Support'!$B$3:$B$64,0))/1000000</f>
        <v/>
      </c>
      <c r="BA14" s="1148">
        <f>AZ14</f>
        <v/>
      </c>
      <c r="BB14" s="1152" t="n"/>
      <c r="BC14" s="1153">
        <f>INDEX('SM Support'!$M$3:$M$64,MATCH('Loan Tape - Settled'!G14,'SM Support'!$B$3:$B$64,0))</f>
        <v/>
      </c>
      <c r="BD14" s="1154">
        <f>BC14</f>
        <v/>
      </c>
      <c r="BE14" s="1155" t="n">
        <v>1.6</v>
      </c>
      <c r="BF14" s="1156">
        <f>INDEX('SM Support'!O$3:O$64,MATCH('Loan Tape - Settled'!$G14,'SM Support'!$B$3:$B$64,0))</f>
        <v/>
      </c>
      <c r="BG14" s="1152" t="n"/>
      <c r="BH14" s="1152" t="n"/>
      <c r="BI14" s="1157">
        <f>INDEX('SM Support'!$M$3:$M$144,MATCH('Loan Tape - Settled'!G14,'SM Support'!$B$3:$B$144,0))</f>
        <v/>
      </c>
      <c r="BJ14" s="1157">
        <f>INDEX('SM Support'!$N$3:$N$144,MATCH('Loan Tape - Settled'!G14,'SM Support'!$B$3:$B$144,0))</f>
        <v/>
      </c>
    </row>
    <row r="15" ht="15" customHeight="1">
      <c r="A15" s="254">
        <f>CONCATENATE(C15,E15)</f>
        <v/>
      </c>
      <c r="B15" s="1137">
        <f>$A$2</f>
        <v/>
      </c>
      <c r="C15" s="286" t="inlineStr">
        <is>
          <t>smc</t>
        </is>
      </c>
      <c r="D15" s="287" t="inlineStr">
        <is>
          <t>Star Mountain Lower Middle-Market Capital Corp.</t>
        </is>
      </c>
      <c r="E15" s="288">
        <f>+E14+1</f>
        <v/>
      </c>
      <c r="F15" s="314">
        <f>F14+1</f>
        <v/>
      </c>
      <c r="G15" s="257" t="inlineStr">
        <is>
          <t>Chicken Soup For The Soul</t>
        </is>
      </c>
      <c r="H15" s="257" t="inlineStr">
        <is>
          <t>1st Lien</t>
        </is>
      </c>
      <c r="I15" s="258" t="n"/>
      <c r="J15" s="259" t="inlineStr">
        <is>
          <t>First Lien</t>
        </is>
      </c>
      <c r="K15" s="259" t="inlineStr">
        <is>
          <t>Term Loan</t>
        </is>
      </c>
      <c r="L15" s="291" t="inlineStr">
        <is>
          <t>USD</t>
        </is>
      </c>
      <c r="M15" s="1138">
        <f>INDEX('SM Support'!$D$3:$D$64,MATCH('Loan Tape - Settled'!G15,'SM Support'!$B$3:$B$62,0))</f>
        <v/>
      </c>
      <c r="N15" s="1139">
        <f>M15</f>
        <v/>
      </c>
      <c r="O15" s="1140" t="n"/>
      <c r="P15" s="1140" t="n"/>
      <c r="Q15" s="263" t="n">
        <v>1</v>
      </c>
      <c r="R15" s="295" t="n"/>
      <c r="S15" s="265">
        <f>INDEX('SM Support'!$E$3:$E$64,MATCH('Loan Tape - Settled'!G15,'SM Support'!$B$3:$B$64,0))/INDEX('SM Support'!$D$3:$D$64,MATCH('Loan Tape - Settled'!G15,'SM Support'!$B$3:$B$64,0))</f>
        <v/>
      </c>
      <c r="T15" s="257" t="inlineStr">
        <is>
          <t>United States</t>
        </is>
      </c>
      <c r="U15" s="266" t="n">
        <v>44498</v>
      </c>
      <c r="V15" s="1141" t="n">
        <v>45382</v>
      </c>
      <c r="W15" s="257" t="inlineStr">
        <is>
          <t>Floating</t>
        </is>
      </c>
      <c r="X15" s="321" t="inlineStr">
        <is>
          <t>Entertainment</t>
        </is>
      </c>
      <c r="Y15" s="257" t="inlineStr">
        <is>
          <t>M</t>
        </is>
      </c>
      <c r="Z15" s="267" t="inlineStr">
        <is>
          <t>No</t>
        </is>
      </c>
      <c r="AA15" s="268" t="n"/>
      <c r="AB15" s="268" t="n"/>
      <c r="AC15" s="269" t="n">
        <v>0</v>
      </c>
      <c r="AD15" s="1142" t="n">
        <v>0.01741848620977718</v>
      </c>
      <c r="AE15" s="1142" t="n">
        <v>0.07811584308399558</v>
      </c>
      <c r="AF15" s="1142" t="n">
        <v>0.015</v>
      </c>
      <c r="AG15" s="270" t="n"/>
      <c r="AH15" s="270" t="n"/>
      <c r="AI15" s="1143" t="n"/>
      <c r="AJ15" s="272" t="n"/>
      <c r="AK15" s="272" t="n"/>
      <c r="AL15" s="272" t="n"/>
      <c r="AM15" s="272" t="n"/>
      <c r="AN15" s="273" t="n">
        <v>44498</v>
      </c>
      <c r="AO15" s="273" t="n">
        <v>44502</v>
      </c>
      <c r="AP15" s="274" t="n">
        <v>0</v>
      </c>
      <c r="AQ15" s="1144">
        <f>IF($D15=$AQ$3,$M15-$AP15,0)</f>
        <v/>
      </c>
      <c r="AR15" s="1145">
        <f>IF($D15=$AR$3,$N15-$AP15,0)</f>
        <v/>
      </c>
      <c r="AT15" s="1146" t="inlineStr">
        <is>
          <t>m</t>
        </is>
      </c>
      <c r="AU15" s="1158">
        <f>AU14</f>
        <v/>
      </c>
      <c r="AV15" s="1146" t="n">
        <v>11.091</v>
      </c>
      <c r="AW15" s="1148">
        <f>AV15</f>
        <v/>
      </c>
      <c r="AX15" s="1149" t="n">
        <v>3.119646560274096</v>
      </c>
      <c r="AY15" s="1150">
        <f>AX15</f>
        <v/>
      </c>
      <c r="AZ15" s="1151">
        <f>INDEX('SM Support'!$G$3:$G$64,MATCH('Loan Tape - Settled'!G15,'SM Support'!$B$3:$B$64,0))/1000000</f>
        <v/>
      </c>
      <c r="BA15" s="1148">
        <f>AZ15</f>
        <v/>
      </c>
      <c r="BB15" s="1152" t="n"/>
      <c r="BC15" s="1153">
        <f>INDEX('SM Support'!$M$3:$M$64,MATCH('Loan Tape - Settled'!G15,'SM Support'!$B$3:$B$64,0))</f>
        <v/>
      </c>
      <c r="BD15" s="1154">
        <f>BC15</f>
        <v/>
      </c>
      <c r="BE15" s="1155" t="n">
        <v>2.35</v>
      </c>
      <c r="BF15" s="1156">
        <f>INDEX('SM Support'!O$3:O$64,MATCH('Loan Tape - Settled'!$G15,'SM Support'!$B$3:$B$64,0))</f>
        <v/>
      </c>
      <c r="BG15" s="1152" t="n"/>
      <c r="BH15" s="1152" t="n"/>
      <c r="BI15" s="1157">
        <f>INDEX('SM Support'!$M$3:$M$144,MATCH('Loan Tape - Settled'!G15,'SM Support'!$B$3:$B$144,0))</f>
        <v/>
      </c>
      <c r="BJ15" s="1157">
        <f>INDEX('SM Support'!$N$3:$N$144,MATCH('Loan Tape - Settled'!G15,'SM Support'!$B$3:$B$144,0))</f>
        <v/>
      </c>
    </row>
    <row r="16" ht="15" customHeight="1">
      <c r="A16" s="254">
        <f>CONCATENATE(C16,E16)</f>
        <v/>
      </c>
      <c r="B16" s="1137">
        <f>$A$2</f>
        <v/>
      </c>
      <c r="C16" s="286" t="inlineStr">
        <is>
          <t>smc</t>
        </is>
      </c>
      <c r="D16" s="287" t="inlineStr">
        <is>
          <t>Star Mountain Lower Middle-Market Capital Corp.</t>
        </is>
      </c>
      <c r="E16" s="288">
        <f>+E15+1</f>
        <v/>
      </c>
      <c r="F16" s="314">
        <f>F15+1</f>
        <v/>
      </c>
      <c r="G16" s="257" t="inlineStr">
        <is>
          <t>Japonesque</t>
        </is>
      </c>
      <c r="H16" s="257" t="inlineStr">
        <is>
          <t>FILO</t>
        </is>
      </c>
      <c r="I16" s="258" t="n"/>
      <c r="J16" s="259" t="inlineStr">
        <is>
          <t>FILO</t>
        </is>
      </c>
      <c r="K16" s="259" t="inlineStr">
        <is>
          <t>Term Loan</t>
        </is>
      </c>
      <c r="L16" s="291" t="inlineStr">
        <is>
          <t>USD</t>
        </is>
      </c>
      <c r="M16" s="1138">
        <f>INDEX('SM Support'!$D$3:$D$64,MATCH('Loan Tape - Settled'!G16,'SM Support'!$B$3:$B$62,0))</f>
        <v/>
      </c>
      <c r="N16" s="1139">
        <f>M16</f>
        <v/>
      </c>
      <c r="O16" s="1140" t="n"/>
      <c r="P16" s="1140" t="n"/>
      <c r="Q16" s="263" t="n">
        <v>1</v>
      </c>
      <c r="R16" s="295" t="n"/>
      <c r="S16" s="265">
        <f>INDEX('SM Support'!$E$3:$E$64,MATCH('Loan Tape - Settled'!G16,'SM Support'!$B$3:$B$64,0))/INDEX('SM Support'!$D$3:$D$64,MATCH('Loan Tape - Settled'!G16,'SM Support'!$B$3:$B$64,0))</f>
        <v/>
      </c>
      <c r="T16" s="257" t="inlineStr">
        <is>
          <t>United States</t>
        </is>
      </c>
      <c r="U16" s="266" t="n">
        <v>44523</v>
      </c>
      <c r="V16" s="1141" t="n">
        <v>46568</v>
      </c>
      <c r="W16" s="257" t="inlineStr">
        <is>
          <t>Floating</t>
        </is>
      </c>
      <c r="X16" s="321" t="inlineStr">
        <is>
          <t>Personal Products</t>
        </is>
      </c>
      <c r="Y16" s="257" t="inlineStr">
        <is>
          <t>M</t>
        </is>
      </c>
      <c r="Z16" s="267" t="inlineStr">
        <is>
          <t>No</t>
        </is>
      </c>
      <c r="AA16" s="268" t="n"/>
      <c r="AB16" s="268" t="n"/>
      <c r="AC16" s="269" t="n">
        <v>0</v>
      </c>
      <c r="AD16" s="1142" t="n">
        <v>0.006969160462</v>
      </c>
      <c r="AE16" s="1142" t="n">
        <v>0.07754140111151327</v>
      </c>
      <c r="AF16" s="1142" t="n">
        <v>0.01</v>
      </c>
      <c r="AG16" s="270" t="n"/>
      <c r="AH16" s="270" t="n"/>
      <c r="AI16" s="1143" t="n"/>
      <c r="AJ16" s="272" t="n"/>
      <c r="AK16" s="272" t="n"/>
      <c r="AL16" s="272" t="n"/>
      <c r="AM16" s="272" t="n"/>
      <c r="AN16" s="273" t="n">
        <v>44523</v>
      </c>
      <c r="AO16" s="273" t="n">
        <v>44523</v>
      </c>
      <c r="AP16" s="274" t="n">
        <v>0</v>
      </c>
      <c r="AQ16" s="1144">
        <f>IF($D16=$AQ$3,$M16-$AP16,0)</f>
        <v/>
      </c>
      <c r="AR16" s="1145">
        <f>IF($D16=$AR$3,$N16-$AP16,0)</f>
        <v/>
      </c>
      <c r="AT16" s="1146" t="inlineStr">
        <is>
          <t>m</t>
        </is>
      </c>
      <c r="AU16" s="1158">
        <f>AU15</f>
        <v/>
      </c>
      <c r="AV16" s="1146" t="n">
        <v>12.552</v>
      </c>
      <c r="AW16" s="1148">
        <f>AV16</f>
        <v/>
      </c>
      <c r="AX16" s="1149" t="n">
        <v>3.918180369662205</v>
      </c>
      <c r="AY16" s="1150">
        <f>AX16</f>
        <v/>
      </c>
      <c r="AZ16" s="1151">
        <f>INDEX('SM Support'!$G$3:$G$64,MATCH('Loan Tape - Settled'!G16,'SM Support'!$B$3:$B$64,0))/1000000</f>
        <v/>
      </c>
      <c r="BA16" s="1148">
        <f>AZ16</f>
        <v/>
      </c>
      <c r="BB16" s="1152" t="n"/>
      <c r="BC16" s="1153">
        <f>INDEX('SM Support'!$M$3:$M$64,MATCH('Loan Tape - Settled'!G16,'SM Support'!$B$3:$B$64,0))</f>
        <v/>
      </c>
      <c r="BD16" s="1154">
        <f>BC16</f>
        <v/>
      </c>
      <c r="BE16" s="1155" t="n">
        <v>2.88</v>
      </c>
      <c r="BF16" s="1156">
        <f>INDEX('SM Support'!O$3:O$64,MATCH('Loan Tape - Settled'!$G16,'SM Support'!$B$3:$B$64,0))</f>
        <v/>
      </c>
      <c r="BG16" s="1152" t="n"/>
      <c r="BH16" s="1152" t="n"/>
      <c r="BI16" s="1157">
        <f>INDEX('SM Support'!$M$3:$M$144,MATCH('Loan Tape - Settled'!G16,'SM Support'!$B$3:$B$144,0))</f>
        <v/>
      </c>
      <c r="BJ16" s="1157">
        <f>INDEX('SM Support'!$N$3:$N$144,MATCH('Loan Tape - Settled'!G16,'SM Support'!$B$3:$B$144,0))</f>
        <v/>
      </c>
    </row>
    <row r="17" ht="15" customHeight="1">
      <c r="A17" s="254">
        <f>CONCATENATE(C17,E17)</f>
        <v/>
      </c>
      <c r="B17" s="1137">
        <f>$A$2</f>
        <v/>
      </c>
      <c r="C17" s="286" t="inlineStr">
        <is>
          <t>smc</t>
        </is>
      </c>
      <c r="D17" s="287" t="inlineStr">
        <is>
          <t>Star Mountain Lower Middle-Market Capital Corp.</t>
        </is>
      </c>
      <c r="E17" s="288">
        <f>+E16+1</f>
        <v/>
      </c>
      <c r="F17" s="314">
        <f>F16+1</f>
        <v/>
      </c>
      <c r="G17" s="257" t="inlineStr">
        <is>
          <t>Mission</t>
        </is>
      </c>
      <c r="H17" s="257" t="inlineStr">
        <is>
          <t>1st Lien</t>
        </is>
      </c>
      <c r="I17" s="258" t="n"/>
      <c r="J17" s="259" t="inlineStr">
        <is>
          <t>First Lien</t>
        </is>
      </c>
      <c r="K17" s="259" t="inlineStr">
        <is>
          <t>Term Loan</t>
        </is>
      </c>
      <c r="L17" s="291" t="inlineStr">
        <is>
          <t>USD</t>
        </is>
      </c>
      <c r="M17" s="1138">
        <f>INDEX('SM Support'!$D$3:$D$64,MATCH('Loan Tape - Settled'!G17,'SM Support'!$B$3:$B$62,0))</f>
        <v/>
      </c>
      <c r="N17" s="1139">
        <f>M17</f>
        <v/>
      </c>
      <c r="O17" s="1140" t="n"/>
      <c r="P17" s="1140" t="n"/>
      <c r="Q17" s="263" t="n">
        <v>1</v>
      </c>
      <c r="R17" s="295" t="n"/>
      <c r="S17" s="265">
        <f>INDEX('SM Support'!$E$3:$E$64,MATCH('Loan Tape - Settled'!G17,'SM Support'!$B$3:$B$64,0))/INDEX('SM Support'!$D$3:$D$64,MATCH('Loan Tape - Settled'!G17,'SM Support'!$B$3:$B$64,0))</f>
        <v/>
      </c>
      <c r="T17" s="257" t="inlineStr">
        <is>
          <t>United States</t>
        </is>
      </c>
      <c r="U17" s="266" t="n">
        <v>44539</v>
      </c>
      <c r="V17" s="1141" t="n">
        <v>47118</v>
      </c>
      <c r="W17" s="257" t="inlineStr">
        <is>
          <t>Floating</t>
        </is>
      </c>
      <c r="X17" s="321" t="inlineStr">
        <is>
          <t>Leisure Products</t>
        </is>
      </c>
      <c r="Y17" s="257" t="inlineStr">
        <is>
          <t>M</t>
        </is>
      </c>
      <c r="Z17" s="267" t="inlineStr">
        <is>
          <t>No</t>
        </is>
      </c>
      <c r="AA17" s="268" t="n"/>
      <c r="AB17" s="268" t="n"/>
      <c r="AC17" s="269" t="n">
        <v>0</v>
      </c>
      <c r="AD17" s="1142" t="n">
        <v>0.1355722</v>
      </c>
      <c r="AE17" s="1142" t="n">
        <v>0</v>
      </c>
      <c r="AF17" s="1142" t="n">
        <v>0.01</v>
      </c>
      <c r="AG17" s="270" t="n"/>
      <c r="AH17" s="270" t="n"/>
      <c r="AI17" s="1143" t="n"/>
      <c r="AJ17" s="272" t="n"/>
      <c r="AK17" s="272" t="n"/>
      <c r="AL17" s="272" t="n"/>
      <c r="AM17" s="272" t="n"/>
      <c r="AN17" s="273" t="n">
        <v>44543</v>
      </c>
      <c r="AO17" s="273" t="n">
        <v>44543</v>
      </c>
      <c r="AP17" s="274" t="n">
        <v>0</v>
      </c>
      <c r="AQ17" s="1144">
        <f>IF($D17=$AQ$3,$M17-$AP17,0)</f>
        <v/>
      </c>
      <c r="AR17" s="1145">
        <f>IF($D17=$AR$3,$N17-$AP17,0)</f>
        <v/>
      </c>
      <c r="AT17" s="1146" t="inlineStr">
        <is>
          <t>m</t>
        </is>
      </c>
      <c r="AU17" s="1158">
        <f>AU16</f>
        <v/>
      </c>
      <c r="AV17" s="1146" t="n">
        <v>20.945</v>
      </c>
      <c r="AW17" s="1148">
        <f>AV17</f>
        <v/>
      </c>
      <c r="AX17" s="1149" t="n">
        <v>1.530771067080449</v>
      </c>
      <c r="AY17" s="1150">
        <f>AX17</f>
        <v/>
      </c>
      <c r="AZ17" s="1151">
        <f>INDEX('SM Support'!$G$3:$G$64,MATCH('Loan Tape - Settled'!G17,'SM Support'!$B$3:$B$64,0))/1000000</f>
        <v/>
      </c>
      <c r="BA17" s="1148">
        <f>AZ17</f>
        <v/>
      </c>
      <c r="BB17" s="1152" t="n"/>
      <c r="BC17" s="1153">
        <f>INDEX('SM Support'!$M$3:$M$64,MATCH('Loan Tape - Settled'!G17,'SM Support'!$B$3:$B$64,0))</f>
        <v/>
      </c>
      <c r="BD17" s="1154">
        <f>BC17</f>
        <v/>
      </c>
      <c r="BE17" s="1155" t="n">
        <v>2.62</v>
      </c>
      <c r="BF17" s="1156">
        <f>INDEX('SM Support'!O$3:O$64,MATCH('Loan Tape - Settled'!$G17,'SM Support'!$B$3:$B$64,0))</f>
        <v/>
      </c>
      <c r="BG17" s="1152" t="n"/>
      <c r="BH17" s="1152" t="n"/>
      <c r="BI17" s="1157">
        <f>INDEX('SM Support'!$M$3:$M$144,MATCH('Loan Tape - Settled'!G17,'SM Support'!$B$3:$B$144,0))</f>
        <v/>
      </c>
      <c r="BJ17" s="1157">
        <f>INDEX('SM Support'!$N$3:$N$144,MATCH('Loan Tape - Settled'!G17,'SM Support'!$B$3:$B$144,0))</f>
        <v/>
      </c>
    </row>
    <row r="18" ht="15" customHeight="1">
      <c r="A18" s="254">
        <f>CONCATENATE(C18,E18)</f>
        <v/>
      </c>
      <c r="B18" s="1137">
        <f>$A$2</f>
        <v/>
      </c>
      <c r="C18" s="286" t="inlineStr">
        <is>
          <t>smc</t>
        </is>
      </c>
      <c r="D18" s="287" t="inlineStr">
        <is>
          <t>Star Mountain Lower Middle-Market Capital Corp.</t>
        </is>
      </c>
      <c r="E18" s="288">
        <f>+E17+1</f>
        <v/>
      </c>
      <c r="F18" s="314">
        <f>F17+1</f>
        <v/>
      </c>
      <c r="G18" s="257" t="inlineStr">
        <is>
          <t>Swyft Filings</t>
        </is>
      </c>
      <c r="H18" s="257" t="inlineStr">
        <is>
          <t>1st Lien</t>
        </is>
      </c>
      <c r="I18" s="258" t="n"/>
      <c r="J18" s="259" t="inlineStr">
        <is>
          <t>First Lien</t>
        </is>
      </c>
      <c r="K18" s="259" t="inlineStr">
        <is>
          <t>Term Loan</t>
        </is>
      </c>
      <c r="L18" s="291" t="inlineStr">
        <is>
          <t>USD</t>
        </is>
      </c>
      <c r="M18" s="1138">
        <f>INDEX('SM Support'!$D$3:$D$64,MATCH('Loan Tape - Settled'!G18,'SM Support'!$B$3:$B$62,0))</f>
        <v/>
      </c>
      <c r="N18" s="1139">
        <f>M18</f>
        <v/>
      </c>
      <c r="O18" s="1140" t="n"/>
      <c r="P18" s="1140" t="n"/>
      <c r="Q18" s="263" t="n">
        <v>1</v>
      </c>
      <c r="R18" s="295" t="n"/>
      <c r="S18" s="265">
        <f>INDEX('SM Support'!$E$3:$E$64,MATCH('Loan Tape - Settled'!G18,'SM Support'!$B$3:$B$64,0))/INDEX('SM Support'!$D$3:$D$64,MATCH('Loan Tape - Settled'!G18,'SM Support'!$B$3:$B$64,0))</f>
        <v/>
      </c>
      <c r="T18" s="257" t="inlineStr">
        <is>
          <t>United States</t>
        </is>
      </c>
      <c r="U18" s="266" t="n">
        <v>44550</v>
      </c>
      <c r="V18" s="1141" t="n">
        <v>46741</v>
      </c>
      <c r="W18" s="257" t="inlineStr">
        <is>
          <t>Floating</t>
        </is>
      </c>
      <c r="X18" s="321" t="inlineStr">
        <is>
          <t>Commercial Services &amp; Supplies</t>
        </is>
      </c>
      <c r="Y18" s="257" t="inlineStr">
        <is>
          <t>M</t>
        </is>
      </c>
      <c r="Z18" s="267" t="inlineStr">
        <is>
          <t>No</t>
        </is>
      </c>
      <c r="AA18" s="268" t="n"/>
      <c r="AB18" s="268" t="n"/>
      <c r="AC18" s="269" t="n">
        <v>0</v>
      </c>
      <c r="AD18" s="1142" t="n">
        <v>0</v>
      </c>
      <c r="AE18" s="1142" t="n">
        <v>0.07303285066389406</v>
      </c>
      <c r="AF18" s="1142" t="n">
        <v>0.01</v>
      </c>
      <c r="AG18" s="270" t="n"/>
      <c r="AH18" s="270" t="n"/>
      <c r="AI18" s="1143" t="n"/>
      <c r="AJ18" s="272" t="n"/>
      <c r="AK18" s="272" t="n"/>
      <c r="AL18" s="272" t="n"/>
      <c r="AM18" s="272" t="n"/>
      <c r="AN18" s="273" t="n">
        <v>44557</v>
      </c>
      <c r="AO18" s="273" t="n">
        <v>44557</v>
      </c>
      <c r="AP18" s="274" t="n">
        <v>0</v>
      </c>
      <c r="AQ18" s="1144">
        <f>IF($D18=$AQ$3,$M18-$AP18,0)</f>
        <v/>
      </c>
      <c r="AR18" s="1145">
        <f>IF($D18=$AR$3,$N18-$AP18,0)</f>
        <v/>
      </c>
      <c r="AT18" s="1146" t="inlineStr">
        <is>
          <t>m</t>
        </is>
      </c>
      <c r="AU18" s="1158">
        <f>AU17</f>
        <v/>
      </c>
      <c r="AV18" s="1146" t="n">
        <v>19.688</v>
      </c>
      <c r="AW18" s="1148">
        <f>AV18</f>
        <v/>
      </c>
      <c r="AX18" s="1149" t="n">
        <v>3.683661945855343</v>
      </c>
      <c r="AY18" s="1150">
        <f>AX18</f>
        <v/>
      </c>
      <c r="AZ18" s="1151">
        <f>INDEX('SM Support'!$G$3:$G$64,MATCH('Loan Tape - Settled'!G18,'SM Support'!$B$3:$B$64,0))/1000000</f>
        <v/>
      </c>
      <c r="BA18" s="1148">
        <f>AZ18</f>
        <v/>
      </c>
      <c r="BB18" s="1152" t="n"/>
      <c r="BC18" s="1153">
        <f>INDEX('SM Support'!$M$3:$M$64,MATCH('Loan Tape - Settled'!G18,'SM Support'!$B$3:$B$64,0))</f>
        <v/>
      </c>
      <c r="BD18" s="1154">
        <f>BC18</f>
        <v/>
      </c>
      <c r="BE18" s="1155" t="n">
        <v>3.83</v>
      </c>
      <c r="BF18" s="1156">
        <f>INDEX('SM Support'!O$3:O$64,MATCH('Loan Tape - Settled'!$G18,'SM Support'!$B$3:$B$64,0))</f>
        <v/>
      </c>
      <c r="BG18" s="1152" t="n"/>
      <c r="BH18" s="1152" t="n"/>
      <c r="BI18" s="1157">
        <f>INDEX('SM Support'!$M$3:$M$144,MATCH('Loan Tape - Settled'!G18,'SM Support'!$B$3:$B$144,0))</f>
        <v/>
      </c>
      <c r="BJ18" s="1157">
        <f>INDEX('SM Support'!$N$3:$N$144,MATCH('Loan Tape - Settled'!G18,'SM Support'!$B$3:$B$144,0))</f>
        <v/>
      </c>
    </row>
    <row r="19" ht="15" customHeight="1">
      <c r="A19" s="254">
        <f>CONCATENATE(C19,E19)</f>
        <v/>
      </c>
      <c r="B19" s="1137">
        <f>$A$2</f>
        <v/>
      </c>
      <c r="C19" s="286" t="inlineStr">
        <is>
          <t>smc</t>
        </is>
      </c>
      <c r="D19" s="287" t="inlineStr">
        <is>
          <t>Star Mountain Lower Middle-Market Capital Corp.</t>
        </is>
      </c>
      <c r="E19" s="288">
        <f>+E18+1</f>
        <v/>
      </c>
      <c r="F19" s="314">
        <f>F18+1</f>
        <v/>
      </c>
      <c r="G19" s="257" t="inlineStr">
        <is>
          <t>Caregility</t>
        </is>
      </c>
      <c r="H19" s="257" t="inlineStr">
        <is>
          <t>1st Lien</t>
        </is>
      </c>
      <c r="I19" s="258" t="n"/>
      <c r="J19" s="259" t="inlineStr">
        <is>
          <t>First Lien</t>
        </is>
      </c>
      <c r="K19" s="259" t="inlineStr">
        <is>
          <t>Term Loan</t>
        </is>
      </c>
      <c r="L19" s="291" t="inlineStr">
        <is>
          <t>USD</t>
        </is>
      </c>
      <c r="M19" s="1138">
        <f>INDEX('SM Support'!$D$3:$D$64,MATCH('Loan Tape - Settled'!G19,'SM Support'!$B$3:$B$62,0))</f>
        <v/>
      </c>
      <c r="N19" s="1139">
        <f>M19</f>
        <v/>
      </c>
      <c r="O19" s="1140" t="n"/>
      <c r="P19" s="1140" t="n"/>
      <c r="Q19" s="263" t="n">
        <v>1</v>
      </c>
      <c r="R19" s="295" t="n"/>
      <c r="S19" s="265">
        <f>INDEX('SM Support'!$E$3:$E$64,MATCH('Loan Tape - Settled'!G19,'SM Support'!$B$3:$B$64,0))/INDEX('SM Support'!$D$3:$D$64,MATCH('Loan Tape - Settled'!G19,'SM Support'!$B$3:$B$64,0))</f>
        <v/>
      </c>
      <c r="T19" s="257" t="inlineStr">
        <is>
          <t>United States</t>
        </is>
      </c>
      <c r="U19" s="266" t="n">
        <v>44559</v>
      </c>
      <c r="V19" s="1141" t="n">
        <v>46326</v>
      </c>
      <c r="W19" s="257" t="inlineStr">
        <is>
          <t>Fixed</t>
        </is>
      </c>
      <c r="X19" s="321" t="inlineStr">
        <is>
          <t>Diversified Telecommunication Services</t>
        </is>
      </c>
      <c r="Y19" s="257" t="inlineStr">
        <is>
          <t>M</t>
        </is>
      </c>
      <c r="Z19" s="267" t="inlineStr">
        <is>
          <t>No</t>
        </is>
      </c>
      <c r="AA19" s="268" t="n"/>
      <c r="AB19" s="268" t="n"/>
      <c r="AC19" s="269" t="n">
        <v>0</v>
      </c>
      <c r="AD19" s="1142" t="n">
        <v>0.06560779999999999</v>
      </c>
      <c r="AE19" s="1142" t="n">
        <v>0.02442780000000001</v>
      </c>
      <c r="AF19" s="1142" t="n">
        <v>0.01</v>
      </c>
      <c r="AG19" s="270" t="n"/>
      <c r="AH19" s="270" t="n"/>
      <c r="AI19" s="1143" t="n"/>
      <c r="AJ19" s="272" t="n"/>
      <c r="AK19" s="272" t="n"/>
      <c r="AL19" s="272" t="n"/>
      <c r="AM19" s="272" t="n"/>
      <c r="AN19" s="273" t="n">
        <v>44561</v>
      </c>
      <c r="AO19" s="273" t="n">
        <v>44561</v>
      </c>
      <c r="AP19" s="274" t="n">
        <v>0</v>
      </c>
      <c r="AQ19" s="1144">
        <f>IF($D19=$AQ$3,$M19-$AP19,0)</f>
        <v/>
      </c>
      <c r="AR19" s="1145">
        <f>IF($D19=$AR$3,$N19-$AP19,0)</f>
        <v/>
      </c>
      <c r="AT19" s="1146" t="inlineStr">
        <is>
          <t>m</t>
        </is>
      </c>
      <c r="AU19" s="1158">
        <f>AU18</f>
        <v/>
      </c>
      <c r="AV19" s="1146" t="n">
        <v>-5.311234</v>
      </c>
      <c r="AW19" s="1148">
        <f>AV19</f>
        <v/>
      </c>
      <c r="AX19" s="1149" t="inlineStr">
        <is>
          <t>N/A</t>
        </is>
      </c>
      <c r="AY19" s="1150">
        <f>AX19</f>
        <v/>
      </c>
      <c r="AZ19" s="1151">
        <f>INDEX('SM Support'!$G$3:$G$64,MATCH('Loan Tape - Settled'!G19,'SM Support'!$B$3:$B$64,0))/1000000</f>
        <v/>
      </c>
      <c r="BA19" s="1148">
        <f>AZ19</f>
        <v/>
      </c>
      <c r="BB19" s="1152" t="n"/>
      <c r="BC19" s="1153">
        <f>INDEX('SM Support'!$M$3:$M$64,MATCH('Loan Tape - Settled'!G19,'SM Support'!$B$3:$B$64,0))</f>
        <v/>
      </c>
      <c r="BD19" s="1154">
        <f>BC19</f>
        <v/>
      </c>
      <c r="BE19" s="1155" t="inlineStr">
        <is>
          <t>N/A</t>
        </is>
      </c>
      <c r="BF19" s="1156">
        <f>INDEX('SM Support'!O$3:O$64,MATCH('Loan Tape - Settled'!$G19,'SM Support'!$B$3:$B$64,0))</f>
        <v/>
      </c>
      <c r="BG19" s="1152" t="n"/>
      <c r="BH19" s="1152" t="n"/>
      <c r="BI19" s="1157">
        <f>INDEX('SM Support'!$M$3:$M$144,MATCH('Loan Tape - Settled'!G19,'SM Support'!$B$3:$B$144,0))</f>
        <v/>
      </c>
      <c r="BJ19" s="1157">
        <f>INDEX('SM Support'!$N$3:$N$144,MATCH('Loan Tape - Settled'!G19,'SM Support'!$B$3:$B$144,0))</f>
        <v/>
      </c>
    </row>
    <row r="20" ht="15" customHeight="1">
      <c r="A20" s="254">
        <f>CONCATENATE(C20,E20)</f>
        <v/>
      </c>
      <c r="B20" s="1137">
        <f>$A$2</f>
        <v/>
      </c>
      <c r="C20" s="286" t="inlineStr">
        <is>
          <t>smc</t>
        </is>
      </c>
      <c r="D20" s="287" t="inlineStr">
        <is>
          <t>Star Mountain Lower Middle-Market Capital Corp.</t>
        </is>
      </c>
      <c r="E20" s="288">
        <f>+E19+1</f>
        <v/>
      </c>
      <c r="F20" s="314">
        <f>F19+1</f>
        <v/>
      </c>
      <c r="G20" s="257" t="inlineStr">
        <is>
          <t>LaSalle Network</t>
        </is>
      </c>
      <c r="H20" s="257" t="inlineStr">
        <is>
          <t>FILO</t>
        </is>
      </c>
      <c r="I20" s="258" t="n"/>
      <c r="J20" s="259" t="inlineStr">
        <is>
          <t>FILO</t>
        </is>
      </c>
      <c r="K20" s="259" t="inlineStr">
        <is>
          <t>Term Loan</t>
        </is>
      </c>
      <c r="L20" s="291" t="inlineStr">
        <is>
          <t>USD</t>
        </is>
      </c>
      <c r="M20" s="1138">
        <f>INDEX('SM Support'!$D$3:$D$64,MATCH('Loan Tape - Settled'!G20,'SM Support'!$B$3:$B$62,0))</f>
        <v/>
      </c>
      <c r="N20" s="1139">
        <f>M20</f>
        <v/>
      </c>
      <c r="O20" s="1140" t="n"/>
      <c r="P20" s="1140" t="n"/>
      <c r="Q20" s="263" t="n">
        <v>1</v>
      </c>
      <c r="R20" s="295" t="n"/>
      <c r="S20" s="265">
        <f>INDEX('SM Support'!$E$3:$E$64,MATCH('Loan Tape - Settled'!G20,'SM Support'!$B$3:$B$64,0))/INDEX('SM Support'!$D$3:$D$64,MATCH('Loan Tape - Settled'!G20,'SM Support'!$B$3:$B$64,0))</f>
        <v/>
      </c>
      <c r="T20" s="257" t="inlineStr">
        <is>
          <t>United States</t>
        </is>
      </c>
      <c r="U20" s="266" t="n">
        <v>44607</v>
      </c>
      <c r="V20" s="1141" t="n">
        <v>46433</v>
      </c>
      <c r="W20" s="257" t="inlineStr">
        <is>
          <t>Floating</t>
        </is>
      </c>
      <c r="X20" s="321" t="inlineStr">
        <is>
          <t>Professional Services</t>
        </is>
      </c>
      <c r="Y20" s="257" t="inlineStr">
        <is>
          <t>M</t>
        </is>
      </c>
      <c r="Z20" s="267" t="inlineStr">
        <is>
          <t>No</t>
        </is>
      </c>
      <c r="AA20" s="268" t="n"/>
      <c r="AB20" s="268" t="n"/>
      <c r="AC20" s="269" t="n">
        <v>0</v>
      </c>
      <c r="AD20" s="1142" t="n">
        <v>0</v>
      </c>
      <c r="AE20" s="1142" t="n">
        <v>0.07114479999999999</v>
      </c>
      <c r="AF20" s="1142" t="n">
        <v>0.005</v>
      </c>
      <c r="AG20" s="270" t="n"/>
      <c r="AH20" s="270" t="n"/>
      <c r="AI20" s="1143" t="n"/>
      <c r="AJ20" s="272" t="n"/>
      <c r="AK20" s="272" t="n"/>
      <c r="AL20" s="272" t="n"/>
      <c r="AM20" s="272" t="n"/>
      <c r="AN20" s="273" t="n">
        <v>44603</v>
      </c>
      <c r="AO20" s="273" t="n">
        <v>44603</v>
      </c>
      <c r="AP20" s="274" t="n">
        <v>0</v>
      </c>
      <c r="AQ20" s="1144">
        <f>IF($D20=$AQ$3,$M20-$AP20,0)</f>
        <v/>
      </c>
      <c r="AR20" s="1145">
        <f>IF($D20=$AR$3,$N20-$AP20,0)</f>
        <v/>
      </c>
      <c r="AT20" s="1146" t="inlineStr">
        <is>
          <t>m</t>
        </is>
      </c>
      <c r="AU20" s="1158">
        <f>AU19</f>
        <v/>
      </c>
      <c r="AV20" s="1146" t="n">
        <v>14.084</v>
      </c>
      <c r="AW20" s="1148">
        <f>AV20</f>
        <v/>
      </c>
      <c r="AX20" s="1149" t="n">
        <v>3.195115024140869</v>
      </c>
      <c r="AY20" s="1150">
        <f>AX20</f>
        <v/>
      </c>
      <c r="AZ20" s="1151">
        <f>INDEX('SM Support'!$G$3:$G$64,MATCH('Loan Tape - Settled'!G20,'SM Support'!$B$3:$B$64,0))/1000000</f>
        <v/>
      </c>
      <c r="BA20" s="1148">
        <f>AZ20</f>
        <v/>
      </c>
      <c r="BB20" s="1152" t="n"/>
      <c r="BC20" s="1153">
        <f>INDEX('SM Support'!$M$3:$M$64,MATCH('Loan Tape - Settled'!G20,'SM Support'!$B$3:$B$64,0))</f>
        <v/>
      </c>
      <c r="BD20" s="1154">
        <f>BC20</f>
        <v/>
      </c>
      <c r="BE20" s="1155" t="n">
        <v>4.07</v>
      </c>
      <c r="BF20" s="1156">
        <f>INDEX('SM Support'!O$3:O$64,MATCH('Loan Tape - Settled'!$G20,'SM Support'!$B$3:$B$64,0))</f>
        <v/>
      </c>
      <c r="BG20" s="1152" t="n"/>
      <c r="BH20" s="1152" t="n"/>
      <c r="BI20" s="1157">
        <f>INDEX('SM Support'!$M$3:$M$144,MATCH('Loan Tape - Settled'!G20,'SM Support'!$B$3:$B$144,0))</f>
        <v/>
      </c>
      <c r="BJ20" s="1157">
        <f>INDEX('SM Support'!$N$3:$N$144,MATCH('Loan Tape - Settled'!G20,'SM Support'!$B$3:$B$144,0))</f>
        <v/>
      </c>
    </row>
    <row r="21" ht="15" customHeight="1">
      <c r="A21" s="254">
        <f>CONCATENATE(C21,E21)</f>
        <v/>
      </c>
      <c r="B21" s="1137">
        <f>$A$2</f>
        <v/>
      </c>
      <c r="C21" s="286" t="inlineStr">
        <is>
          <t>smc</t>
        </is>
      </c>
      <c r="D21" s="287" t="inlineStr">
        <is>
          <t>Star Mountain Lower Middle-Market Capital Corp.</t>
        </is>
      </c>
      <c r="E21" s="288">
        <f>+E20+1</f>
        <v/>
      </c>
      <c r="F21" s="314">
        <f>F20+1</f>
        <v/>
      </c>
      <c r="G21" s="257" t="inlineStr">
        <is>
          <t>Uncle John's Pride</t>
        </is>
      </c>
      <c r="H21" s="257" t="inlineStr">
        <is>
          <t>1st Lien</t>
        </is>
      </c>
      <c r="I21" s="258" t="n"/>
      <c r="J21" s="259" t="inlineStr">
        <is>
          <t>First Lien</t>
        </is>
      </c>
      <c r="K21" s="259" t="inlineStr">
        <is>
          <t>Term Loan</t>
        </is>
      </c>
      <c r="L21" s="291" t="inlineStr">
        <is>
          <t>USD</t>
        </is>
      </c>
      <c r="M21" s="1138">
        <f>INDEX('SM Support'!$D$3:$D$64,MATCH('Loan Tape - Settled'!G21,'SM Support'!$B$3:$B$62,0))</f>
        <v/>
      </c>
      <c r="N21" s="1139">
        <f>M21</f>
        <v/>
      </c>
      <c r="O21" s="1140" t="n"/>
      <c r="P21" s="1140" t="n"/>
      <c r="Q21" s="263" t="n">
        <v>1</v>
      </c>
      <c r="R21" s="295" t="n"/>
      <c r="S21" s="265">
        <f>INDEX('SM Support'!$E$3:$E$64,MATCH('Loan Tape - Settled'!G21,'SM Support'!$B$3:$B$64,0))/INDEX('SM Support'!$D$3:$D$64,MATCH('Loan Tape - Settled'!G21,'SM Support'!$B$3:$B$64,0))</f>
        <v/>
      </c>
      <c r="T21" s="257" t="inlineStr">
        <is>
          <t>United States</t>
        </is>
      </c>
      <c r="U21" s="266" t="n">
        <v>44651</v>
      </c>
      <c r="V21" s="1141" t="n">
        <v>46477</v>
      </c>
      <c r="W21" s="257" t="inlineStr">
        <is>
          <t>Floating</t>
        </is>
      </c>
      <c r="X21" s="321" t="inlineStr">
        <is>
          <t>Food Products</t>
        </is>
      </c>
      <c r="Y21" s="257" t="inlineStr">
        <is>
          <t>Q</t>
        </is>
      </c>
      <c r="Z21" s="267" t="inlineStr">
        <is>
          <t>No</t>
        </is>
      </c>
      <c r="AA21" s="268" t="n"/>
      <c r="AB21" s="268" t="n"/>
      <c r="AC21" s="269" t="n">
        <v>0</v>
      </c>
      <c r="AD21" s="1142" t="n">
        <v>0</v>
      </c>
      <c r="AE21" s="1142" t="n">
        <v>0.0811448</v>
      </c>
      <c r="AF21" s="1142" t="n">
        <v>0.01</v>
      </c>
      <c r="AG21" s="270" t="n"/>
      <c r="AH21" s="270" t="n"/>
      <c r="AI21" s="1143" t="n"/>
      <c r="AJ21" s="272" t="n"/>
      <c r="AK21" s="272" t="n"/>
      <c r="AL21" s="272" t="n"/>
      <c r="AM21" s="272" t="n"/>
      <c r="AN21" s="273" t="n">
        <v>44651</v>
      </c>
      <c r="AO21" s="273" t="n">
        <v>44651</v>
      </c>
      <c r="AP21" s="274" t="n">
        <v>0</v>
      </c>
      <c r="AQ21" s="1144">
        <f>IF($D21=$AQ$3,$M21-$AP21,0)</f>
        <v/>
      </c>
      <c r="AR21" s="1145">
        <f>IF($D21=$AR$3,$N21-$AP21,0)</f>
        <v/>
      </c>
      <c r="AT21" s="1146" t="inlineStr">
        <is>
          <t>m</t>
        </is>
      </c>
      <c r="AU21" s="1158">
        <f>AU20</f>
        <v/>
      </c>
      <c r="AV21" s="1146" t="n">
        <v>7.171</v>
      </c>
      <c r="AW21" s="1148">
        <f>AV21</f>
        <v/>
      </c>
      <c r="AX21" s="1149" t="n">
        <v>4.044066378468833</v>
      </c>
      <c r="AY21" s="1150">
        <f>AX21</f>
        <v/>
      </c>
      <c r="AZ21" s="1151">
        <f>INDEX('SM Support'!$G$3:$G$64,MATCH('Loan Tape - Settled'!G21,'SM Support'!$B$3:$B$64,0))/1000000</f>
        <v/>
      </c>
      <c r="BA21" s="1148">
        <f>AZ21</f>
        <v/>
      </c>
      <c r="BB21" s="1152" t="n"/>
      <c r="BC21" s="1153">
        <f>INDEX('SM Support'!$M$3:$M$64,MATCH('Loan Tape - Settled'!G21,'SM Support'!$B$3:$B$64,0))</f>
        <v/>
      </c>
      <c r="BD21" s="1154">
        <f>BC21</f>
        <v/>
      </c>
      <c r="BE21" s="1155" t="n">
        <v>2.31</v>
      </c>
      <c r="BF21" s="1156">
        <f>INDEX('SM Support'!O$3:O$64,MATCH('Loan Tape - Settled'!$G21,'SM Support'!$B$3:$B$64,0))</f>
        <v/>
      </c>
      <c r="BG21" s="1152" t="n"/>
      <c r="BH21" s="1152" t="n"/>
      <c r="BI21" s="1157">
        <f>INDEX('SM Support'!$M$3:$M$144,MATCH('Loan Tape - Settled'!G21,'SM Support'!$B$3:$B$144,0))</f>
        <v/>
      </c>
      <c r="BJ21" s="1157">
        <f>INDEX('SM Support'!$N$3:$N$144,MATCH('Loan Tape - Settled'!G21,'SM Support'!$B$3:$B$144,0))</f>
        <v/>
      </c>
    </row>
    <row r="22" ht="15" customHeight="1">
      <c r="A22" s="254">
        <f>CONCATENATE(C22,E22)</f>
        <v/>
      </c>
      <c r="B22" s="1137">
        <f>$A$2</f>
        <v/>
      </c>
      <c r="C22" s="286" t="inlineStr">
        <is>
          <t>smc</t>
        </is>
      </c>
      <c r="D22" s="287" t="inlineStr">
        <is>
          <t>Star Mountain Lower Middle-Market Capital Corp.</t>
        </is>
      </c>
      <c r="E22" s="288">
        <f>+E21+1</f>
        <v/>
      </c>
      <c r="F22" s="314">
        <f>F21+1</f>
        <v/>
      </c>
      <c r="G22" s="257" t="inlineStr">
        <is>
          <t>Padsquad</t>
        </is>
      </c>
      <c r="H22" s="257" t="inlineStr">
        <is>
          <t>FILO</t>
        </is>
      </c>
      <c r="I22" s="258" t="n"/>
      <c r="J22" s="259" t="inlineStr">
        <is>
          <t>FILO</t>
        </is>
      </c>
      <c r="K22" s="259" t="inlineStr">
        <is>
          <t>Term Loan</t>
        </is>
      </c>
      <c r="L22" s="291" t="inlineStr">
        <is>
          <t>USD</t>
        </is>
      </c>
      <c r="M22" s="1138">
        <f>INDEX('SM Support'!$D$3:$D$64,MATCH('Loan Tape - Settled'!G22,'SM Support'!$B$3:$B$62,0))</f>
        <v/>
      </c>
      <c r="N22" s="1139">
        <f>M22</f>
        <v/>
      </c>
      <c r="O22" s="1140" t="n"/>
      <c r="P22" s="1140" t="n"/>
      <c r="Q22" s="263" t="n">
        <v>1</v>
      </c>
      <c r="R22" s="295" t="n"/>
      <c r="S22" s="265">
        <f>INDEX('SM Support'!$E$3:$E$64,MATCH('Loan Tape - Settled'!G22,'SM Support'!$B$3:$B$64,0))/INDEX('SM Support'!$D$3:$D$64,MATCH('Loan Tape - Settled'!G22,'SM Support'!$B$3:$B$64,0))</f>
        <v/>
      </c>
      <c r="T22" s="257" t="inlineStr">
        <is>
          <t>United States</t>
        </is>
      </c>
      <c r="U22" s="266" t="n">
        <v>44638</v>
      </c>
      <c r="V22" s="1141" t="n">
        <v>46476</v>
      </c>
      <c r="W22" s="257" t="inlineStr">
        <is>
          <t>Floating</t>
        </is>
      </c>
      <c r="X22" s="321" t="inlineStr">
        <is>
          <t>Media</t>
        </is>
      </c>
      <c r="Y22" s="257" t="inlineStr">
        <is>
          <t>M</t>
        </is>
      </c>
      <c r="Z22" s="267" t="inlineStr">
        <is>
          <t>No</t>
        </is>
      </c>
      <c r="AA22" s="268" t="n"/>
      <c r="AB22" s="268" t="n"/>
      <c r="AC22" s="269" t="n">
        <v>0</v>
      </c>
      <c r="AD22" s="1142" t="n">
        <v>0</v>
      </c>
      <c r="AE22" s="1142" t="n">
        <v>0.067172362762</v>
      </c>
      <c r="AF22" s="1142" t="n">
        <v>0.01</v>
      </c>
      <c r="AG22" s="270" t="n"/>
      <c r="AH22" s="270" t="n"/>
      <c r="AI22" s="1143" t="n"/>
      <c r="AJ22" s="272" t="n"/>
      <c r="AK22" s="272" t="n"/>
      <c r="AL22" s="272" t="n"/>
      <c r="AM22" s="272" t="n"/>
      <c r="AN22" s="273" t="n">
        <v>44651</v>
      </c>
      <c r="AO22" s="273" t="n">
        <v>44651</v>
      </c>
      <c r="AP22" s="274" t="n">
        <v>0</v>
      </c>
      <c r="AQ22" s="1144">
        <f>IF($D22=$AQ$3,$M22-$AP22,0)</f>
        <v/>
      </c>
      <c r="AR22" s="1145">
        <f>IF($D22=$AR$3,$N22-$AP22,0)</f>
        <v/>
      </c>
      <c r="AT22" s="1146" t="inlineStr">
        <is>
          <t>m</t>
        </is>
      </c>
      <c r="AU22" s="1158">
        <f>AU21</f>
        <v/>
      </c>
      <c r="AV22" s="1146" t="n">
        <v>8.154999999999999</v>
      </c>
      <c r="AW22" s="1148">
        <f>AV22</f>
        <v/>
      </c>
      <c r="AX22" s="1149" t="n">
        <v>3.433476394849786</v>
      </c>
      <c r="AY22" s="1150">
        <f>AX22</f>
        <v/>
      </c>
      <c r="AZ22" s="1151">
        <f>INDEX('SM Support'!$G$3:$G$64,MATCH('Loan Tape - Settled'!G22,'SM Support'!$B$3:$B$64,0))/1000000</f>
        <v/>
      </c>
      <c r="BA22" s="1148">
        <f>AZ22</f>
        <v/>
      </c>
      <c r="BB22" s="1152" t="n"/>
      <c r="BC22" s="1153">
        <f>INDEX('SM Support'!$M$3:$M$64,MATCH('Loan Tape - Settled'!G22,'SM Support'!$B$3:$B$64,0))</f>
        <v/>
      </c>
      <c r="BD22" s="1154">
        <f>BC22</f>
        <v/>
      </c>
      <c r="BE22" s="1155" t="n">
        <v>2.78</v>
      </c>
      <c r="BF22" s="1156">
        <f>INDEX('SM Support'!O$3:O$64,MATCH('Loan Tape - Settled'!$G22,'SM Support'!$B$3:$B$64,0))</f>
        <v/>
      </c>
      <c r="BG22" s="1152" t="n"/>
      <c r="BH22" s="1152" t="n"/>
      <c r="BI22" s="1157">
        <f>INDEX('SM Support'!$M$3:$M$144,MATCH('Loan Tape - Settled'!G22,'SM Support'!$B$3:$B$144,0))</f>
        <v/>
      </c>
      <c r="BJ22" s="1157">
        <f>INDEX('SM Support'!$N$3:$N$144,MATCH('Loan Tape - Settled'!G22,'SM Support'!$B$3:$B$144,0))</f>
        <v/>
      </c>
    </row>
    <row r="23" ht="15" customHeight="1">
      <c r="A23" s="254">
        <f>CONCATENATE(C23,E23)</f>
        <v/>
      </c>
      <c r="B23" s="1137">
        <f>$A$2</f>
        <v/>
      </c>
      <c r="C23" s="286" t="inlineStr">
        <is>
          <t>smc</t>
        </is>
      </c>
      <c r="D23" s="287" t="inlineStr">
        <is>
          <t>Star Mountain Lower Middle-Market Capital Corp.</t>
        </is>
      </c>
      <c r="E23" s="288">
        <f>+E22+1</f>
        <v/>
      </c>
      <c r="F23" s="314">
        <f>F22+1</f>
        <v/>
      </c>
      <c r="G23" s="257" t="inlineStr">
        <is>
          <t>Watt Contracting Holdings</t>
        </is>
      </c>
      <c r="H23" s="257" t="inlineStr">
        <is>
          <t>1st Lien</t>
        </is>
      </c>
      <c r="I23" s="258" t="n"/>
      <c r="J23" s="259" t="inlineStr">
        <is>
          <t>First Lien</t>
        </is>
      </c>
      <c r="K23" s="259" t="inlineStr">
        <is>
          <t>Term Loan</t>
        </is>
      </c>
      <c r="L23" s="291" t="inlineStr">
        <is>
          <t>USD</t>
        </is>
      </c>
      <c r="M23" s="1138">
        <f>INDEX('SM Support'!$D$3:$D$64,MATCH('Loan Tape - Settled'!G23,'SM Support'!$B$3:$B$62,0))</f>
        <v/>
      </c>
      <c r="N23" s="1139">
        <f>M23</f>
        <v/>
      </c>
      <c r="O23" s="1140" t="n"/>
      <c r="P23" s="1140" t="n"/>
      <c r="Q23" s="263" t="n">
        <v>1</v>
      </c>
      <c r="R23" s="295" t="n"/>
      <c r="S23" s="265">
        <f>INDEX('SM Support'!$E$3:$E$64,MATCH('Loan Tape - Settled'!G23,'SM Support'!$B$3:$B$64,0))/INDEX('SM Support'!$D$3:$D$64,MATCH('Loan Tape - Settled'!G23,'SM Support'!$B$3:$B$64,0))</f>
        <v/>
      </c>
      <c r="T23" s="257" t="inlineStr">
        <is>
          <t>United States</t>
        </is>
      </c>
      <c r="U23" s="266" t="n">
        <v>44666</v>
      </c>
      <c r="V23" s="1141" t="n">
        <v>46492</v>
      </c>
      <c r="W23" s="257" t="inlineStr">
        <is>
          <t>Floating</t>
        </is>
      </c>
      <c r="X23" s="321" t="inlineStr">
        <is>
          <t>Construction &amp; Engineering</t>
        </is>
      </c>
      <c r="Y23" s="257" t="inlineStr">
        <is>
          <t>M</t>
        </is>
      </c>
      <c r="Z23" s="267" t="inlineStr">
        <is>
          <t>No</t>
        </is>
      </c>
      <c r="AA23" s="268" t="n"/>
      <c r="AB23" s="268" t="n"/>
      <c r="AC23" s="269" t="n">
        <v>0</v>
      </c>
      <c r="AD23" s="1142" t="n">
        <v>0.05563683</v>
      </c>
      <c r="AE23" s="1142" t="n">
        <v>0.08686316999999999</v>
      </c>
      <c r="AF23" s="1142" t="n">
        <v>0.01</v>
      </c>
      <c r="AG23" s="270" t="n"/>
      <c r="AH23" s="270" t="n"/>
      <c r="AI23" s="1143" t="n"/>
      <c r="AJ23" s="272" t="n"/>
      <c r="AK23" s="272" t="n"/>
      <c r="AL23" s="272" t="n"/>
      <c r="AM23" s="272" t="n"/>
      <c r="AN23" s="296" t="n">
        <v>44676</v>
      </c>
      <c r="AO23" s="296" t="n">
        <v>44676</v>
      </c>
      <c r="AP23" s="274" t="n">
        <v>0</v>
      </c>
      <c r="AQ23" s="1144">
        <f>IF($D23=$AQ$3,$M23-$AP23,0)</f>
        <v/>
      </c>
      <c r="AR23" s="1145">
        <f>IF($D23=$AR$3,$N23-$AP23,0)</f>
        <v/>
      </c>
      <c r="AT23" s="1146" t="inlineStr">
        <is>
          <t>m</t>
        </is>
      </c>
      <c r="AU23" s="1158">
        <f>AU22</f>
        <v/>
      </c>
      <c r="AV23" s="1146" t="n">
        <v>7.815</v>
      </c>
      <c r="AW23" s="1148">
        <f>AV23</f>
        <v/>
      </c>
      <c r="AX23" s="1149" t="n">
        <v>2.151247600767754</v>
      </c>
      <c r="AY23" s="1150">
        <f>AX23</f>
        <v/>
      </c>
      <c r="AZ23" s="1151">
        <f>INDEX('SM Support'!$G$3:$G$64,MATCH('Loan Tape - Settled'!G23,'SM Support'!$B$3:$B$64,0))/1000000</f>
        <v/>
      </c>
      <c r="BA23" s="1148">
        <f>AZ23</f>
        <v/>
      </c>
      <c r="BB23" s="1152" t="n"/>
      <c r="BC23" s="1153">
        <f>INDEX('SM Support'!$M$3:$M$64,MATCH('Loan Tape - Settled'!G23,'SM Support'!$B$3:$B$64,0))</f>
        <v/>
      </c>
      <c r="BD23" s="1154">
        <f>BC23</f>
        <v/>
      </c>
      <c r="BE23" s="1155" t="n">
        <v>3.66</v>
      </c>
      <c r="BF23" s="1156">
        <f>INDEX('SM Support'!O$3:O$64,MATCH('Loan Tape - Settled'!$G23,'SM Support'!$B$3:$B$64,0))</f>
        <v/>
      </c>
      <c r="BG23" s="1152" t="n"/>
      <c r="BH23" s="1152" t="n"/>
      <c r="BI23" s="1157">
        <f>INDEX('SM Support'!$M$3:$M$144,MATCH('Loan Tape - Settled'!G23,'SM Support'!$B$3:$B$144,0))</f>
        <v/>
      </c>
      <c r="BJ23" s="1157">
        <f>INDEX('SM Support'!$N$3:$N$144,MATCH('Loan Tape - Settled'!G23,'SM Support'!$B$3:$B$144,0))</f>
        <v/>
      </c>
    </row>
    <row r="24" ht="15" customHeight="1">
      <c r="A24" s="254">
        <f>CONCATENATE(C24,E24)</f>
        <v/>
      </c>
      <c r="B24" s="1137">
        <f>$A$2</f>
        <v/>
      </c>
      <c r="C24" s="286" t="inlineStr">
        <is>
          <t>smc</t>
        </is>
      </c>
      <c r="D24" s="287" t="inlineStr">
        <is>
          <t>Star Mountain Lower Middle-Market Capital Corp.</t>
        </is>
      </c>
      <c r="E24" s="288">
        <f>+E23+1</f>
        <v/>
      </c>
      <c r="F24" s="314">
        <f>F23+1</f>
        <v/>
      </c>
      <c r="G24" s="257" t="inlineStr">
        <is>
          <t>Klein Hersh</t>
        </is>
      </c>
      <c r="H24" s="257" t="inlineStr">
        <is>
          <t>FILO</t>
        </is>
      </c>
      <c r="I24" s="258" t="n"/>
      <c r="J24" s="259" t="inlineStr">
        <is>
          <t>FILO</t>
        </is>
      </c>
      <c r="K24" s="259" t="inlineStr">
        <is>
          <t>Term Loan</t>
        </is>
      </c>
      <c r="L24" s="291" t="inlineStr">
        <is>
          <t>USD</t>
        </is>
      </c>
      <c r="M24" s="1138">
        <f>INDEX('SM Support'!$D$3:$D$64,MATCH('Loan Tape - Settled'!G24,'SM Support'!$B$3:$B$62,0))</f>
        <v/>
      </c>
      <c r="N24" s="1139">
        <f>M24</f>
        <v/>
      </c>
      <c r="O24" s="1140" t="n"/>
      <c r="P24" s="1140" t="n"/>
      <c r="Q24" s="263" t="n">
        <v>1</v>
      </c>
      <c r="R24" s="295" t="n"/>
      <c r="S24" s="265">
        <f>INDEX('SM Support'!$E$3:$E$64,MATCH('Loan Tape - Settled'!G24,'SM Support'!$B$3:$B$64,0))/INDEX('SM Support'!$D$3:$D$64,MATCH('Loan Tape - Settled'!G24,'SM Support'!$B$3:$B$64,0))</f>
        <v/>
      </c>
      <c r="T24" s="257" t="inlineStr">
        <is>
          <t>United States</t>
        </is>
      </c>
      <c r="U24" s="297" t="n">
        <v>44678</v>
      </c>
      <c r="V24" s="1141" t="n">
        <v>46870</v>
      </c>
      <c r="W24" s="257" t="inlineStr">
        <is>
          <t>Floating</t>
        </is>
      </c>
      <c r="X24" s="321" t="inlineStr">
        <is>
          <t>Health Care Providers &amp; Services</t>
        </is>
      </c>
      <c r="Y24" s="257" t="inlineStr">
        <is>
          <t>M</t>
        </is>
      </c>
      <c r="Z24" s="267" t="inlineStr">
        <is>
          <t>No</t>
        </is>
      </c>
      <c r="AA24" s="268" t="n"/>
      <c r="AB24" s="268" t="n"/>
      <c r="AC24" s="269" t="n">
        <v>0</v>
      </c>
      <c r="AD24" s="1142" t="n">
        <v>0</v>
      </c>
      <c r="AE24" s="1142" t="n">
        <v>-0.001704485227999999</v>
      </c>
      <c r="AF24" s="1142" t="n">
        <v>0.005</v>
      </c>
      <c r="AG24" s="270" t="n"/>
      <c r="AH24" s="270" t="n"/>
      <c r="AI24" s="1143" t="n"/>
      <c r="AJ24" s="272" t="n"/>
      <c r="AK24" s="272" t="n"/>
      <c r="AL24" s="272" t="n"/>
      <c r="AM24" s="272" t="n"/>
      <c r="AN24" s="296" t="n">
        <v>44676</v>
      </c>
      <c r="AO24" s="296" t="n">
        <v>44676</v>
      </c>
      <c r="AP24" s="274" t="n">
        <v>0</v>
      </c>
      <c r="AQ24" s="1144">
        <f>IF($D24=$AQ$3,$M24-$AP24,0)</f>
        <v/>
      </c>
      <c r="AR24" s="1145">
        <f>IF($D24=$AR$3,$N24-$AP24,0)</f>
        <v/>
      </c>
      <c r="AT24" s="1146" t="inlineStr">
        <is>
          <t>m</t>
        </is>
      </c>
      <c r="AU24" s="1158">
        <f>AU23</f>
        <v/>
      </c>
      <c r="AV24" s="1146" t="n">
        <v>52.213</v>
      </c>
      <c r="AW24" s="1148">
        <f>AV24</f>
        <v/>
      </c>
      <c r="AX24" s="1149" t="n">
        <v>3.945377587957022</v>
      </c>
      <c r="AY24" s="1150">
        <f>AX24</f>
        <v/>
      </c>
      <c r="AZ24" s="1151">
        <f>INDEX('SM Support'!$G$3:$G$64,MATCH('Loan Tape - Settled'!G24,'SM Support'!$B$3:$B$64,0))/1000000</f>
        <v/>
      </c>
      <c r="BA24" s="1148">
        <f>AZ24</f>
        <v/>
      </c>
      <c r="BB24" s="1152" t="n"/>
      <c r="BC24" s="1153">
        <f>INDEX('SM Support'!$M$3:$M$64,MATCH('Loan Tape - Settled'!G24,'SM Support'!$B$3:$B$64,0))</f>
        <v/>
      </c>
      <c r="BD24" s="1154">
        <f>BC24</f>
        <v/>
      </c>
      <c r="BE24" s="1155" t="n">
        <v>2.97</v>
      </c>
      <c r="BF24" s="1156">
        <f>INDEX('SM Support'!O$3:O$64,MATCH('Loan Tape - Settled'!$G24,'SM Support'!$B$3:$B$64,0))</f>
        <v/>
      </c>
      <c r="BG24" s="1152" t="n"/>
      <c r="BH24" s="1152" t="n"/>
      <c r="BI24" s="1157">
        <f>INDEX('SM Support'!$M$3:$M$144,MATCH('Loan Tape - Settled'!G24,'SM Support'!$B$3:$B$144,0))</f>
        <v/>
      </c>
      <c r="BJ24" s="1157">
        <f>INDEX('SM Support'!$N$3:$N$144,MATCH('Loan Tape - Settled'!G24,'SM Support'!$B$3:$B$144,0))</f>
        <v/>
      </c>
    </row>
    <row r="25" ht="15" customHeight="1">
      <c r="A25" s="254">
        <f>CONCATENATE(C25,E25)</f>
        <v/>
      </c>
      <c r="B25" s="1137">
        <f>$A$2</f>
        <v/>
      </c>
      <c r="C25" s="286" t="inlineStr">
        <is>
          <t>smc</t>
        </is>
      </c>
      <c r="D25" s="287" t="inlineStr">
        <is>
          <t>Star Mountain Lower Middle-Market Capital Corp.</t>
        </is>
      </c>
      <c r="E25" s="288">
        <f>+E24+1</f>
        <v/>
      </c>
      <c r="F25" s="314">
        <f>F24+1</f>
        <v/>
      </c>
      <c r="G25" s="257" t="inlineStr">
        <is>
          <t>Texas Contract Manufacturing Group</t>
        </is>
      </c>
      <c r="H25" s="257" t="inlineStr">
        <is>
          <t>1st Lien</t>
        </is>
      </c>
      <c r="I25" s="258" t="n"/>
      <c r="J25" s="259" t="inlineStr">
        <is>
          <t>First Lien</t>
        </is>
      </c>
      <c r="K25" s="259" t="inlineStr">
        <is>
          <t>Term Loan</t>
        </is>
      </c>
      <c r="L25" s="291" t="inlineStr">
        <is>
          <t>USD</t>
        </is>
      </c>
      <c r="M25" s="1138">
        <f>INDEX('SM Support'!$D$3:$D$64,MATCH('Loan Tape - Settled'!G25,'SM Support'!$B$3:$B$62,0))</f>
        <v/>
      </c>
      <c r="N25" s="1139">
        <f>M25</f>
        <v/>
      </c>
      <c r="O25" s="1140" t="n"/>
      <c r="P25" s="1140" t="n"/>
      <c r="Q25" s="263" t="n">
        <v>1</v>
      </c>
      <c r="R25" s="295" t="n"/>
      <c r="S25" s="265">
        <f>INDEX('SM Support'!$E$3:$E$64,MATCH('Loan Tape - Settled'!G25,'SM Support'!$B$3:$B$64,0))/INDEX('SM Support'!$D$3:$D$64,MATCH('Loan Tape - Settled'!G25,'SM Support'!$B$3:$B$64,0))</f>
        <v/>
      </c>
      <c r="T25" s="257" t="inlineStr">
        <is>
          <t>United States</t>
        </is>
      </c>
      <c r="U25" s="297" t="n">
        <v>44678</v>
      </c>
      <c r="V25" s="1141" t="n">
        <v>46504</v>
      </c>
      <c r="W25" s="257" t="inlineStr">
        <is>
          <t>Floating</t>
        </is>
      </c>
      <c r="X25" s="298" t="inlineStr">
        <is>
          <t>Machinery</t>
        </is>
      </c>
      <c r="Y25" s="257" t="inlineStr">
        <is>
          <t>M</t>
        </is>
      </c>
      <c r="Z25" s="267" t="inlineStr">
        <is>
          <t>No</t>
        </is>
      </c>
      <c r="AA25" s="268" t="n"/>
      <c r="AB25" s="268" t="n"/>
      <c r="AC25" s="269" t="n">
        <v>0</v>
      </c>
      <c r="AD25" s="1142" t="n">
        <v>0.0615667</v>
      </c>
      <c r="AE25" s="1142" t="n">
        <v>0.0195781</v>
      </c>
      <c r="AF25" s="1142" t="n">
        <v>0.01</v>
      </c>
      <c r="AG25" s="270" t="n"/>
      <c r="AH25" s="270" t="n"/>
      <c r="AI25" s="1143" t="n"/>
      <c r="AJ25" s="272" t="n"/>
      <c r="AK25" s="272" t="n"/>
      <c r="AL25" s="272" t="n"/>
      <c r="AM25" s="272" t="n"/>
      <c r="AN25" s="296" t="n">
        <v>44676</v>
      </c>
      <c r="AO25" s="296" t="n">
        <v>44676</v>
      </c>
      <c r="AP25" s="274" t="n">
        <v>0</v>
      </c>
      <c r="AQ25" s="1144">
        <f>IF($D25=$AQ$3,$M25-$AP25,0)</f>
        <v/>
      </c>
      <c r="AR25" s="1145">
        <f>IF($D25=$AR$3,$N25-$AP25,0)</f>
        <v/>
      </c>
      <c r="AT25" s="1146" t="inlineStr">
        <is>
          <t>m</t>
        </is>
      </c>
      <c r="AU25" s="1158">
        <f>AU24</f>
        <v/>
      </c>
      <c r="AV25" s="1146" t="n">
        <v>18.013</v>
      </c>
      <c r="AW25" s="1148">
        <f>AV25</f>
        <v/>
      </c>
      <c r="AX25" s="1149" t="n">
        <v>1.033697884860934</v>
      </c>
      <c r="AY25" s="1150">
        <f>AX25</f>
        <v/>
      </c>
      <c r="AZ25" s="1151">
        <f>INDEX('SM Support'!$G$3:$G$64,MATCH('Loan Tape - Settled'!G25,'SM Support'!$B$3:$B$64,0))/1000000</f>
        <v/>
      </c>
      <c r="BA25" s="1148">
        <f>AZ25</f>
        <v/>
      </c>
      <c r="BB25" s="1152" t="n"/>
      <c r="BC25" s="1153">
        <f>INDEX('SM Support'!$M$3:$M$64,MATCH('Loan Tape - Settled'!G25,'SM Support'!$B$3:$B$64,0))</f>
        <v/>
      </c>
      <c r="BD25" s="1154">
        <f>BC25</f>
        <v/>
      </c>
      <c r="BE25" s="1155" t="n">
        <v>9</v>
      </c>
      <c r="BF25" s="1156">
        <f>INDEX('SM Support'!O$3:O$64,MATCH('Loan Tape - Settled'!$G25,'SM Support'!$B$3:$B$64,0))</f>
        <v/>
      </c>
      <c r="BG25" s="1152" t="n"/>
      <c r="BH25" s="1152" t="n"/>
      <c r="BI25" s="1157">
        <f>INDEX('SM Support'!$M$3:$M$144,MATCH('Loan Tape - Settled'!G25,'SM Support'!$B$3:$B$144,0))</f>
        <v/>
      </c>
      <c r="BJ25" s="1157">
        <f>INDEX('SM Support'!$N$3:$N$144,MATCH('Loan Tape - Settled'!G25,'SM Support'!$B$3:$B$144,0))</f>
        <v/>
      </c>
    </row>
    <row r="26" ht="15" customHeight="1">
      <c r="A26" s="254">
        <f>CONCATENATE(C26,E26)</f>
        <v/>
      </c>
      <c r="B26" s="1137">
        <f>$A$2</f>
        <v/>
      </c>
      <c r="C26" s="286" t="inlineStr">
        <is>
          <t>smc</t>
        </is>
      </c>
      <c r="D26" s="287" t="inlineStr">
        <is>
          <t>Star Mountain Lower Middle-Market Capital Corp.</t>
        </is>
      </c>
      <c r="E26" s="288">
        <f>+E25+1</f>
        <v/>
      </c>
      <c r="F26" s="314">
        <f>F25+1</f>
        <v/>
      </c>
      <c r="G26" s="257" t="inlineStr">
        <is>
          <t>PQT Ayaquhs</t>
        </is>
      </c>
      <c r="H26" s="257" t="inlineStr">
        <is>
          <t>FILO</t>
        </is>
      </c>
      <c r="I26" s="258" t="n"/>
      <c r="J26" s="259" t="inlineStr">
        <is>
          <t>FILO</t>
        </is>
      </c>
      <c r="K26" s="259" t="inlineStr">
        <is>
          <t>Term Loan</t>
        </is>
      </c>
      <c r="L26" s="291" t="inlineStr">
        <is>
          <t>USD</t>
        </is>
      </c>
      <c r="M26" s="1138">
        <f>INDEX('SM Support'!$D$3:$D$64,MATCH('Loan Tape - Settled'!G26,'SM Support'!$B$3:$B$62,0))</f>
        <v/>
      </c>
      <c r="N26" s="1139">
        <f>M26</f>
        <v/>
      </c>
      <c r="O26" s="1140" t="n"/>
      <c r="P26" s="1140" t="n"/>
      <c r="Q26" s="263" t="n">
        <v>1</v>
      </c>
      <c r="R26" s="295" t="n"/>
      <c r="S26" s="265">
        <f>INDEX('SM Support'!$E$3:$E$64,MATCH('Loan Tape - Settled'!G26,'SM Support'!$B$3:$B$64,0))/INDEX('SM Support'!$D$3:$D$64,MATCH('Loan Tape - Settled'!G26,'SM Support'!$B$3:$B$64,0))</f>
        <v/>
      </c>
      <c r="T26" s="257" t="inlineStr">
        <is>
          <t>United States</t>
        </is>
      </c>
      <c r="U26" s="297" t="n">
        <v>44774</v>
      </c>
      <c r="V26" s="1141" t="n">
        <v>46600</v>
      </c>
      <c r="W26" s="257" t="inlineStr">
        <is>
          <t>Floating</t>
        </is>
      </c>
      <c r="X26" s="298" t="inlineStr">
        <is>
          <t>Professional Services</t>
        </is>
      </c>
      <c r="Y26" s="257" t="inlineStr">
        <is>
          <t>M</t>
        </is>
      </c>
      <c r="Z26" s="267" t="inlineStr">
        <is>
          <t>No</t>
        </is>
      </c>
      <c r="AA26" s="268" t="n"/>
      <c r="AB26" s="268" t="n"/>
      <c r="AC26" s="269" t="n">
        <v>0</v>
      </c>
      <c r="AD26" s="1142" t="n">
        <v>0</v>
      </c>
      <c r="AE26" s="1142" t="n">
        <v>0.072734596699</v>
      </c>
      <c r="AF26" s="1142" t="n">
        <v>0.01</v>
      </c>
      <c r="AG26" s="270" t="n"/>
      <c r="AH26" s="270" t="n"/>
      <c r="AI26" s="1143" t="n"/>
      <c r="AJ26" s="272" t="n"/>
      <c r="AK26" s="272" t="n"/>
      <c r="AL26" s="272" t="n"/>
      <c r="AM26" s="272" t="n"/>
      <c r="AN26" s="296" t="n">
        <v>44760</v>
      </c>
      <c r="AO26" s="296" t="n">
        <v>44760</v>
      </c>
      <c r="AP26" s="274" t="n">
        <v>0</v>
      </c>
      <c r="AQ26" s="1144">
        <f>IF($D26=$AQ$3,$M26-$AP26,0)</f>
        <v/>
      </c>
      <c r="AR26" s="1145">
        <f>IF($D26=$AR$3,$N26-$AP26,0)</f>
        <v/>
      </c>
      <c r="AT26" s="1146" t="inlineStr">
        <is>
          <t>m</t>
        </is>
      </c>
      <c r="AU26" s="1158">
        <f>AU25</f>
        <v/>
      </c>
      <c r="AV26" s="1146" t="n">
        <v>6.917</v>
      </c>
      <c r="AW26" s="1148">
        <f>AV26</f>
        <v/>
      </c>
      <c r="AX26" s="1149" t="n">
        <v>3.541997976001157</v>
      </c>
      <c r="AY26" s="1150">
        <f>AX26</f>
        <v/>
      </c>
      <c r="AZ26" s="1151">
        <f>INDEX('SM Support'!$G$3:$G$64,MATCH('Loan Tape - Settled'!G26,'SM Support'!$B$3:$B$64,0))/1000000</f>
        <v/>
      </c>
      <c r="BA26" s="1148">
        <f>AZ26</f>
        <v/>
      </c>
      <c r="BB26" s="1152" t="n"/>
      <c r="BC26" s="1153">
        <f>INDEX('SM Support'!$M$3:$M$64,MATCH('Loan Tape - Settled'!G26,'SM Support'!$B$3:$B$64,0))</f>
        <v/>
      </c>
      <c r="BD26" s="1154">
        <f>BC26</f>
        <v/>
      </c>
      <c r="BE26" s="1155" t="n">
        <v>3.14</v>
      </c>
      <c r="BF26" s="1156">
        <f>INDEX('SM Support'!O$3:O$64,MATCH('Loan Tape - Settled'!$G26,'SM Support'!$B$3:$B$64,0))</f>
        <v/>
      </c>
      <c r="BG26" s="1152" t="n"/>
      <c r="BH26" s="1152" t="n"/>
      <c r="BI26" s="1157">
        <f>INDEX('SM Support'!$M$3:$M$144,MATCH('Loan Tape - Settled'!G26,'SM Support'!$B$3:$B$144,0))</f>
        <v/>
      </c>
      <c r="BJ26" s="1157">
        <f>INDEX('SM Support'!$N$3:$N$144,MATCH('Loan Tape - Settled'!G26,'SM Support'!$B$3:$B$144,0))</f>
        <v/>
      </c>
    </row>
    <row r="27" ht="15" customHeight="1">
      <c r="A27" s="254">
        <f>CONCATENATE(C27,E27)</f>
        <v/>
      </c>
      <c r="B27" s="1137">
        <f>$A$2</f>
        <v/>
      </c>
      <c r="C27" s="286" t="inlineStr">
        <is>
          <t>smc</t>
        </is>
      </c>
      <c r="D27" s="287" t="inlineStr">
        <is>
          <t>Star Mountain Lower Middle-Market Capital Corp.</t>
        </is>
      </c>
      <c r="E27" s="288">
        <f>+E26+1</f>
        <v/>
      </c>
      <c r="F27" s="314">
        <f>F26+1</f>
        <v/>
      </c>
      <c r="G27" s="257" t="inlineStr">
        <is>
          <t>HighStar Traffic</t>
        </is>
      </c>
      <c r="H27" s="257" t="inlineStr">
        <is>
          <t>1st Lien</t>
        </is>
      </c>
      <c r="I27" s="258" t="n"/>
      <c r="J27" s="259" t="inlineStr">
        <is>
          <t>First Lien</t>
        </is>
      </c>
      <c r="K27" s="259" t="inlineStr">
        <is>
          <t>Term Loan</t>
        </is>
      </c>
      <c r="L27" s="291" t="inlineStr">
        <is>
          <t>USD</t>
        </is>
      </c>
      <c r="M27" s="1138">
        <f>INDEX('SM Support'!$D$3:$D$64,MATCH('Loan Tape - Settled'!G27,'SM Support'!$B$3:$B$62,0))</f>
        <v/>
      </c>
      <c r="N27" s="1139">
        <f>M27</f>
        <v/>
      </c>
      <c r="O27" s="1140" t="n"/>
      <c r="P27" s="1140" t="n"/>
      <c r="Q27" s="263" t="n">
        <v>1</v>
      </c>
      <c r="R27" s="295" t="n"/>
      <c r="S27" s="265">
        <f>INDEX('SM Support'!$E$3:$E$64,MATCH('Loan Tape - Settled'!G27,'SM Support'!$B$3:$B$64,0))/INDEX('SM Support'!$D$3:$D$64,MATCH('Loan Tape - Settled'!G27,'SM Support'!$B$3:$B$64,0))</f>
        <v/>
      </c>
      <c r="T27" s="257" t="inlineStr">
        <is>
          <t>United States</t>
        </is>
      </c>
      <c r="U27" s="297" t="n">
        <v>44768</v>
      </c>
      <c r="V27" s="1141" t="n">
        <v>46594</v>
      </c>
      <c r="W27" s="257" t="inlineStr">
        <is>
          <t>Floating</t>
        </is>
      </c>
      <c r="X27" s="298" t="inlineStr">
        <is>
          <t>Transportation Infrastructure</t>
        </is>
      </c>
      <c r="Y27" s="257" t="inlineStr">
        <is>
          <t>M</t>
        </is>
      </c>
      <c r="Z27" s="267" t="inlineStr">
        <is>
          <t>No</t>
        </is>
      </c>
      <c r="AA27" s="268" t="n"/>
      <c r="AB27" s="268" t="n"/>
      <c r="AC27" s="269" t="n">
        <v>0</v>
      </c>
      <c r="AD27" s="1142" t="n">
        <v>0</v>
      </c>
      <c r="AE27" s="1142" t="n">
        <v>0.09497999999999999</v>
      </c>
      <c r="AF27" s="1142" t="n">
        <v>0.01</v>
      </c>
      <c r="AG27" s="270" t="n"/>
      <c r="AH27" s="270" t="n"/>
      <c r="AI27" s="1143" t="n"/>
      <c r="AJ27" s="272" t="n"/>
      <c r="AK27" s="272" t="n"/>
      <c r="AL27" s="272" t="n"/>
      <c r="AM27" s="272" t="n"/>
      <c r="AN27" s="296" t="n">
        <v>44760</v>
      </c>
      <c r="AO27" s="296" t="n">
        <v>44760</v>
      </c>
      <c r="AP27" s="274" t="n">
        <v>0</v>
      </c>
      <c r="AQ27" s="1144">
        <f>IF($D27=$AQ$3,$M27-$AP27,0)</f>
        <v/>
      </c>
      <c r="AR27" s="1145">
        <f>IF($D27=$AR$3,$N27-$AP27,0)</f>
        <v/>
      </c>
      <c r="AT27" s="1146" t="inlineStr">
        <is>
          <t>m</t>
        </is>
      </c>
      <c r="AU27" s="1158">
        <f>AU26</f>
        <v/>
      </c>
      <c r="AV27" s="1146" t="n">
        <v>15.944</v>
      </c>
      <c r="AW27" s="1148">
        <f>AV27</f>
        <v/>
      </c>
      <c r="AX27" s="1149" t="n">
        <v>2.82237832413447</v>
      </c>
      <c r="AY27" s="1150">
        <f>AX27</f>
        <v/>
      </c>
      <c r="AZ27" s="1151">
        <f>INDEX('SM Support'!$G$3:$G$64,MATCH('Loan Tape - Settled'!G27,'SM Support'!$B$3:$B$64,0))/1000000</f>
        <v/>
      </c>
      <c r="BA27" s="1148">
        <f>AZ27</f>
        <v/>
      </c>
      <c r="BB27" s="1152" t="n"/>
      <c r="BC27" s="1153">
        <f>INDEX('SM Support'!$M$3:$M$64,MATCH('Loan Tape - Settled'!G27,'SM Support'!$B$3:$B$64,0))</f>
        <v/>
      </c>
      <c r="BD27" s="1154">
        <f>BC27</f>
        <v/>
      </c>
      <c r="BE27" s="1155" t="n">
        <v>3.15</v>
      </c>
      <c r="BF27" s="1156">
        <f>INDEX('SM Support'!O$3:O$64,MATCH('Loan Tape - Settled'!$G27,'SM Support'!$B$3:$B$64,0))</f>
        <v/>
      </c>
      <c r="BG27" s="1152" t="n"/>
      <c r="BH27" s="1152" t="n"/>
      <c r="BI27" s="1157">
        <f>INDEX('SM Support'!$M$3:$M$144,MATCH('Loan Tape - Settled'!G27,'SM Support'!$B$3:$B$144,0))</f>
        <v/>
      </c>
      <c r="BJ27" s="1157">
        <f>INDEX('SM Support'!$N$3:$N$144,MATCH('Loan Tape - Settled'!G27,'SM Support'!$B$3:$B$144,0))</f>
        <v/>
      </c>
    </row>
    <row r="28" ht="15" customHeight="1">
      <c r="A28" s="254">
        <f>CONCATENATE(C28,E28)</f>
        <v/>
      </c>
      <c r="B28" s="1137">
        <f>$A$2</f>
        <v/>
      </c>
      <c r="C28" s="286" t="inlineStr">
        <is>
          <t>smc</t>
        </is>
      </c>
      <c r="D28" s="287" t="inlineStr">
        <is>
          <t>Star Mountain Lower Middle-Market Capital Corp.</t>
        </is>
      </c>
      <c r="E28" s="288">
        <f>+E27+1</f>
        <v/>
      </c>
      <c r="F28" s="314">
        <f>F27+1</f>
        <v/>
      </c>
      <c r="G28" s="257" t="inlineStr">
        <is>
          <t>Five Iron Golf</t>
        </is>
      </c>
      <c r="H28" s="257" t="inlineStr">
        <is>
          <t>1st Lien</t>
        </is>
      </c>
      <c r="I28" s="258" t="n"/>
      <c r="J28" s="259" t="inlineStr">
        <is>
          <t>First Lien</t>
        </is>
      </c>
      <c r="K28" s="259" t="inlineStr">
        <is>
          <t>Term Loan</t>
        </is>
      </c>
      <c r="L28" s="291" t="inlineStr">
        <is>
          <t>USD</t>
        </is>
      </c>
      <c r="M28" s="1138">
        <f>INDEX('SM Support'!$D$3:$D$64,MATCH('Loan Tape - Settled'!G28,'SM Support'!$B$3:$B$62,0))</f>
        <v/>
      </c>
      <c r="N28" s="1139">
        <f>M28</f>
        <v/>
      </c>
      <c r="O28" s="1140" t="n"/>
      <c r="P28" s="1140" t="n"/>
      <c r="Q28" s="263" t="n">
        <v>1</v>
      </c>
      <c r="R28" s="295" t="n"/>
      <c r="S28" s="265">
        <f>INDEX('SM Support'!$E$3:$E$64,MATCH('Loan Tape - Settled'!G28,'SM Support'!$B$3:$B$64,0))/INDEX('SM Support'!$D$3:$D$64,MATCH('Loan Tape - Settled'!G28,'SM Support'!$B$3:$B$64,0))</f>
        <v/>
      </c>
      <c r="T28" s="257" t="inlineStr">
        <is>
          <t>United States</t>
        </is>
      </c>
      <c r="U28" s="304" t="n">
        <v>44819</v>
      </c>
      <c r="V28" s="1141" t="n">
        <v>46645</v>
      </c>
      <c r="W28" s="257" t="inlineStr">
        <is>
          <t>Floating</t>
        </is>
      </c>
      <c r="X28" s="305" t="inlineStr">
        <is>
          <t>Hotels, Restaurants &amp; Leisure</t>
        </is>
      </c>
      <c r="Y28" s="257" t="inlineStr">
        <is>
          <t>M</t>
        </is>
      </c>
      <c r="Z28" s="267" t="inlineStr">
        <is>
          <t>No</t>
        </is>
      </c>
      <c r="AA28" s="268" t="n"/>
      <c r="AB28" s="268" t="n"/>
      <c r="AC28" s="269" t="n">
        <v>0</v>
      </c>
      <c r="AD28" s="1142" t="n">
        <v>0</v>
      </c>
      <c r="AE28" s="1142" t="n">
        <v>0.0761448</v>
      </c>
      <c r="AF28" s="1142" t="n">
        <v>0.01</v>
      </c>
      <c r="AG28" s="270" t="n"/>
      <c r="AH28" s="270" t="n"/>
      <c r="AI28" s="1143" t="n"/>
      <c r="AJ28" s="272" t="n"/>
      <c r="AK28" s="272" t="n"/>
      <c r="AL28" s="272" t="n"/>
      <c r="AM28" s="272" t="n"/>
      <c r="AN28" s="308" t="n">
        <v>44817</v>
      </c>
      <c r="AO28" s="308" t="n">
        <v>44816</v>
      </c>
      <c r="AP28" s="274" t="n">
        <v>0</v>
      </c>
      <c r="AQ28" s="1144">
        <f>IF($D28=$AQ$3,$M28-$AP28,0)</f>
        <v/>
      </c>
      <c r="AR28" s="1145">
        <f>IF($D28=$AR$3,$N28-$AP28,0)</f>
        <v/>
      </c>
      <c r="AT28" s="1146" t="inlineStr">
        <is>
          <t>m</t>
        </is>
      </c>
      <c r="AU28" s="1158">
        <f>AU27</f>
        <v/>
      </c>
      <c r="AV28" s="1146" t="n">
        <v>2.786</v>
      </c>
      <c r="AW28" s="1148">
        <f>AV28</f>
        <v/>
      </c>
      <c r="AX28" s="1159" t="n">
        <v>5.384063173007896</v>
      </c>
      <c r="AY28" s="1154">
        <f>AX28</f>
        <v/>
      </c>
      <c r="AZ28" s="1151">
        <f>INDEX('SM Support'!$G$3:$G$64,MATCH('Loan Tape - Settled'!G28,'SM Support'!$B$3:$B$64,0))/1000000</f>
        <v/>
      </c>
      <c r="BA28" s="1148">
        <f>AZ28</f>
        <v/>
      </c>
      <c r="BB28" s="1152" t="n"/>
      <c r="BC28" s="1153">
        <f>INDEX('SM Support'!$M$3:$M$64,MATCH('Loan Tape - Settled'!G28,'SM Support'!$B$3:$B$64,0))</f>
        <v/>
      </c>
      <c r="BD28" s="1154">
        <f>BC28</f>
        <v/>
      </c>
      <c r="BE28" s="1155" t="n">
        <v>1.55</v>
      </c>
      <c r="BF28" s="1156">
        <f>INDEX('SM Support'!O$3:O$64,MATCH('Loan Tape - Settled'!$G28,'SM Support'!$B$3:$B$64,0))</f>
        <v/>
      </c>
      <c r="BG28" s="1152" t="n"/>
      <c r="BH28" s="1152" t="n"/>
      <c r="BI28" s="1157">
        <f>INDEX('SM Support'!$M$3:$M$144,MATCH('Loan Tape - Settled'!G28,'SM Support'!$B$3:$B$144,0))</f>
        <v/>
      </c>
      <c r="BJ28" s="1157">
        <f>INDEX('SM Support'!$N$3:$N$144,MATCH('Loan Tape - Settled'!G28,'SM Support'!$B$3:$B$144,0))</f>
        <v/>
      </c>
    </row>
    <row r="29" ht="15" customHeight="1">
      <c r="A29" s="254">
        <f>CONCATENATE(C29,E29)</f>
        <v/>
      </c>
      <c r="B29" s="1137">
        <f>$A$2</f>
        <v/>
      </c>
      <c r="C29" s="286" t="inlineStr">
        <is>
          <t>smc</t>
        </is>
      </c>
      <c r="D29" s="287" t="inlineStr">
        <is>
          <t>Star Mountain Lower Middle-Market Capital Corp.</t>
        </is>
      </c>
      <c r="E29" s="288">
        <f>+E28+1</f>
        <v/>
      </c>
      <c r="F29" s="314">
        <f>F28+1</f>
        <v/>
      </c>
      <c r="G29" s="257" t="inlineStr">
        <is>
          <t>48forty Intermediate Holdings, Inc.</t>
        </is>
      </c>
      <c r="H29" s="257" t="inlineStr">
        <is>
          <t>1st Lien</t>
        </is>
      </c>
      <c r="I29" s="258" t="n"/>
      <c r="J29" s="259" t="inlineStr">
        <is>
          <t>First Lien</t>
        </is>
      </c>
      <c r="K29" s="259" t="inlineStr">
        <is>
          <t>Term Loan</t>
        </is>
      </c>
      <c r="L29" s="291" t="inlineStr">
        <is>
          <t>USD</t>
        </is>
      </c>
      <c r="M29" s="1138">
        <f>INDEX('SM Support'!$D$3:$D$64,MATCH('Loan Tape - Settled'!G29,'SM Support'!$B$3:$B$62,0))</f>
        <v/>
      </c>
      <c r="N29" s="1139">
        <f>M29</f>
        <v/>
      </c>
      <c r="O29" s="1140" t="n"/>
      <c r="P29" s="1140" t="n"/>
      <c r="Q29" s="263" t="n">
        <v>1</v>
      </c>
      <c r="R29" s="295" t="n"/>
      <c r="S29" s="265">
        <f>INDEX('SM Support'!$E$3:$E$64,MATCH('Loan Tape - Settled'!G29,'SM Support'!$B$3:$B$64,0))/INDEX('SM Support'!$D$3:$D$64,MATCH('Loan Tape - Settled'!G29,'SM Support'!$B$3:$B$64,0))</f>
        <v/>
      </c>
      <c r="T29" s="257" t="inlineStr">
        <is>
          <t>United States</t>
        </is>
      </c>
      <c r="U29" s="304" t="n">
        <v>44845</v>
      </c>
      <c r="V29" s="1141" t="n">
        <v>47452</v>
      </c>
      <c r="W29" s="257" t="inlineStr">
        <is>
          <t>Floating</t>
        </is>
      </c>
      <c r="X29" s="305" t="inlineStr">
        <is>
          <t>Distributors</t>
        </is>
      </c>
      <c r="Y29" s="257" t="inlineStr">
        <is>
          <t>M</t>
        </is>
      </c>
      <c r="Z29" s="267" t="inlineStr">
        <is>
          <t>No</t>
        </is>
      </c>
      <c r="AA29" s="268" t="n"/>
      <c r="AB29" s="268" t="n"/>
      <c r="AC29" s="269" t="n">
        <v>0</v>
      </c>
      <c r="AD29" s="1142" t="n">
        <v>0</v>
      </c>
      <c r="AE29" s="1142" t="n">
        <v>0.06100000000000001</v>
      </c>
      <c r="AF29" s="1142" t="n">
        <v>0.01</v>
      </c>
      <c r="AG29" s="270" t="n"/>
      <c r="AH29" s="270" t="n"/>
      <c r="AI29" s="1143" t="n"/>
      <c r="AJ29" s="272" t="n"/>
      <c r="AK29" s="272" t="n"/>
      <c r="AL29" s="272" t="n"/>
      <c r="AM29" s="272" t="n"/>
      <c r="AN29" s="308" t="n">
        <v>44845</v>
      </c>
      <c r="AO29" s="308" t="n">
        <v>44845</v>
      </c>
      <c r="AP29" s="274" t="n">
        <v>0</v>
      </c>
      <c r="AQ29" s="1144">
        <f>IF($D29=$AQ$3,$M29-$AP29,0)</f>
        <v/>
      </c>
      <c r="AR29" s="1145">
        <f>IF($D29=$AR$3,$N29-$AP29,0)</f>
        <v/>
      </c>
      <c r="AT29" s="1146" t="inlineStr">
        <is>
          <t>m</t>
        </is>
      </c>
      <c r="AU29" s="1158">
        <f>AU28</f>
        <v/>
      </c>
      <c r="AV29" s="1146" t="n">
        <v>392</v>
      </c>
      <c r="AW29" s="1148">
        <f>AV29</f>
        <v/>
      </c>
      <c r="AX29" s="1159" t="n">
        <v>4.400385204081632</v>
      </c>
      <c r="AY29" s="1154">
        <f>AX29</f>
        <v/>
      </c>
      <c r="AZ29" s="1151">
        <f>INDEX('SM Support'!$G$3:$G$64,MATCH('Loan Tape - Settled'!G29,'SM Support'!$B$3:$B$64,0))/1000000</f>
        <v/>
      </c>
      <c r="BA29" s="1148">
        <f>AZ29</f>
        <v/>
      </c>
      <c r="BB29" s="1152" t="n"/>
      <c r="BC29" s="1153">
        <f>INDEX('SM Support'!$M$3:$M$64,MATCH('Loan Tape - Settled'!G29,'SM Support'!$B$3:$B$64,0))</f>
        <v/>
      </c>
      <c r="BD29" s="1154">
        <f>BC29</f>
        <v/>
      </c>
      <c r="BE29" s="1155" t="n">
        <v>2.03</v>
      </c>
      <c r="BF29" s="1156">
        <f>INDEX('SM Support'!O$3:O$64,MATCH('Loan Tape - Settled'!$G29,'SM Support'!$B$3:$B$64,0))</f>
        <v/>
      </c>
      <c r="BG29" s="1152" t="n"/>
      <c r="BH29" s="1152" t="n"/>
      <c r="BI29" s="1157">
        <f>INDEX('SM Support'!$M$3:$M$144,MATCH('Loan Tape - Settled'!G29,'SM Support'!$B$3:$B$144,0))</f>
        <v/>
      </c>
      <c r="BJ29" s="1157">
        <f>INDEX('SM Support'!$N$3:$N$144,MATCH('Loan Tape - Settled'!G29,'SM Support'!$B$3:$B$144,0))</f>
        <v/>
      </c>
    </row>
    <row r="30" ht="15" customHeight="1">
      <c r="A30" s="254">
        <f>CONCATENATE(C30,E30)</f>
        <v/>
      </c>
      <c r="B30" s="1137">
        <f>$A$2</f>
        <v/>
      </c>
      <c r="C30" s="286" t="inlineStr">
        <is>
          <t>smc</t>
        </is>
      </c>
      <c r="D30" s="287" t="inlineStr">
        <is>
          <t>Star Mountain Lower Middle-Market Capital Corp.</t>
        </is>
      </c>
      <c r="E30" s="288">
        <f>+E29+1</f>
        <v/>
      </c>
      <c r="F30" s="314">
        <f>F29+1</f>
        <v/>
      </c>
      <c r="G30" s="257" t="inlineStr">
        <is>
          <t>Rip-It</t>
        </is>
      </c>
      <c r="H30" s="257" t="inlineStr">
        <is>
          <t>First Lien</t>
        </is>
      </c>
      <c r="I30" s="258" t="n"/>
      <c r="J30" s="259" t="inlineStr">
        <is>
          <t>First Lien</t>
        </is>
      </c>
      <c r="K30" s="259" t="inlineStr">
        <is>
          <t>Term Loan</t>
        </is>
      </c>
      <c r="L30" s="291" t="inlineStr">
        <is>
          <t>USD</t>
        </is>
      </c>
      <c r="M30" s="1138">
        <f>INDEX('SM Support'!$D$3:$D$64,MATCH('Loan Tape - Settled'!G30,'SM Support'!$B$3:$B$62,0))</f>
        <v/>
      </c>
      <c r="N30" s="1139">
        <f>M30</f>
        <v/>
      </c>
      <c r="O30" s="1140" t="n"/>
      <c r="P30" s="1140" t="n"/>
      <c r="Q30" s="263" t="n">
        <v>1</v>
      </c>
      <c r="R30" s="295" t="n"/>
      <c r="S30" s="265">
        <f>INDEX('SM Support'!$E$3:$E$64,MATCH('Loan Tape - Settled'!G30,'SM Support'!$B$3:$B$64,0))/INDEX('SM Support'!$D$3:$D$64,MATCH('Loan Tape - Settled'!G30,'SM Support'!$B$3:$B$64,0))</f>
        <v/>
      </c>
      <c r="T30" s="257" t="inlineStr">
        <is>
          <t>United States</t>
        </is>
      </c>
      <c r="U30" s="304" t="n">
        <v>44845</v>
      </c>
      <c r="V30" s="1141" t="n">
        <v>46671</v>
      </c>
      <c r="W30" s="257" t="inlineStr">
        <is>
          <t>Floating</t>
        </is>
      </c>
      <c r="X30" s="305" t="inlineStr">
        <is>
          <t>Specialty Retail</t>
        </is>
      </c>
      <c r="Y30" s="257" t="inlineStr">
        <is>
          <t>M</t>
        </is>
      </c>
      <c r="Z30" s="267" t="inlineStr">
        <is>
          <t>No</t>
        </is>
      </c>
      <c r="AA30" s="268" t="n"/>
      <c r="AB30" s="268" t="n"/>
      <c r="AC30" s="269" t="n">
        <v>0</v>
      </c>
      <c r="AD30" s="1142" t="n">
        <v>0.065</v>
      </c>
      <c r="AE30" s="1142" t="n">
        <v>0.0415017</v>
      </c>
      <c r="AF30" s="1142" t="n">
        <v>0.015</v>
      </c>
      <c r="AG30" s="270" t="n"/>
      <c r="AH30" s="270" t="n"/>
      <c r="AI30" s="1143" t="n"/>
      <c r="AJ30" s="272" t="n"/>
      <c r="AK30" s="272" t="n"/>
      <c r="AL30" s="272" t="n"/>
      <c r="AM30" s="272" t="n"/>
      <c r="AN30" s="308" t="n">
        <v>44845</v>
      </c>
      <c r="AO30" s="308" t="n">
        <v>44845</v>
      </c>
      <c r="AP30" s="274" t="n">
        <v>0</v>
      </c>
      <c r="AQ30" s="1144">
        <f>IF($D30=$AQ$3,$M30-$AP30,0)</f>
        <v/>
      </c>
      <c r="AR30" s="1145">
        <f>IF($D30=$AR$3,$N30-$AP30,0)</f>
        <v/>
      </c>
      <c r="AT30" s="1146" t="inlineStr">
        <is>
          <t>m</t>
        </is>
      </c>
      <c r="AU30" s="1158">
        <f>AU29</f>
        <v/>
      </c>
      <c r="AV30" s="1146" t="n">
        <v>5.918</v>
      </c>
      <c r="AW30" s="1148">
        <f>AV30</f>
        <v/>
      </c>
      <c r="AX30" s="1159" t="n">
        <v>2.905542412977357</v>
      </c>
      <c r="AY30" s="1154">
        <f>AX30</f>
        <v/>
      </c>
      <c r="AZ30" s="1151">
        <f>INDEX('SM Support'!$G$3:$G$64,MATCH('Loan Tape - Settled'!G30,'SM Support'!$B$3:$B$64,0))/1000000</f>
        <v/>
      </c>
      <c r="BA30" s="1148">
        <f>AZ30</f>
        <v/>
      </c>
      <c r="BB30" s="1152" t="n"/>
      <c r="BC30" s="1153">
        <f>INDEX('SM Support'!$M$3:$M$64,MATCH('Loan Tape - Settled'!G30,'SM Support'!$B$3:$B$64,0))</f>
        <v/>
      </c>
      <c r="BD30" s="1154">
        <f>BC30</f>
        <v/>
      </c>
      <c r="BE30" s="1155" t="n">
        <v>3.3</v>
      </c>
      <c r="BF30" s="1156">
        <f>INDEX('SM Support'!O$3:O$64,MATCH('Loan Tape - Settled'!$G30,'SM Support'!$B$3:$B$64,0))</f>
        <v/>
      </c>
      <c r="BG30" s="1152" t="n"/>
      <c r="BH30" s="1152" t="n"/>
      <c r="BI30" s="1157">
        <f>INDEX('SM Support'!$M$3:$M$144,MATCH('Loan Tape - Settled'!G30,'SM Support'!$B$3:$B$144,0))</f>
        <v/>
      </c>
      <c r="BJ30" s="1157">
        <f>INDEX('SM Support'!$N$3:$N$144,MATCH('Loan Tape - Settled'!G30,'SM Support'!$B$3:$B$144,0))</f>
        <v/>
      </c>
    </row>
    <row r="31" ht="15" customHeight="1">
      <c r="A31" s="254">
        <f>CONCATENATE(C31,E31)</f>
        <v/>
      </c>
      <c r="B31" s="1137">
        <f>$A$2</f>
        <v/>
      </c>
      <c r="C31" s="286" t="inlineStr">
        <is>
          <t>smc</t>
        </is>
      </c>
      <c r="D31" s="287" t="inlineStr">
        <is>
          <t>Star Mountain Lower Middle-Market Capital Corp.</t>
        </is>
      </c>
      <c r="E31" s="288">
        <f>+E30+1</f>
        <v/>
      </c>
      <c r="F31" s="314">
        <f>F30+1</f>
        <v/>
      </c>
      <c r="G31" s="257" t="inlineStr">
        <is>
          <t>NW Entertainment, LLC</t>
        </is>
      </c>
      <c r="H31" s="257" t="inlineStr">
        <is>
          <t>1st Lien</t>
        </is>
      </c>
      <c r="I31" s="258" t="n"/>
      <c r="J31" s="259" t="inlineStr">
        <is>
          <t>First Lien</t>
        </is>
      </c>
      <c r="K31" s="259" t="inlineStr">
        <is>
          <t>Term Loan</t>
        </is>
      </c>
      <c r="L31" s="291" t="inlineStr">
        <is>
          <t>USD</t>
        </is>
      </c>
      <c r="M31" s="1138">
        <f>INDEX('SM Support'!$D$3:$D$64,MATCH('Loan Tape - Settled'!G31,'SM Support'!$B$3:$B$62,0))</f>
        <v/>
      </c>
      <c r="N31" s="1139">
        <f>M31</f>
        <v/>
      </c>
      <c r="O31" s="1140" t="n"/>
      <c r="P31" s="1140" t="n"/>
      <c r="Q31" s="263" t="n">
        <v>1</v>
      </c>
      <c r="R31" s="295" t="n"/>
      <c r="S31" s="265">
        <f>INDEX('SM Support'!$E$3:$E$64,MATCH('Loan Tape - Settled'!G31,'SM Support'!$B$3:$B$64,0))/INDEX('SM Support'!$D$3:$D$64,MATCH('Loan Tape - Settled'!G31,'SM Support'!$B$3:$B$64,0))</f>
        <v/>
      </c>
      <c r="T31" s="257" t="inlineStr">
        <is>
          <t>United States</t>
        </is>
      </c>
      <c r="U31" s="304" t="n">
        <v>44869</v>
      </c>
      <c r="V31" s="1141" t="n">
        <v>46695</v>
      </c>
      <c r="W31" s="257" t="inlineStr">
        <is>
          <t>Floating</t>
        </is>
      </c>
      <c r="X31" s="305" t="inlineStr">
        <is>
          <t>Entertainment</t>
        </is>
      </c>
      <c r="Y31" s="257" t="inlineStr">
        <is>
          <t>M</t>
        </is>
      </c>
      <c r="Z31" s="267" t="inlineStr">
        <is>
          <t>No</t>
        </is>
      </c>
      <c r="AA31" s="268" t="n"/>
      <c r="AB31" s="268" t="n"/>
      <c r="AC31" s="269" t="n">
        <v>0</v>
      </c>
      <c r="AD31" s="1142" t="n">
        <v>0</v>
      </c>
      <c r="AE31" s="1142" t="n">
        <v>0.0851161</v>
      </c>
      <c r="AF31" s="1142" t="n">
        <v>0.01</v>
      </c>
      <c r="AG31" s="309" t="n"/>
      <c r="AH31" s="309" t="n"/>
      <c r="AI31" s="1160" t="n"/>
      <c r="AJ31" s="292" t="n"/>
      <c r="AK31" s="292" t="n"/>
      <c r="AL31" s="292" t="n"/>
      <c r="AM31" s="292" t="n"/>
      <c r="AN31" s="308" t="n">
        <v>44869</v>
      </c>
      <c r="AO31" s="308" t="n">
        <v>44869</v>
      </c>
      <c r="AP31" s="274" t="n">
        <v>0</v>
      </c>
      <c r="AQ31" s="1144">
        <f>IF($D31=$AQ$3,$M31-$AP31,0)</f>
        <v/>
      </c>
      <c r="AR31" s="1145">
        <f>IF($D31=$AR$3,$N31-$AP31,0)</f>
        <v/>
      </c>
      <c r="AT31" s="1146" t="inlineStr">
        <is>
          <t>m</t>
        </is>
      </c>
      <c r="AU31" s="1158">
        <f>AU30</f>
        <v/>
      </c>
      <c r="AV31" s="1146" t="n">
        <v>15.754</v>
      </c>
      <c r="AW31" s="1148">
        <f>AV31</f>
        <v/>
      </c>
      <c r="AX31" s="1159" t="n">
        <v>3.14205915957852</v>
      </c>
      <c r="AY31" s="1154">
        <f>AX31</f>
        <v/>
      </c>
      <c r="AZ31" s="1151">
        <f>INDEX('SM Support'!$G$3:$G$64,MATCH('Loan Tape - Settled'!G31,'SM Support'!$B$3:$B$64,0))/1000000</f>
        <v/>
      </c>
      <c r="BA31" s="1148">
        <f>AZ31</f>
        <v/>
      </c>
      <c r="BB31" s="1152" t="n"/>
      <c r="BC31" s="1153">
        <f>INDEX('SM Support'!$M$3:$M$64,MATCH('Loan Tape - Settled'!G31,'SM Support'!$B$3:$B$64,0))</f>
        <v/>
      </c>
      <c r="BD31" s="1154">
        <f>BC31</f>
        <v/>
      </c>
      <c r="BE31" s="1155" t="n">
        <v>2.54</v>
      </c>
      <c r="BF31" s="1156">
        <f>INDEX('SM Support'!O$3:O$64,MATCH('Loan Tape - Settled'!$G31,'SM Support'!$B$3:$B$64,0))</f>
        <v/>
      </c>
      <c r="BG31" s="1152" t="n"/>
      <c r="BH31" s="1152" t="n"/>
      <c r="BI31" s="1157">
        <f>INDEX('SM Support'!$M$3:$M$144,MATCH('Loan Tape - Settled'!G31,'SM Support'!$B$3:$B$144,0))</f>
        <v/>
      </c>
      <c r="BJ31" s="1157">
        <f>INDEX('SM Support'!$N$3:$N$144,MATCH('Loan Tape - Settled'!G31,'SM Support'!$B$3:$B$144,0))</f>
        <v/>
      </c>
    </row>
    <row r="32" ht="15" customHeight="1">
      <c r="A32" s="254">
        <f>CONCATENATE(C32,E32)</f>
        <v/>
      </c>
      <c r="B32" s="1137">
        <f>$A$2</f>
        <v/>
      </c>
      <c r="C32" s="286" t="inlineStr">
        <is>
          <t>smc</t>
        </is>
      </c>
      <c r="D32" s="287" t="inlineStr">
        <is>
          <t>Star Mountain Lower Middle-Market Capital Corp.</t>
        </is>
      </c>
      <c r="E32" s="288">
        <f>+E31+1</f>
        <v/>
      </c>
      <c r="F32" s="314">
        <f>F31+1</f>
        <v/>
      </c>
      <c r="G32" s="257" t="inlineStr">
        <is>
          <t>USBid Inc.</t>
        </is>
      </c>
      <c r="H32" s="257" t="inlineStr">
        <is>
          <t>FILO</t>
        </is>
      </c>
      <c r="I32" s="258" t="n"/>
      <c r="J32" s="259" t="inlineStr">
        <is>
          <t>FILO</t>
        </is>
      </c>
      <c r="K32" s="259" t="inlineStr">
        <is>
          <t>Term Loan</t>
        </is>
      </c>
      <c r="L32" s="291" t="inlineStr">
        <is>
          <t>USD</t>
        </is>
      </c>
      <c r="M32" s="1138">
        <f>INDEX('SM Support'!$D$3:$D$64,MATCH('Loan Tape - Settled'!G32,'SM Support'!$B$3:$B$62,0))</f>
        <v/>
      </c>
      <c r="N32" s="1139">
        <f>M32</f>
        <v/>
      </c>
      <c r="O32" s="1140" t="n"/>
      <c r="P32" s="1140" t="n"/>
      <c r="Q32" s="263" t="n">
        <v>1</v>
      </c>
      <c r="R32" s="295" t="n"/>
      <c r="S32" s="265">
        <f>INDEX('SM Support'!$E$3:$E$64,MATCH('Loan Tape - Settled'!G32,'SM Support'!$B$3:$B$64,0))/INDEX('SM Support'!$D$3:$D$64,MATCH('Loan Tape - Settled'!G32,'SM Support'!$B$3:$B$64,0))</f>
        <v/>
      </c>
      <c r="T32" s="257" t="inlineStr">
        <is>
          <t>United States</t>
        </is>
      </c>
      <c r="U32" s="304" t="n">
        <v>44868</v>
      </c>
      <c r="V32" s="1141" t="n">
        <v>46694</v>
      </c>
      <c r="W32" s="257" t="inlineStr">
        <is>
          <t>Floating</t>
        </is>
      </c>
      <c r="X32" s="305" t="inlineStr">
        <is>
          <t>Trading Companies &amp; Distributors</t>
        </is>
      </c>
      <c r="Y32" s="257" t="inlineStr">
        <is>
          <t>M</t>
        </is>
      </c>
      <c r="Z32" s="267" t="inlineStr">
        <is>
          <t>No</t>
        </is>
      </c>
      <c r="AA32" s="268" t="n"/>
      <c r="AB32" s="268" t="n"/>
      <c r="AC32" s="269" t="n">
        <v>0</v>
      </c>
      <c r="AD32" s="1142" t="n">
        <v>0</v>
      </c>
      <c r="AE32" s="1142" t="n">
        <v>0.084139015569</v>
      </c>
      <c r="AF32" s="1142" t="n">
        <v>0.01</v>
      </c>
      <c r="AG32" s="309" t="n"/>
      <c r="AH32" s="309" t="n"/>
      <c r="AI32" s="1160" t="n"/>
      <c r="AJ32" s="292" t="n"/>
      <c r="AK32" s="292" t="n"/>
      <c r="AL32" s="292" t="n"/>
      <c r="AM32" s="292" t="n"/>
      <c r="AN32" s="308" t="n">
        <v>44868</v>
      </c>
      <c r="AO32" s="308" t="n">
        <v>44868</v>
      </c>
      <c r="AP32" s="274" t="n">
        <v>0</v>
      </c>
      <c r="AQ32" s="1144">
        <f>IF($D32=$AQ$3,$M32-$AP32,0)</f>
        <v/>
      </c>
      <c r="AR32" s="1145">
        <f>IF($D32=$AR$3,$N32-$AP32,0)</f>
        <v/>
      </c>
      <c r="AT32" s="1146" t="inlineStr">
        <is>
          <t>m</t>
        </is>
      </c>
      <c r="AU32" s="1158">
        <f>AU31</f>
        <v/>
      </c>
      <c r="AV32" s="1146" t="n">
        <v>13.033</v>
      </c>
      <c r="AW32" s="1148">
        <f>AV32</f>
        <v/>
      </c>
      <c r="AX32" s="1159" t="n">
        <v>3.069132202869639</v>
      </c>
      <c r="AY32" s="1154">
        <f>AX32</f>
        <v/>
      </c>
      <c r="AZ32" s="1151">
        <f>INDEX('SM Support'!$G$3:$G$64,MATCH('Loan Tape - Settled'!G32,'SM Support'!$B$3:$B$64,0))/1000000</f>
        <v/>
      </c>
      <c r="BA32" s="1148">
        <f>AZ32</f>
        <v/>
      </c>
      <c r="BB32" s="1152" t="n"/>
      <c r="BC32" s="1153">
        <f>INDEX('SM Support'!$M$3:$M$64,MATCH('Loan Tape - Settled'!G32,'SM Support'!$B$3:$B$64,0))</f>
        <v/>
      </c>
      <c r="BD32" s="1154">
        <f>BC32</f>
        <v/>
      </c>
      <c r="BE32" s="1155" t="n">
        <v>2.8</v>
      </c>
      <c r="BF32" s="1156">
        <f>INDEX('SM Support'!O$3:O$64,MATCH('Loan Tape - Settled'!$G32,'SM Support'!$B$3:$B$64,0))</f>
        <v/>
      </c>
      <c r="BG32" s="1152" t="n"/>
      <c r="BH32" s="1152" t="n"/>
      <c r="BI32" s="1157">
        <f>INDEX('SM Support'!$M$3:$M$144,MATCH('Loan Tape - Settled'!G32,'SM Support'!$B$3:$B$144,0))</f>
        <v/>
      </c>
      <c r="BJ32" s="1157">
        <f>INDEX('SM Support'!$N$3:$N$144,MATCH('Loan Tape - Settled'!G32,'SM Support'!$B$3:$B$144,0))</f>
        <v/>
      </c>
    </row>
    <row r="33" ht="15" customHeight="1">
      <c r="A33" s="254">
        <f>CONCATENATE(C33,E33)</f>
        <v/>
      </c>
      <c r="B33" s="1137">
        <f>$A$2</f>
        <v/>
      </c>
      <c r="C33" s="286" t="inlineStr">
        <is>
          <t>smc</t>
        </is>
      </c>
      <c r="D33" s="287" t="inlineStr">
        <is>
          <t>Star Mountain Lower Middle-Market Capital Corp.</t>
        </is>
      </c>
      <c r="E33" s="288">
        <f>+E32+1</f>
        <v/>
      </c>
      <c r="F33" s="314">
        <f>F32+1</f>
        <v/>
      </c>
      <c r="G33" s="257" t="inlineStr">
        <is>
          <t>Masterwork Electronics</t>
        </is>
      </c>
      <c r="H33" s="257" t="inlineStr">
        <is>
          <t>1st Lien</t>
        </is>
      </c>
      <c r="I33" s="258" t="n"/>
      <c r="J33" s="259" t="inlineStr">
        <is>
          <t>First Lien</t>
        </is>
      </c>
      <c r="K33" s="259" t="inlineStr">
        <is>
          <t>Term Loan</t>
        </is>
      </c>
      <c r="L33" s="291" t="inlineStr">
        <is>
          <t>USD</t>
        </is>
      </c>
      <c r="M33" s="1138">
        <f>INDEX('SM Support'!$D$3:$D$64,MATCH('Loan Tape - Settled'!G33,'SM Support'!$B$3:$B$62,0))</f>
        <v/>
      </c>
      <c r="N33" s="1139">
        <f>M33</f>
        <v/>
      </c>
      <c r="O33" s="1140" t="n"/>
      <c r="P33" s="1140" t="n"/>
      <c r="Q33" s="263" t="n">
        <v>1</v>
      </c>
      <c r="R33" s="295" t="n"/>
      <c r="S33" s="265">
        <f>INDEX('SM Support'!$E$3:$E$64,MATCH('Loan Tape - Settled'!G33,'SM Support'!$B$3:$B$64,0))/INDEX('SM Support'!$D$3:$D$64,MATCH('Loan Tape - Settled'!G33,'SM Support'!$B$3:$B$64,0))</f>
        <v/>
      </c>
      <c r="T33" s="257" t="inlineStr">
        <is>
          <t>United States</t>
        </is>
      </c>
      <c r="U33" s="304" t="n">
        <v>44882</v>
      </c>
      <c r="V33" s="1141" t="n">
        <v>46890</v>
      </c>
      <c r="W33" s="257" t="inlineStr">
        <is>
          <t>Floating</t>
        </is>
      </c>
      <c r="X33" s="305" t="inlineStr">
        <is>
          <t>Electrical Equipment</t>
        </is>
      </c>
      <c r="Y33" s="257" t="inlineStr">
        <is>
          <t>M</t>
        </is>
      </c>
      <c r="Z33" s="267" t="inlineStr">
        <is>
          <t>No</t>
        </is>
      </c>
      <c r="AA33" s="268" t="n"/>
      <c r="AB33" s="268" t="n"/>
      <c r="AC33" s="269" t="n">
        <v>0</v>
      </c>
      <c r="AD33" s="1142" t="n">
        <v>0.03542257580524513</v>
      </c>
      <c r="AE33" s="1142" t="n">
        <v>0.06055984088763968</v>
      </c>
      <c r="AF33" s="1142" t="n">
        <v>0.01</v>
      </c>
      <c r="AG33" s="270" t="n"/>
      <c r="AH33" s="270" t="n"/>
      <c r="AI33" s="1143" t="n"/>
      <c r="AJ33" s="272" t="n"/>
      <c r="AK33" s="272" t="n"/>
      <c r="AL33" s="272" t="n"/>
      <c r="AM33" s="272" t="n"/>
      <c r="AN33" s="308" t="n">
        <v>44883</v>
      </c>
      <c r="AO33" s="308" t="n">
        <v>44883</v>
      </c>
      <c r="AP33" s="274" t="n">
        <v>0</v>
      </c>
      <c r="AQ33" s="1144">
        <f>IF($D33=$AQ$3,$M33-$AP33,0)</f>
        <v/>
      </c>
      <c r="AR33" s="1145">
        <f>IF($D33=$AR$3,$N33-$AP33,0)</f>
        <v/>
      </c>
      <c r="AT33" s="1146" t="inlineStr">
        <is>
          <t>m</t>
        </is>
      </c>
      <c r="AU33" s="1158">
        <f>AU32</f>
        <v/>
      </c>
      <c r="AV33" s="1146" t="n">
        <v>10.069</v>
      </c>
      <c r="AW33" s="1148">
        <f>AV33</f>
        <v/>
      </c>
      <c r="AX33" s="1159" t="n">
        <v>4.220875955904261</v>
      </c>
      <c r="AY33" s="1154">
        <f>AX33</f>
        <v/>
      </c>
      <c r="AZ33" s="1151">
        <f>INDEX('SM Support'!$G$3:$G$64,MATCH('Loan Tape - Settled'!G33,'SM Support'!$B$3:$B$64,0))/1000000</f>
        <v/>
      </c>
      <c r="BA33" s="1148">
        <f>AZ33</f>
        <v/>
      </c>
      <c r="BB33" s="1152" t="n"/>
      <c r="BC33" s="1153">
        <f>INDEX('SM Support'!$M$3:$M$64,MATCH('Loan Tape - Settled'!G33,'SM Support'!$B$3:$B$64,0))</f>
        <v/>
      </c>
      <c r="BD33" s="1154">
        <f>BC33</f>
        <v/>
      </c>
      <c r="BE33" s="1155" t="n">
        <v>2.1</v>
      </c>
      <c r="BF33" s="1156">
        <f>INDEX('SM Support'!O$3:O$64,MATCH('Loan Tape - Settled'!$G33,'SM Support'!$B$3:$B$64,0))</f>
        <v/>
      </c>
      <c r="BG33" s="1152" t="n"/>
      <c r="BH33" s="1152" t="n"/>
      <c r="BI33" s="1157">
        <f>INDEX('SM Support'!$M$3:$M$144,MATCH('Loan Tape - Settled'!G33,'SM Support'!$B$3:$B$144,0))</f>
        <v/>
      </c>
      <c r="BJ33" s="1157">
        <f>INDEX('SM Support'!$N$3:$N$144,MATCH('Loan Tape - Settled'!G33,'SM Support'!$B$3:$B$144,0))</f>
        <v/>
      </c>
    </row>
    <row r="34" ht="15" customHeight="1">
      <c r="A34" s="254">
        <f>CONCATENATE(C34,E34)</f>
        <v/>
      </c>
      <c r="B34" s="1137">
        <f>$A$2</f>
        <v/>
      </c>
      <c r="C34" s="286" t="inlineStr">
        <is>
          <t>smc</t>
        </is>
      </c>
      <c r="D34" s="287" t="inlineStr">
        <is>
          <t>Star Mountain Lower Middle-Market Capital Corp.</t>
        </is>
      </c>
      <c r="E34" s="288">
        <f>+E33+1</f>
        <v/>
      </c>
      <c r="F34" s="314">
        <f>F33+1</f>
        <v/>
      </c>
      <c r="G34" s="257" t="inlineStr">
        <is>
          <t>Gridsource</t>
        </is>
      </c>
      <c r="H34" s="257" t="inlineStr">
        <is>
          <t>1st Lien</t>
        </is>
      </c>
      <c r="I34" s="258" t="n"/>
      <c r="J34" s="259" t="inlineStr">
        <is>
          <t>First Lien</t>
        </is>
      </c>
      <c r="K34" s="259" t="inlineStr">
        <is>
          <t>Term Loan</t>
        </is>
      </c>
      <c r="L34" s="291" t="inlineStr">
        <is>
          <t>USD</t>
        </is>
      </c>
      <c r="M34" s="1138">
        <f>INDEX('SM Support'!$D$3:$D$64,MATCH('Loan Tape - Settled'!G34,'SM Support'!$B$3:$B$62,0))</f>
        <v/>
      </c>
      <c r="N34" s="1139">
        <f>M34</f>
        <v/>
      </c>
      <c r="O34" s="1140" t="n"/>
      <c r="P34" s="1140" t="n"/>
      <c r="Q34" s="263" t="n">
        <v>1</v>
      </c>
      <c r="R34" s="295" t="n"/>
      <c r="S34" s="265">
        <f>INDEX('SM Support'!$E$3:$E$64,MATCH('Loan Tape - Settled'!G34,'SM Support'!$B$3:$B$64,0))/INDEX('SM Support'!$D$3:$D$64,MATCH('Loan Tape - Settled'!G34,'SM Support'!$B$3:$B$64,0))</f>
        <v/>
      </c>
      <c r="T34" s="257" t="inlineStr">
        <is>
          <t>United States</t>
        </is>
      </c>
      <c r="U34" s="304" t="n">
        <v>44911</v>
      </c>
      <c r="V34" s="1141" t="n">
        <v>46737</v>
      </c>
      <c r="W34" s="257" t="inlineStr">
        <is>
          <t>Floating</t>
        </is>
      </c>
      <c r="X34" s="321" t="inlineStr">
        <is>
          <t>Diversified Telecommunication Services</t>
        </is>
      </c>
      <c r="Y34" s="257" t="inlineStr">
        <is>
          <t>M</t>
        </is>
      </c>
      <c r="Z34" s="267" t="inlineStr">
        <is>
          <t>No</t>
        </is>
      </c>
      <c r="AA34" s="268" t="n"/>
      <c r="AB34" s="268" t="n"/>
      <c r="AC34" s="269" t="n">
        <v>0</v>
      </c>
      <c r="AD34" s="1142" t="n">
        <v>0</v>
      </c>
      <c r="AE34" s="1142" t="n">
        <v>0.065</v>
      </c>
      <c r="AF34" s="1142" t="n">
        <v>0.02</v>
      </c>
      <c r="AG34" s="270" t="n"/>
      <c r="AH34" s="270" t="n"/>
      <c r="AI34" s="1143" t="n"/>
      <c r="AJ34" s="272" t="n"/>
      <c r="AK34" s="272" t="n"/>
      <c r="AL34" s="272" t="n"/>
      <c r="AM34" s="272" t="n"/>
      <c r="AN34" s="308" t="n">
        <v>44911</v>
      </c>
      <c r="AO34" s="308" t="n">
        <v>44911</v>
      </c>
      <c r="AP34" s="274" t="n">
        <v>0</v>
      </c>
      <c r="AQ34" s="1144">
        <f>IF($D34=$AQ$3,$M34-$AP34,0)</f>
        <v/>
      </c>
      <c r="AR34" s="1145">
        <f>IF($D34=$AR$3,$N34-$AP34,0)</f>
        <v/>
      </c>
      <c r="AT34" s="1146" t="inlineStr">
        <is>
          <t>m</t>
        </is>
      </c>
      <c r="AU34" s="1158">
        <f>AU33</f>
        <v/>
      </c>
      <c r="AV34" s="1146" t="n">
        <v>5.506</v>
      </c>
      <c r="AW34" s="1148">
        <f>AV34</f>
        <v/>
      </c>
      <c r="AX34" s="1159" t="n">
        <v>2.905920813657828</v>
      </c>
      <c r="AY34" s="1154">
        <f>AX34</f>
        <v/>
      </c>
      <c r="AZ34" s="1151">
        <f>INDEX('SM Support'!$G$3:$G$64,MATCH('Loan Tape - Settled'!G34,'SM Support'!$B$3:$B$64,0))/1000000</f>
        <v/>
      </c>
      <c r="BA34" s="1148">
        <f>AZ34</f>
        <v/>
      </c>
      <c r="BB34" s="1152" t="n"/>
      <c r="BC34" s="1153">
        <f>INDEX('SM Support'!$M$3:$M$64,MATCH('Loan Tape - Settled'!G34,'SM Support'!$B$3:$B$64,0))</f>
        <v/>
      </c>
      <c r="BD34" s="1154">
        <f>BC34</f>
        <v/>
      </c>
      <c r="BE34" s="1155" t="n">
        <v>2.65</v>
      </c>
      <c r="BF34" s="1156">
        <f>INDEX('SM Support'!O$3:O$64,MATCH('Loan Tape - Settled'!$G34,'SM Support'!$B$3:$B$64,0))</f>
        <v/>
      </c>
      <c r="BG34" s="1152" t="n"/>
      <c r="BH34" s="1152" t="n"/>
      <c r="BI34" s="1157">
        <f>INDEX('SM Support'!$M$3:$M$144,MATCH('Loan Tape - Settled'!G34,'SM Support'!$B$3:$B$144,0))</f>
        <v/>
      </c>
      <c r="BJ34" s="1157">
        <f>INDEX('SM Support'!$N$3:$N$144,MATCH('Loan Tape - Settled'!G34,'SM Support'!$B$3:$B$144,0))</f>
        <v/>
      </c>
    </row>
    <row r="35" ht="15" customHeight="1">
      <c r="A35" s="254">
        <f>CONCATENATE(C35,E35)</f>
        <v/>
      </c>
      <c r="B35" s="1137">
        <f>$A$2</f>
        <v/>
      </c>
      <c r="C35" s="286" t="inlineStr">
        <is>
          <t>smc</t>
        </is>
      </c>
      <c r="D35" s="287" t="inlineStr">
        <is>
          <t>Star Mountain Lower Middle-Market Capital Corp.</t>
        </is>
      </c>
      <c r="E35" s="288">
        <f>+E34+1</f>
        <v/>
      </c>
      <c r="F35" s="314">
        <f>F34+1</f>
        <v/>
      </c>
      <c r="G35" s="257" t="inlineStr">
        <is>
          <t>Integrated Pain Associates</t>
        </is>
      </c>
      <c r="H35" s="257" t="inlineStr">
        <is>
          <t>1st Lien</t>
        </is>
      </c>
      <c r="I35" s="258" t="n"/>
      <c r="J35" s="259" t="inlineStr">
        <is>
          <t>First Lien</t>
        </is>
      </c>
      <c r="K35" s="259" t="inlineStr">
        <is>
          <t>Term Loan</t>
        </is>
      </c>
      <c r="L35" s="291" t="inlineStr">
        <is>
          <t>USD</t>
        </is>
      </c>
      <c r="M35" s="1138">
        <f>INDEX('SM Support'!$D$3:$D$64,MATCH('Loan Tape - Settled'!G35,'SM Support'!$B$3:$B$62,0))</f>
        <v/>
      </c>
      <c r="N35" s="1139">
        <f>M35</f>
        <v/>
      </c>
      <c r="O35" s="1140" t="n"/>
      <c r="P35" s="1140" t="n"/>
      <c r="Q35" s="263" t="n">
        <v>1</v>
      </c>
      <c r="R35" s="295" t="n"/>
      <c r="S35" s="265">
        <f>INDEX('SM Support'!$E$3:$E$64,MATCH('Loan Tape - Settled'!G35,'SM Support'!$B$3:$B$64,0))/INDEX('SM Support'!$D$3:$D$64,MATCH('Loan Tape - Settled'!G35,'SM Support'!$B$3:$B$64,0))</f>
        <v/>
      </c>
      <c r="T35" s="257" t="inlineStr">
        <is>
          <t>United States</t>
        </is>
      </c>
      <c r="U35" s="304" t="n">
        <v>44935</v>
      </c>
      <c r="V35" s="1141" t="n">
        <v>46761</v>
      </c>
      <c r="W35" s="257" t="inlineStr">
        <is>
          <t>Floating</t>
        </is>
      </c>
      <c r="X35" s="321" t="inlineStr">
        <is>
          <t>Health Care Providers &amp; Services</t>
        </is>
      </c>
      <c r="Y35" s="257" t="inlineStr">
        <is>
          <t>M</t>
        </is>
      </c>
      <c r="Z35" s="267" t="inlineStr">
        <is>
          <t>No</t>
        </is>
      </c>
      <c r="AA35" s="268" t="n"/>
      <c r="AB35" s="268" t="n"/>
      <c r="AC35" s="269" t="n">
        <v>0</v>
      </c>
      <c r="AD35" s="1142" t="n">
        <v>0</v>
      </c>
      <c r="AE35" s="1142" t="n">
        <v>0.0775</v>
      </c>
      <c r="AF35" s="1142" t="n">
        <v>0.02</v>
      </c>
      <c r="AG35" s="270" t="n"/>
      <c r="AH35" s="270" t="n"/>
      <c r="AI35" s="1143" t="n"/>
      <c r="AJ35" s="272" t="n"/>
      <c r="AK35" s="272" t="n"/>
      <c r="AL35" s="272" t="n"/>
      <c r="AM35" s="272" t="n"/>
      <c r="AN35" s="308" t="n">
        <v>44935</v>
      </c>
      <c r="AO35" s="308" t="n">
        <v>44935</v>
      </c>
      <c r="AP35" s="274" t="n">
        <v>0</v>
      </c>
      <c r="AQ35" s="1144">
        <f>IF($D35=$AQ$3,$M35-$AP35,0)</f>
        <v/>
      </c>
      <c r="AR35" s="1145">
        <f>IF($D35=$AR$3,$N35-$AP35,0)</f>
        <v/>
      </c>
      <c r="AT35" s="1146" t="inlineStr">
        <is>
          <t>m</t>
        </is>
      </c>
      <c r="AU35" s="1158">
        <f>AU34</f>
        <v/>
      </c>
      <c r="AV35" s="1146" t="n">
        <v>16.442</v>
      </c>
      <c r="AW35" s="1148">
        <f>AV35</f>
        <v/>
      </c>
      <c r="AX35" s="1159" t="n">
        <v>4.105339982970442</v>
      </c>
      <c r="AY35" s="1154">
        <f>AX35</f>
        <v/>
      </c>
      <c r="AZ35" s="1151">
        <f>INDEX('SM Support'!$G$3:$G$64,MATCH('Loan Tape - Settled'!G35,'SM Support'!$B$3:$B$64,0))/1000000</f>
        <v/>
      </c>
      <c r="BA35" s="1148">
        <f>AZ35</f>
        <v/>
      </c>
      <c r="BB35" s="1152" t="n"/>
      <c r="BC35" s="1153">
        <f>INDEX('SM Support'!$M$3:$M$64,MATCH('Loan Tape - Settled'!G35,'SM Support'!$B$3:$B$64,0))</f>
        <v/>
      </c>
      <c r="BD35" s="1154">
        <f>BC35</f>
        <v/>
      </c>
      <c r="BE35" s="1155" t="n">
        <v>1.86</v>
      </c>
      <c r="BF35" s="1156">
        <f>INDEX('SM Support'!O$3:O$64,MATCH('Loan Tape - Settled'!$G35,'SM Support'!$B$3:$B$64,0))</f>
        <v/>
      </c>
      <c r="BG35" s="1152" t="n"/>
      <c r="BH35" s="1152" t="n"/>
      <c r="BI35" s="1157">
        <f>INDEX('SM Support'!$M$3:$M$144,MATCH('Loan Tape - Settled'!G35,'SM Support'!$B$3:$B$144,0))</f>
        <v/>
      </c>
      <c r="BJ35" s="1157">
        <f>INDEX('SM Support'!$N$3:$N$144,MATCH('Loan Tape - Settled'!G35,'SM Support'!$B$3:$B$144,0))</f>
        <v/>
      </c>
    </row>
    <row r="36" ht="15" customHeight="1">
      <c r="A36" s="254">
        <f>CONCATENATE(C36,E36)</f>
        <v/>
      </c>
      <c r="B36" s="1137">
        <f>$A$2</f>
        <v/>
      </c>
      <c r="C36" s="286" t="inlineStr">
        <is>
          <t>smc</t>
        </is>
      </c>
      <c r="D36" s="287" t="inlineStr">
        <is>
          <t>Star Mountain Lower Middle-Market Capital Corp.</t>
        </is>
      </c>
      <c r="E36" s="288">
        <f>+E35+1</f>
        <v/>
      </c>
      <c r="F36" s="314">
        <f>F35+1</f>
        <v/>
      </c>
      <c r="G36" s="257" t="inlineStr">
        <is>
          <t>Vertical Mechanical Group</t>
        </is>
      </c>
      <c r="H36" s="257" t="inlineStr">
        <is>
          <t>FILO</t>
        </is>
      </c>
      <c r="I36" s="258" t="n"/>
      <c r="J36" s="259" t="inlineStr">
        <is>
          <t>FILO</t>
        </is>
      </c>
      <c r="K36" s="259" t="inlineStr">
        <is>
          <t>Term Loan</t>
        </is>
      </c>
      <c r="L36" s="291" t="inlineStr">
        <is>
          <t>USD</t>
        </is>
      </c>
      <c r="M36" s="1138">
        <f>INDEX('SM Support'!$D$3:$D$64,MATCH('Loan Tape - Settled'!G36,'SM Support'!$B$3:$B$62,0))</f>
        <v/>
      </c>
      <c r="N36" s="1139">
        <f>M36</f>
        <v/>
      </c>
      <c r="O36" s="1140" t="n"/>
      <c r="P36" s="1140" t="n"/>
      <c r="Q36" s="263" t="n">
        <v>1</v>
      </c>
      <c r="R36" s="295" t="n"/>
      <c r="S36" s="265">
        <f>INDEX('SM Support'!$E$3:$E$64,MATCH('Loan Tape - Settled'!G36,'SM Support'!$B$3:$B$64,0))/INDEX('SM Support'!$D$3:$D$64,MATCH('Loan Tape - Settled'!G36,'SM Support'!$B$3:$B$64,0))</f>
        <v/>
      </c>
      <c r="T36" s="257" t="inlineStr">
        <is>
          <t>United States</t>
        </is>
      </c>
      <c r="U36" s="304" t="n">
        <v>45058</v>
      </c>
      <c r="V36" s="1141" t="n">
        <v>46885</v>
      </c>
      <c r="W36" s="257" t="inlineStr">
        <is>
          <t>Floating</t>
        </is>
      </c>
      <c r="X36" s="321" t="inlineStr">
        <is>
          <t>Construction &amp; Engineering</t>
        </is>
      </c>
      <c r="Y36" s="257" t="inlineStr">
        <is>
          <t>M</t>
        </is>
      </c>
      <c r="Z36" s="267" t="inlineStr">
        <is>
          <t>No</t>
        </is>
      </c>
      <c r="AA36" s="268" t="n"/>
      <c r="AB36" s="268" t="n"/>
      <c r="AC36" s="269" t="n">
        <v>0</v>
      </c>
      <c r="AD36" s="1142" t="n">
        <v>0</v>
      </c>
      <c r="AE36" s="1142" t="n">
        <v>0.08923044990800001</v>
      </c>
      <c r="AF36" s="1142" t="n">
        <v>0.02</v>
      </c>
      <c r="AG36" s="270" t="n"/>
      <c r="AH36" s="270" t="n"/>
      <c r="AI36" s="1143" t="n"/>
      <c r="AJ36" s="272" t="n"/>
      <c r="AK36" s="272" t="n"/>
      <c r="AL36" s="272" t="n"/>
      <c r="AM36" s="272" t="n"/>
      <c r="AN36" s="308" t="n">
        <v>45058</v>
      </c>
      <c r="AO36" s="308" t="n">
        <v>45058</v>
      </c>
      <c r="AP36" s="274" t="n">
        <v>0</v>
      </c>
      <c r="AQ36" s="1144">
        <f>IF($D36=$AQ$3,$M36-$AP36,0)</f>
        <v/>
      </c>
      <c r="AR36" s="1145">
        <f>IF($D36=$AR$3,$N36-$AP36,0)</f>
        <v/>
      </c>
      <c r="AT36" s="1146" t="inlineStr">
        <is>
          <t>m</t>
        </is>
      </c>
      <c r="AU36" s="1158">
        <f>AU35</f>
        <v/>
      </c>
      <c r="AV36" s="1146" t="n">
        <v>14.928</v>
      </c>
      <c r="AW36" s="1148">
        <f>AV36</f>
        <v/>
      </c>
      <c r="AX36" s="1159" t="n">
        <v>1.942658092175777</v>
      </c>
      <c r="AY36" s="1154">
        <f>AX36</f>
        <v/>
      </c>
      <c r="AZ36" s="1151">
        <f>INDEX('SM Support'!$G$3:$G$64,MATCH('Loan Tape - Settled'!G36,'SM Support'!$B$3:$B$64,0))/1000000</f>
        <v/>
      </c>
      <c r="BA36" s="1148">
        <f>AZ36</f>
        <v/>
      </c>
      <c r="BB36" s="1152" t="n"/>
      <c r="BC36" s="1153">
        <f>INDEX('SM Support'!$M$3:$M$64,MATCH('Loan Tape - Settled'!G36,'SM Support'!$B$3:$B$64,0))</f>
        <v/>
      </c>
      <c r="BD36" s="1154">
        <f>BC36</f>
        <v/>
      </c>
      <c r="BE36" s="1155" t="n">
        <v>3.35</v>
      </c>
      <c r="BF36" s="1156">
        <f>INDEX('SM Support'!O$3:O$64,MATCH('Loan Tape - Settled'!$G36,'SM Support'!$B$3:$B$64,0))</f>
        <v/>
      </c>
      <c r="BG36" s="1152" t="n"/>
      <c r="BH36" s="1152" t="n"/>
      <c r="BI36" s="1157">
        <f>INDEX('SM Support'!$M$3:$M$144,MATCH('Loan Tape - Settled'!G36,'SM Support'!$B$3:$B$144,0))</f>
        <v/>
      </c>
      <c r="BJ36" s="1157">
        <f>INDEX('SM Support'!$N$3:$N$144,MATCH('Loan Tape - Settled'!G36,'SM Support'!$B$3:$B$144,0))</f>
        <v/>
      </c>
    </row>
    <row r="37" ht="15" customHeight="1">
      <c r="A37" s="254">
        <f>CONCATENATE(C37,E37)</f>
        <v/>
      </c>
      <c r="B37" s="1137">
        <f>$A$2</f>
        <v/>
      </c>
      <c r="C37" s="286" t="inlineStr">
        <is>
          <t>smc</t>
        </is>
      </c>
      <c r="D37" s="287" t="inlineStr">
        <is>
          <t>Star Mountain Lower Middle-Market Capital Corp.</t>
        </is>
      </c>
      <c r="E37" s="288">
        <f>+E36+1</f>
        <v/>
      </c>
      <c r="F37" s="314">
        <f>F36+1</f>
        <v/>
      </c>
      <c r="G37" s="257" t="inlineStr">
        <is>
          <t>Preferred Care Home Health</t>
        </is>
      </c>
      <c r="H37" s="257" t="inlineStr">
        <is>
          <t>FILO</t>
        </is>
      </c>
      <c r="I37" s="258" t="n"/>
      <c r="J37" s="259" t="inlineStr">
        <is>
          <t>FILO</t>
        </is>
      </c>
      <c r="K37" s="259" t="inlineStr">
        <is>
          <t>Term Loan</t>
        </is>
      </c>
      <c r="L37" s="291" t="inlineStr">
        <is>
          <t>USD</t>
        </is>
      </c>
      <c r="M37" s="1138">
        <f>INDEX('SM Support'!$D$3:$D$64,MATCH('Loan Tape - Settled'!G37,'SM Support'!$B$3:$B$62,0))</f>
        <v/>
      </c>
      <c r="N37" s="1139">
        <f>M37</f>
        <v/>
      </c>
      <c r="O37" s="1140" t="n"/>
      <c r="P37" s="1140" t="n"/>
      <c r="Q37" s="263" t="n">
        <v>1</v>
      </c>
      <c r="R37" s="295" t="n"/>
      <c r="S37" s="265">
        <f>INDEX('SM Support'!$E$3:$E$64,MATCH('Loan Tape - Settled'!G37,'SM Support'!$B$3:$B$64,0))/INDEX('SM Support'!$D$3:$D$64,MATCH('Loan Tape - Settled'!G37,'SM Support'!$B$3:$B$64,0))</f>
        <v/>
      </c>
      <c r="T37" s="257" t="inlineStr">
        <is>
          <t>United States</t>
        </is>
      </c>
      <c r="U37" s="304" t="n">
        <v>45062</v>
      </c>
      <c r="V37" s="1141" t="n">
        <v>46889</v>
      </c>
      <c r="W37" s="257" t="inlineStr">
        <is>
          <t>Floating</t>
        </is>
      </c>
      <c r="X37" s="321" t="inlineStr">
        <is>
          <t>Health Care Providers &amp; Services</t>
        </is>
      </c>
      <c r="Y37" s="257" t="inlineStr">
        <is>
          <t>M</t>
        </is>
      </c>
      <c r="Z37" s="267" t="inlineStr">
        <is>
          <t>No</t>
        </is>
      </c>
      <c r="AA37" s="268" t="n"/>
      <c r="AB37" s="268" t="n"/>
      <c r="AC37" s="269" t="n">
        <v>0</v>
      </c>
      <c r="AD37" s="1142" t="n">
        <v>0.017982689889</v>
      </c>
      <c r="AE37" s="1142" t="n">
        <v>0.07646249476</v>
      </c>
      <c r="AF37" s="1142" t="n">
        <v>0.02</v>
      </c>
      <c r="AG37" s="270" t="n"/>
      <c r="AH37" s="270" t="n"/>
      <c r="AI37" s="1143" t="n"/>
      <c r="AJ37" s="272" t="n"/>
      <c r="AK37" s="272" t="n"/>
      <c r="AL37" s="272" t="n"/>
      <c r="AM37" s="272" t="n"/>
      <c r="AN37" s="308" t="n">
        <v>45062</v>
      </c>
      <c r="AO37" s="308" t="n">
        <v>45062</v>
      </c>
      <c r="AP37" s="274" t="n">
        <v>0</v>
      </c>
      <c r="AQ37" s="1144">
        <f>IF($D37=$AQ$3,$M37-$AP37,0)</f>
        <v/>
      </c>
      <c r="AR37" s="1145">
        <f>IF($D37=$AR$3,$N37-$AP37,0)</f>
        <v/>
      </c>
      <c r="AT37" s="1146" t="inlineStr">
        <is>
          <t>m</t>
        </is>
      </c>
      <c r="AU37" s="1158">
        <f>AU36</f>
        <v/>
      </c>
      <c r="AV37" s="1146" t="n">
        <v>7.817</v>
      </c>
      <c r="AW37" s="1148">
        <f>AV37</f>
        <v/>
      </c>
      <c r="AX37" s="1159" t="n">
        <v>4.221568376615069</v>
      </c>
      <c r="AY37" s="1154">
        <f>AX37</f>
        <v/>
      </c>
      <c r="AZ37" s="1151">
        <f>INDEX('SM Support'!$G$3:$G$64,MATCH('Loan Tape - Settled'!G37,'SM Support'!$B$3:$B$64,0))/1000000</f>
        <v/>
      </c>
      <c r="BA37" s="1148">
        <f>AZ37</f>
        <v/>
      </c>
      <c r="BB37" s="1152" t="n"/>
      <c r="BC37" s="1153">
        <f>INDEX('SM Support'!$M$3:$M$64,MATCH('Loan Tape - Settled'!G37,'SM Support'!$B$3:$B$64,0))</f>
        <v/>
      </c>
      <c r="BD37" s="1154">
        <f>BC37</f>
        <v/>
      </c>
      <c r="BE37" s="1155" t="n">
        <v>2.14</v>
      </c>
      <c r="BF37" s="1156">
        <f>INDEX('SM Support'!O$3:O$64,MATCH('Loan Tape - Settled'!$G37,'SM Support'!$B$3:$B$64,0))</f>
        <v/>
      </c>
      <c r="BG37" s="1152" t="n"/>
      <c r="BH37" s="1152" t="n"/>
      <c r="BI37" s="1157">
        <f>INDEX('SM Support'!$M$3:$M$144,MATCH('Loan Tape - Settled'!G37,'SM Support'!$B$3:$B$144,0))</f>
        <v/>
      </c>
      <c r="BJ37" s="1157">
        <f>INDEX('SM Support'!$N$3:$N$144,MATCH('Loan Tape - Settled'!G37,'SM Support'!$B$3:$B$144,0))</f>
        <v/>
      </c>
    </row>
    <row r="38" ht="15" customHeight="1">
      <c r="A38" s="254">
        <f>CONCATENATE(C38,E38)</f>
        <v/>
      </c>
      <c r="B38" s="1137">
        <f>$A$2</f>
        <v/>
      </c>
      <c r="C38" s="286" t="inlineStr">
        <is>
          <t>smc</t>
        </is>
      </c>
      <c r="D38" s="287" t="inlineStr">
        <is>
          <t>Star Mountain Lower Middle-Market Capital Corp.</t>
        </is>
      </c>
      <c r="E38" s="288">
        <f>+E37+1</f>
        <v/>
      </c>
      <c r="F38" s="314">
        <f>F37+1</f>
        <v/>
      </c>
      <c r="G38" s="257" t="inlineStr">
        <is>
          <t>Versar</t>
        </is>
      </c>
      <c r="H38" s="257" t="inlineStr">
        <is>
          <t>FILO</t>
        </is>
      </c>
      <c r="I38" s="258" t="n"/>
      <c r="J38" s="259" t="inlineStr">
        <is>
          <t>FILO</t>
        </is>
      </c>
      <c r="K38" s="259" t="inlineStr">
        <is>
          <t>Term Loan</t>
        </is>
      </c>
      <c r="L38" s="291" t="inlineStr">
        <is>
          <t>USD</t>
        </is>
      </c>
      <c r="M38" s="1138">
        <f>INDEX('SM Support'!$D$3:$D$64,MATCH('Loan Tape - Settled'!G38,'SM Support'!$B$3:$B$62,0))</f>
        <v/>
      </c>
      <c r="N38" s="1139">
        <f>M38</f>
        <v/>
      </c>
      <c r="O38" s="1140" t="n"/>
      <c r="P38" s="1140" t="n"/>
      <c r="Q38" s="263" t="n">
        <v>1</v>
      </c>
      <c r="R38" s="295" t="n"/>
      <c r="S38" s="265">
        <f>INDEX('SM Support'!$E$3:$E$64,MATCH('Loan Tape - Settled'!G38,'SM Support'!$B$3:$B$64,0))/INDEX('SM Support'!$D$3:$D$64,MATCH('Loan Tape - Settled'!G38,'SM Support'!$B$3:$B$64,0))</f>
        <v/>
      </c>
      <c r="T38" s="257" t="inlineStr">
        <is>
          <t>United States</t>
        </is>
      </c>
      <c r="U38" s="304" t="n">
        <v>45142</v>
      </c>
      <c r="V38" s="1141" t="n">
        <v>46969</v>
      </c>
      <c r="W38" s="257" t="inlineStr">
        <is>
          <t>Floating</t>
        </is>
      </c>
      <c r="X38" s="321" t="inlineStr">
        <is>
          <t>Commercial Services &amp; Supplies</t>
        </is>
      </c>
      <c r="Y38" s="257" t="inlineStr">
        <is>
          <t>M</t>
        </is>
      </c>
      <c r="Z38" s="267" t="inlineStr">
        <is>
          <t>No</t>
        </is>
      </c>
      <c r="AA38" s="268" t="n"/>
      <c r="AB38" s="268" t="n"/>
      <c r="AC38" s="269" t="n">
        <v>0</v>
      </c>
      <c r="AD38" s="1142" t="n">
        <v>0</v>
      </c>
      <c r="AE38" s="1142" t="n">
        <v>0.09623589999999999</v>
      </c>
      <c r="AF38" s="1142" t="n">
        <v>0.02</v>
      </c>
      <c r="AG38" s="270" t="n"/>
      <c r="AH38" s="270" t="n"/>
      <c r="AI38" s="1143" t="n"/>
      <c r="AJ38" s="272" t="n"/>
      <c r="AK38" s="272" t="n"/>
      <c r="AL38" s="272" t="n"/>
      <c r="AM38" s="272" t="n"/>
      <c r="AN38" s="308" t="n">
        <v>45142</v>
      </c>
      <c r="AO38" s="308" t="n">
        <v>45142</v>
      </c>
      <c r="AP38" s="274" t="n">
        <v>0</v>
      </c>
      <c r="AQ38" s="1144">
        <f>IF($D38=$AQ$3,$M38-$AP38,0)</f>
        <v/>
      </c>
      <c r="AR38" s="1145">
        <f>IF($D38=$AR$3,$N38-$AP38,0)</f>
        <v/>
      </c>
      <c r="AT38" s="1146" t="inlineStr">
        <is>
          <t>m</t>
        </is>
      </c>
      <c r="AU38" s="1158">
        <f>AU37</f>
        <v/>
      </c>
      <c r="AV38" s="1146" t="n">
        <v>23.954</v>
      </c>
      <c r="AW38" s="1148">
        <f>AV38</f>
        <v/>
      </c>
      <c r="AX38" s="1159" t="n">
        <v>2.474409284461885</v>
      </c>
      <c r="AY38" s="1154">
        <f>AX38</f>
        <v/>
      </c>
      <c r="AZ38" s="1151">
        <f>INDEX('SM Support'!$G$3:$G$64,MATCH('Loan Tape - Settled'!G38,'SM Support'!$B$3:$B$64,0))/1000000</f>
        <v/>
      </c>
      <c r="BA38" s="1148">
        <f>AZ38</f>
        <v/>
      </c>
      <c r="BB38" s="1152" t="n"/>
      <c r="BC38" s="1153">
        <f>INDEX('SM Support'!$M$3:$M$64,MATCH('Loan Tape - Settled'!G38,'SM Support'!$B$3:$B$64,0))</f>
        <v/>
      </c>
      <c r="BD38" s="1154">
        <f>BC38</f>
        <v/>
      </c>
      <c r="BE38" s="1155" t="n">
        <v>4.1</v>
      </c>
      <c r="BF38" s="1156">
        <f>INDEX('SM Support'!O$3:O$64,MATCH('Loan Tape - Settled'!$G38,'SM Support'!$B$3:$B$64,0))</f>
        <v/>
      </c>
      <c r="BG38" s="1152" t="n"/>
      <c r="BH38" s="1152" t="n"/>
      <c r="BI38" s="1157">
        <f>INDEX('SM Support'!$M$3:$M$144,MATCH('Loan Tape - Settled'!G38,'SM Support'!$B$3:$B$144,0))</f>
        <v/>
      </c>
      <c r="BJ38" s="1157">
        <f>INDEX('SM Support'!$N$3:$N$144,MATCH('Loan Tape - Settled'!G38,'SM Support'!$B$3:$B$144,0))</f>
        <v/>
      </c>
    </row>
    <row r="39" ht="15" customHeight="1">
      <c r="A39" s="254">
        <f>CONCATENATE(C39,E39)</f>
        <v/>
      </c>
      <c r="B39" s="1137">
        <f>$A$2</f>
        <v/>
      </c>
      <c r="C39" s="286" t="inlineStr">
        <is>
          <t>smc</t>
        </is>
      </c>
      <c r="D39" s="287" t="inlineStr">
        <is>
          <t>Star Mountain Lower Middle-Market Capital Corp.</t>
        </is>
      </c>
      <c r="E39" s="288">
        <f>+E38+1</f>
        <v/>
      </c>
      <c r="F39" s="314">
        <f>F38+1</f>
        <v/>
      </c>
      <c r="G39" s="257" t="inlineStr">
        <is>
          <t>Douglas Products and Packaging Company</t>
        </is>
      </c>
      <c r="H39" s="257" t="inlineStr">
        <is>
          <t>FILO</t>
        </is>
      </c>
      <c r="I39" s="258" t="n"/>
      <c r="J39" s="259" t="inlineStr">
        <is>
          <t>FILO</t>
        </is>
      </c>
      <c r="K39" s="259" t="inlineStr">
        <is>
          <t>Term Loan</t>
        </is>
      </c>
      <c r="L39" s="291" t="inlineStr">
        <is>
          <t>USD</t>
        </is>
      </c>
      <c r="M39" s="1138">
        <f>INDEX('SM Support'!$D$3:$D$64,MATCH('Loan Tape - Settled'!G39,'SM Support'!$B$3:$B$62,0))</f>
        <v/>
      </c>
      <c r="N39" s="1139">
        <f>M39</f>
        <v/>
      </c>
      <c r="O39" s="1140" t="n"/>
      <c r="P39" s="1140" t="n"/>
      <c r="Q39" s="263" t="n">
        <v>1</v>
      </c>
      <c r="R39" s="295" t="n"/>
      <c r="S39" s="265">
        <f>INDEX('SM Support'!$E$3:$E$64,MATCH('Loan Tape - Settled'!G39,'SM Support'!$B$3:$B$64,0))/INDEX('SM Support'!$D$3:$D$64,MATCH('Loan Tape - Settled'!G39,'SM Support'!$B$3:$B$64,0))</f>
        <v/>
      </c>
      <c r="T39" s="257" t="inlineStr">
        <is>
          <t>United States</t>
        </is>
      </c>
      <c r="U39" s="304" t="n">
        <v>45189</v>
      </c>
      <c r="V39" s="1141" t="n">
        <v>47016</v>
      </c>
      <c r="W39" s="257" t="inlineStr">
        <is>
          <t>Floating</t>
        </is>
      </c>
      <c r="X39" s="321" t="inlineStr">
        <is>
          <t>Chemicals</t>
        </is>
      </c>
      <c r="Y39" s="257" t="inlineStr">
        <is>
          <t>M</t>
        </is>
      </c>
      <c r="Z39" s="267" t="inlineStr">
        <is>
          <t>No</t>
        </is>
      </c>
      <c r="AA39" s="268" t="n"/>
      <c r="AB39" s="268" t="n"/>
      <c r="AC39" s="269" t="n">
        <v>0</v>
      </c>
      <c r="AD39" s="1142" t="n">
        <v>0</v>
      </c>
      <c r="AE39" s="1142" t="n">
        <v>0.06900000000000001</v>
      </c>
      <c r="AF39" s="1142" t="n">
        <v>0.02</v>
      </c>
      <c r="AG39" s="270" t="n"/>
      <c r="AH39" s="270" t="n"/>
      <c r="AI39" s="1143" t="n"/>
      <c r="AJ39" s="272" t="n"/>
      <c r="AK39" s="272" t="n"/>
      <c r="AL39" s="272" t="n"/>
      <c r="AM39" s="272" t="n"/>
      <c r="AN39" s="308" t="n">
        <v>45183</v>
      </c>
      <c r="AO39" s="308" t="n">
        <v>45183</v>
      </c>
      <c r="AP39" s="274" t="n">
        <v>0</v>
      </c>
      <c r="AQ39" s="1144">
        <f>IF($D39=$AQ$3,$M39-$AP39,0)</f>
        <v/>
      </c>
      <c r="AR39" s="1145">
        <f>IF($D39=$AR$3,$N39-$AP39,0)</f>
        <v/>
      </c>
      <c r="AT39" s="1146" t="inlineStr">
        <is>
          <t>m</t>
        </is>
      </c>
      <c r="AU39" s="1158">
        <f>AU38</f>
        <v/>
      </c>
      <c r="AV39" s="1146" t="n">
        <v>29.928</v>
      </c>
      <c r="AW39" s="1148">
        <f>AV39</f>
        <v/>
      </c>
      <c r="AX39" s="1159" t="n">
        <v>4.250200481154772</v>
      </c>
      <c r="AY39" s="1154">
        <f>AX39</f>
        <v/>
      </c>
      <c r="AZ39" s="1151">
        <f>INDEX('SM Support'!$G$3:$G$64,MATCH('Loan Tape - Settled'!G39,'SM Support'!$B$3:$B$64,0))/1000000</f>
        <v/>
      </c>
      <c r="BA39" s="1148">
        <f>AZ39</f>
        <v/>
      </c>
      <c r="BB39" s="1152" t="n"/>
      <c r="BC39" s="1153">
        <f>INDEX('SM Support'!$M$3:$M$64,MATCH('Loan Tape - Settled'!G39,'SM Support'!$B$3:$B$64,0))</f>
        <v/>
      </c>
      <c r="BD39" s="1154">
        <f>BC39</f>
        <v/>
      </c>
      <c r="BE39" s="1155" t="n">
        <v>1.96</v>
      </c>
      <c r="BF39" s="1156">
        <f>INDEX('SM Support'!O$3:O$64,MATCH('Loan Tape - Settled'!$G39,'SM Support'!$B$3:$B$64,0))</f>
        <v/>
      </c>
      <c r="BG39" s="1152" t="n"/>
      <c r="BH39" s="1152" t="n"/>
      <c r="BI39" s="1157">
        <f>INDEX('SM Support'!$M$3:$M$144,MATCH('Loan Tape - Settled'!G39,'SM Support'!$B$3:$B$144,0))</f>
        <v/>
      </c>
      <c r="BJ39" s="1157">
        <f>INDEX('SM Support'!$N$3:$N$144,MATCH('Loan Tape - Settled'!G39,'SM Support'!$B$3:$B$144,0))</f>
        <v/>
      </c>
    </row>
    <row r="40" ht="15" customHeight="1">
      <c r="A40" s="254">
        <f>CONCATENATE(C40,E40)</f>
        <v/>
      </c>
      <c r="B40" s="1137">
        <f>$A$2</f>
        <v/>
      </c>
      <c r="C40" s="286" t="inlineStr">
        <is>
          <t>smc</t>
        </is>
      </c>
      <c r="D40" s="287" t="inlineStr">
        <is>
          <t>Star Mountain Lower Middle-Market Capital Corp.</t>
        </is>
      </c>
      <c r="E40" s="288">
        <f>+E39+1</f>
        <v/>
      </c>
      <c r="F40" s="314">
        <f>F39+1</f>
        <v/>
      </c>
      <c r="G40" s="257" t="inlineStr">
        <is>
          <t>Jefferson Solutions Group</t>
        </is>
      </c>
      <c r="H40" s="257" t="inlineStr">
        <is>
          <t>FILO</t>
        </is>
      </c>
      <c r="I40" s="258" t="n"/>
      <c r="J40" s="259" t="inlineStr">
        <is>
          <t>FILO</t>
        </is>
      </c>
      <c r="K40" s="259" t="inlineStr">
        <is>
          <t>Term Loan</t>
        </is>
      </c>
      <c r="L40" s="291" t="inlineStr">
        <is>
          <t>USD</t>
        </is>
      </c>
      <c r="M40" s="1138">
        <f>INDEX('SM Support'!$D$3:$D$64,MATCH('Loan Tape - Settled'!G40,'SM Support'!$B$3:$B$62,0))</f>
        <v/>
      </c>
      <c r="N40" s="1139">
        <f>M40</f>
        <v/>
      </c>
      <c r="O40" s="1140" t="n"/>
      <c r="P40" s="1140" t="n"/>
      <c r="Q40" s="263" t="n">
        <v>1</v>
      </c>
      <c r="R40" s="295" t="n"/>
      <c r="S40" s="265">
        <f>INDEX('SM Support'!$E$3:$E$64,MATCH('Loan Tape - Settled'!G40,'SM Support'!$B$3:$B$64,0))/INDEX('SM Support'!$D$3:$D$64,MATCH('Loan Tape - Settled'!G40,'SM Support'!$B$3:$B$64,0))</f>
        <v/>
      </c>
      <c r="T40" s="257" t="inlineStr">
        <is>
          <t>United States</t>
        </is>
      </c>
      <c r="U40" s="304" t="n">
        <v>45474</v>
      </c>
      <c r="V40" s="1141" t="n">
        <v>47300</v>
      </c>
      <c r="W40" s="257" t="inlineStr">
        <is>
          <t>Floating</t>
        </is>
      </c>
      <c r="X40" s="321" t="inlineStr">
        <is>
          <t>Professional Services</t>
        </is>
      </c>
      <c r="Y40" s="257" t="inlineStr">
        <is>
          <t>M</t>
        </is>
      </c>
      <c r="Z40" s="267" t="inlineStr">
        <is>
          <t>No</t>
        </is>
      </c>
      <c r="AA40" s="268" t="n"/>
      <c r="AB40" s="268" t="n"/>
      <c r="AC40" s="269" t="n">
        <v>0</v>
      </c>
      <c r="AD40" s="1142" t="n">
        <v>0.0246</v>
      </c>
      <c r="AE40" s="1142" t="n">
        <v>0.0329</v>
      </c>
      <c r="AF40" s="1142" t="n">
        <v>0.02</v>
      </c>
      <c r="AG40" s="270" t="n"/>
      <c r="AH40" s="270" t="n"/>
      <c r="AI40" s="1143" t="n"/>
      <c r="AJ40" s="272" t="n"/>
      <c r="AK40" s="272" t="n"/>
      <c r="AL40" s="272" t="n"/>
      <c r="AM40" s="272" t="n"/>
      <c r="AN40" s="308" t="n">
        <v>45474</v>
      </c>
      <c r="AO40" s="308" t="n">
        <v>45474</v>
      </c>
      <c r="AP40" s="274" t="n">
        <v>0</v>
      </c>
      <c r="AQ40" s="1144">
        <f>IF($D40=$AQ$3,$M40-$AP40,0)</f>
        <v/>
      </c>
      <c r="AR40" s="1145">
        <f>IF($D40=$AR$3,$N40-$AP40,0)</f>
        <v/>
      </c>
      <c r="AT40" s="1146" t="inlineStr">
        <is>
          <t>m</t>
        </is>
      </c>
      <c r="AU40" s="1158">
        <f>AU39</f>
        <v/>
      </c>
      <c r="AV40" s="1146" t="n">
        <v>11.682</v>
      </c>
      <c r="AW40" s="1148">
        <f>AV40</f>
        <v/>
      </c>
      <c r="AX40" s="1159" t="n">
        <v>2.996062318096216</v>
      </c>
      <c r="AY40" s="1154">
        <f>AX40</f>
        <v/>
      </c>
      <c r="AZ40" s="1151">
        <f>INDEX('SM Support'!$G$3:$G$64,MATCH('Loan Tape - Settled'!G40,'SM Support'!$B$3:$B$64,0))/1000000</f>
        <v/>
      </c>
      <c r="BA40" s="1148">
        <f>AZ40</f>
        <v/>
      </c>
      <c r="BB40" s="1152" t="n"/>
      <c r="BC40" s="1153">
        <f>INDEX('SM Support'!$M$3:$M$64,MATCH('Loan Tape - Settled'!G40,'SM Support'!$B$3:$B$64,0))</f>
        <v/>
      </c>
      <c r="BD40" s="1154">
        <f>BC40</f>
        <v/>
      </c>
      <c r="BE40" s="1155" t="n">
        <v>3.04</v>
      </c>
      <c r="BF40" s="1156">
        <f>INDEX('SM Support'!O$3:O$64,MATCH('Loan Tape - Settled'!$G40,'SM Support'!$B$3:$B$64,0))</f>
        <v/>
      </c>
      <c r="BG40" s="1152" t="n"/>
      <c r="BH40" s="1152" t="n"/>
      <c r="BI40" s="1157">
        <f>INDEX('SM Support'!$M$3:$M$144,MATCH('Loan Tape - Settled'!G40,'SM Support'!$B$3:$B$144,0))</f>
        <v/>
      </c>
      <c r="BJ40" s="1157">
        <f>INDEX('SM Support'!$N$3:$N$144,MATCH('Loan Tape - Settled'!G40,'SM Support'!$B$3:$B$144,0))</f>
        <v/>
      </c>
    </row>
    <row r="41" ht="15" customHeight="1">
      <c r="A41" s="254">
        <f>CONCATENATE(C41,E41)</f>
        <v/>
      </c>
      <c r="B41" s="1137">
        <f>$A$2</f>
        <v/>
      </c>
      <c r="C41" s="286" t="inlineStr">
        <is>
          <t>smc</t>
        </is>
      </c>
      <c r="D41" s="287" t="inlineStr">
        <is>
          <t>Star Mountain Lower Middle-Market Capital Corp.</t>
        </is>
      </c>
      <c r="E41" s="288">
        <f>+E40+1</f>
        <v/>
      </c>
      <c r="F41" s="314">
        <f>F40+1</f>
        <v/>
      </c>
      <c r="G41" s="257" t="inlineStr">
        <is>
          <t>Qualified Digital</t>
        </is>
      </c>
      <c r="H41" s="257" t="inlineStr">
        <is>
          <t>1st Lien</t>
        </is>
      </c>
      <c r="I41" s="258" t="n"/>
      <c r="J41" s="259" t="inlineStr">
        <is>
          <t>First Lien</t>
        </is>
      </c>
      <c r="K41" s="259" t="inlineStr">
        <is>
          <t>Term Loan</t>
        </is>
      </c>
      <c r="L41" s="291" t="inlineStr">
        <is>
          <t>USD</t>
        </is>
      </c>
      <c r="M41" s="1138">
        <f>INDEX('SM Support'!$D$3:$D$64,MATCH('Loan Tape - Settled'!G41,'SM Support'!$B$3:$B$62,0))</f>
        <v/>
      </c>
      <c r="N41" s="1139">
        <f>M41</f>
        <v/>
      </c>
      <c r="O41" s="1140" t="n"/>
      <c r="P41" s="1140" t="n"/>
      <c r="Q41" s="263" t="n">
        <v>1</v>
      </c>
      <c r="R41" s="295" t="n"/>
      <c r="S41" s="265">
        <f>INDEX('SM Support'!$E$3:$E$64,MATCH('Loan Tape - Settled'!G41,'SM Support'!$B$3:$B$64,0))/INDEX('SM Support'!$D$3:$D$64,MATCH('Loan Tape - Settled'!G41,'SM Support'!$B$3:$B$64,0))</f>
        <v/>
      </c>
      <c r="T41" s="257" t="inlineStr">
        <is>
          <t>United States</t>
        </is>
      </c>
      <c r="U41" s="304" t="n">
        <v>45503</v>
      </c>
      <c r="V41" s="1141" t="n">
        <v>47329</v>
      </c>
      <c r="W41" s="257" t="inlineStr">
        <is>
          <t>Floating</t>
        </is>
      </c>
      <c r="X41" s="298" t="inlineStr">
        <is>
          <t>IT Services</t>
        </is>
      </c>
      <c r="Y41" s="257" t="inlineStr">
        <is>
          <t>M</t>
        </is>
      </c>
      <c r="Z41" s="267" t="inlineStr">
        <is>
          <t>No</t>
        </is>
      </c>
      <c r="AA41" s="268" t="n"/>
      <c r="AB41" s="268" t="n"/>
      <c r="AC41" s="269" t="n">
        <v>0</v>
      </c>
      <c r="AD41" s="1142" t="n">
        <v>0</v>
      </c>
      <c r="AE41" s="1142" t="n">
        <v>0.05819231615593773</v>
      </c>
      <c r="AF41" s="1142" t="n">
        <v>0.02</v>
      </c>
      <c r="AG41" s="270" t="n"/>
      <c r="AH41" s="270" t="n"/>
      <c r="AI41" s="1143" t="n"/>
      <c r="AJ41" s="272" t="n"/>
      <c r="AK41" s="272" t="n"/>
      <c r="AL41" s="272" t="n"/>
      <c r="AM41" s="272" t="n"/>
      <c r="AN41" s="308" t="n">
        <v>45503</v>
      </c>
      <c r="AO41" s="308" t="n">
        <v>45503</v>
      </c>
      <c r="AP41" s="274" t="n">
        <v>0</v>
      </c>
      <c r="AQ41" s="1144">
        <f>IF($D41=$AQ$3,$M41-$AP41,0)</f>
        <v/>
      </c>
      <c r="AR41" s="1145">
        <f>IF($D41=$AR$3,$N41-$AP41,0)</f>
        <v/>
      </c>
      <c r="AT41" s="1146" t="inlineStr">
        <is>
          <t>m</t>
        </is>
      </c>
      <c r="AU41" s="1158">
        <f>AU40</f>
        <v/>
      </c>
      <c r="AV41" s="1146" t="n">
        <v>5.621</v>
      </c>
      <c r="AW41" s="1148">
        <f>AV41</f>
        <v/>
      </c>
      <c r="AX41" s="1159" t="n">
        <v>2.846468599893258</v>
      </c>
      <c r="AY41" s="1154">
        <f>AX41</f>
        <v/>
      </c>
      <c r="AZ41" s="1151">
        <f>INDEX('SM Support'!$G$3:$G$64,MATCH('Loan Tape - Settled'!G41,'SM Support'!$B$3:$B$64,0))/1000000</f>
        <v/>
      </c>
      <c r="BA41" s="1148">
        <f>AZ41</f>
        <v/>
      </c>
      <c r="BB41" s="1152" t="n"/>
      <c r="BC41" s="1153">
        <f>INDEX('SM Support'!$M$3:$M$64,MATCH('Loan Tape - Settled'!G41,'SM Support'!$B$3:$B$64,0))</f>
        <v/>
      </c>
      <c r="BD41" s="1154">
        <f>BC41</f>
        <v/>
      </c>
      <c r="BE41" s="1155" t="n">
        <v>4.28</v>
      </c>
      <c r="BF41" s="1156">
        <f>INDEX('SM Support'!O$3:O$64,MATCH('Loan Tape - Settled'!$G41,'SM Support'!$B$3:$B$64,0))</f>
        <v/>
      </c>
      <c r="BG41" s="1152" t="n"/>
      <c r="BH41" s="1152" t="n"/>
      <c r="BI41" s="1157">
        <f>INDEX('SM Support'!$M$3:$M$144,MATCH('Loan Tape - Settled'!G41,'SM Support'!$B$3:$B$144,0))</f>
        <v/>
      </c>
      <c r="BJ41" s="1157">
        <f>INDEX('SM Support'!$N$3:$N$144,MATCH('Loan Tape - Settled'!G41,'SM Support'!$B$3:$B$144,0))</f>
        <v/>
      </c>
    </row>
    <row r="42" ht="15" customHeight="1">
      <c r="A42" s="254">
        <f>CONCATENATE(C42,E42)</f>
        <v/>
      </c>
      <c r="B42" s="1137">
        <f>$A$2</f>
        <v/>
      </c>
      <c r="C42" s="286" t="inlineStr">
        <is>
          <t>smc</t>
        </is>
      </c>
      <c r="D42" s="287" t="inlineStr">
        <is>
          <t>Star Mountain Lower Middle-Market Capital Corp.</t>
        </is>
      </c>
      <c r="E42" s="288">
        <f>+E41+1</f>
        <v/>
      </c>
      <c r="F42" s="314">
        <f>F41+1</f>
        <v/>
      </c>
      <c r="G42" s="257" t="inlineStr">
        <is>
          <t>Kelso Industries</t>
        </is>
      </c>
      <c r="H42" s="257" t="inlineStr">
        <is>
          <t>1st Lien</t>
        </is>
      </c>
      <c r="I42" s="258" t="n"/>
      <c r="J42" s="259" t="inlineStr">
        <is>
          <t>First Lien</t>
        </is>
      </c>
      <c r="K42" s="259" t="inlineStr">
        <is>
          <t>Term Loan</t>
        </is>
      </c>
      <c r="L42" s="291" t="inlineStr">
        <is>
          <t>USD</t>
        </is>
      </c>
      <c r="M42" s="1138">
        <f>INDEX('SM Support'!$D$3:$D$64,MATCH('Loan Tape - Settled'!G42,'SM Support'!$B$3:$B$62,0))</f>
        <v/>
      </c>
      <c r="N42" s="1139">
        <f>M42</f>
        <v/>
      </c>
      <c r="O42" s="1140" t="n"/>
      <c r="P42" s="1140" t="n"/>
      <c r="Q42" s="263" t="n">
        <v>1</v>
      </c>
      <c r="R42" s="295" t="n"/>
      <c r="S42" s="265">
        <f>INDEX('SM Support'!$E$3:$E$64,MATCH('Loan Tape - Settled'!G42,'SM Support'!$B$3:$B$64,0))/INDEX('SM Support'!$D$3:$D$64,MATCH('Loan Tape - Settled'!G42,'SM Support'!$B$3:$B$64,0))</f>
        <v/>
      </c>
      <c r="T42" s="257" t="inlineStr">
        <is>
          <t>United States</t>
        </is>
      </c>
      <c r="U42" s="304" t="n">
        <v>45657</v>
      </c>
      <c r="V42" s="1141" t="n">
        <v>47482</v>
      </c>
      <c r="W42" s="257" t="inlineStr">
        <is>
          <t>Floating</t>
        </is>
      </c>
      <c r="X42" s="321" t="inlineStr">
        <is>
          <t>Construction &amp; Engineering</t>
        </is>
      </c>
      <c r="Y42" s="257" t="inlineStr">
        <is>
          <t>M</t>
        </is>
      </c>
      <c r="Z42" s="267" t="inlineStr">
        <is>
          <t>No</t>
        </is>
      </c>
      <c r="AA42" s="268" t="n"/>
      <c r="AB42" s="268" t="n"/>
      <c r="AC42" s="269" t="n"/>
      <c r="AD42" s="1142" t="n">
        <v>0</v>
      </c>
      <c r="AE42" s="1142" t="n">
        <v>0.0575</v>
      </c>
      <c r="AF42" s="1142" t="n">
        <v>0.02</v>
      </c>
      <c r="AG42" s="270" t="n"/>
      <c r="AH42" s="270" t="n"/>
      <c r="AI42" s="1143" t="n"/>
      <c r="AJ42" s="272" t="n"/>
      <c r="AK42" s="272" t="n"/>
      <c r="AL42" s="272" t="n"/>
      <c r="AM42" s="272" t="n"/>
      <c r="AN42" s="308" t="n">
        <v>45657</v>
      </c>
      <c r="AO42" s="308" t="n">
        <v>45656</v>
      </c>
      <c r="AP42" s="274" t="n">
        <v>0</v>
      </c>
      <c r="AQ42" s="1144">
        <f>IF($D42=$AQ$3,$M42-$AP42,0)</f>
        <v/>
      </c>
      <c r="AR42" s="1145">
        <f>IF($D42=$AR$3,$N42-$AP42,0)</f>
        <v/>
      </c>
      <c r="AT42" s="1146" t="inlineStr">
        <is>
          <t>m</t>
        </is>
      </c>
      <c r="AU42" s="1158">
        <f>AU41</f>
        <v/>
      </c>
      <c r="AV42" s="1146" t="n">
        <v>106.5</v>
      </c>
      <c r="AW42" s="1148">
        <f>AV42</f>
        <v/>
      </c>
      <c r="AX42" s="1159" t="n">
        <v>2.8</v>
      </c>
      <c r="AY42" s="1154">
        <f>AX42</f>
        <v/>
      </c>
      <c r="AZ42" s="1151">
        <f>INDEX('SM Support'!$G$3:$G$64,MATCH('Loan Tape - Settled'!G42,'SM Support'!$B$3:$B$64,0))/1000000</f>
        <v/>
      </c>
      <c r="BA42" s="1148">
        <f>AZ42</f>
        <v/>
      </c>
      <c r="BB42" s="1152" t="n"/>
      <c r="BC42" s="1153">
        <f>INDEX('SM Support'!$M$3:$M$64,MATCH('Loan Tape - Settled'!G42,'SM Support'!$B$3:$B$64,0))</f>
        <v/>
      </c>
      <c r="BD42" s="1154">
        <f>BC42</f>
        <v/>
      </c>
      <c r="BE42" s="1155" t="n">
        <v>2.81</v>
      </c>
      <c r="BF42" s="1156">
        <f>INDEX('SM Support'!O$3:O$64,MATCH('Loan Tape - Settled'!$G42,'SM Support'!$B$3:$B$64,0))</f>
        <v/>
      </c>
      <c r="BG42" s="1161" t="n"/>
      <c r="BH42" s="1161" t="n"/>
      <c r="BI42" s="1157">
        <f>INDEX('SM Support'!$M$3:$M$144,MATCH('Loan Tape - Settled'!G42,'SM Support'!$B$3:$B$144,0))</f>
        <v/>
      </c>
      <c r="BJ42" s="1157">
        <f>INDEX('SM Support'!$N$3:$N$144,MATCH('Loan Tape - Settled'!G42,'SM Support'!$B$3:$B$144,0))</f>
        <v/>
      </c>
    </row>
    <row r="43" ht="15" customHeight="1">
      <c r="A43" s="254">
        <f>CONCATENATE(C43,E43)</f>
        <v/>
      </c>
      <c r="B43" s="1137">
        <f>$A$2</f>
        <v/>
      </c>
      <c r="C43" s="286" t="inlineStr">
        <is>
          <t>smc</t>
        </is>
      </c>
      <c r="D43" s="287" t="inlineStr">
        <is>
          <t>Star Mountain Lower Middle-Market Capital Corp.</t>
        </is>
      </c>
      <c r="E43" s="288">
        <f>+E42+1</f>
        <v/>
      </c>
      <c r="F43" s="314">
        <f>F42+1</f>
        <v/>
      </c>
      <c r="G43" s="257" t="inlineStr">
        <is>
          <t>Ambient Enterprises</t>
        </is>
      </c>
      <c r="H43" s="257" t="inlineStr">
        <is>
          <t>1st Lien</t>
        </is>
      </c>
      <c r="I43" s="258" t="n"/>
      <c r="J43" s="259" t="inlineStr">
        <is>
          <t>First Lien</t>
        </is>
      </c>
      <c r="K43" s="259" t="inlineStr">
        <is>
          <t>Term Loan</t>
        </is>
      </c>
      <c r="L43" s="291" t="inlineStr">
        <is>
          <t>USD</t>
        </is>
      </c>
      <c r="M43" s="1138">
        <f>INDEX('SM Support'!$D$3:$D$64,MATCH('Loan Tape - Settled'!G43,'SM Support'!$B$3:$B$62,0))</f>
        <v/>
      </c>
      <c r="N43" s="1139">
        <f>M43</f>
        <v/>
      </c>
      <c r="O43" s="1140" t="n"/>
      <c r="P43" s="1140" t="n"/>
      <c r="Q43" s="263" t="n">
        <v>1</v>
      </c>
      <c r="R43" s="295" t="n"/>
      <c r="S43" s="265">
        <f>INDEX('SM Support'!$E$3:$E$64,MATCH('Loan Tape - Settled'!G43,'SM Support'!$B$3:$B$64,0))/INDEX('SM Support'!$D$3:$D$64,MATCH('Loan Tape - Settled'!G43,'SM Support'!$B$3:$B$64,0))</f>
        <v/>
      </c>
      <c r="T43" s="257" t="inlineStr">
        <is>
          <t>United States</t>
        </is>
      </c>
      <c r="U43" s="304" t="n">
        <v>45656</v>
      </c>
      <c r="V43" s="1141" t="n">
        <v>47664</v>
      </c>
      <c r="W43" s="257" t="inlineStr">
        <is>
          <t>Floating</t>
        </is>
      </c>
      <c r="X43" s="321" t="inlineStr">
        <is>
          <t>Trading Companies &amp; Distributors</t>
        </is>
      </c>
      <c r="Y43" s="257" t="inlineStr">
        <is>
          <t>M</t>
        </is>
      </c>
      <c r="Z43" s="267" t="inlineStr">
        <is>
          <t>No</t>
        </is>
      </c>
      <c r="AA43" s="268" t="n"/>
      <c r="AB43" s="268" t="n"/>
      <c r="AC43" s="269" t="n"/>
      <c r="AD43" s="1142" t="n">
        <v>0</v>
      </c>
      <c r="AE43" s="1142" t="n">
        <v>0.05194278959851406</v>
      </c>
      <c r="AF43" s="1142" t="n">
        <v>0.01</v>
      </c>
      <c r="AG43" s="270" t="n"/>
      <c r="AH43" s="270" t="n"/>
      <c r="AI43" s="1143" t="n"/>
      <c r="AJ43" s="272" t="n"/>
      <c r="AK43" s="272" t="n"/>
      <c r="AL43" s="272" t="n"/>
      <c r="AM43" s="272" t="n"/>
      <c r="AN43" s="308" t="n">
        <v>45656</v>
      </c>
      <c r="AO43" s="308" t="n">
        <v>45656</v>
      </c>
      <c r="AP43" s="274" t="n">
        <v>0</v>
      </c>
      <c r="AQ43" s="1144">
        <f>IF($D43=$AQ$3,$M43-$AP43,0)</f>
        <v/>
      </c>
      <c r="AR43" s="1145">
        <f>IF($D43=$AR$3,$N43-$AP43,0)</f>
        <v/>
      </c>
      <c r="AT43" s="1146" t="inlineStr">
        <is>
          <t>m</t>
        </is>
      </c>
      <c r="AU43" s="1158">
        <f>AU42</f>
        <v/>
      </c>
      <c r="AV43" s="1146" t="n">
        <v>137</v>
      </c>
      <c r="AW43" s="1148">
        <f>AV43</f>
        <v/>
      </c>
      <c r="AX43" s="1159" t="n">
        <v>4.1</v>
      </c>
      <c r="AY43" s="1154">
        <f>AX43</f>
        <v/>
      </c>
      <c r="AZ43" s="1151">
        <f>INDEX('SM Support'!$G$3:$G$64,MATCH('Loan Tape - Settled'!G43,'SM Support'!$B$3:$B$64,0))/1000000</f>
        <v/>
      </c>
      <c r="BA43" s="1148">
        <f>AZ43</f>
        <v/>
      </c>
      <c r="BB43" s="1152" t="n"/>
      <c r="BC43" s="1153">
        <f>INDEX('SM Support'!$M$3:$M$64,MATCH('Loan Tape - Settled'!G43,'SM Support'!$B$3:$B$64,0))</f>
        <v/>
      </c>
      <c r="BD43" s="1154">
        <f>BC43</f>
        <v/>
      </c>
      <c r="BE43" s="1155" t="n">
        <v>2.2</v>
      </c>
      <c r="BF43" s="1156">
        <f>INDEX('SM Support'!O$3:O$64,MATCH('Loan Tape - Settled'!$G43,'SM Support'!$B$3:$B$64,0))</f>
        <v/>
      </c>
      <c r="BG43" s="1161" t="n"/>
      <c r="BH43" s="1161" t="n"/>
      <c r="BI43" s="1157">
        <f>INDEX('SM Support'!$M$3:$M$144,MATCH('Loan Tape - Settled'!G43,'SM Support'!$B$3:$B$144,0))</f>
        <v/>
      </c>
      <c r="BJ43" s="1157">
        <f>INDEX('SM Support'!$N$3:$N$144,MATCH('Loan Tape - Settled'!G43,'SM Support'!$B$3:$B$144,0))</f>
        <v/>
      </c>
    </row>
    <row r="44" ht="15" customHeight="1">
      <c r="A44" s="254">
        <f>CONCATENATE(C44,E44)</f>
        <v/>
      </c>
      <c r="B44" s="1137">
        <f>$A$2</f>
        <v/>
      </c>
      <c r="C44" s="286" t="inlineStr">
        <is>
          <t>smc</t>
        </is>
      </c>
      <c r="D44" s="287" t="inlineStr">
        <is>
          <t>Star Mountain Lower Middle-Market Capital Corp.</t>
        </is>
      </c>
      <c r="E44" s="288">
        <f>+E43+1</f>
        <v/>
      </c>
      <c r="F44" s="314">
        <f>F43+1</f>
        <v/>
      </c>
      <c r="G44" s="257" t="inlineStr">
        <is>
          <t>Kassel Mechanical</t>
        </is>
      </c>
      <c r="H44" s="257" t="inlineStr">
        <is>
          <t>1st Lien</t>
        </is>
      </c>
      <c r="I44" s="258" t="n"/>
      <c r="J44" s="259" t="inlineStr">
        <is>
          <t>First Lien</t>
        </is>
      </c>
      <c r="K44" s="259" t="inlineStr">
        <is>
          <t>Term Loan</t>
        </is>
      </c>
      <c r="L44" s="291" t="inlineStr">
        <is>
          <t>USD</t>
        </is>
      </c>
      <c r="M44" s="1138">
        <f>INDEX('SM Support'!$D$3:$D$64,MATCH('Loan Tape - Settled'!G44,'SM Support'!$B$3:$B$62,0))</f>
        <v/>
      </c>
      <c r="N44" s="1139">
        <f>M44</f>
        <v/>
      </c>
      <c r="O44" s="1140" t="n"/>
      <c r="P44" s="1140" t="n"/>
      <c r="Q44" s="263" t="n">
        <v>1</v>
      </c>
      <c r="R44" s="295" t="n"/>
      <c r="S44" s="265">
        <f>INDEX('SM Support'!$E$3:$E$64,MATCH('Loan Tape - Settled'!G44,'SM Support'!$B$3:$B$64,0))/INDEX('SM Support'!$D$3:$D$64,MATCH('Loan Tape - Settled'!G44,'SM Support'!$B$3:$B$64,0))</f>
        <v/>
      </c>
      <c r="T44" s="257" t="inlineStr">
        <is>
          <t>United States</t>
        </is>
      </c>
      <c r="U44" s="304" t="n">
        <v>45733</v>
      </c>
      <c r="V44" s="1141" t="n">
        <v>47378</v>
      </c>
      <c r="W44" s="257" t="inlineStr">
        <is>
          <t>Floating</t>
        </is>
      </c>
      <c r="X44" s="321" t="inlineStr">
        <is>
          <t>Construction &amp; Engineering</t>
        </is>
      </c>
      <c r="Y44" s="257" t="inlineStr">
        <is>
          <t>M</t>
        </is>
      </c>
      <c r="Z44" s="267" t="inlineStr">
        <is>
          <t>No</t>
        </is>
      </c>
      <c r="AA44" s="268" t="n"/>
      <c r="AB44" s="268" t="n"/>
      <c r="AC44" s="269" t="n"/>
      <c r="AD44" s="1142" t="n">
        <v>0.008513400000000001</v>
      </c>
      <c r="AE44" s="1142" t="n">
        <v>0.07148660000000001</v>
      </c>
      <c r="AF44" s="1142" t="n">
        <v>0.03</v>
      </c>
      <c r="AG44" s="270" t="n"/>
      <c r="AH44" s="270" t="n"/>
      <c r="AI44" s="1143" t="n"/>
      <c r="AJ44" s="272" t="n"/>
      <c r="AK44" s="272" t="n"/>
      <c r="AL44" s="272" t="n"/>
      <c r="AM44" s="272" t="n"/>
      <c r="AN44" s="308" t="n">
        <v>45733</v>
      </c>
      <c r="AO44" s="308" t="n">
        <v>45733</v>
      </c>
      <c r="AP44" s="274" t="n">
        <v>0</v>
      </c>
      <c r="AQ44" s="1144">
        <f>IF($D44=$AQ$3,$M44-$AP44,0)</f>
        <v/>
      </c>
      <c r="AR44" s="1145">
        <f>IF($D44=$AR$3,$N44-$AP44,0)</f>
        <v/>
      </c>
      <c r="AT44" s="1146" t="inlineStr">
        <is>
          <t>m</t>
        </is>
      </c>
      <c r="AU44" s="1158">
        <f>AU43</f>
        <v/>
      </c>
      <c r="AV44" s="1146" t="n">
        <v>318.2</v>
      </c>
      <c r="AW44" s="1148">
        <f>AV44</f>
        <v/>
      </c>
      <c r="AX44" s="1159" t="n">
        <v>2.3</v>
      </c>
      <c r="AY44" s="1154">
        <f>AX44</f>
        <v/>
      </c>
      <c r="AZ44" s="1151">
        <f>INDEX('SM Support'!$G$3:$G$64,MATCH('Loan Tape - Settled'!G44,'SM Support'!$B$3:$B$64,0))/1000000</f>
        <v/>
      </c>
      <c r="BA44" s="1148">
        <f>AZ44</f>
        <v/>
      </c>
      <c r="BB44" s="1152" t="n"/>
      <c r="BC44" s="1153">
        <f>INDEX('SM Support'!$M$3:$M$64,MATCH('Loan Tape - Settled'!G44,'SM Support'!$B$3:$B$64,0))</f>
        <v/>
      </c>
      <c r="BD44" s="1154">
        <f>BC44</f>
        <v/>
      </c>
      <c r="BE44" s="1155" t="n">
        <v>3.98</v>
      </c>
      <c r="BF44" s="1156">
        <f>INDEX('SM Support'!O$3:O$64,MATCH('Loan Tape - Settled'!$G44,'SM Support'!$B$3:$B$64,0))</f>
        <v/>
      </c>
      <c r="BG44" s="1161" t="n"/>
      <c r="BH44" s="1161" t="n"/>
      <c r="BI44" s="1157">
        <f>INDEX('SM Support'!$M$3:$M$144,MATCH('Loan Tape - Settled'!G44,'SM Support'!$B$3:$B$144,0))</f>
        <v/>
      </c>
      <c r="BJ44" s="1157">
        <f>INDEX('SM Support'!$N$3:$N$144,MATCH('Loan Tape - Settled'!G44,'SM Support'!$B$3:$B$144,0))</f>
        <v/>
      </c>
    </row>
    <row r="45" ht="15" customHeight="1">
      <c r="A45" s="254">
        <f>CONCATENATE(C45,E45)</f>
        <v/>
      </c>
      <c r="B45" s="1137">
        <f>$A$2</f>
        <v/>
      </c>
      <c r="C45" s="286" t="inlineStr">
        <is>
          <t>smc</t>
        </is>
      </c>
      <c r="D45" s="287" t="inlineStr">
        <is>
          <t>Star Mountain Lower Middle-Market Capital Corp.</t>
        </is>
      </c>
      <c r="E45" s="288">
        <f>+E44+1</f>
        <v/>
      </c>
      <c r="F45" s="314">
        <f>F44+1</f>
        <v/>
      </c>
      <c r="G45" s="257" t="inlineStr">
        <is>
          <t>Built by Grid, LLC</t>
        </is>
      </c>
      <c r="H45" s="257" t="inlineStr">
        <is>
          <t>FILO</t>
        </is>
      </c>
      <c r="I45" s="258" t="n"/>
      <c r="J45" s="259" t="inlineStr">
        <is>
          <t>FILO</t>
        </is>
      </c>
      <c r="K45" s="259" t="inlineStr">
        <is>
          <t>Term Loan</t>
        </is>
      </c>
      <c r="L45" s="291" t="inlineStr">
        <is>
          <t>USD</t>
        </is>
      </c>
      <c r="M45" s="1138">
        <f>INDEX('SM Support'!$D$3:$D$64,MATCH('Loan Tape - Settled'!G45,'SM Support'!$B$3:$B$62,0))</f>
        <v/>
      </c>
      <c r="N45" s="1139">
        <f>M45</f>
        <v/>
      </c>
      <c r="O45" s="1140" t="n"/>
      <c r="P45" s="1140" t="n"/>
      <c r="Q45" s="263" t="n">
        <v>1</v>
      </c>
      <c r="R45" s="295" t="n"/>
      <c r="S45" s="265">
        <f>INDEX('SM Support'!$E$3:$E$64,MATCH('Loan Tape - Settled'!G45,'SM Support'!$B$3:$B$64,0))/INDEX('SM Support'!$D$3:$D$64,MATCH('Loan Tape - Settled'!G45,'SM Support'!$B$3:$B$64,0))</f>
        <v/>
      </c>
      <c r="T45" s="257" t="inlineStr">
        <is>
          <t>United States</t>
        </is>
      </c>
      <c r="U45" s="304" t="n">
        <v>45996</v>
      </c>
      <c r="V45" s="1141" t="n">
        <v>47822</v>
      </c>
      <c r="W45" s="257" t="inlineStr">
        <is>
          <t>Floating</t>
        </is>
      </c>
      <c r="X45" s="305" t="inlineStr">
        <is>
          <t>Building Products</t>
        </is>
      </c>
      <c r="Y45" s="769" t="inlineStr">
        <is>
          <t>M</t>
        </is>
      </c>
      <c r="Z45" s="770" t="inlineStr">
        <is>
          <t>No</t>
        </is>
      </c>
      <c r="AA45" s="771" t="n"/>
      <c r="AB45" s="771" t="n"/>
      <c r="AC45" s="772" t="n"/>
      <c r="AD45" s="1162" t="n">
        <v>0</v>
      </c>
      <c r="AE45" s="1162" t="n">
        <v>0.0692</v>
      </c>
      <c r="AF45" s="1162" t="n">
        <v>0.02</v>
      </c>
      <c r="AG45" s="270" t="n"/>
      <c r="AH45" s="270" t="n"/>
      <c r="AI45" s="1143" t="n"/>
      <c r="AJ45" s="272" t="n"/>
      <c r="AK45" s="272" t="n"/>
      <c r="AL45" s="272" t="n"/>
      <c r="AM45" s="272" t="n"/>
      <c r="AN45" s="308" t="n">
        <v>45996</v>
      </c>
      <c r="AO45" s="308" t="n">
        <v>45996</v>
      </c>
      <c r="AP45" s="274" t="n">
        <v>0</v>
      </c>
      <c r="AQ45" s="1144">
        <f>IF($D45=$AQ$3,$M45-$AP45,0)</f>
        <v/>
      </c>
      <c r="AR45" s="1145">
        <f>IF($D45=$AR$3,$N45-$AP45,0)</f>
        <v/>
      </c>
      <c r="AT45" s="1146" t="inlineStr">
        <is>
          <t>m</t>
        </is>
      </c>
      <c r="AU45" s="1158">
        <f>AU44</f>
        <v/>
      </c>
      <c r="AV45" s="1146" t="n">
        <v>11.6</v>
      </c>
      <c r="AW45" s="1148">
        <f>AV45</f>
        <v/>
      </c>
      <c r="AX45" s="1159" t="n">
        <v>2</v>
      </c>
      <c r="AY45" s="1154">
        <f>AX45</f>
        <v/>
      </c>
      <c r="AZ45" s="1151">
        <f>INDEX('SM Support'!$G$3:$G$64,MATCH('Loan Tape - Settled'!G45,'SM Support'!$B$3:$B$64,0))/1000000</f>
        <v/>
      </c>
      <c r="BA45" s="1148">
        <f>AZ45</f>
        <v/>
      </c>
      <c r="BB45" s="1152" t="n"/>
      <c r="BC45" s="1153">
        <f>INDEX('SM Support'!$M$3:$M$64,MATCH('Loan Tape - Settled'!G45,'SM Support'!$B$3:$B$64,0))</f>
        <v/>
      </c>
      <c r="BD45" s="1154">
        <f>BC45</f>
        <v/>
      </c>
      <c r="BE45" s="1155" t="n">
        <v>1.74</v>
      </c>
      <c r="BF45" s="1156">
        <f>INDEX('SM Support'!O$3:O$64,MATCH('Loan Tape - Settled'!$G45,'SM Support'!$B$3:$B$64,0))</f>
        <v/>
      </c>
      <c r="BG45" s="1161" t="n"/>
      <c r="BH45" s="1161" t="n"/>
      <c r="BI45" s="1157">
        <f>INDEX('SM Support'!$M$3:$M$144,MATCH('Loan Tape - Settled'!G45,'SM Support'!$B$3:$B$144,0))</f>
        <v/>
      </c>
      <c r="BJ45" s="1157">
        <f>INDEX('SM Support'!$N$3:$N$144,MATCH('Loan Tape - Settled'!G45,'SM Support'!$B$3:$B$144,0))</f>
        <v/>
      </c>
    </row>
    <row r="46" ht="15" customHeight="1">
      <c r="A46" s="254" t="n"/>
      <c r="B46" s="1137" t="n"/>
      <c r="C46" s="286" t="n"/>
      <c r="D46" s="287" t="n"/>
      <c r="E46" s="288" t="n"/>
      <c r="F46" s="314" t="n"/>
      <c r="G46" s="257" t="n"/>
      <c r="H46" s="257" t="n"/>
      <c r="I46" s="258" t="n"/>
      <c r="J46" s="259" t="n"/>
      <c r="K46" s="259" t="n"/>
      <c r="L46" s="291" t="n"/>
      <c r="M46" s="1138" t="n"/>
      <c r="N46" s="1139" t="n"/>
      <c r="O46" s="1140" t="n"/>
      <c r="P46" s="1140" t="n"/>
      <c r="Q46" s="263" t="n"/>
      <c r="R46" s="295" t="n"/>
      <c r="S46" s="265" t="n"/>
      <c r="T46" s="257" t="n"/>
      <c r="U46" s="304" t="n"/>
      <c r="V46" s="1141" t="n"/>
      <c r="W46" s="257" t="n"/>
      <c r="X46" s="321" t="n"/>
      <c r="Y46" s="257" t="n"/>
      <c r="Z46" s="267" t="n"/>
      <c r="AA46" s="268" t="n"/>
      <c r="AB46" s="268" t="n"/>
      <c r="AC46" s="269" t="n"/>
      <c r="AD46" s="1142" t="n"/>
      <c r="AE46" s="1142" t="n"/>
      <c r="AF46" s="1142" t="n"/>
      <c r="AG46" s="270" t="n"/>
      <c r="AH46" s="270" t="n"/>
      <c r="AI46" s="1143" t="n"/>
      <c r="AJ46" s="272" t="n"/>
      <c r="AK46" s="272" t="n"/>
      <c r="AL46" s="272" t="n"/>
      <c r="AM46" s="272" t="n"/>
      <c r="AN46" s="273" t="n"/>
      <c r="AO46" s="273" t="n"/>
      <c r="AP46" s="274" t="n"/>
      <c r="AQ46" s="1144" t="n"/>
      <c r="AR46" s="1145" t="n"/>
      <c r="AT46" s="1163" t="n"/>
      <c r="AU46" s="1164" t="n"/>
      <c r="AV46" s="1163" t="n"/>
      <c r="AW46" s="1165" t="n"/>
      <c r="AX46" s="1166" t="n"/>
      <c r="AY46" s="1167" t="n"/>
      <c r="AZ46" s="1168" t="n"/>
      <c r="BA46" s="1165" t="n"/>
      <c r="BB46" s="1161" t="n"/>
      <c r="BC46" s="1169" t="n"/>
      <c r="BD46" s="1167" t="n"/>
      <c r="BE46" s="1170" t="n"/>
      <c r="BF46" s="1171" t="n"/>
      <c r="BG46" s="1161" t="n"/>
      <c r="BH46" s="1161" t="n"/>
      <c r="BI46" s="1172" t="n"/>
      <c r="BJ46" s="1172" t="n"/>
    </row>
    <row r="47" ht="15" customHeight="1">
      <c r="A47" s="254" t="n"/>
      <c r="B47" s="1137" t="n"/>
      <c r="C47" s="286" t="n"/>
      <c r="D47" s="287" t="n"/>
      <c r="E47" s="288" t="n"/>
      <c r="F47" s="314" t="n"/>
      <c r="G47" s="257" t="n"/>
      <c r="H47" s="257" t="n"/>
      <c r="I47" s="258" t="n"/>
      <c r="J47" s="259" t="n"/>
      <c r="K47" s="259" t="n"/>
      <c r="L47" s="291" t="n"/>
      <c r="M47" s="1138" t="n"/>
      <c r="N47" s="1139" t="n"/>
      <c r="O47" s="1140" t="n"/>
      <c r="P47" s="1140" t="n"/>
      <c r="Q47" s="263" t="n"/>
      <c r="R47" s="295" t="n"/>
      <c r="S47" s="265" t="n"/>
      <c r="T47" s="257" t="n"/>
      <c r="U47" s="304" t="n"/>
      <c r="V47" s="1141" t="n"/>
      <c r="W47" s="257" t="n"/>
      <c r="X47" s="321" t="n"/>
      <c r="Y47" s="257" t="n"/>
      <c r="Z47" s="267" t="n"/>
      <c r="AA47" s="268" t="n"/>
      <c r="AB47" s="268" t="n"/>
      <c r="AC47" s="269" t="n"/>
      <c r="AD47" s="1142" t="n"/>
      <c r="AE47" s="1142" t="n"/>
      <c r="AF47" s="1142" t="n"/>
      <c r="AG47" s="270" t="n"/>
      <c r="AH47" s="270" t="n"/>
      <c r="AI47" s="1143" t="n"/>
      <c r="AJ47" s="272" t="n"/>
      <c r="AK47" s="272" t="n"/>
      <c r="AL47" s="272" t="n"/>
      <c r="AM47" s="272" t="n"/>
      <c r="AN47" s="273" t="n"/>
      <c r="AO47" s="273" t="n"/>
      <c r="AP47" s="274" t="n"/>
      <c r="AQ47" s="1144" t="n"/>
      <c r="AR47" s="1145" t="n"/>
      <c r="AT47" s="1163" t="n"/>
      <c r="AU47" s="1164" t="n"/>
      <c r="AV47" s="1163" t="n"/>
      <c r="AW47" s="1165" t="n"/>
      <c r="AX47" s="1166" t="n"/>
      <c r="AY47" s="1167" t="n"/>
      <c r="AZ47" s="1168" t="n"/>
      <c r="BA47" s="1165" t="n"/>
      <c r="BB47" s="1161" t="n"/>
      <c r="BC47" s="1169" t="n"/>
      <c r="BD47" s="1167" t="n"/>
      <c r="BE47" s="1170" t="n"/>
      <c r="BF47" s="1171" t="n"/>
      <c r="BG47" s="1161" t="n"/>
      <c r="BH47" s="1161" t="n"/>
      <c r="BI47" s="1172" t="n"/>
      <c r="BJ47" s="1172" t="n"/>
    </row>
    <row r="48" ht="15" customHeight="1">
      <c r="A48" s="254" t="n"/>
      <c r="B48" s="1137" t="n"/>
      <c r="C48" s="286" t="n"/>
      <c r="D48" s="287" t="n"/>
      <c r="E48" s="288" t="n"/>
      <c r="F48" s="314" t="n"/>
      <c r="G48" s="257" t="n"/>
      <c r="H48" s="257" t="n"/>
      <c r="I48" s="258" t="n"/>
      <c r="J48" s="259" t="n"/>
      <c r="K48" s="259" t="n"/>
      <c r="L48" s="291" t="n"/>
      <c r="M48" s="1138" t="n"/>
      <c r="N48" s="1139" t="n"/>
      <c r="O48" s="1140" t="n"/>
      <c r="P48" s="1140" t="n"/>
      <c r="Q48" s="263" t="n"/>
      <c r="R48" s="295" t="n"/>
      <c r="S48" s="265" t="n"/>
      <c r="T48" s="257" t="n"/>
      <c r="U48" s="304" t="n"/>
      <c r="V48" s="1141" t="n"/>
      <c r="W48" s="257" t="n"/>
      <c r="X48" s="321" t="n"/>
      <c r="Y48" s="257" t="n"/>
      <c r="Z48" s="267" t="n"/>
      <c r="AA48" s="268" t="n"/>
      <c r="AB48" s="268" t="n"/>
      <c r="AC48" s="269" t="n"/>
      <c r="AD48" s="1142" t="n"/>
      <c r="AE48" s="1142" t="n"/>
      <c r="AF48" s="1142" t="n"/>
      <c r="AG48" s="270" t="n"/>
      <c r="AH48" s="270" t="n"/>
      <c r="AI48" s="1143" t="n"/>
      <c r="AJ48" s="272" t="n"/>
      <c r="AK48" s="272" t="n"/>
      <c r="AL48" s="272" t="n"/>
      <c r="AM48" s="272" t="n"/>
      <c r="AN48" s="273" t="n"/>
      <c r="AO48" s="273" t="n"/>
      <c r="AP48" s="274" t="n"/>
      <c r="AQ48" s="1144" t="n"/>
      <c r="AR48" s="1145" t="n"/>
      <c r="AT48" s="1163" t="n"/>
      <c r="AU48" s="1164" t="n"/>
      <c r="AV48" s="1163" t="n"/>
      <c r="AW48" s="1165" t="n"/>
      <c r="AX48" s="1166" t="n"/>
      <c r="AY48" s="1167" t="n"/>
      <c r="AZ48" s="1168" t="n"/>
      <c r="BA48" s="1165" t="n"/>
      <c r="BB48" s="1161" t="n"/>
      <c r="BC48" s="1169" t="n"/>
      <c r="BD48" s="1167" t="n"/>
      <c r="BE48" s="1170" t="n"/>
      <c r="BF48" s="1171" t="n"/>
      <c r="BG48" s="1161" t="n"/>
      <c r="BH48" s="1161" t="n"/>
      <c r="BI48" s="1172" t="n"/>
      <c r="BJ48" s="1172" t="n"/>
    </row>
    <row r="49" ht="15" customHeight="1">
      <c r="A49" s="254" t="n"/>
      <c r="B49" s="1137" t="n"/>
      <c r="C49" s="286" t="n"/>
      <c r="D49" s="287" t="n"/>
      <c r="E49" s="288" t="n"/>
      <c r="F49" s="314" t="n"/>
      <c r="G49" s="257" t="n"/>
      <c r="H49" s="257" t="n"/>
      <c r="I49" s="258" t="n"/>
      <c r="J49" s="259" t="n"/>
      <c r="K49" s="259" t="n"/>
      <c r="L49" s="291" t="n"/>
      <c r="M49" s="1138" t="n"/>
      <c r="N49" s="1139" t="n"/>
      <c r="O49" s="1140" t="n"/>
      <c r="P49" s="1140" t="n"/>
      <c r="Q49" s="263" t="n"/>
      <c r="R49" s="295" t="n"/>
      <c r="S49" s="265" t="n"/>
      <c r="T49" s="257" t="n"/>
      <c r="U49" s="304" t="n"/>
      <c r="V49" s="1141" t="n"/>
      <c r="W49" s="257" t="n"/>
      <c r="X49" s="321" t="n"/>
      <c r="Y49" s="257" t="n"/>
      <c r="Z49" s="267" t="n"/>
      <c r="AA49" s="268" t="n"/>
      <c r="AB49" s="268" t="n"/>
      <c r="AC49" s="269" t="n"/>
      <c r="AD49" s="1142" t="n"/>
      <c r="AE49" s="1142" t="n"/>
      <c r="AF49" s="1142" t="n"/>
      <c r="AG49" s="270" t="n"/>
      <c r="AH49" s="270" t="n"/>
      <c r="AI49" s="1143" t="n"/>
      <c r="AJ49" s="272" t="n"/>
      <c r="AK49" s="272" t="n"/>
      <c r="AL49" s="272" t="n"/>
      <c r="AM49" s="272" t="n"/>
      <c r="AN49" s="273" t="n"/>
      <c r="AO49" s="273" t="n"/>
      <c r="AP49" s="274" t="n"/>
      <c r="AQ49" s="1144" t="n"/>
      <c r="AR49" s="1145" t="n"/>
      <c r="AT49" s="1163" t="n"/>
      <c r="AU49" s="1164" t="n"/>
      <c r="AV49" s="1163" t="n"/>
      <c r="AW49" s="1165" t="n"/>
      <c r="AX49" s="1166" t="n"/>
      <c r="AY49" s="1167" t="n"/>
      <c r="AZ49" s="1168" t="n"/>
      <c r="BA49" s="1165" t="n"/>
      <c r="BB49" s="1161" t="n"/>
      <c r="BC49" s="1169" t="n"/>
      <c r="BD49" s="1167" t="n"/>
      <c r="BE49" s="1170" t="n"/>
      <c r="BF49" s="1171" t="n"/>
      <c r="BG49" s="1161" t="n"/>
      <c r="BH49" s="1161" t="n"/>
      <c r="BI49" s="1172" t="n"/>
      <c r="BJ49" s="1172" t="n"/>
    </row>
    <row r="50" ht="15" customHeight="1">
      <c r="A50" s="254" t="n"/>
      <c r="B50" s="1137" t="n"/>
      <c r="C50" s="286" t="n"/>
      <c r="D50" s="287" t="n"/>
      <c r="E50" s="288" t="n"/>
      <c r="F50" s="314" t="n"/>
      <c r="G50" s="257" t="n"/>
      <c r="H50" s="257" t="n"/>
      <c r="I50" s="258" t="n"/>
      <c r="J50" s="259" t="n"/>
      <c r="K50" s="259" t="n"/>
      <c r="L50" s="291" t="n"/>
      <c r="M50" s="1138" t="n"/>
      <c r="N50" s="1139" t="n"/>
      <c r="O50" s="1140" t="n"/>
      <c r="P50" s="1140" t="n"/>
      <c r="Q50" s="263" t="n"/>
      <c r="R50" s="295" t="n"/>
      <c r="S50" s="265" t="n"/>
      <c r="T50" s="257" t="n"/>
      <c r="U50" s="304" t="n"/>
      <c r="V50" s="1141" t="n"/>
      <c r="W50" s="257" t="n"/>
      <c r="X50" s="321" t="n"/>
      <c r="Y50" s="257" t="n"/>
      <c r="Z50" s="267" t="n"/>
      <c r="AA50" s="268" t="n"/>
      <c r="AB50" s="268" t="n"/>
      <c r="AC50" s="269" t="n"/>
      <c r="AD50" s="1142" t="n"/>
      <c r="AE50" s="1142" t="n"/>
      <c r="AF50" s="1142" t="n"/>
      <c r="AG50" s="270" t="n"/>
      <c r="AH50" s="270" t="n"/>
      <c r="AI50" s="1143" t="n"/>
      <c r="AJ50" s="272" t="n"/>
      <c r="AK50" s="272" t="n"/>
      <c r="AL50" s="272" t="n"/>
      <c r="AM50" s="272" t="n"/>
      <c r="AN50" s="273" t="n"/>
      <c r="AO50" s="273" t="n"/>
      <c r="AP50" s="274" t="n"/>
      <c r="AQ50" s="1144" t="n"/>
      <c r="AR50" s="1145" t="n"/>
      <c r="AT50" s="1163" t="n"/>
      <c r="AU50" s="1164" t="n"/>
      <c r="AV50" s="1163" t="n"/>
      <c r="AW50" s="1165" t="n"/>
      <c r="AX50" s="1166" t="n"/>
      <c r="AY50" s="1167" t="n"/>
      <c r="AZ50" s="1168" t="n"/>
      <c r="BA50" s="1165" t="n"/>
      <c r="BB50" s="1161" t="n"/>
      <c r="BC50" s="1169" t="n"/>
      <c r="BD50" s="1167" t="n"/>
      <c r="BE50" s="1170" t="n"/>
      <c r="BF50" s="1171" t="n"/>
      <c r="BG50" s="1161" t="n"/>
      <c r="BH50" s="1161" t="n"/>
      <c r="BI50" s="1172" t="n"/>
      <c r="BJ50" s="1172" t="n"/>
    </row>
    <row r="51" ht="15" customHeight="1">
      <c r="A51" s="254" t="n"/>
      <c r="B51" s="1137" t="n"/>
      <c r="C51" s="286" t="n"/>
      <c r="D51" s="287" t="n"/>
      <c r="E51" s="288" t="n"/>
      <c r="F51" s="314" t="n"/>
      <c r="G51" s="257" t="n"/>
      <c r="H51" s="257" t="n"/>
      <c r="I51" s="258" t="n"/>
      <c r="J51" s="259" t="n"/>
      <c r="K51" s="259" t="n"/>
      <c r="L51" s="291" t="n"/>
      <c r="M51" s="1138" t="n"/>
      <c r="N51" s="1139" t="n"/>
      <c r="O51" s="1140" t="n"/>
      <c r="P51" s="1140" t="n"/>
      <c r="Q51" s="263" t="n"/>
      <c r="R51" s="295" t="n"/>
      <c r="S51" s="265" t="n"/>
      <c r="T51" s="257" t="n"/>
      <c r="U51" s="304" t="n"/>
      <c r="V51" s="1141" t="n"/>
      <c r="W51" s="257" t="n"/>
      <c r="X51" s="321" t="n"/>
      <c r="Y51" s="257" t="n"/>
      <c r="Z51" s="267" t="n"/>
      <c r="AA51" s="268" t="n"/>
      <c r="AB51" s="268" t="n"/>
      <c r="AC51" s="269" t="n"/>
      <c r="AD51" s="1142" t="n"/>
      <c r="AE51" s="1142" t="n"/>
      <c r="AF51" s="1142" t="n"/>
      <c r="AG51" s="270" t="n"/>
      <c r="AH51" s="270" t="n"/>
      <c r="AI51" s="1143" t="n"/>
      <c r="AJ51" s="272" t="n"/>
      <c r="AK51" s="272" t="n"/>
      <c r="AL51" s="272" t="n"/>
      <c r="AM51" s="272" t="n"/>
      <c r="AN51" s="273" t="n"/>
      <c r="AO51" s="273" t="n"/>
      <c r="AP51" s="274" t="n"/>
      <c r="AQ51" s="1144" t="n"/>
      <c r="AR51" s="1145" t="n"/>
      <c r="AT51" s="1163" t="n"/>
      <c r="AU51" s="1164" t="n"/>
      <c r="AV51" s="1163" t="n"/>
      <c r="AW51" s="1165" t="n"/>
      <c r="AX51" s="1166" t="n"/>
      <c r="AY51" s="1167" t="n"/>
      <c r="AZ51" s="1168" t="n"/>
      <c r="BA51" s="1165" t="n"/>
      <c r="BB51" s="1161" t="n"/>
      <c r="BC51" s="1169" t="n"/>
      <c r="BD51" s="1167" t="n"/>
      <c r="BE51" s="1170" t="n"/>
      <c r="BF51" s="1171" t="n"/>
      <c r="BG51" s="1161" t="n"/>
      <c r="BH51" s="1161" t="n"/>
      <c r="BI51" s="1172" t="n"/>
      <c r="BJ51" s="1172" t="n"/>
    </row>
    <row r="52" ht="15" customHeight="1">
      <c r="A52" s="254" t="n"/>
      <c r="B52" s="1137" t="n"/>
      <c r="C52" s="286" t="n"/>
      <c r="D52" s="287" t="n"/>
      <c r="E52" s="288" t="n"/>
      <c r="F52" s="314" t="n"/>
      <c r="G52" s="257" t="n"/>
      <c r="H52" s="257" t="n"/>
      <c r="I52" s="258" t="n"/>
      <c r="J52" s="259" t="n"/>
      <c r="K52" s="259" t="n"/>
      <c r="L52" s="291" t="n"/>
      <c r="M52" s="1138" t="n"/>
      <c r="N52" s="1139" t="n"/>
      <c r="O52" s="1140" t="n"/>
      <c r="P52" s="1140" t="n"/>
      <c r="Q52" s="263" t="n"/>
      <c r="R52" s="295" t="n"/>
      <c r="S52" s="265" t="n"/>
      <c r="T52" s="257" t="n"/>
      <c r="U52" s="304" t="n"/>
      <c r="V52" s="1141" t="n"/>
      <c r="W52" s="257" t="n"/>
      <c r="X52" s="321" t="n"/>
      <c r="Y52" s="257" t="n"/>
      <c r="Z52" s="267" t="n"/>
      <c r="AA52" s="268" t="n"/>
      <c r="AB52" s="268" t="n"/>
      <c r="AC52" s="269" t="n"/>
      <c r="AD52" s="1142" t="n"/>
      <c r="AE52" s="1142" t="n"/>
      <c r="AF52" s="1142" t="n"/>
      <c r="AG52" s="270" t="n"/>
      <c r="AH52" s="270" t="n"/>
      <c r="AI52" s="1143" t="n"/>
      <c r="AJ52" s="272" t="n"/>
      <c r="AK52" s="272" t="n"/>
      <c r="AL52" s="272" t="n"/>
      <c r="AM52" s="272" t="n"/>
      <c r="AN52" s="273" t="n"/>
      <c r="AO52" s="273" t="n"/>
      <c r="AP52" s="274" t="n"/>
      <c r="AQ52" s="1144" t="n"/>
      <c r="AR52" s="1145" t="n"/>
      <c r="AT52" s="1163" t="n"/>
      <c r="AU52" s="1164" t="n"/>
      <c r="AV52" s="1163" t="n"/>
      <c r="AW52" s="1165" t="n"/>
      <c r="AX52" s="1166" t="n"/>
      <c r="AY52" s="1167" t="n"/>
      <c r="AZ52" s="1168" t="n"/>
      <c r="BA52" s="1165" t="n"/>
      <c r="BB52" s="1161" t="n"/>
      <c r="BC52" s="1169" t="n"/>
      <c r="BD52" s="1167" t="n"/>
      <c r="BE52" s="1170" t="n"/>
      <c r="BF52" s="1171" t="n"/>
      <c r="BG52" s="1161" t="n"/>
      <c r="BH52" s="1161" t="n"/>
      <c r="BI52" s="1172" t="n"/>
      <c r="BJ52" s="1172" t="n"/>
    </row>
    <row r="53" ht="15" customHeight="1">
      <c r="A53" s="254" t="n"/>
      <c r="B53" s="1137" t="n"/>
      <c r="C53" s="286" t="n"/>
      <c r="D53" s="287" t="n"/>
      <c r="E53" s="288" t="n"/>
      <c r="F53" s="314" t="n"/>
      <c r="G53" s="257" t="n"/>
      <c r="H53" s="257" t="n"/>
      <c r="I53" s="258" t="n"/>
      <c r="J53" s="259" t="n"/>
      <c r="K53" s="259" t="n"/>
      <c r="L53" s="291" t="n"/>
      <c r="M53" s="1138" t="n"/>
      <c r="N53" s="1139" t="n"/>
      <c r="O53" s="1140" t="n"/>
      <c r="P53" s="1140" t="n"/>
      <c r="Q53" s="263" t="n"/>
      <c r="R53" s="295" t="n"/>
      <c r="S53" s="265" t="n"/>
      <c r="T53" s="257" t="n"/>
      <c r="U53" s="304" t="n"/>
      <c r="V53" s="1141" t="n"/>
      <c r="W53" s="257" t="n"/>
      <c r="X53" s="321" t="n"/>
      <c r="Y53" s="257" t="n"/>
      <c r="Z53" s="267" t="n"/>
      <c r="AA53" s="268" t="n"/>
      <c r="AB53" s="268" t="n"/>
      <c r="AC53" s="269" t="n"/>
      <c r="AD53" s="1142" t="n"/>
      <c r="AE53" s="1142" t="n"/>
      <c r="AF53" s="1142" t="n"/>
      <c r="AG53" s="270" t="n"/>
      <c r="AH53" s="270" t="n"/>
      <c r="AI53" s="1143" t="n"/>
      <c r="AJ53" s="272" t="n"/>
      <c r="AK53" s="272" t="n"/>
      <c r="AL53" s="272" t="n"/>
      <c r="AM53" s="272" t="n"/>
      <c r="AN53" s="273" t="n"/>
      <c r="AO53" s="273" t="n"/>
      <c r="AP53" s="274" t="n"/>
      <c r="AQ53" s="1144" t="n"/>
      <c r="AR53" s="1145" t="n"/>
      <c r="AT53" s="1163" t="n"/>
      <c r="AU53" s="1164" t="n"/>
      <c r="AV53" s="1163" t="n"/>
      <c r="AW53" s="1165" t="n"/>
      <c r="AX53" s="1166" t="n"/>
      <c r="AY53" s="1167" t="n"/>
      <c r="AZ53" s="1168" t="n"/>
      <c r="BA53" s="1165" t="n"/>
      <c r="BB53" s="1161" t="n"/>
      <c r="BC53" s="1169" t="n"/>
      <c r="BD53" s="1167" t="n"/>
      <c r="BE53" s="1170" t="n"/>
      <c r="BF53" s="1171" t="n"/>
      <c r="BG53" s="1161" t="n"/>
      <c r="BH53" s="1161" t="n"/>
      <c r="BI53" s="1172" t="n"/>
      <c r="BJ53" s="1172" t="n"/>
    </row>
    <row r="54" ht="15" customHeight="1">
      <c r="A54" s="254" t="n"/>
      <c r="B54" s="1137" t="n"/>
      <c r="C54" s="286" t="n"/>
      <c r="D54" s="287" t="n"/>
      <c r="E54" s="288" t="n"/>
      <c r="F54" s="314" t="n"/>
      <c r="G54" s="257" t="n"/>
      <c r="H54" s="257" t="n"/>
      <c r="I54" s="258" t="n"/>
      <c r="J54" s="259" t="n"/>
      <c r="K54" s="259" t="n"/>
      <c r="L54" s="291" t="n"/>
      <c r="M54" s="1138" t="n"/>
      <c r="N54" s="1139" t="n"/>
      <c r="O54" s="1140" t="n"/>
      <c r="P54" s="1140" t="n"/>
      <c r="Q54" s="263" t="n"/>
      <c r="R54" s="295" t="n"/>
      <c r="S54" s="265" t="n"/>
      <c r="T54" s="257" t="n"/>
      <c r="U54" s="304" t="n"/>
      <c r="V54" s="1141" t="n"/>
      <c r="W54" s="257" t="n"/>
      <c r="X54" s="321" t="n"/>
      <c r="Y54" s="257" t="n"/>
      <c r="Z54" s="267" t="n"/>
      <c r="AA54" s="268" t="n"/>
      <c r="AB54" s="268" t="n"/>
      <c r="AC54" s="269" t="n"/>
      <c r="AD54" s="1142" t="n"/>
      <c r="AE54" s="1142" t="n"/>
      <c r="AF54" s="1142" t="n"/>
      <c r="AG54" s="270" t="n"/>
      <c r="AH54" s="270" t="n"/>
      <c r="AI54" s="1143" t="n"/>
      <c r="AJ54" s="272" t="n"/>
      <c r="AK54" s="272" t="n"/>
      <c r="AL54" s="272" t="n"/>
      <c r="AM54" s="272" t="n"/>
      <c r="AN54" s="273" t="n"/>
      <c r="AO54" s="273" t="n"/>
      <c r="AP54" s="274" t="n"/>
      <c r="AQ54" s="1144" t="n"/>
      <c r="AR54" s="1145" t="n"/>
      <c r="AT54" s="1163" t="n"/>
      <c r="AU54" s="1164" t="n"/>
      <c r="AV54" s="1163" t="n"/>
      <c r="AW54" s="1165" t="n"/>
      <c r="AX54" s="1166" t="n"/>
      <c r="AY54" s="1167" t="n"/>
      <c r="AZ54" s="1168" t="n"/>
      <c r="BA54" s="1165" t="n"/>
      <c r="BB54" s="1161" t="n"/>
      <c r="BC54" s="1169" t="n"/>
      <c r="BD54" s="1167" t="n"/>
      <c r="BE54" s="1170" t="n"/>
      <c r="BF54" s="1171" t="n"/>
      <c r="BG54" s="1161" t="n"/>
      <c r="BH54" s="1161" t="n"/>
      <c r="BI54" s="1172" t="n"/>
      <c r="BJ54" s="1172" t="n"/>
    </row>
    <row r="55">
      <c r="A55" s="254" t="n"/>
      <c r="B55" s="1137" t="n"/>
      <c r="C55" s="256" t="n"/>
      <c r="D55" s="257" t="n"/>
      <c r="E55" s="288" t="n"/>
      <c r="F55" s="314" t="n"/>
      <c r="G55" s="289" t="n"/>
      <c r="H55" s="289" t="n"/>
      <c r="I55" s="289" t="n"/>
      <c r="J55" s="299" t="n"/>
      <c r="K55" s="299" t="n"/>
      <c r="L55" s="289" t="n"/>
      <c r="M55" s="1173" t="n"/>
      <c r="N55" s="1173" t="n"/>
      <c r="O55" s="1173" t="n"/>
      <c r="P55" s="1173" t="n"/>
      <c r="Q55" s="302" t="n"/>
      <c r="R55" s="302" t="n"/>
      <c r="S55" s="1173" t="n"/>
      <c r="T55" s="289" t="n"/>
      <c r="U55" s="289" t="n"/>
      <c r="V55" s="1174" t="n"/>
      <c r="W55" s="289" t="n"/>
      <c r="X55" s="289" t="n"/>
      <c r="Y55" s="289" t="n"/>
      <c r="Z55" s="272" t="n"/>
      <c r="AA55" s="272" t="n"/>
      <c r="AB55" s="272" t="n"/>
      <c r="AC55" s="303" t="n"/>
      <c r="AD55" s="1142" t="n"/>
      <c r="AE55" s="1142" t="n"/>
      <c r="AF55" s="1142" t="n"/>
      <c r="AG55" s="270" t="n"/>
      <c r="AH55" s="270" t="n"/>
      <c r="AI55" s="1143" t="n"/>
      <c r="AJ55" s="272" t="n"/>
      <c r="AK55" s="272" t="n"/>
      <c r="AL55" s="272" t="n"/>
      <c r="AM55" s="272" t="n"/>
      <c r="AN55" s="273" t="n"/>
      <c r="AO55" s="273" t="n"/>
      <c r="AP55" s="274" t="n"/>
      <c r="AQ55" s="1144" t="n"/>
      <c r="AR55" s="1145" t="n"/>
    </row>
    <row r="56" customFormat="1" s="801">
      <c r="AD56" s="1175" t="n"/>
      <c r="AE56" s="1175" t="n"/>
      <c r="AF56" s="1175" t="n"/>
      <c r="AG56" s="803" t="n"/>
      <c r="AH56" s="803" t="n"/>
      <c r="AI56" s="1176" t="n"/>
      <c r="AJ56" s="805" t="n"/>
      <c r="AK56" s="805" t="n"/>
      <c r="AL56" s="805" t="n"/>
      <c r="AM56" s="805" t="n"/>
      <c r="AN56" s="806" t="n"/>
      <c r="AO56" s="806" t="n"/>
    </row>
    <row r="57">
      <c r="V57" s="1177" t="n"/>
      <c r="AD57" s="1142" t="n"/>
      <c r="AE57" s="1142" t="n"/>
      <c r="AF57" s="1142" t="n"/>
      <c r="AG57" s="270" t="n"/>
      <c r="AH57" s="270" t="n"/>
      <c r="AI57" s="1143" t="n"/>
      <c r="AJ57" s="272" t="n"/>
      <c r="AK57" s="272" t="n"/>
      <c r="AL57" s="272" t="n"/>
      <c r="AM57" s="272" t="n"/>
      <c r="AN57" s="273" t="n"/>
      <c r="AO57" s="273" t="n"/>
    </row>
    <row r="58">
      <c r="AD58" s="1142" t="n"/>
      <c r="AE58" s="1142" t="n"/>
      <c r="AF58" s="1142" t="n"/>
      <c r="AG58" s="270" t="n"/>
      <c r="AH58" s="270" t="n"/>
      <c r="AI58" s="1143" t="n"/>
      <c r="AJ58" s="272" t="n"/>
      <c r="AK58" s="272" t="n"/>
      <c r="AL58" s="272" t="n"/>
      <c r="AM58" s="272" t="n"/>
      <c r="AN58" s="273" t="n"/>
      <c r="AO58" s="273" t="n"/>
    </row>
    <row r="59">
      <c r="AD59" s="1142" t="n"/>
      <c r="AE59" s="1142" t="n"/>
      <c r="AF59" s="1142" t="n"/>
      <c r="AG59" s="270" t="n"/>
      <c r="AH59" s="270" t="n"/>
      <c r="AI59" s="1143" t="n"/>
      <c r="AJ59" s="272" t="n"/>
      <c r="AK59" s="272" t="n"/>
      <c r="AL59" s="272" t="n"/>
      <c r="AM59" s="272" t="n"/>
      <c r="AN59" s="273" t="n"/>
      <c r="AO59" s="273" t="n"/>
    </row>
    <row r="60">
      <c r="AD60" s="1142" t="n"/>
      <c r="AE60" s="1142" t="n"/>
      <c r="AF60" s="1142" t="n"/>
      <c r="AG60" s="270" t="n"/>
      <c r="AH60" s="270" t="n"/>
      <c r="AI60" s="1143" t="n"/>
      <c r="AJ60" s="272" t="n"/>
      <c r="AK60" s="272" t="n"/>
      <c r="AL60" s="272" t="n"/>
      <c r="AM60" s="272" t="n"/>
      <c r="AN60" s="273" t="n"/>
      <c r="AO60" s="273" t="n"/>
    </row>
    <row r="61">
      <c r="AD61" s="1142" t="n"/>
      <c r="AE61" s="1142" t="n"/>
      <c r="AF61" s="1142" t="n"/>
      <c r="AG61" s="270" t="n"/>
      <c r="AH61" s="270" t="n"/>
      <c r="AI61" s="1143" t="n"/>
      <c r="AJ61" s="272" t="n"/>
      <c r="AK61" s="272" t="n"/>
      <c r="AL61" s="272" t="n"/>
      <c r="AM61" s="272" t="n"/>
      <c r="AN61" s="296" t="n"/>
      <c r="AO61" s="296" t="n"/>
    </row>
    <row r="62">
      <c r="AD62" s="1142" t="n"/>
      <c r="AE62" s="1142" t="n"/>
      <c r="AF62" s="1142" t="n"/>
      <c r="AG62" s="270" t="n"/>
      <c r="AH62" s="270" t="n"/>
      <c r="AI62" s="1143" t="n"/>
      <c r="AJ62" s="272" t="n"/>
      <c r="AK62" s="272" t="n"/>
      <c r="AL62" s="272" t="n"/>
      <c r="AM62" s="272" t="n"/>
      <c r="AN62" s="296" t="n"/>
      <c r="AO62" s="296" t="n"/>
    </row>
    <row r="63">
      <c r="AD63" s="1142" t="n"/>
      <c r="AE63" s="1142" t="n"/>
      <c r="AF63" s="1142" t="n"/>
      <c r="AG63" s="270" t="n"/>
      <c r="AH63" s="270" t="n"/>
      <c r="AI63" s="1143" t="n"/>
      <c r="AJ63" s="272" t="n"/>
      <c r="AK63" s="272" t="n"/>
      <c r="AL63" s="272" t="n"/>
      <c r="AM63" s="272" t="n"/>
      <c r="AN63" s="296" t="n"/>
      <c r="AO63" s="296" t="n"/>
    </row>
    <row r="64">
      <c r="AD64" s="1142" t="n"/>
      <c r="AE64" s="1142" t="n"/>
      <c r="AF64" s="1142" t="n"/>
      <c r="AG64" s="270" t="n"/>
      <c r="AH64" s="270" t="n"/>
      <c r="AI64" s="1143" t="n"/>
      <c r="AJ64" s="272" t="n"/>
      <c r="AK64" s="272" t="n"/>
      <c r="AL64" s="272" t="n"/>
      <c r="AM64" s="272" t="n"/>
      <c r="AN64" s="296" t="n"/>
      <c r="AO64" s="296" t="n"/>
    </row>
    <row r="65">
      <c r="AD65" s="1142" t="n"/>
      <c r="AE65" s="1142" t="n"/>
      <c r="AF65" s="1142" t="n"/>
      <c r="AG65" s="270" t="n"/>
      <c r="AH65" s="270" t="n"/>
      <c r="AI65" s="1143" t="n"/>
      <c r="AJ65" s="272" t="n"/>
      <c r="AK65" s="272" t="n"/>
      <c r="AL65" s="272" t="n"/>
      <c r="AM65" s="272" t="n"/>
      <c r="AN65" s="296" t="n"/>
      <c r="AO65" s="296" t="n"/>
    </row>
    <row r="66">
      <c r="AD66" s="1142" t="n"/>
      <c r="AE66" s="1142" t="n"/>
      <c r="AF66" s="1142" t="n"/>
      <c r="AG66" s="270" t="n"/>
      <c r="AH66" s="270" t="n"/>
      <c r="AI66" s="1143" t="n"/>
      <c r="AJ66" s="272" t="n"/>
      <c r="AK66" s="272" t="n"/>
      <c r="AL66" s="272" t="n"/>
      <c r="AM66" s="272" t="n"/>
      <c r="AN66" s="308" t="n"/>
      <c r="AO66" s="308" t="n"/>
    </row>
    <row r="67">
      <c r="AD67" s="1142" t="n"/>
      <c r="AE67" s="1142" t="n"/>
      <c r="AF67" s="1142" t="n"/>
      <c r="AG67" s="270" t="n"/>
      <c r="AH67" s="270" t="n"/>
      <c r="AI67" s="1143" t="n"/>
      <c r="AJ67" s="272" t="n"/>
      <c r="AK67" s="272" t="n"/>
      <c r="AL67" s="272" t="n"/>
      <c r="AM67" s="272" t="n"/>
      <c r="AN67" s="308" t="n"/>
      <c r="AO67" s="308" t="n"/>
    </row>
    <row r="68">
      <c r="AD68" s="1142" t="n"/>
      <c r="AE68" s="1142" t="n"/>
      <c r="AF68" s="1142" t="n"/>
      <c r="AG68" s="270" t="n"/>
      <c r="AH68" s="270" t="n"/>
      <c r="AI68" s="1143" t="n"/>
      <c r="AJ68" s="272" t="n"/>
      <c r="AK68" s="272" t="n"/>
      <c r="AL68" s="272" t="n"/>
      <c r="AM68" s="272" t="n"/>
      <c r="AN68" s="308" t="n"/>
      <c r="AO68" s="308" t="n"/>
    </row>
    <row r="69">
      <c r="AD69" s="1142" t="n"/>
      <c r="AE69" s="1142" t="n"/>
      <c r="AF69" s="1142" t="n"/>
      <c r="AG69" s="309" t="n"/>
      <c r="AH69" s="309" t="n"/>
      <c r="AI69" s="1160" t="n"/>
      <c r="AJ69" s="292" t="n"/>
      <c r="AK69" s="292" t="n"/>
      <c r="AL69" s="292" t="n"/>
      <c r="AM69" s="292" t="n"/>
      <c r="AN69" s="308" t="n"/>
      <c r="AO69" s="308" t="n"/>
    </row>
    <row r="70">
      <c r="AD70" s="1142" t="n"/>
      <c r="AE70" s="1142" t="n"/>
      <c r="AF70" s="1142" t="n"/>
      <c r="AG70" s="309" t="n"/>
      <c r="AH70" s="309" t="n"/>
      <c r="AI70" s="1160" t="n"/>
      <c r="AJ70" s="292" t="n"/>
      <c r="AK70" s="292" t="n"/>
      <c r="AL70" s="292" t="n"/>
      <c r="AM70" s="292" t="n"/>
      <c r="AN70" s="308" t="n"/>
      <c r="AO70" s="308" t="n"/>
    </row>
    <row r="71">
      <c r="AD71" s="1142" t="n"/>
      <c r="AE71" s="1142" t="n"/>
      <c r="AF71" s="1142" t="n"/>
      <c r="AG71" s="270" t="n"/>
      <c r="AH71" s="270" t="n"/>
      <c r="AI71" s="1143" t="n"/>
      <c r="AJ71" s="272" t="n"/>
      <c r="AK71" s="272" t="n"/>
      <c r="AL71" s="272" t="n"/>
      <c r="AM71" s="272" t="n"/>
      <c r="AN71" s="308" t="n"/>
      <c r="AO71" s="308" t="n"/>
    </row>
    <row r="72">
      <c r="AD72" s="1142" t="n"/>
      <c r="AE72" s="1142" t="n"/>
      <c r="AF72" s="1142" t="n"/>
      <c r="AG72" s="270" t="n"/>
      <c r="AH72" s="270" t="n"/>
      <c r="AI72" s="1143" t="n"/>
      <c r="AJ72" s="272" t="n"/>
      <c r="AK72" s="272" t="n"/>
      <c r="AL72" s="272" t="n"/>
      <c r="AM72" s="272" t="n"/>
      <c r="AN72" s="308" t="n"/>
      <c r="AO72" s="308" t="n"/>
    </row>
    <row r="73">
      <c r="AD73" s="1142" t="n"/>
      <c r="AE73" s="1142" t="n"/>
      <c r="AF73" s="1142" t="n"/>
      <c r="AG73" s="270" t="n"/>
      <c r="AH73" s="270" t="n"/>
      <c r="AI73" s="1143" t="n"/>
      <c r="AJ73" s="272" t="n"/>
      <c r="AK73" s="272" t="n"/>
      <c r="AL73" s="272" t="n"/>
      <c r="AM73" s="272" t="n"/>
      <c r="AN73" s="308" t="n"/>
      <c r="AO73" s="308" t="n"/>
    </row>
    <row r="74">
      <c r="AD74" s="1142" t="n"/>
      <c r="AE74" s="1142" t="n"/>
      <c r="AF74" s="1142" t="n"/>
      <c r="AG74" s="270" t="n"/>
      <c r="AH74" s="270" t="n"/>
      <c r="AI74" s="1143" t="n"/>
      <c r="AJ74" s="272" t="n"/>
      <c r="AK74" s="272" t="n"/>
      <c r="AL74" s="272" t="n"/>
      <c r="AM74" s="272" t="n"/>
      <c r="AN74" s="308" t="n"/>
      <c r="AO74" s="308" t="n"/>
    </row>
    <row r="75">
      <c r="AD75" s="1142" t="n"/>
      <c r="AE75" s="1142" t="n"/>
      <c r="AF75" s="1142" t="n"/>
      <c r="AG75" s="270" t="n"/>
      <c r="AH75" s="270" t="n"/>
      <c r="AI75" s="1143" t="n"/>
      <c r="AJ75" s="272" t="n"/>
      <c r="AK75" s="272" t="n"/>
      <c r="AL75" s="272" t="n"/>
      <c r="AM75" s="272" t="n"/>
      <c r="AN75" s="308" t="n"/>
      <c r="AO75" s="308" t="n"/>
    </row>
    <row r="76">
      <c r="AD76" s="1142" t="n"/>
      <c r="AE76" s="1142" t="n"/>
      <c r="AF76" s="1142" t="n"/>
      <c r="AG76" s="270" t="n"/>
      <c r="AH76" s="270" t="n"/>
      <c r="AI76" s="1143" t="n"/>
      <c r="AJ76" s="272" t="n"/>
      <c r="AK76" s="272" t="n"/>
      <c r="AL76" s="272" t="n"/>
      <c r="AM76" s="272" t="n"/>
      <c r="AN76" s="308" t="n"/>
      <c r="AO76" s="308" t="n"/>
    </row>
    <row r="77">
      <c r="AD77" s="1142" t="n"/>
      <c r="AE77" s="1142" t="n"/>
      <c r="AF77" s="1142" t="n"/>
      <c r="AG77" s="270" t="n"/>
      <c r="AH77" s="270" t="n"/>
      <c r="AI77" s="1143" t="n"/>
      <c r="AJ77" s="272" t="n"/>
      <c r="AK77" s="272" t="n"/>
      <c r="AL77" s="272" t="n"/>
      <c r="AM77" s="272" t="n"/>
      <c r="AN77" s="308" t="n"/>
      <c r="AO77" s="308" t="n"/>
    </row>
    <row r="78">
      <c r="AD78" s="1142" t="n"/>
      <c r="AE78" s="1142" t="n"/>
      <c r="AF78" s="1142" t="n"/>
      <c r="AG78" s="270" t="n"/>
      <c r="AH78" s="270" t="n"/>
      <c r="AI78" s="1143" t="n"/>
      <c r="AJ78" s="272" t="n"/>
      <c r="AK78" s="272" t="n"/>
      <c r="AL78" s="272" t="n"/>
      <c r="AM78" s="272" t="n"/>
      <c r="AN78" s="308" t="n"/>
      <c r="AO78" s="308" t="n"/>
    </row>
    <row r="79">
      <c r="AD79" s="1142" t="n"/>
      <c r="AE79" s="1142" t="n"/>
      <c r="AF79" s="1142" t="n"/>
      <c r="AG79" s="270" t="n"/>
      <c r="AH79" s="270" t="n"/>
      <c r="AI79" s="1143" t="n"/>
      <c r="AJ79" s="272" t="n"/>
      <c r="AK79" s="272" t="n"/>
      <c r="AL79" s="272" t="n"/>
      <c r="AM79" s="272" t="n"/>
      <c r="AN79" s="308" t="n"/>
      <c r="AO79" s="308" t="n"/>
    </row>
    <row r="80">
      <c r="AD80" s="1142" t="n"/>
      <c r="AE80" s="1142" t="n"/>
      <c r="AF80" s="1142" t="n"/>
      <c r="AG80" s="270" t="n"/>
      <c r="AH80" s="270" t="n"/>
      <c r="AI80" s="1143" t="n"/>
      <c r="AJ80" s="272" t="n"/>
      <c r="AK80" s="272" t="n"/>
      <c r="AL80" s="272" t="n"/>
      <c r="AM80" s="272" t="n"/>
      <c r="AN80" s="308" t="n"/>
      <c r="AO80" s="308" t="n"/>
    </row>
    <row r="81">
      <c r="AD81" s="1142" t="n"/>
      <c r="AE81" s="1142" t="n"/>
      <c r="AF81" s="1142" t="n"/>
      <c r="AG81" s="270" t="n"/>
      <c r="AH81" s="270" t="n"/>
      <c r="AI81" s="1143" t="n"/>
      <c r="AJ81" s="272" t="n"/>
      <c r="AK81" s="272" t="n"/>
      <c r="AL81" s="272" t="n"/>
      <c r="AM81" s="272" t="n"/>
      <c r="AN81" s="308" t="n"/>
      <c r="AO81" s="308" t="n"/>
    </row>
    <row r="82">
      <c r="AD82" s="1142" t="n"/>
      <c r="AE82" s="1142" t="n"/>
      <c r="AF82" s="1142" t="n"/>
      <c r="AG82" s="270" t="n"/>
      <c r="AH82" s="270" t="n"/>
      <c r="AI82" s="1143" t="n"/>
      <c r="AJ82" s="272" t="n"/>
      <c r="AK82" s="272" t="n"/>
      <c r="AL82" s="272" t="n"/>
      <c r="AM82" s="272" t="n"/>
      <c r="AN82" s="308" t="n"/>
      <c r="AO82" s="308" t="n"/>
    </row>
    <row r="84">
      <c r="AD84" s="717" t="n"/>
      <c r="AE84" s="717" t="n"/>
    </row>
    <row r="85">
      <c r="AD85" s="717" t="n"/>
      <c r="AE85" s="717" t="n"/>
    </row>
    <row r="86">
      <c r="AD86" s="717" t="n"/>
      <c r="AE86" s="717" t="n"/>
    </row>
    <row r="87">
      <c r="AD87" s="717" t="n"/>
      <c r="AE87" s="717" t="n"/>
    </row>
    <row r="88">
      <c r="AD88" s="717" t="n"/>
      <c r="AE88" s="717" t="n"/>
    </row>
    <row r="89">
      <c r="AD89" s="717" t="n"/>
      <c r="AE89" s="717" t="n"/>
    </row>
    <row r="90">
      <c r="AD90" s="717" t="n"/>
      <c r="AE90" s="717" t="n"/>
    </row>
    <row r="91">
      <c r="AD91" s="717" t="n"/>
      <c r="AE91" s="717" t="n"/>
    </row>
    <row r="92">
      <c r="AD92" s="717" t="n"/>
      <c r="AE92" s="717" t="n"/>
    </row>
    <row r="93">
      <c r="AD93" s="717" t="n"/>
      <c r="AE93" s="717" t="n"/>
    </row>
    <row r="94">
      <c r="AD94" s="717" t="n"/>
      <c r="AE94" s="717" t="n"/>
    </row>
    <row r="95">
      <c r="AD95" s="717" t="n"/>
      <c r="AE95" s="717" t="n"/>
    </row>
    <row r="96">
      <c r="AD96" s="717" t="n"/>
      <c r="AE96" s="717" t="n"/>
    </row>
    <row r="97">
      <c r="AD97" s="717" t="n"/>
      <c r="AE97" s="717" t="n"/>
    </row>
    <row r="98">
      <c r="AD98" s="717" t="n"/>
      <c r="AE98" s="717" t="n"/>
    </row>
    <row r="99">
      <c r="AD99" s="717" t="n"/>
      <c r="AE99" s="717" t="n"/>
    </row>
    <row r="100">
      <c r="AD100" s="717" t="n"/>
      <c r="AE100" s="717" t="n"/>
    </row>
    <row r="101">
      <c r="AD101" s="717" t="n"/>
      <c r="AE101" s="717" t="n"/>
    </row>
    <row r="102">
      <c r="AD102" s="717" t="n"/>
      <c r="AE102" s="717" t="n"/>
    </row>
    <row r="103">
      <c r="AD103" s="717" t="n"/>
      <c r="AE103" s="717" t="n"/>
    </row>
    <row r="104">
      <c r="AD104" s="717" t="n"/>
      <c r="AE104" s="717" t="n"/>
    </row>
    <row r="105">
      <c r="AD105" s="717" t="n"/>
      <c r="AE105" s="717" t="n"/>
    </row>
    <row r="106">
      <c r="AD106" s="717" t="n"/>
      <c r="AE106" s="717" t="n"/>
    </row>
    <row r="107">
      <c r="AD107" s="717" t="n"/>
      <c r="AE107" s="717" t="n"/>
    </row>
    <row r="108">
      <c r="AD108" s="717" t="n"/>
      <c r="AE108" s="717" t="n"/>
    </row>
    <row r="109">
      <c r="AD109" s="717" t="n"/>
      <c r="AE109" s="717" t="n"/>
    </row>
    <row r="110">
      <c r="AD110" s="717" t="n"/>
      <c r="AE110" s="717" t="n"/>
    </row>
    <row r="111">
      <c r="AD111" s="717" t="n"/>
      <c r="AE111" s="717" t="n"/>
    </row>
    <row r="112">
      <c r="AD112" s="717" t="n"/>
      <c r="AE112" s="717" t="n"/>
    </row>
    <row r="113">
      <c r="AD113" s="717" t="n"/>
      <c r="AE113" s="717" t="n"/>
    </row>
    <row r="114">
      <c r="AD114" s="717" t="n"/>
      <c r="AE114" s="717" t="n"/>
    </row>
    <row r="115">
      <c r="AD115" s="717" t="n"/>
      <c r="AE115" s="717" t="n"/>
    </row>
    <row r="116">
      <c r="AD116" s="717" t="n"/>
      <c r="AE116" s="717" t="n"/>
    </row>
    <row r="117">
      <c r="AD117" s="717" t="n"/>
      <c r="AE117" s="717" t="n"/>
    </row>
    <row r="118">
      <c r="AD118" s="717" t="n"/>
      <c r="AE118" s="717" t="n"/>
    </row>
    <row r="119">
      <c r="AD119" s="717" t="n"/>
      <c r="AE119" s="717" t="n"/>
    </row>
    <row r="120">
      <c r="AD120" s="717" t="n"/>
      <c r="AE120" s="717" t="n"/>
    </row>
    <row r="121">
      <c r="AD121" s="717" t="n"/>
      <c r="AE121" s="717" t="n"/>
    </row>
    <row r="122">
      <c r="AD122" s="717" t="n"/>
      <c r="AE122" s="717" t="n"/>
    </row>
    <row r="123">
      <c r="AD123" s="717" t="n"/>
      <c r="AE123" s="717" t="n"/>
    </row>
    <row r="124">
      <c r="AD124" s="717" t="n"/>
      <c r="AE124" s="717" t="n"/>
    </row>
  </sheetData>
  <mergeCells count="2">
    <mergeCell ref="B2:F2"/>
    <mergeCell ref="B1:E1"/>
  </mergeCells>
  <conditionalFormatting sqref="AD84:AE124">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AE159"/>
  <sheetViews>
    <sheetView showGridLines="0" zoomScaleNormal="100" workbookViewId="0">
      <pane xSplit="2" ySplit="2" topLeftCell="K9" activePane="bottomRight" state="frozen"/>
      <selection pane="topRight" activeCell="C1" sqref="C1"/>
      <selection pane="bottomLeft" activeCell="A3" sqref="A3"/>
      <selection pane="bottomRight" activeCell="V50" sqref="V50"/>
    </sheetView>
  </sheetViews>
  <sheetFormatPr baseColWidth="8" defaultRowHeight="15"/>
  <cols>
    <col width="14.5703125" customWidth="1" min="1" max="1"/>
    <col width="42.5703125" bestFit="1" customWidth="1" min="2" max="2"/>
    <col width="14.5703125" bestFit="1" customWidth="1" style="1178" min="3" max="3"/>
    <col width="18.5703125" bestFit="1" customWidth="1" style="1178" min="4" max="4"/>
    <col width="27.85546875" customWidth="1" style="1178" min="5" max="5"/>
    <col width="20.85546875" customWidth="1" style="1178" min="6" max="6"/>
    <col width="18.5703125" bestFit="1" customWidth="1" style="1178" min="7" max="7"/>
    <col width="21.28515625" customWidth="1" style="1178" min="8" max="8"/>
    <col width="24.5703125" customWidth="1" style="1178" min="9" max="9"/>
    <col width="20.28515625" customWidth="1" style="1178" min="10" max="10"/>
    <col width="19.28515625" customWidth="1" style="1178" min="11" max="11"/>
    <col width="18.5703125" bestFit="1" customWidth="1" style="1178" min="12" max="12"/>
    <col width="20.28515625" bestFit="1" customWidth="1" min="13" max="13"/>
    <col width="19.5703125" bestFit="1" customWidth="1" min="14" max="14"/>
    <col width="24.5703125" bestFit="1" customWidth="1" min="15" max="15"/>
    <col width="12.85546875" bestFit="1" customWidth="1" min="17" max="17"/>
    <col width="12" bestFit="1" customWidth="1" min="18" max="18"/>
    <col width="34.85546875" bestFit="1" customWidth="1" min="19" max="19"/>
    <col width="16.85546875" bestFit="1" customWidth="1" min="20" max="20"/>
    <col width="21.5703125" customWidth="1" min="21" max="21"/>
    <col width="19.85546875" bestFit="1" customWidth="1" min="22" max="22"/>
    <col width="38.28515625" bestFit="1" customWidth="1" min="23" max="23"/>
    <col width="14.28515625" bestFit="1" customWidth="1" min="25" max="25"/>
    <col width="12.28515625" customWidth="1" min="27" max="27"/>
  </cols>
  <sheetData>
    <row r="1" ht="39" customFormat="1" customHeight="1" s="188">
      <c r="C1" s="1179" t="n"/>
      <c r="D1" s="228" t="inlineStr">
        <is>
          <t>9/30/2025 or Latest Financing</t>
        </is>
      </c>
      <c r="E1" s="228" t="inlineStr">
        <is>
          <t>9/30/2025 or Latest Financing</t>
        </is>
      </c>
      <c r="F1" s="228" t="inlineStr">
        <is>
          <t>9/30/2025 or Latest Financing</t>
        </is>
      </c>
      <c r="G1" s="228" t="inlineStr">
        <is>
          <t>9/30/2025 or Latest Financing</t>
        </is>
      </c>
      <c r="H1" s="228" t="inlineStr">
        <is>
          <t>9/30/2025 or Latest Financing</t>
        </is>
      </c>
      <c r="I1" s="228" t="inlineStr">
        <is>
          <t>9/30/2025 or Latest Financing</t>
        </is>
      </c>
      <c r="J1" s="228" t="inlineStr">
        <is>
          <t>9/30/2025 or Latest Financing</t>
        </is>
      </c>
      <c r="K1" s="228" t="inlineStr">
        <is>
          <t>9/30/2025 or Latest Financing</t>
        </is>
      </c>
      <c r="L1" s="228" t="inlineStr">
        <is>
          <t>9/30/2025 or Latest Financing</t>
        </is>
      </c>
      <c r="M1" s="228" t="inlineStr">
        <is>
          <t>9/30/2025 or Latest Financing</t>
        </is>
      </c>
      <c r="N1" s="228" t="inlineStr">
        <is>
          <t>9/30/2025 or Latest Financing</t>
        </is>
      </c>
      <c r="O1" s="228" t="inlineStr">
        <is>
          <t>9/30/2025 or Latest Financing</t>
        </is>
      </c>
      <c r="S1" s="228" t="n">
        <v>45930</v>
      </c>
      <c r="T1" s="228" t="n">
        <v>45930</v>
      </c>
      <c r="U1" s="228" t="n">
        <v>45930</v>
      </c>
      <c r="Y1" s="715" t="inlineStr">
        <is>
          <t>Lincoln Marks - Q3 2025</t>
        </is>
      </c>
      <c r="Z1" s="715" t="n"/>
      <c r="AA1" s="715" t="n"/>
    </row>
    <row r="2" ht="33.75" customHeight="1">
      <c r="A2" s="1180" t="inlineStr">
        <is>
          <t>Value?</t>
        </is>
      </c>
      <c r="B2" s="1181" t="inlineStr">
        <is>
          <t>Company</t>
        </is>
      </c>
      <c r="C2" s="1180" t="inlineStr">
        <is>
          <t>Security</t>
        </is>
      </c>
      <c r="D2" s="1180" t="inlineStr">
        <is>
          <t>Debt Balance</t>
        </is>
      </c>
      <c r="E2" s="1180" t="inlineStr">
        <is>
          <t>SM Fair Value</t>
        </is>
      </c>
      <c r="F2" s="1180" t="inlineStr">
        <is>
          <t>LTM Revenue</t>
        </is>
      </c>
      <c r="G2" s="1180" t="inlineStr">
        <is>
          <t>LTM Adj. EBITDA</t>
        </is>
      </c>
      <c r="H2" s="1180" t="inlineStr">
        <is>
          <t>Revolver</t>
        </is>
      </c>
      <c r="I2" s="1180" t="inlineStr">
        <is>
          <t>First Out</t>
        </is>
      </c>
      <c r="J2" s="1180" t="inlineStr">
        <is>
          <t>Pari Passu</t>
        </is>
      </c>
      <c r="K2" s="1180" t="inlineStr">
        <is>
          <t>SM Balance</t>
        </is>
      </c>
      <c r="L2" s="1180" t="inlineStr">
        <is>
          <t>Cash Balance</t>
        </is>
      </c>
      <c r="M2" s="174" t="inlineStr">
        <is>
          <t>Net Detachment</t>
        </is>
      </c>
      <c r="N2" s="174" t="inlineStr">
        <is>
          <t>Net Attachment</t>
        </is>
      </c>
      <c r="O2" s="174" t="inlineStr">
        <is>
          <t>Current Interest Coverage</t>
        </is>
      </c>
      <c r="S2" s="174" t="inlineStr">
        <is>
          <t>Debt Balance (Inclusive PIK)</t>
        </is>
      </c>
      <c r="T2" s="174" t="inlineStr">
        <is>
          <t>PIK LTD</t>
        </is>
      </c>
      <c r="U2" s="754" t="inlineStr">
        <is>
          <t>QTD Fundings (net of selldowns)</t>
        </is>
      </c>
      <c r="V2" s="174" t="inlineStr">
        <is>
          <t>Net Balance</t>
        </is>
      </c>
      <c r="W2" s="174" t="inlineStr">
        <is>
          <t>PIK Terms</t>
        </is>
      </c>
      <c r="Y2" s="174" t="inlineStr">
        <is>
          <t>Low</t>
        </is>
      </c>
      <c r="Z2" s="174" t="inlineStr">
        <is>
          <t>High</t>
        </is>
      </c>
      <c r="AA2" s="174" t="inlineStr">
        <is>
          <t>Mid</t>
        </is>
      </c>
    </row>
    <row r="3">
      <c r="A3" s="10">
        <f>IF(VLOOKUP(B3,Portfolio!$B$9:$V$49,21,FALSE)=0,"No","Yes")</f>
        <v/>
      </c>
      <c r="B3" s="1182" t="inlineStr">
        <is>
          <t>48forty Intermediate Holdings, Inc.</t>
        </is>
      </c>
      <c r="C3" s="1183" t="inlineStr">
        <is>
          <t>First Lien</t>
        </is>
      </c>
      <c r="D3" s="1184">
        <f>V3</f>
        <v/>
      </c>
      <c r="E3" s="1185">
        <f>IFERROR(D3*AA3,D3)</f>
        <v/>
      </c>
      <c r="F3" s="1186" t="n">
        <v>807863505.6006999</v>
      </c>
      <c r="G3" s="1186" t="n">
        <v>81755135.7318</v>
      </c>
      <c r="H3" s="1186" t="n">
        <v>79850000</v>
      </c>
      <c r="I3" s="1186" t="n">
        <v>42509000</v>
      </c>
      <c r="J3" s="1186" t="n">
        <v>1744159206.61447</v>
      </c>
      <c r="K3" s="1186" t="n">
        <v>15198793.3855295</v>
      </c>
      <c r="L3" s="1186" t="n">
        <v>49604000</v>
      </c>
      <c r="M3" s="1187">
        <f>IF(SUM(H3:K3,-L3)/G3&lt;0,"N/M",SUM(H3:K3,-L3)/G3)</f>
        <v/>
      </c>
      <c r="N3" s="1187">
        <f>IF(G3&lt;0,"N/A",IFERROR(((SUM(H3:I3))-L3)/G3,0))</f>
        <v/>
      </c>
      <c r="O3" s="1188" t="n">
        <v>0.37779637584</v>
      </c>
      <c r="Q3" s="1178" t="n"/>
      <c r="S3" s="1189" t="n">
        <v>15198793.3855295</v>
      </c>
      <c r="T3" s="1189" t="n"/>
      <c r="U3" s="1189" t="n"/>
      <c r="V3" s="1190">
        <f>S3-T3+U3</f>
        <v/>
      </c>
      <c r="W3" s="1190" t="inlineStr">
        <is>
          <t>PIK Terms to be checked</t>
        </is>
      </c>
      <c r="Y3" s="759" t="n">
        <v>0.4349</v>
      </c>
      <c r="Z3" s="759" t="n">
        <v>0.4808</v>
      </c>
      <c r="AA3" s="760">
        <f>AVERAGE(Y3:Z3)</f>
        <v/>
      </c>
    </row>
    <row r="4">
      <c r="A4" s="10">
        <f>IF(VLOOKUP(B4,Portfolio!$B$9:$V$49,21,FALSE)=0,"No","Yes")</f>
        <v/>
      </c>
      <c r="B4" s="1182" t="inlineStr">
        <is>
          <t>Acara Home Health</t>
        </is>
      </c>
      <c r="C4" s="1183" t="inlineStr">
        <is>
          <t>First Lien</t>
        </is>
      </c>
      <c r="D4" s="1184">
        <f>V4</f>
        <v/>
      </c>
      <c r="E4" s="1185">
        <f>IFERROR(D4*AA4,D4)</f>
        <v/>
      </c>
      <c r="F4" s="1186" t="n">
        <v>82613544.73000003</v>
      </c>
      <c r="G4" s="1186" t="n">
        <v>2191390.850000027</v>
      </c>
      <c r="H4" s="1186" t="n">
        <v>0</v>
      </c>
      <c r="I4" s="1186" t="n">
        <v>6091111.265375979</v>
      </c>
      <c r="J4" s="1186" t="n">
        <v>0</v>
      </c>
      <c r="K4" s="1186" t="n">
        <v>35581104.40600297</v>
      </c>
      <c r="L4" s="1186" t="n">
        <v>1403116.44</v>
      </c>
      <c r="M4" s="1187">
        <f>IF(SUM(H4:K4,-L4)/G4&lt;0,"N/M",SUM(H4:K4,-L4)/G4)</f>
        <v/>
      </c>
      <c r="N4" s="1187">
        <f>IF(G4&lt;0,"N/A",IFERROR(((SUM(H4:I4))-L4)/G4,0))</f>
        <v/>
      </c>
      <c r="O4" s="1188" t="n">
        <v>0.49349849724</v>
      </c>
      <c r="Q4" s="1178" t="n"/>
      <c r="S4" s="1189" t="n">
        <v>797085.8163308761</v>
      </c>
      <c r="T4" s="1189" t="n">
        <v>17735.56</v>
      </c>
      <c r="U4" s="1189" t="n"/>
      <c r="V4" s="1190">
        <f>S4-T4+U4</f>
        <v/>
      </c>
      <c r="W4" s="1190" t="inlineStr">
        <is>
          <t>PIK was only for 5/31/2023 to 11/10/2023</t>
        </is>
      </c>
      <c r="Y4" s="759" t="n">
        <v>0.8908</v>
      </c>
      <c r="Z4" s="759" t="n">
        <v>0.9645</v>
      </c>
      <c r="AA4" s="760">
        <f>AVERAGE(Y4:Z4)</f>
        <v/>
      </c>
    </row>
    <row r="5">
      <c r="A5" s="10">
        <f>IF(VLOOKUP(B5,Portfolio!$B$9:$V$49,21,FALSE)=0,"No","Yes")</f>
        <v/>
      </c>
      <c r="B5" s="658" t="inlineStr">
        <is>
          <t>Caregility</t>
        </is>
      </c>
      <c r="C5" s="1183" t="inlineStr">
        <is>
          <t>First Lien</t>
        </is>
      </c>
      <c r="D5" s="1184">
        <f>V5</f>
        <v/>
      </c>
      <c r="E5" s="1185">
        <f>IFERROR(D5*AA5,D5)</f>
        <v/>
      </c>
      <c r="F5" s="1186" t="n">
        <v>32897580.92</v>
      </c>
      <c r="G5" s="1186" t="n">
        <v>-1328372.86</v>
      </c>
      <c r="H5" s="1186" t="n">
        <v>1299876</v>
      </c>
      <c r="I5" s="1186" t="n">
        <v>0</v>
      </c>
      <c r="J5" s="1186" t="n">
        <v>2219077.275739769</v>
      </c>
      <c r="K5" s="1186" t="n">
        <v>15732049.22426023</v>
      </c>
      <c r="L5" s="1186" t="n">
        <v>794745.34</v>
      </c>
      <c r="M5" s="1187">
        <f>IF(SUM(H5:K5,-L5)/G5&lt;0,"N/M",SUM(H5:K5,-L5)/G5)</f>
        <v/>
      </c>
      <c r="N5" s="1187">
        <f>IF(G5&lt;0,"N/A",IFERROR(((SUM(H5:I5))-L5)/G5,0))</f>
        <v/>
      </c>
      <c r="O5" s="1188" t="n">
        <v>0</v>
      </c>
      <c r="Q5" s="1178" t="n"/>
      <c r="S5" s="1189" t="n">
        <v>2567900.54094709</v>
      </c>
      <c r="T5" s="1189" t="n">
        <v>735139.52</v>
      </c>
      <c r="U5" s="1189" t="n"/>
      <c r="V5" s="1190">
        <f>S5-T5+U5</f>
        <v/>
      </c>
      <c r="W5" s="1190" t="inlineStr">
        <is>
          <t>PIK Monthly</t>
        </is>
      </c>
      <c r="Y5" s="759" t="n">
        <v>0.9328000000000001</v>
      </c>
      <c r="Z5" s="759" t="n">
        <v>0.9909000000000001</v>
      </c>
      <c r="AA5" s="760">
        <f>AVERAGE(Y5:Z5)</f>
        <v/>
      </c>
    </row>
    <row r="6">
      <c r="A6" s="10">
        <f>IF(VLOOKUP(B6,Portfolio!$B$9:$V$49,21,FALSE)=0,"No","Yes")</f>
        <v/>
      </c>
      <c r="B6" s="658" t="inlineStr">
        <is>
          <t>Chicken Soup For The Soul</t>
        </is>
      </c>
      <c r="C6" s="1183" t="inlineStr">
        <is>
          <t>First Lien</t>
        </is>
      </c>
      <c r="D6" s="1184">
        <f>V6</f>
        <v/>
      </c>
      <c r="E6" s="1185">
        <f>IFERROR(D6*AA6,D6)</f>
        <v/>
      </c>
      <c r="F6" s="1186" t="n">
        <v>653196.11</v>
      </c>
      <c r="G6" s="1186" t="n">
        <v>653196.11</v>
      </c>
      <c r="H6" s="1186" t="n">
        <v>0</v>
      </c>
      <c r="I6" s="1186" t="n">
        <v>3190000</v>
      </c>
      <c r="J6" s="1186" t="n">
        <v>15050702.74252895</v>
      </c>
      <c r="K6" s="1186" t="n">
        <v>29561146.51593739</v>
      </c>
      <c r="L6" s="1186" t="n">
        <v>79664</v>
      </c>
      <c r="M6" s="1187">
        <f>IF(SUM(H6:K6,-L6)/G6&lt;0,"N/M",SUM(H6:K6,-L6)/G6)</f>
        <v/>
      </c>
      <c r="N6" s="1187">
        <f>IF(G6&lt;0,"N/A",IFERROR(((SUM(H6:I6))-L6)/G6,0))</f>
        <v/>
      </c>
      <c r="O6" s="1188" t="n">
        <v>0</v>
      </c>
      <c r="Q6" s="1178" t="n"/>
      <c r="S6" s="1189" t="n">
        <v>7024870.19858219</v>
      </c>
      <c r="T6" s="1189" t="n"/>
      <c r="U6" s="1189" t="n">
        <v>184228</v>
      </c>
      <c r="V6" s="1190">
        <f>S6-T6+U6</f>
        <v/>
      </c>
      <c r="W6" s="1190" t="n"/>
      <c r="Y6" s="759" t="n">
        <v>0.3133980722419504</v>
      </c>
      <c r="Z6" s="759" t="n">
        <v>0.5667295680108617</v>
      </c>
      <c r="AA6" s="760">
        <f>AVERAGE(Y6:Z6)</f>
        <v/>
      </c>
    </row>
    <row r="7">
      <c r="A7" s="10">
        <f>IF(VLOOKUP(B7,Portfolio!$B$9:$V$49,21,FALSE)=0,"No","Yes")</f>
        <v/>
      </c>
      <c r="B7" s="658" t="inlineStr">
        <is>
          <t>Rip-It</t>
        </is>
      </c>
      <c r="C7" s="1183" t="inlineStr">
        <is>
          <t>First Lien</t>
        </is>
      </c>
      <c r="D7" s="1184">
        <f>V7</f>
        <v/>
      </c>
      <c r="E7" s="1185">
        <f>IFERROR(D7*AA7,D7)</f>
        <v/>
      </c>
      <c r="F7" s="1186" t="n">
        <v>30702857.72</v>
      </c>
      <c r="G7" s="1186" t="n">
        <v>1301711.978656616</v>
      </c>
      <c r="H7" s="1186" t="n">
        <v>6257148.09</v>
      </c>
      <c r="I7" s="1186" t="n">
        <v>0</v>
      </c>
      <c r="J7" s="1186" t="n">
        <v>6628198.288755883</v>
      </c>
      <c r="K7" s="1186" t="n">
        <v>27697991.7446339</v>
      </c>
      <c r="L7" s="1186" t="n">
        <v>1210034.03</v>
      </c>
      <c r="M7" s="1187">
        <f>IF(SUM(H7:K7,-L7)/G7&lt;0,"N/M",SUM(H7:K7,-L7)/G7)</f>
        <v/>
      </c>
      <c r="N7" s="1187">
        <f>IF(G7&lt;0,"N/A",IFERROR(((SUM(H7:I7))-L7)/G7,0))</f>
        <v/>
      </c>
      <c r="O7" s="1188" t="n">
        <v>2.122580680862</v>
      </c>
      <c r="Q7" s="1178" t="n"/>
      <c r="S7" s="1189" t="n">
        <v>7027968.225971179</v>
      </c>
      <c r="T7" s="1189" t="n">
        <v>710063.27</v>
      </c>
      <c r="U7" s="1189" t="n"/>
      <c r="V7" s="1190">
        <f>S7-T7+U7</f>
        <v/>
      </c>
      <c r="W7" s="1190" t="inlineStr">
        <is>
          <t>PIK Monthly</t>
        </is>
      </c>
      <c r="Y7" s="759" t="n">
        <v>0.9904000000000001</v>
      </c>
      <c r="Z7" s="759" t="n">
        <v>1.02</v>
      </c>
      <c r="AA7" s="760">
        <f>AVERAGE(Y7:Z7)</f>
        <v/>
      </c>
    </row>
    <row r="8">
      <c r="A8" s="10">
        <f>IF(VLOOKUP(B8,Portfolio!$B$9:$V$49,21,FALSE)=0,"No","Yes")</f>
        <v/>
      </c>
      <c r="B8" s="658" t="inlineStr">
        <is>
          <t>Consolidated Machine &amp; Tool Holdings</t>
        </is>
      </c>
      <c r="C8" s="1183" t="inlineStr">
        <is>
          <t>First Lien</t>
        </is>
      </c>
      <c r="D8" s="1184">
        <f>V8</f>
        <v/>
      </c>
      <c r="E8" s="1185">
        <f>IFERROR(D8*AA8,D8)</f>
        <v/>
      </c>
      <c r="F8" s="1186" t="n">
        <v>35430988.89</v>
      </c>
      <c r="G8" s="1186" t="n">
        <v>290692.2000000021</v>
      </c>
      <c r="H8" s="1186" t="n">
        <v>15852425.93</v>
      </c>
      <c r="I8" s="1186" t="n">
        <v>0</v>
      </c>
      <c r="J8" s="1186" t="n">
        <v>20282782.19582187</v>
      </c>
      <c r="K8" s="1186" t="n">
        <v>59166702.66833805</v>
      </c>
      <c r="L8" s="1186" t="n">
        <v>332853.39</v>
      </c>
      <c r="M8" s="1187" t="inlineStr">
        <is>
          <t>N/M</t>
        </is>
      </c>
      <c r="N8" s="1187">
        <f>IF(G8&lt;0,"N/A",IFERROR(((SUM(H8:I8))-L8)/G8,0))</f>
        <v/>
      </c>
      <c r="O8" s="1188" t="n">
        <v>0</v>
      </c>
      <c r="Q8" s="1178" t="n"/>
      <c r="S8" s="1189" t="n">
        <v>867570.1116460508</v>
      </c>
      <c r="T8" s="1189" t="n"/>
      <c r="U8" s="1189" t="n"/>
      <c r="V8" s="1190">
        <f>S8-T8+U8</f>
        <v/>
      </c>
      <c r="W8" s="1190" t="n"/>
      <c r="Y8" s="759" t="n">
        <v>0</v>
      </c>
      <c r="Z8" s="759" t="n">
        <v>0</v>
      </c>
      <c r="AA8" s="760">
        <f>AVERAGE(Y8:Z8)</f>
        <v/>
      </c>
    </row>
    <row r="9">
      <c r="A9" s="10">
        <f>IF(VLOOKUP(B9,Portfolio!$B$9:$V$49,21,FALSE)=0,"No","Yes")</f>
        <v/>
      </c>
      <c r="B9" s="658" t="inlineStr">
        <is>
          <t>Coop Home Goods</t>
        </is>
      </c>
      <c r="C9" s="1183" t="inlineStr">
        <is>
          <t>Last Out</t>
        </is>
      </c>
      <c r="D9" s="1184">
        <f>V9</f>
        <v/>
      </c>
      <c r="E9" s="1185">
        <f>IFERROR(D9*AA9,D9)</f>
        <v/>
      </c>
      <c r="F9" s="1186" t="n">
        <v>86534257.98000024</v>
      </c>
      <c r="G9" s="1186" t="n">
        <v>16086991.31986117</v>
      </c>
      <c r="H9" s="1186" t="n">
        <v>1500000</v>
      </c>
      <c r="I9" s="1186" t="n">
        <v>7600000</v>
      </c>
      <c r="J9" s="1186" t="n">
        <v>0</v>
      </c>
      <c r="K9" s="1186" t="n">
        <v>19673854.52204193</v>
      </c>
      <c r="L9" s="1186" t="n">
        <v>497501.280000008</v>
      </c>
      <c r="M9" s="1187">
        <f>IF(SUM(H9:K9,-L9)/G9&lt;0,"N/M",SUM(H9:K9,-L9)/G9)</f>
        <v/>
      </c>
      <c r="N9" s="1187">
        <f>IF(G9&lt;0,"N/A",IFERROR(((SUM(H9:I9))-L9)/G9,0))</f>
        <v/>
      </c>
      <c r="O9" s="1188" t="n">
        <v>5.277359110212</v>
      </c>
      <c r="Q9" s="1178" t="n"/>
      <c r="S9" s="1189" t="n">
        <v>3551426.9165524</v>
      </c>
      <c r="T9" s="1189" t="n">
        <v>27863.49</v>
      </c>
      <c r="U9" s="1189">
        <f>8949903.08/98%</f>
        <v/>
      </c>
      <c r="V9" s="1190">
        <f>S9-T9+U9</f>
        <v/>
      </c>
      <c r="W9" s="1190" t="inlineStr">
        <is>
          <t>PIK was only for 7/31/2022 to 11/30/2022</t>
        </is>
      </c>
      <c r="Y9" s="759" t="n">
        <v>1</v>
      </c>
      <c r="Z9" s="759" t="n">
        <v>1</v>
      </c>
      <c r="AA9" s="760">
        <f>AVERAGE(Y9:Z9)</f>
        <v/>
      </c>
      <c r="AE9" s="1191" t="n"/>
    </row>
    <row r="10">
      <c r="A10" s="10">
        <f>IF(VLOOKUP(B10,Portfolio!$B$9:$V$49,21,FALSE)=0,"No","Yes")</f>
        <v/>
      </c>
      <c r="B10" s="658" t="inlineStr">
        <is>
          <t>Cortech</t>
        </is>
      </c>
      <c r="C10" s="1183" t="inlineStr">
        <is>
          <t>First Lien</t>
        </is>
      </c>
      <c r="D10" s="1184">
        <f>V10</f>
        <v/>
      </c>
      <c r="E10" s="1185">
        <f>IFERROR(D10*AA10,D10)</f>
        <v/>
      </c>
      <c r="F10" s="1186" t="n">
        <v>231702628.531828</v>
      </c>
      <c r="G10" s="1186" t="n">
        <v>10211537.09183149</v>
      </c>
      <c r="H10" s="1186" t="n">
        <v>23454732.94</v>
      </c>
      <c r="I10" s="1186" t="n">
        <v>4225507.18</v>
      </c>
      <c r="J10" s="1186" t="n">
        <v>0</v>
      </c>
      <c r="K10" s="1186" t="n">
        <v>29489375.00000002</v>
      </c>
      <c r="L10" s="1186" t="n">
        <v>1098381.79599</v>
      </c>
      <c r="M10" s="1187">
        <f>IF(SUM(H10:K10,-L10)/G10&lt;0,"N/M",SUM(H10:K10,-L10)/G10)</f>
        <v/>
      </c>
      <c r="N10" s="1187">
        <f>IF(G10&lt;0,"N/A",IFERROR(((SUM(H10:I10))-L10)/G10,0))</f>
        <v/>
      </c>
      <c r="O10" s="1188" t="n">
        <v>1.788553659393</v>
      </c>
      <c r="Q10" s="1178" t="n"/>
      <c r="S10" s="1189" t="n">
        <v>7546562.09340801</v>
      </c>
      <c r="T10" s="1189" t="n"/>
      <c r="U10" s="1189" t="n"/>
      <c r="V10" s="1190">
        <f>S10-T10+U10</f>
        <v/>
      </c>
      <c r="W10" s="1190" t="n"/>
      <c r="Y10" s="759" t="n">
        <v>0.9577999999999999</v>
      </c>
      <c r="Z10" s="759" t="n">
        <v>0.9817</v>
      </c>
      <c r="AA10" s="760">
        <f>AVERAGE(Y10:Z10)</f>
        <v/>
      </c>
    </row>
    <row r="11">
      <c r="A11" s="10">
        <f>IF(VLOOKUP(B11,Portfolio!$B$9:$V$49,21,FALSE)=0,"No","Yes")</f>
        <v/>
      </c>
      <c r="B11" s="658" t="inlineStr">
        <is>
          <t>Douglas Products and Packaging Company</t>
        </is>
      </c>
      <c r="C11" s="1183" t="inlineStr">
        <is>
          <t>Last Out</t>
        </is>
      </c>
      <c r="D11" s="1184">
        <f>V11</f>
        <v/>
      </c>
      <c r="E11" s="1185">
        <f>IFERROR(D11*AA11,D11)</f>
        <v/>
      </c>
      <c r="F11" s="1186" t="n">
        <v>84345000</v>
      </c>
      <c r="G11" s="1186" t="n">
        <v>32087000</v>
      </c>
      <c r="H11" s="1186" t="n">
        <v>1300000</v>
      </c>
      <c r="I11" s="1186" t="n">
        <v>39287569.7204182</v>
      </c>
      <c r="J11" s="1186" t="n">
        <v>0</v>
      </c>
      <c r="K11" s="1186" t="n">
        <v>110305930.2795818</v>
      </c>
      <c r="L11" s="1186" t="n">
        <v>324000</v>
      </c>
      <c r="M11" s="1187">
        <f>IF(SUM(H11:K11,-L11)/G11&lt;0,"N/M",SUM(H11:K11,-L11)/G11)</f>
        <v/>
      </c>
      <c r="N11" s="1187">
        <f>IF(G11&lt;0,"N/A",IFERROR(((SUM(H11:I11))-L11)/G11,0))</f>
        <v/>
      </c>
      <c r="O11" s="1188" t="n">
        <v>1.58</v>
      </c>
      <c r="Q11" s="1178" t="n"/>
      <c r="S11" s="1189" t="n">
        <v>19949257.8713644</v>
      </c>
      <c r="T11" s="1189" t="n"/>
      <c r="U11" s="1189" t="n"/>
      <c r="V11" s="1190">
        <f>S11-T11+U11</f>
        <v/>
      </c>
      <c r="W11" s="1190" t="n"/>
      <c r="Y11" s="759" t="n">
        <v>1</v>
      </c>
      <c r="Z11" s="759" t="n">
        <v>1.0072</v>
      </c>
      <c r="AA11" s="760">
        <f>AVERAGE(Y11:Z11)</f>
        <v/>
      </c>
    </row>
    <row r="12">
      <c r="A12" s="10">
        <f>IF(VLOOKUP(B12,Portfolio!$B$9:$V$49,21,FALSE)=0,"No","Yes")</f>
        <v/>
      </c>
      <c r="B12" s="658" t="inlineStr">
        <is>
          <t>Five Iron Golf</t>
        </is>
      </c>
      <c r="C12" s="1183" t="inlineStr">
        <is>
          <t>First Lien</t>
        </is>
      </c>
      <c r="D12" s="1184">
        <f>V12</f>
        <v/>
      </c>
      <c r="E12" s="1185">
        <f>IFERROR(D12*AA12,D12)</f>
        <v/>
      </c>
      <c r="F12" s="1186" t="n">
        <v>65598989.75</v>
      </c>
      <c r="G12" s="1186" t="n">
        <v>10297637.242</v>
      </c>
      <c r="H12" s="1186" t="n">
        <v>0</v>
      </c>
      <c r="I12" s="1186" t="n">
        <v>0</v>
      </c>
      <c r="J12" s="1186" t="n">
        <v>7224950</v>
      </c>
      <c r="K12" s="1186" t="n">
        <v>21818750.00489796</v>
      </c>
      <c r="L12" s="1186" t="n">
        <v>2026400</v>
      </c>
      <c r="M12" s="1187">
        <f>IF(SUM(H12:K12,-L12)/G12&lt;0,"N/M",SUM(H12:K12,-L12)/G12)</f>
        <v/>
      </c>
      <c r="N12" s="1187">
        <f>IF(G12&lt;0,"N/A",IFERROR(((SUM(H12:I12))-L12)/G12,0))</f>
        <v/>
      </c>
      <c r="O12" s="1188" t="n">
        <v>4.151617259848</v>
      </c>
      <c r="Q12" s="1178" t="n"/>
      <c r="S12" s="1189" t="n">
        <v>7334033.615865559</v>
      </c>
      <c r="T12" s="1189" t="n"/>
      <c r="U12" s="1189" t="n">
        <v>840336.1349490705</v>
      </c>
      <c r="V12" s="1190">
        <f>S12-T12+U12</f>
        <v/>
      </c>
      <c r="W12" s="1190" t="n"/>
      <c r="Y12" s="759" t="n">
        <v>0.9681999999999999</v>
      </c>
      <c r="Z12" s="759" t="n">
        <v>1.0082</v>
      </c>
      <c r="AA12" s="760">
        <f>AVERAGE(Y12:Z12)</f>
        <v/>
      </c>
    </row>
    <row r="13">
      <c r="A13" s="10">
        <f>IF(VLOOKUP(B13,Portfolio!$B$9:$V$49,21,FALSE)=0,"No","Yes")</f>
        <v/>
      </c>
      <c r="B13" s="658" t="inlineStr">
        <is>
          <t>Fremont-Wright</t>
        </is>
      </c>
      <c r="C13" s="1183" t="inlineStr">
        <is>
          <t>First Lien</t>
        </is>
      </c>
      <c r="D13" s="1184">
        <f>V13</f>
        <v/>
      </c>
      <c r="E13" s="1185">
        <f>IFERROR(D13*AA13,D13)</f>
        <v/>
      </c>
      <c r="F13" s="1186" t="n">
        <v>122139211.4958001</v>
      </c>
      <c r="G13" s="1186" t="n">
        <v>20861130.50289996</v>
      </c>
      <c r="H13" s="1186" t="n">
        <v>1800272.44</v>
      </c>
      <c r="I13" s="1186" t="n">
        <v>0</v>
      </c>
      <c r="J13" s="1186" t="n">
        <v>33934356.69612506</v>
      </c>
      <c r="K13" s="1186" t="n">
        <v>47678768.30412873</v>
      </c>
      <c r="L13" s="1186" t="n">
        <v>3197393.95</v>
      </c>
      <c r="M13" s="1187">
        <f>IF(SUM(H13:K13,-L13)/G13&lt;0,"N/M",SUM(H13:K13,-L13)/G13)</f>
        <v/>
      </c>
      <c r="N13" s="1187">
        <f>IF(G13&lt;0,"N/A",IFERROR(((SUM(H13:I13))-L13)/G13,0))</f>
        <v/>
      </c>
      <c r="O13" s="1188" t="n">
        <v>2.146995890731</v>
      </c>
      <c r="Q13" s="1178" t="n"/>
      <c r="S13" s="1189" t="n">
        <v>4070486.036250998</v>
      </c>
      <c r="T13" s="1189" t="n"/>
      <c r="U13" s="1189" t="n"/>
      <c r="V13" s="1190">
        <f>S13-T13+U13</f>
        <v/>
      </c>
      <c r="W13" s="1190" t="n"/>
      <c r="Y13" s="759" t="n">
        <v>1</v>
      </c>
      <c r="Z13" s="759" t="n">
        <v>1</v>
      </c>
      <c r="AA13" s="760">
        <f>AVERAGE(Y13:Z13)</f>
        <v/>
      </c>
    </row>
    <row r="14">
      <c r="A14" s="10">
        <f>IF(VLOOKUP(B14,Portfolio!$B$9:$V$49,21,FALSE)=0,"No","Yes")</f>
        <v/>
      </c>
      <c r="B14" s="658" t="inlineStr">
        <is>
          <t>Gridsource</t>
        </is>
      </c>
      <c r="C14" s="1183" t="inlineStr">
        <is>
          <t>First Lien</t>
        </is>
      </c>
      <c r="D14" s="1184">
        <f>V14</f>
        <v/>
      </c>
      <c r="E14" s="1185">
        <f>IFERROR(D14*AA14,D14)</f>
        <v/>
      </c>
      <c r="F14" s="1186" t="n">
        <v>201574108.34</v>
      </c>
      <c r="G14" s="1186" t="n">
        <v>23337815.85396899</v>
      </c>
      <c r="H14" s="1186" t="n">
        <v>10317824.92</v>
      </c>
      <c r="I14" s="1186" t="n">
        <v>0</v>
      </c>
      <c r="J14" s="1186" t="n">
        <v>39924976.59855579</v>
      </c>
      <c r="K14" s="1186" t="n">
        <v>89342615.40144421</v>
      </c>
      <c r="L14" s="1186" t="n">
        <v>619676.58</v>
      </c>
      <c r="M14" s="1187">
        <f>IF(SUM(H14:K14,-L14)/G14&lt;0,"N/M",SUM(H14:K14,-L14)/G14)</f>
        <v/>
      </c>
      <c r="N14" s="1187">
        <f>IF(G14&lt;0,"N/A",IFERROR(((SUM(H14:I14))-L14)/G14,0))</f>
        <v/>
      </c>
      <c r="O14" s="1188" t="n">
        <v>0</v>
      </c>
      <c r="Q14" s="1178" t="n"/>
      <c r="S14" s="1189" t="n">
        <v>14071583.3964388</v>
      </c>
      <c r="T14" s="1189" t="n"/>
      <c r="U14" s="1189" t="n"/>
      <c r="V14" s="1190">
        <f>S14-T14+U14</f>
        <v/>
      </c>
      <c r="W14" s="1190" t="n"/>
      <c r="Y14" s="759" t="n">
        <v>0.9434</v>
      </c>
      <c r="Z14" s="759" t="n">
        <v>1.0034</v>
      </c>
      <c r="AA14" s="760">
        <f>AVERAGE(Y14:Z14)</f>
        <v/>
      </c>
    </row>
    <row r="15">
      <c r="A15" s="10">
        <f>IF(VLOOKUP(B15,Portfolio!$B$9:$V$49,21,FALSE)=0,"No","Yes")</f>
        <v/>
      </c>
      <c r="B15" s="658" t="inlineStr">
        <is>
          <t>Integrated Pain Associates</t>
        </is>
      </c>
      <c r="C15" s="1183" t="inlineStr">
        <is>
          <t>First Lien</t>
        </is>
      </c>
      <c r="D15" s="1184">
        <f>V15</f>
        <v/>
      </c>
      <c r="E15" s="1185">
        <f>IFERROR(D15*AA15,D15)</f>
        <v/>
      </c>
      <c r="F15" s="1186" t="n">
        <v>55836684</v>
      </c>
      <c r="G15" s="1186" t="n">
        <v>17294828.21</v>
      </c>
      <c r="H15" s="1186" t="n">
        <v>0</v>
      </c>
      <c r="I15" s="1186" t="n">
        <v>0</v>
      </c>
      <c r="J15" s="1186" t="n">
        <v>14377596.1631818</v>
      </c>
      <c r="K15" s="1186" t="n">
        <v>58250498.2858182</v>
      </c>
      <c r="L15" s="1186" t="n">
        <v>7126782</v>
      </c>
      <c r="M15" s="1187">
        <f>IF(SUM(H15:K15,-L15)/G15&lt;0,"N/M",SUM(H15:K15,-L15)/G15)</f>
        <v/>
      </c>
      <c r="N15" s="1187">
        <f>IF(G15&lt;0,"N/A",IFERROR(((SUM(H15:I15))-L15)/G15,0))</f>
        <v/>
      </c>
      <c r="O15" s="1188" t="n">
        <v>2.00984507857</v>
      </c>
      <c r="Q15" s="1178" t="n"/>
      <c r="S15" s="1189" t="n">
        <v>12393723.0394312</v>
      </c>
      <c r="T15" s="1189" t="n"/>
      <c r="U15" s="1189" t="n">
        <v>425531.9133333333</v>
      </c>
      <c r="V15" s="1190">
        <f>S15-T15+U15</f>
        <v/>
      </c>
      <c r="W15" s="1190" t="n"/>
      <c r="Y15" s="759" t="n">
        <v>0.9708000000000001</v>
      </c>
      <c r="Z15" s="759" t="n">
        <v>1.0184</v>
      </c>
      <c r="AA15" s="760">
        <f>AVERAGE(Y15:Z15)</f>
        <v/>
      </c>
      <c r="AC15" s="721" t="n"/>
    </row>
    <row r="16">
      <c r="A16" s="10">
        <f>IF(VLOOKUP(B16,Portfolio!$B$9:$V$49,21,FALSE)=0,"No","Yes")</f>
        <v/>
      </c>
      <c r="B16" s="658" t="inlineStr">
        <is>
          <t>Japonesque</t>
        </is>
      </c>
      <c r="C16" s="1183" t="inlineStr">
        <is>
          <t>Last Out</t>
        </is>
      </c>
      <c r="D16" s="1184">
        <f>V16</f>
        <v/>
      </c>
      <c r="E16" s="1185">
        <f>IFERROR(D16*AA16,D16)</f>
        <v/>
      </c>
      <c r="F16" s="1186" t="n">
        <v>63163775.80778093</v>
      </c>
      <c r="G16" s="1186" t="n">
        <v>10784873.99711426</v>
      </c>
      <c r="H16" s="1186" t="n">
        <v>6680837.29</v>
      </c>
      <c r="I16" s="1186" t="n">
        <v>11397560.0557593</v>
      </c>
      <c r="J16" s="1186" t="n">
        <v>0</v>
      </c>
      <c r="K16" s="1186" t="n">
        <v>31155558.49328289</v>
      </c>
      <c r="L16" s="1186" t="n">
        <v>324445.36</v>
      </c>
      <c r="M16" s="1187">
        <f>IF(SUM(H16:K16,-L16)/G16&lt;0,"N/M",SUM(H16:K16,-L16)/G16)</f>
        <v/>
      </c>
      <c r="N16" s="1187">
        <f>IF(G16&lt;0,"N/A",IFERROR(((SUM(H16:I16))-L16)/G16,0))</f>
        <v/>
      </c>
      <c r="O16" s="1188" t="n">
        <v>1.436148044166</v>
      </c>
      <c r="Q16" s="1178" t="n"/>
      <c r="S16" s="1189" t="n">
        <v>4326625.4260563</v>
      </c>
      <c r="T16" s="1189" t="n">
        <v>96610.63</v>
      </c>
      <c r="U16" s="1189" t="n"/>
      <c r="V16" s="1190">
        <f>S16-T16+U16</f>
        <v/>
      </c>
      <c r="W16" s="1190" t="inlineStr">
        <is>
          <t>PIK was only for 11/1/2022 to 12/1/2023</t>
        </is>
      </c>
      <c r="Y16" s="759" t="n">
        <v>0.9668</v>
      </c>
      <c r="Z16" s="759" t="n">
        <v>0.9918999999999999</v>
      </c>
      <c r="AA16" s="760">
        <f>AVERAGE(Y16:Z16)</f>
        <v/>
      </c>
      <c r="AC16" s="720" t="n"/>
    </row>
    <row r="17" customFormat="1" s="212">
      <c r="A17" s="10">
        <f>IF(VLOOKUP(B17,Portfolio!$B$9:$V$49,21,FALSE)=0,"No","Yes")</f>
        <v/>
      </c>
      <c r="B17" s="658" t="inlineStr">
        <is>
          <t>Jefferson Solutions Group</t>
        </is>
      </c>
      <c r="C17" s="1183" t="inlineStr">
        <is>
          <t>Last Out</t>
        </is>
      </c>
      <c r="D17" s="1184">
        <f>V17</f>
        <v/>
      </c>
      <c r="E17" s="1185">
        <f>IFERROR(D17*AA17,D17)</f>
        <v/>
      </c>
      <c r="F17" s="1186" t="n">
        <v>45375719.69</v>
      </c>
      <c r="G17" s="1186" t="n">
        <v>5411890.390000001</v>
      </c>
      <c r="H17" s="1186" t="n">
        <v>0</v>
      </c>
      <c r="I17" s="1186" t="n">
        <v>14260000</v>
      </c>
      <c r="J17" s="1186" t="n">
        <v>0</v>
      </c>
      <c r="K17" s="1186" t="n">
        <v>22451322.4646681</v>
      </c>
      <c r="L17" s="1186" t="n">
        <v>6501374.41</v>
      </c>
      <c r="M17" s="1187">
        <f>IF(SUM(H17:K17,-L17)/G17&lt;0,"N/M",SUM(H17:K17,-L17)/G17)</f>
        <v/>
      </c>
      <c r="N17" s="1187" t="n">
        <v>1.112823146721452</v>
      </c>
      <c r="O17" s="1188" t="n">
        <v>1.281291357893</v>
      </c>
      <c r="Q17" s="1178" t="n"/>
      <c r="S17" s="1189" t="n">
        <v>8635124.028797399</v>
      </c>
      <c r="T17" s="1189" t="n"/>
      <c r="U17" s="1189" t="n"/>
      <c r="V17" s="1190">
        <f>S17-T17+U17</f>
        <v/>
      </c>
      <c r="W17" s="1190" t="n"/>
      <c r="Y17" s="759" t="n">
        <v>0.8978</v>
      </c>
      <c r="Z17" s="759" t="n">
        <v>0.969</v>
      </c>
      <c r="AA17" s="760">
        <f>AVERAGE(Y17:Z17)</f>
        <v/>
      </c>
      <c r="AC17" s="720" t="n"/>
    </row>
    <row r="18" customFormat="1" s="212">
      <c r="A18" s="10">
        <f>IF(VLOOKUP(B18,Portfolio!$B$9:$V$49,21,FALSE)=0,"No","Yes")</f>
        <v/>
      </c>
      <c r="B18" s="658" t="inlineStr">
        <is>
          <t>Klein Hersh</t>
        </is>
      </c>
      <c r="C18" s="1183" t="inlineStr">
        <is>
          <t>Last Out</t>
        </is>
      </c>
      <c r="D18" s="1184">
        <f>V18</f>
        <v/>
      </c>
      <c r="E18" s="1185">
        <f>IFERROR(D18*AA18,D18)</f>
        <v/>
      </c>
      <c r="F18" s="1186" t="n">
        <v>67720300</v>
      </c>
      <c r="G18" s="1186" t="n">
        <v>20717486</v>
      </c>
      <c r="H18" s="1186" t="n">
        <v>0</v>
      </c>
      <c r="I18" s="1186" t="n">
        <v>22255667.5656103</v>
      </c>
      <c r="J18" s="1186" t="n">
        <v>78061124.08991054</v>
      </c>
      <c r="K18" s="1186" t="n">
        <v>107262555.8121735</v>
      </c>
      <c r="L18" s="1186" t="n">
        <v>9778150.32</v>
      </c>
      <c r="M18" s="1187">
        <f>IF(SUM(H18:K18,-L18)/G18&lt;0,"N/M",SUM(H18:K18,-L18)/G18)</f>
        <v/>
      </c>
      <c r="N18" s="1187">
        <f>IF(G18&lt;0,"N/A",IFERROR(((SUM(H18:I18))-L18)/G18,0))</f>
        <v/>
      </c>
      <c r="O18" s="1188" t="n">
        <v>1.573628340647</v>
      </c>
      <c r="Q18" s="1178" t="n"/>
      <c r="S18" s="1189" t="n">
        <v>17346916.4644245</v>
      </c>
      <c r="T18" s="1189" t="n">
        <v>2923035.09</v>
      </c>
      <c r="U18" s="1189" t="n"/>
      <c r="V18" s="1190">
        <f>S18-T18+U18</f>
        <v/>
      </c>
      <c r="W18" s="1190" t="inlineStr">
        <is>
          <t>PIK was only for 1/31/2023 to 6/28/2024</t>
        </is>
      </c>
      <c r="Y18" s="759" t="n">
        <v>0.8461</v>
      </c>
      <c r="Z18" s="759" t="n">
        <v>0.9068000000000001</v>
      </c>
      <c r="AA18" s="760">
        <f>AVERAGE(Y18:Z18)</f>
        <v/>
      </c>
      <c r="AC18" s="720" t="n"/>
    </row>
    <row r="19" customFormat="1" s="212">
      <c r="A19" s="10">
        <f>IF(VLOOKUP(B19,Portfolio!$B$9:$V$49,21,FALSE)=0,"No","Yes")</f>
        <v/>
      </c>
      <c r="B19" s="658" t="inlineStr">
        <is>
          <t>LaSalle Network</t>
        </is>
      </c>
      <c r="C19" s="1183" t="inlineStr">
        <is>
          <t>Last Out</t>
        </is>
      </c>
      <c r="D19" s="1184">
        <f>V19</f>
        <v/>
      </c>
      <c r="E19" s="1185">
        <f>IFERROR(D19*AA19,D19)</f>
        <v/>
      </c>
      <c r="F19" s="1186" t="n">
        <v>107779644.15</v>
      </c>
      <c r="G19" s="1186" t="n">
        <v>12402960.1</v>
      </c>
      <c r="H19" s="1186" t="n">
        <v>0</v>
      </c>
      <c r="I19" s="1186" t="n">
        <v>10243805.9942895</v>
      </c>
      <c r="J19" s="1186" t="n">
        <v>0</v>
      </c>
      <c r="K19" s="1186" t="n">
        <v>26909195.0582105</v>
      </c>
      <c r="L19" s="1186" t="n">
        <v>6424931</v>
      </c>
      <c r="M19" s="1187">
        <f>IF(SUM(H19:K19,-L19)/G19&lt;0,"N/M",SUM(H19:K19,-L19)/G19)</f>
        <v/>
      </c>
      <c r="N19" s="1187">
        <f>IF(G19&lt;0,"N/A",IFERROR(((SUM(H19:I19))-L19)/G19,0))</f>
        <v/>
      </c>
      <c r="O19" s="1188" t="n">
        <v>1.95</v>
      </c>
      <c r="Q19" s="1178" t="n"/>
      <c r="S19" s="1189" t="n">
        <v>7175785.340856129</v>
      </c>
      <c r="T19" s="1189" t="n"/>
      <c r="U19" s="1189" t="n"/>
      <c r="V19" s="1190">
        <f>S19-T19+U19</f>
        <v/>
      </c>
      <c r="W19" s="1190" t="n"/>
      <c r="Y19" s="759" t="n">
        <v>0.9769</v>
      </c>
      <c r="Z19" s="759" t="n">
        <v>1</v>
      </c>
      <c r="AA19" s="760">
        <f>AVERAGE(Y19:Z19)</f>
        <v/>
      </c>
      <c r="AC19" s="720" t="n"/>
    </row>
    <row r="20" customFormat="1" s="212">
      <c r="A20" s="10">
        <f>IF(VLOOKUP(B20,Portfolio!$B$9:$V$49,21,FALSE)=0,"No","Yes")</f>
        <v/>
      </c>
      <c r="B20" s="658" t="inlineStr">
        <is>
          <t>Linden Research</t>
        </is>
      </c>
      <c r="C20" s="1183" t="inlineStr">
        <is>
          <t>First Lien</t>
        </is>
      </c>
      <c r="D20" s="1184">
        <f>V20</f>
        <v/>
      </c>
      <c r="E20" s="1185">
        <f>IFERROR(D20*AA20,D20)</f>
        <v/>
      </c>
      <c r="F20" s="1186" t="n">
        <v>76142595.39999999</v>
      </c>
      <c r="G20" s="1186" t="n">
        <v>30943706.98706663</v>
      </c>
      <c r="H20" s="1186" t="n">
        <v>0</v>
      </c>
      <c r="I20" s="1186" t="n">
        <v>13775007.76</v>
      </c>
      <c r="J20" s="1186" t="n">
        <v>2672940.427855417</v>
      </c>
      <c r="K20" s="1186" t="n">
        <v>50914059.57214458</v>
      </c>
      <c r="L20" s="1186" t="n">
        <v>12308276.49</v>
      </c>
      <c r="M20" s="1187">
        <f>IF(SUM(H20:K20,-L20)/G20&lt;0,"N/M",SUM(H20:K20,-L20)/G20)</f>
        <v/>
      </c>
      <c r="N20" s="1187">
        <f>IF(G20&lt;0,"N/A",IFERROR(((SUM(H20:I20))-L20)/G20,0))</f>
        <v/>
      </c>
      <c r="O20" s="1188" t="n">
        <v>2.69</v>
      </c>
      <c r="Q20" s="1178" t="n"/>
      <c r="S20" s="1189" t="n">
        <v>4154501.40904748</v>
      </c>
      <c r="T20" s="1189" t="n">
        <v>577553.97</v>
      </c>
      <c r="U20" s="1189" t="n">
        <v>14160619</v>
      </c>
      <c r="V20" s="1190">
        <f>S20-T20+U20</f>
        <v/>
      </c>
      <c r="W20" s="1190" t="inlineStr">
        <is>
          <t>PIK Monthly</t>
        </is>
      </c>
      <c r="Y20" s="759" t="n">
        <v>1</v>
      </c>
      <c r="Z20" s="759" t="n">
        <v>1</v>
      </c>
      <c r="AA20" s="760">
        <f>AVERAGE(Y20:Z20)</f>
        <v/>
      </c>
    </row>
    <row r="21">
      <c r="A21" s="10">
        <f>IF(VLOOKUP(B21,Portfolio!$B$9:$V$49,21,FALSE)=0,"No","Yes")</f>
        <v/>
      </c>
      <c r="B21" s="658" t="inlineStr">
        <is>
          <t>Masterwork Electronics</t>
        </is>
      </c>
      <c r="C21" s="1183" t="inlineStr">
        <is>
          <t>First Lien</t>
        </is>
      </c>
      <c r="D21" s="1184">
        <f>V21</f>
        <v/>
      </c>
      <c r="E21" s="1185">
        <f>IFERROR(D21*AA21,D21)</f>
        <v/>
      </c>
      <c r="F21" s="1186" t="n">
        <v>38324971.11999999</v>
      </c>
      <c r="G21" s="1186" t="n">
        <v>-2282450.00764012</v>
      </c>
      <c r="H21" s="1186" t="n">
        <v>0</v>
      </c>
      <c r="I21" s="1186" t="n">
        <v>4999950.95000001</v>
      </c>
      <c r="J21" s="1186" t="n">
        <v>8373769.144082811</v>
      </c>
      <c r="K21" s="1186" t="n">
        <v>76609405.58193633</v>
      </c>
      <c r="L21" s="1186" t="n">
        <v>4293784.76228206</v>
      </c>
      <c r="M21" s="1187">
        <f>IF(SUM(H21:K21,-L21)/G21&lt;0,"N/M",SUM(H21:K21,-L21)/G21)</f>
        <v/>
      </c>
      <c r="N21" s="1187">
        <f>IF(G21&lt;0,"N/A",IFERROR(((SUM(H21:I21))-L21)/G21,0))</f>
        <v/>
      </c>
      <c r="O21" s="1188" t="n">
        <v>0</v>
      </c>
      <c r="Q21" s="1178" t="n"/>
      <c r="S21" s="1189" t="n">
        <v>13323374.88155489</v>
      </c>
      <c r="T21" s="1189" t="n">
        <v>1902051.65</v>
      </c>
      <c r="U21" s="1189" t="n"/>
      <c r="V21" s="1190">
        <f>S21-T21+U21</f>
        <v/>
      </c>
      <c r="W21" s="1190" t="inlineStr">
        <is>
          <t>No PIK after Q1 2025</t>
        </is>
      </c>
      <c r="Y21" s="759" t="n">
        <v>0.06966360781846134</v>
      </c>
      <c r="Z21" s="759" t="n">
        <v>0.1544473850611569</v>
      </c>
      <c r="AA21" s="760">
        <f>AVERAGE(Y21:Z21)</f>
        <v/>
      </c>
      <c r="AC21" s="224" t="n"/>
    </row>
    <row r="22">
      <c r="A22" s="10">
        <f>IF(VLOOKUP(B22,Portfolio!$B$9:$V$49,21,FALSE)=0,"No","Yes")</f>
        <v/>
      </c>
      <c r="B22" s="658" t="inlineStr">
        <is>
          <t>MechanAir (I)</t>
        </is>
      </c>
      <c r="C22" s="1183" t="inlineStr">
        <is>
          <t>First Lien</t>
        </is>
      </c>
      <c r="D22" s="1184">
        <f>V22</f>
        <v/>
      </c>
      <c r="E22" s="1185">
        <f>IFERROR(D22*AA22,D22)</f>
        <v/>
      </c>
      <c r="F22" s="1186" t="n">
        <v>108920925.85</v>
      </c>
      <c r="G22" s="1186" t="n">
        <v>12100000</v>
      </c>
      <c r="H22" s="1186" t="n">
        <v>2453371.760000005</v>
      </c>
      <c r="I22" s="1186" t="n">
        <v>0</v>
      </c>
      <c r="J22" s="1186" t="n">
        <v>49210526.32</v>
      </c>
      <c r="K22" s="1186" t="n">
        <v>6047723.34</v>
      </c>
      <c r="L22" s="1186" t="n">
        <v>0</v>
      </c>
      <c r="M22" s="1187">
        <f>IF(SUM(H22:K22,-L22)/G22&lt;0,"N/M",SUM(H22:K22,-L22)/G22)</f>
        <v/>
      </c>
      <c r="N22" s="1187">
        <f>IF(G22&lt;0,"N/A",IFERROR(((SUM(H22:I22))-L22)/G22,0))</f>
        <v/>
      </c>
      <c r="O22" s="1188" t="n">
        <v>1.6</v>
      </c>
      <c r="Q22" s="1178" t="n"/>
      <c r="R22" s="1191" t="n"/>
      <c r="S22" s="1189" t="n">
        <v>6047723.34</v>
      </c>
      <c r="T22" s="1189" t="n"/>
      <c r="U22" s="1189" t="n">
        <v>394736.84</v>
      </c>
      <c r="V22" s="1190">
        <f>S22-T22+U22</f>
        <v/>
      </c>
      <c r="W22" s="1190" t="n"/>
      <c r="Y22" s="759" t="n">
        <v>0.9611862730293476</v>
      </c>
      <c r="Z22" s="759" t="n">
        <v>0.9978248933068998</v>
      </c>
      <c r="AA22" s="760">
        <f>AVERAGE(Y22:Z22)</f>
        <v/>
      </c>
      <c r="AC22" s="720" t="n"/>
    </row>
    <row r="23">
      <c r="A23" s="10">
        <f>IF(VLOOKUP(B23,Portfolio!$B$9:$V$49,21,FALSE)=0,"No","Yes")</f>
        <v/>
      </c>
      <c r="B23" s="658" t="inlineStr">
        <is>
          <t>Microf</t>
        </is>
      </c>
      <c r="C23" s="1183" t="inlineStr">
        <is>
          <t>First Lien</t>
        </is>
      </c>
      <c r="D23" s="1184">
        <f>V23</f>
        <v/>
      </c>
      <c r="E23" s="1185">
        <f>IFERROR(D23*AA23,D23)</f>
        <v/>
      </c>
      <c r="F23" s="1186" t="n">
        <v>44668346.24</v>
      </c>
      <c r="G23" s="1186" t="n">
        <v>27080542.86999996</v>
      </c>
      <c r="H23" s="1186" t="n">
        <v>59000000</v>
      </c>
      <c r="I23" s="1186" t="n">
        <v>0</v>
      </c>
      <c r="J23" s="1186" t="n">
        <v>0</v>
      </c>
      <c r="K23" s="1186" t="n">
        <v>28012557.82136673</v>
      </c>
      <c r="L23" s="1186" t="n">
        <v>3914198.57</v>
      </c>
      <c r="M23" s="1187">
        <f>IF(SUM(H23:K23,-L23)/G23&lt;0,"N/M",SUM(H23:K23,-L23)/G23)</f>
        <v/>
      </c>
      <c r="N23" s="1187">
        <f>IF(G23&lt;0,"N/A",IFERROR(((SUM(H23:I23))-L23)/G23,0))</f>
        <v/>
      </c>
      <c r="O23" s="1188" t="n">
        <v>2.773995204403</v>
      </c>
      <c r="Q23" s="1178" t="n"/>
      <c r="R23" s="1191" t="n"/>
      <c r="S23" s="1189" t="n">
        <v>3714428.90053037</v>
      </c>
      <c r="T23" s="1189" t="n"/>
      <c r="U23" s="1189" t="n"/>
      <c r="V23" s="1190">
        <f>S23-T23+U23</f>
        <v/>
      </c>
      <c r="W23" s="1190" t="n"/>
      <c r="Y23" s="759" t="n">
        <v>0.9892999999999998</v>
      </c>
      <c r="Z23" s="759" t="n">
        <v>1.0129</v>
      </c>
      <c r="AA23" s="760">
        <f>AVERAGE(Y23:Z23)</f>
        <v/>
      </c>
    </row>
    <row r="24">
      <c r="A24" s="10">
        <f>IF(VLOOKUP(B24,Portfolio!$B$9:$V$49,21,FALSE)=0,"No","Yes")</f>
        <v/>
      </c>
      <c r="B24" s="658" t="inlineStr">
        <is>
          <t>Mission</t>
        </is>
      </c>
      <c r="C24" s="1183" t="inlineStr">
        <is>
          <t>First Lien</t>
        </is>
      </c>
      <c r="D24" s="1184">
        <f>V24</f>
        <v/>
      </c>
      <c r="E24" s="1185">
        <f>IFERROR(D24*AA24,D24)</f>
        <v/>
      </c>
      <c r="F24" s="1186" t="n">
        <v>28781061.59000002</v>
      </c>
      <c r="G24" s="1186" t="n">
        <v>770615.0850000172</v>
      </c>
      <c r="H24" s="1186" t="n">
        <v>4876120.73</v>
      </c>
      <c r="I24" s="1186" t="n">
        <v>0</v>
      </c>
      <c r="J24" s="1186" t="n">
        <v>0</v>
      </c>
      <c r="K24" s="1186" t="n">
        <v>13965811.64562268</v>
      </c>
      <c r="L24" s="1186" t="n">
        <v>326447.93</v>
      </c>
      <c r="M24" s="1187" t="inlineStr">
        <is>
          <t>N/M</t>
        </is>
      </c>
      <c r="N24" s="1187">
        <f>IF(G24&lt;0,"N/A",IFERROR(((SUM(H24:I24))-L24)/G24,0))</f>
        <v/>
      </c>
      <c r="O24" s="1188" t="n">
        <v>0.272935126276</v>
      </c>
      <c r="Q24" s="1178" t="n"/>
      <c r="S24" s="1189" t="n">
        <v>1727350.69484979</v>
      </c>
      <c r="T24" s="1189" t="n">
        <v>183177.61</v>
      </c>
      <c r="U24" s="1189" t="n"/>
      <c r="V24" s="1190">
        <f>S24-T24+U24</f>
        <v/>
      </c>
      <c r="W24" s="1190" t="inlineStr">
        <is>
          <t>No PIK after Q3 2024</t>
        </is>
      </c>
      <c r="Y24" s="759" t="n">
        <v>0.9014</v>
      </c>
      <c r="Z24" s="759" t="n">
        <v>0.978</v>
      </c>
      <c r="AA24" s="760">
        <f>AVERAGE(Y24:Z24)</f>
        <v/>
      </c>
    </row>
    <row r="25">
      <c r="A25" s="10">
        <f>IF(VLOOKUP(B25,Portfolio!$B$9:$V$49,21,FALSE)=0,"No","Yes")</f>
        <v/>
      </c>
      <c r="B25" s="658" t="inlineStr">
        <is>
          <t>NW Entertainment, LLC</t>
        </is>
      </c>
      <c r="C25" s="1183" t="inlineStr">
        <is>
          <t>First Lien</t>
        </is>
      </c>
      <c r="D25" s="1184">
        <f>V25</f>
        <v/>
      </c>
      <c r="E25" s="1185">
        <f>IFERROR(D25*AA25,D25)</f>
        <v/>
      </c>
      <c r="F25" s="1186" t="n">
        <v>53554300.41999999</v>
      </c>
      <c r="G25" s="1186" t="n">
        <v>8352000</v>
      </c>
      <c r="H25" s="1186" t="n">
        <v>4250000</v>
      </c>
      <c r="I25" s="1186" t="n">
        <v>0</v>
      </c>
      <c r="J25" s="1186" t="n">
        <v>3525000</v>
      </c>
      <c r="K25" s="1186" t="n">
        <v>45825000</v>
      </c>
      <c r="L25" s="1186" t="n">
        <v>944000</v>
      </c>
      <c r="M25" s="1187">
        <f>IF(SUM(H25:K25,-L25)/G25&lt;0,"N/M",SUM(H25:K25,-L25)/G25)</f>
        <v/>
      </c>
      <c r="N25" s="1187">
        <f>IF(G25&lt;0,"N/A",IFERROR(((SUM(H25:I25))-L25)/G25,0))</f>
        <v/>
      </c>
      <c r="O25" s="1188" t="n">
        <v>1.05717486714</v>
      </c>
      <c r="Q25" s="1178" t="n"/>
      <c r="S25" s="1189" t="n">
        <v>6137824.8084</v>
      </c>
      <c r="T25" s="1189" t="n"/>
      <c r="U25" s="1189" t="n"/>
      <c r="V25" s="1190">
        <f>S25-T25+U25</f>
        <v/>
      </c>
      <c r="W25" s="1190" t="n"/>
      <c r="Y25" s="759" t="n">
        <v>0.9385</v>
      </c>
      <c r="Z25" s="759" t="n">
        <v>0.9826</v>
      </c>
      <c r="AA25" s="760">
        <f>AVERAGE(Y25:Z25)</f>
        <v/>
      </c>
    </row>
    <row r="26">
      <c r="A26" s="10">
        <f>IF(VLOOKUP(B26,Portfolio!$B$9:$V$49,21,FALSE)=0,"No","Yes")</f>
        <v/>
      </c>
      <c r="B26" s="658" t="inlineStr">
        <is>
          <t>Padsquad</t>
        </is>
      </c>
      <c r="C26" s="1183" t="inlineStr">
        <is>
          <t>Last Out</t>
        </is>
      </c>
      <c r="D26" s="1184">
        <f>V26</f>
        <v/>
      </c>
      <c r="E26" s="1185">
        <f>IFERROR(D26*AA26,D26)</f>
        <v/>
      </c>
      <c r="F26" s="1186" t="n">
        <v>50086101.65000001</v>
      </c>
      <c r="G26" s="1186" t="n">
        <v>7214432.039999998</v>
      </c>
      <c r="H26" s="1186" t="n">
        <v>0</v>
      </c>
      <c r="I26" s="1186" t="n">
        <v>7633048.18</v>
      </c>
      <c r="J26" s="1186" t="n">
        <v>0</v>
      </c>
      <c r="K26" s="1186" t="n">
        <v>14756262.82</v>
      </c>
      <c r="L26" s="1186" t="n">
        <v>4086893.17</v>
      </c>
      <c r="M26" s="1187">
        <f>IF(SUM(H26:K26,-L26)/G26&lt;0,"N/M",SUM(H26:K26,-L26)/G26)</f>
        <v/>
      </c>
      <c r="N26" s="1187">
        <f>IF(G26&lt;0,"N/A",IFERROR(((SUM(H26:I26))-L26)/G26,0))</f>
        <v/>
      </c>
      <c r="O26" s="1188" t="n">
        <v>2.791822213848</v>
      </c>
      <c r="Q26" s="1178" t="n"/>
      <c r="S26" s="1189" t="n">
        <v>2620174.87</v>
      </c>
      <c r="T26" s="1189" t="n"/>
      <c r="U26" s="1189" t="n"/>
      <c r="V26" s="1190">
        <f>S26-T26+U26</f>
        <v/>
      </c>
      <c r="W26" s="1190" t="n"/>
      <c r="Y26" s="759" t="n">
        <v>0.9705</v>
      </c>
      <c r="Z26" s="759" t="n">
        <v>1</v>
      </c>
      <c r="AA26" s="760">
        <f>AVERAGE(Y26:Z26)</f>
        <v/>
      </c>
    </row>
    <row r="27" customFormat="1" s="212">
      <c r="A27" s="10">
        <f>IF(VLOOKUP(B27,Portfolio!$B$9:$V$49,21,FALSE)=0,"No","Yes")</f>
        <v/>
      </c>
      <c r="B27" s="658" t="inlineStr">
        <is>
          <t>Preferred Care Home Health</t>
        </is>
      </c>
      <c r="C27" s="1183" t="inlineStr">
        <is>
          <t>Last Out</t>
        </is>
      </c>
      <c r="D27" s="1184">
        <f>V27</f>
        <v/>
      </c>
      <c r="E27" s="1185">
        <f>IFERROR(D27*AA27,D27)</f>
        <v/>
      </c>
      <c r="F27" s="1186" t="n">
        <v>44706959.5</v>
      </c>
      <c r="G27" s="1186" t="n">
        <v>8537312.399488632</v>
      </c>
      <c r="H27" s="1186" t="n">
        <v>3097000</v>
      </c>
      <c r="I27" s="1186" t="n">
        <v>5600000</v>
      </c>
      <c r="J27" s="1186" t="n">
        <v>0</v>
      </c>
      <c r="K27" s="1186" t="n">
        <v>29089000.17374981</v>
      </c>
      <c r="L27" s="1186" t="n">
        <v>354000</v>
      </c>
      <c r="M27" s="1187">
        <f>IF(SUM(H27:K27,-L27)/G27&lt;0,"N/M",SUM(H27:K27,-L27)/G27)</f>
        <v/>
      </c>
      <c r="N27" s="1187">
        <f>IF(G27&lt;0,"N/A",IFERROR(((SUM(H27:I27))-L27)/G27,0))</f>
        <v/>
      </c>
      <c r="O27" s="1188" t="n">
        <v>1.671248182185</v>
      </c>
      <c r="Q27" s="1178" t="n"/>
      <c r="S27" s="1189" t="n">
        <v>6884970.44814537</v>
      </c>
      <c r="T27" s="1189" t="n">
        <v>330685.04</v>
      </c>
      <c r="U27" s="1189" t="n"/>
      <c r="V27" s="1190">
        <f>S27-T27+U27</f>
        <v/>
      </c>
      <c r="W27" s="1190" t="inlineStr">
        <is>
          <t>PIK Monthly</t>
        </is>
      </c>
      <c r="Y27" s="759" t="n">
        <v>0.9724</v>
      </c>
      <c r="Z27" s="759" t="n">
        <v>1.01</v>
      </c>
      <c r="AA27" s="760">
        <f>AVERAGE(Y27:Z27)</f>
        <v/>
      </c>
    </row>
    <row r="28" customFormat="1" s="212">
      <c r="A28" s="10">
        <f>IF(VLOOKUP(B28,Portfolio!$B$9:$V$49,21,FALSE)=0,"No","Yes")</f>
        <v/>
      </c>
      <c r="B28" s="658" t="inlineStr">
        <is>
          <t>Qualified Digital</t>
        </is>
      </c>
      <c r="C28" s="1183" t="inlineStr">
        <is>
          <t>First Lien</t>
        </is>
      </c>
      <c r="D28" s="1184">
        <f>V28</f>
        <v/>
      </c>
      <c r="E28" s="1185">
        <f>IFERROR(D28*AA28,D28)</f>
        <v/>
      </c>
      <c r="F28" s="1186" t="n">
        <v>30113390</v>
      </c>
      <c r="G28" s="1186" t="n">
        <v>10403439</v>
      </c>
      <c r="H28" s="1186" t="n">
        <v>1600000</v>
      </c>
      <c r="I28" s="1186" t="n">
        <v>4300000.00476282</v>
      </c>
      <c r="J28" s="1186" t="n">
        <v>0</v>
      </c>
      <c r="K28" s="1186" t="n">
        <v>25491875.00476282</v>
      </c>
      <c r="L28" s="1186" t="n">
        <v>3469524</v>
      </c>
      <c r="M28" s="1187">
        <f>IF(SUM(H28:K28,-L28)/G28&lt;0,"N/M",SUM(H28:K28,-L28)/G28)</f>
        <v/>
      </c>
      <c r="N28" s="1187" t="n">
        <v>0</v>
      </c>
      <c r="O28" s="1188" t="n">
        <v>3.574220062373</v>
      </c>
      <c r="Q28" s="1178" t="n"/>
      <c r="S28" s="1189" t="n">
        <v>14566785.71576011</v>
      </c>
      <c r="T28" s="1189" t="n"/>
      <c r="U28" s="1189" t="n"/>
      <c r="V28" s="1190">
        <f>S28-T28+U28</f>
        <v/>
      </c>
      <c r="W28" s="1190" t="n"/>
      <c r="Y28" s="759" t="n">
        <v>0.9660952190668566</v>
      </c>
      <c r="Z28" s="759" t="n">
        <v>1.006095219066857</v>
      </c>
      <c r="AA28" s="760">
        <f>AVERAGE(Y28:Z28)</f>
        <v/>
      </c>
    </row>
    <row r="29" customFormat="1" s="212">
      <c r="A29" s="10">
        <f>IF(VLOOKUP(B29,Portfolio!$B$9:$V$49,21,FALSE)=0,"No","Yes")</f>
        <v/>
      </c>
      <c r="B29" s="658" t="inlineStr">
        <is>
          <t>SkyBell Technologies</t>
        </is>
      </c>
      <c r="C29" s="1183" t="inlineStr">
        <is>
          <t>First Lien</t>
        </is>
      </c>
      <c r="D29" s="1184">
        <f>V29</f>
        <v/>
      </c>
      <c r="E29" s="1185">
        <f>IFERROR(D29*AA29,D29)</f>
        <v/>
      </c>
      <c r="F29" s="1186" t="n">
        <v>399134.77</v>
      </c>
      <c r="G29" s="1186" t="n">
        <v>-8804510.43</v>
      </c>
      <c r="H29" s="1186" t="n">
        <v>0</v>
      </c>
      <c r="I29" s="1186" t="n">
        <v>13781827.74</v>
      </c>
      <c r="J29" s="1186" t="n">
        <v>20508126.40000002</v>
      </c>
      <c r="K29" s="1186" t="n">
        <v>100373997.5393797</v>
      </c>
      <c r="L29" s="1186" t="n">
        <v>248078.13</v>
      </c>
      <c r="M29" s="1187">
        <f>IF(SUM(H29:K29,-L29)/G29&lt;0,"N/M",SUM(H29:K29,-L29)/G29)</f>
        <v/>
      </c>
      <c r="N29" s="1187">
        <f>IF(G29&lt;0,"N/A",IFERROR(((SUM(H29:I29))-L29)/G29,0))</f>
        <v/>
      </c>
      <c r="O29" s="1188" t="n">
        <v>0</v>
      </c>
      <c r="Q29" s="1178" t="n"/>
      <c r="S29" s="1189" t="n">
        <v>8148216.42949674</v>
      </c>
      <c r="T29" s="1189" t="n"/>
      <c r="U29" s="1189" t="n"/>
      <c r="V29" s="1190">
        <f>S29-T29+U29</f>
        <v/>
      </c>
      <c r="W29" s="1190" t="n"/>
      <c r="Y29" s="759" t="n">
        <v>0.8149999999999999</v>
      </c>
      <c r="Z29" s="759" t="n">
        <v>0.869</v>
      </c>
      <c r="AA29" s="760">
        <f>AVERAGE(Y29:Z29)</f>
        <v/>
      </c>
    </row>
    <row r="30" customFormat="1" s="212">
      <c r="A30" s="10">
        <f>IF(VLOOKUP(B30,Portfolio!$B$9:$V$49,21,FALSE)=0,"No","Yes")</f>
        <v/>
      </c>
      <c r="B30" s="658" t="inlineStr">
        <is>
          <t>Watt Contracting Holdings</t>
        </is>
      </c>
      <c r="C30" s="1183" t="inlineStr">
        <is>
          <t>First Lien</t>
        </is>
      </c>
      <c r="D30" s="1184">
        <f>V30</f>
        <v/>
      </c>
      <c r="E30" s="1185">
        <f>IFERROR(D30*AA30,D30)</f>
        <v/>
      </c>
      <c r="F30" s="1186" t="n">
        <v>34452629.26000001</v>
      </c>
      <c r="G30" s="1186" t="n">
        <v>6606216.66</v>
      </c>
      <c r="H30" s="1186" t="n">
        <v>1200000</v>
      </c>
      <c r="I30" s="1186" t="n">
        <v>2633801</v>
      </c>
      <c r="J30" s="1186" t="n">
        <v>0</v>
      </c>
      <c r="K30" s="1186" t="n">
        <v>5871903.97378825</v>
      </c>
      <c r="L30" s="1186" t="n">
        <v>2031795.79</v>
      </c>
      <c r="M30" s="1187">
        <f>IF(SUM(H30:K30,-L30)/G30&lt;0,"N/M",SUM(H30:K30,-L30)/G30)</f>
        <v/>
      </c>
      <c r="N30" s="1187">
        <f>IF(G30&lt;0,"N/A",IFERROR(((SUM(H30:I30))-L30)/G30,0))</f>
        <v/>
      </c>
      <c r="O30" s="1188" t="n">
        <v>3.223724296503</v>
      </c>
      <c r="Q30" s="1178" t="n"/>
      <c r="S30" s="1189" t="n">
        <v>1602557.37694143</v>
      </c>
      <c r="T30" s="1189" t="n">
        <v>277544.59</v>
      </c>
      <c r="U30" s="1189" t="n"/>
      <c r="V30" s="1190">
        <f>S30-T67+U30</f>
        <v/>
      </c>
      <c r="W30" s="1190" t="inlineStr">
        <is>
          <t>No PIK after Q4 2024</t>
        </is>
      </c>
      <c r="Y30" s="759" t="n">
        <v>1</v>
      </c>
      <c r="Z30" s="759" t="n">
        <v>1</v>
      </c>
      <c r="AA30" s="760">
        <f>AVERAGE(Y30:Z30)</f>
        <v/>
      </c>
    </row>
    <row r="31" customFormat="1" s="212">
      <c r="A31" s="10">
        <f>IF(VLOOKUP(B31,Portfolio!$B$9:$V$49,21,FALSE)=0,"No","Yes")</f>
        <v/>
      </c>
      <c r="B31" s="658" t="inlineStr">
        <is>
          <t>Swyft Filings</t>
        </is>
      </c>
      <c r="C31" s="1183" t="inlineStr">
        <is>
          <t>Last Out</t>
        </is>
      </c>
      <c r="D31" s="1184">
        <f>V31</f>
        <v/>
      </c>
      <c r="E31" s="1185">
        <f>IFERROR(D31*AA31,D31)</f>
        <v/>
      </c>
      <c r="F31" s="1186" t="n">
        <v>53460000</v>
      </c>
      <c r="G31" s="1186" t="n">
        <v>18618569</v>
      </c>
      <c r="H31" s="1186" t="n">
        <v>0</v>
      </c>
      <c r="I31" s="1186" t="n">
        <v>0</v>
      </c>
      <c r="J31" s="1186" t="n">
        <v>52311633.99142238</v>
      </c>
      <c r="K31" s="1186" t="n">
        <v>21620241.96589513</v>
      </c>
      <c r="L31" s="1186" t="n">
        <v>8928000</v>
      </c>
      <c r="M31" s="1187">
        <f>IF(SUM(H31:K31,-L31)/G31&lt;0,"N/M",SUM(H31:K31,-L31)/G31)</f>
        <v/>
      </c>
      <c r="N31" s="1187">
        <f>IF(G31&lt;0,"N/A",IFERROR(((SUM(H31:I31))-L31)/G31,0))</f>
        <v/>
      </c>
      <c r="O31" s="1188" t="n">
        <v>2.732253365559</v>
      </c>
      <c r="Q31" s="1178" t="n"/>
      <c r="S31" s="1189" t="n">
        <v>3969730.380520572</v>
      </c>
      <c r="U31" s="1189" t="n"/>
      <c r="V31" s="1190">
        <f>S31-T30+U31</f>
        <v/>
      </c>
      <c r="W31" s="1190" t="n"/>
      <c r="Y31" s="759" t="n">
        <v>0.9554355928002812</v>
      </c>
      <c r="Z31" s="759" t="n">
        <v>0.9927646000859551</v>
      </c>
      <c r="AA31" s="760">
        <f>AVERAGE(Y31:Z31)</f>
        <v/>
      </c>
    </row>
    <row r="32" customFormat="1" s="212">
      <c r="A32" s="10">
        <f>IF(VLOOKUP(B32,Portfolio!$B$9:$V$49,21,FALSE)=0,"No","Yes")</f>
        <v/>
      </c>
      <c r="B32" s="658" t="inlineStr">
        <is>
          <t>Texas Contract Manufacturing Group</t>
        </is>
      </c>
      <c r="C32" s="1183" t="inlineStr">
        <is>
          <t>First Lien</t>
        </is>
      </c>
      <c r="D32" s="1184">
        <f>V32</f>
        <v/>
      </c>
      <c r="E32" s="1185">
        <f>IFERROR(D32*AA32,D32)</f>
        <v/>
      </c>
      <c r="F32" s="1186" t="n">
        <v>21612406.6</v>
      </c>
      <c r="G32" s="1186" t="n">
        <v>2116919.919999999</v>
      </c>
      <c r="H32" s="1186" t="n">
        <v>0</v>
      </c>
      <c r="I32" s="1186" t="n">
        <v>559000</v>
      </c>
      <c r="J32" s="1186" t="n">
        <v>235875.0000000093</v>
      </c>
      <c r="K32" s="1186" t="n">
        <v>13899155.27214514</v>
      </c>
      <c r="L32" s="1186" t="n">
        <v>1278666.98</v>
      </c>
      <c r="M32" s="1187">
        <f>IF(SUM(H32:K32,-L32)/G32&lt;0,"N/M",SUM(H32:K32,-L32)/G32)</f>
        <v/>
      </c>
      <c r="N32" s="1187">
        <f>IF(G32&lt;0,"N/A",IFERROR(((SUM(H32:I32))-L32)/G32,0))</f>
        <v/>
      </c>
      <c r="O32" s="1188" t="n">
        <v>0.925499024558</v>
      </c>
      <c r="Q32" s="1178" t="n"/>
      <c r="S32" s="1189" t="n">
        <v>4483598.47720024</v>
      </c>
      <c r="T32" s="1189" t="n"/>
      <c r="U32" s="1189" t="n"/>
      <c r="V32" s="1190">
        <f>S32-T32+U32</f>
        <v/>
      </c>
      <c r="W32" s="1190" t="n"/>
      <c r="Y32" s="759" t="n">
        <v>0.8233</v>
      </c>
      <c r="Z32" s="759" t="n">
        <v>0.8633</v>
      </c>
      <c r="AA32" s="760">
        <f>AVERAGE(Y32:Z32)</f>
        <v/>
      </c>
    </row>
    <row r="33" customFormat="1" s="212">
      <c r="A33" s="10">
        <f>IF(VLOOKUP(B33,Portfolio!$B$9:$V$49,21,FALSE)=0,"No","Yes")</f>
        <v/>
      </c>
      <c r="B33" s="658" t="inlineStr">
        <is>
          <t>HighStar Traffic</t>
        </is>
      </c>
      <c r="C33" s="1183" t="inlineStr">
        <is>
          <t>First Lien</t>
        </is>
      </c>
      <c r="D33" s="1184">
        <f>V33</f>
        <v/>
      </c>
      <c r="E33" s="1185">
        <f>IFERROR(D33*AA33,D33)</f>
        <v/>
      </c>
      <c r="F33" s="1186" t="n">
        <v>121623000</v>
      </c>
      <c r="G33" s="1186" t="n">
        <v>17236000</v>
      </c>
      <c r="H33" s="1186" t="n">
        <v>16737000</v>
      </c>
      <c r="I33" s="1186" t="n">
        <v>0</v>
      </c>
      <c r="J33" s="1186" t="n">
        <v>0</v>
      </c>
      <c r="K33" s="1186" t="n">
        <v>86832457.5739857</v>
      </c>
      <c r="L33" s="1186" t="n">
        <v>350000</v>
      </c>
      <c r="M33" s="1187">
        <f>IF(SUM(H33:K33,-L33)/G33&lt;0,"N/M",SUM(H33:K33,-L33)/G33)</f>
        <v/>
      </c>
      <c r="N33" s="1187">
        <f>IF(G33&lt;0,"N/A",IFERROR(((SUM(H33:I33))-L33)/G33,0))</f>
        <v/>
      </c>
      <c r="O33" s="1188" t="n">
        <v>0</v>
      </c>
      <c r="Q33" s="1178" t="n"/>
      <c r="S33" s="1189" t="n">
        <v>9984614.350985911</v>
      </c>
      <c r="T33" s="1189" t="n"/>
      <c r="U33" s="1189" t="n"/>
      <c r="V33" s="1190">
        <f>S33-T33+U33</f>
        <v/>
      </c>
      <c r="W33" s="1190" t="n"/>
      <c r="Y33" s="759" t="n">
        <v>0.9269000000000001</v>
      </c>
      <c r="Z33" s="759" t="n">
        <v>0.9869000000000001</v>
      </c>
      <c r="AA33" s="760">
        <f>AVERAGE(Y33:Z33)</f>
        <v/>
      </c>
    </row>
    <row r="34" customFormat="1" s="212">
      <c r="A34" s="10">
        <f>IF(VLOOKUP(B34,Portfolio!$B$9:$V$49,21,FALSE)=0,"No","Yes")</f>
        <v/>
      </c>
      <c r="B34" s="658" t="inlineStr">
        <is>
          <t>Trailer Park Group</t>
        </is>
      </c>
      <c r="C34" s="1183" t="inlineStr">
        <is>
          <t>Last Out</t>
        </is>
      </c>
      <c r="D34" s="1184">
        <f>V34</f>
        <v/>
      </c>
      <c r="E34" s="1185">
        <f>IFERROR(D34*AA34,D34)</f>
        <v/>
      </c>
      <c r="F34" s="1186" t="n">
        <v>131351280.847479</v>
      </c>
      <c r="G34" s="1186" t="n">
        <v>14248469.93711837</v>
      </c>
      <c r="H34" s="1186" t="n">
        <v>3250000</v>
      </c>
      <c r="I34" s="1186" t="n">
        <v>22293555.8251421</v>
      </c>
      <c r="J34" s="1186" t="n">
        <v>0</v>
      </c>
      <c r="K34" s="1186" t="n">
        <v>69055417.38801569</v>
      </c>
      <c r="L34" s="1186" t="n">
        <v>4880330.873617001</v>
      </c>
      <c r="M34" s="1187">
        <f>IF(SUM(H34:K34,-L34)/G34&lt;0,"N/M",SUM(H34:K34,-L34)/G34)</f>
        <v/>
      </c>
      <c r="N34" s="1187">
        <f>IF(G34&lt;0,"N/A",IFERROR(((SUM(H34:I34))-L34)/G34,0))</f>
        <v/>
      </c>
      <c r="O34" s="1188" t="n">
        <v>1.296388221868</v>
      </c>
      <c r="Q34" s="1178" t="n"/>
      <c r="S34" s="1189" t="n">
        <v>14943177.1629641</v>
      </c>
      <c r="T34" s="1189" t="n">
        <v>564406.89</v>
      </c>
      <c r="U34" s="1189" t="n"/>
      <c r="V34" s="1190">
        <f>S34-T34+U34</f>
        <v/>
      </c>
      <c r="W34" s="1190" t="inlineStr">
        <is>
          <t>PIK Monthly and Quarterly after Q2 2025</t>
        </is>
      </c>
      <c r="Y34" s="759" t="n">
        <v>0.9183</v>
      </c>
      <c r="Z34" s="759" t="n">
        <v>0.9467999999999999</v>
      </c>
      <c r="AA34" s="760">
        <f>AVERAGE(Y34:Z34)</f>
        <v/>
      </c>
    </row>
    <row r="35" customFormat="1" s="212">
      <c r="A35" s="10">
        <f>IF(VLOOKUP(B35,Portfolio!$B$9:$V$49,21,FALSE)=0,"No","Yes")</f>
        <v/>
      </c>
      <c r="B35" s="658" t="inlineStr">
        <is>
          <t>Uncle John's Pride</t>
        </is>
      </c>
      <c r="C35" s="1183" t="inlineStr">
        <is>
          <t>First Lien</t>
        </is>
      </c>
      <c r="D35" s="1184">
        <f>V35</f>
        <v/>
      </c>
      <c r="E35" s="1185">
        <f>IFERROR(D35*AA35,D35)</f>
        <v/>
      </c>
      <c r="F35" s="1186" t="n">
        <v>73264089.41</v>
      </c>
      <c r="G35" s="1186" t="n">
        <v>15367852.49</v>
      </c>
      <c r="H35" s="1186" t="n">
        <v>2900000</v>
      </c>
      <c r="I35" s="1186" t="n">
        <v>0</v>
      </c>
      <c r="J35" s="1186" t="n">
        <v>29936564.32737854</v>
      </c>
      <c r="K35" s="1186" t="n">
        <v>23080663.15078816</v>
      </c>
      <c r="L35" s="1186" t="n">
        <v>525575.45</v>
      </c>
      <c r="M35" s="1187">
        <f>IF(SUM(H35:K35,-L35)/G35&lt;0,"N/M",SUM(H35:K35,-L35)/G35)</f>
        <v/>
      </c>
      <c r="N35" s="1187">
        <f>IF(G35&lt;0,"N/A",IFERROR(((SUM(H35:I35))-L35)/G35,0))</f>
        <v/>
      </c>
      <c r="O35" s="1188" t="n">
        <v>2.42</v>
      </c>
      <c r="Q35" s="1178" t="n"/>
      <c r="S35" s="1189" t="n">
        <v>6875091.15450957</v>
      </c>
      <c r="T35" s="1189" t="n">
        <v>9138.475180833333</v>
      </c>
      <c r="U35" s="1189" t="n"/>
      <c r="V35" s="1190">
        <f>S35-T35+U35</f>
        <v/>
      </c>
      <c r="W35" s="1190" t="inlineStr">
        <is>
          <t>No PIK after Q4 2022</t>
        </is>
      </c>
      <c r="Y35" s="759" t="n">
        <v>0.9903999999999999</v>
      </c>
      <c r="Z35" s="759" t="n">
        <v>1.01</v>
      </c>
      <c r="AA35" s="760">
        <f>AVERAGE(Y35:Z35)</f>
        <v/>
      </c>
    </row>
    <row r="36" customFormat="1" s="212">
      <c r="A36" s="10">
        <f>IF(VLOOKUP(B36,Portfolio!$B$9:$V$49,21,FALSE)=0,"No","Yes")</f>
        <v/>
      </c>
      <c r="B36" s="658" t="inlineStr">
        <is>
          <t>USBid Inc.</t>
        </is>
      </c>
      <c r="C36" s="1183" t="inlineStr">
        <is>
          <t>Last Out</t>
        </is>
      </c>
      <c r="D36" s="1184">
        <f>V36</f>
        <v/>
      </c>
      <c r="E36" s="1185">
        <f>IFERROR(D36*AA36,D36)</f>
        <v/>
      </c>
      <c r="F36" s="1186" t="n">
        <v>22167788.35</v>
      </c>
      <c r="G36" s="1186" t="n">
        <v>2002898.310000001</v>
      </c>
      <c r="H36" s="1186" t="n">
        <v>0</v>
      </c>
      <c r="I36" s="1186" t="n">
        <v>3470760.23</v>
      </c>
      <c r="J36" s="1186" t="n">
        <v>0</v>
      </c>
      <c r="K36" s="1186" t="n">
        <v>11301532.27599408</v>
      </c>
      <c r="L36" s="1186" t="n">
        <v>2247537.48</v>
      </c>
      <c r="M36" s="1187">
        <f>IF(SUM(H36:K36,-L36)/G36&lt;0,"N/M",SUM(H36:K36,-L36)/G36)</f>
        <v/>
      </c>
      <c r="N36" s="1187">
        <f>IF(G36&lt;0,"N/A",IFERROR(((SUM(H36:I36))-L36)/G36,0))</f>
        <v/>
      </c>
      <c r="O36" s="1188" t="n">
        <v>4.34</v>
      </c>
      <c r="Q36" s="1178" t="n"/>
      <c r="S36" s="1189" t="n">
        <v>2648796.62735982</v>
      </c>
      <c r="T36" s="1189" t="n">
        <v>299187.25</v>
      </c>
      <c r="U36" s="1189" t="n"/>
      <c r="V36" s="1190">
        <f>S36-T36+U36</f>
        <v/>
      </c>
      <c r="W36" s="1190" t="inlineStr">
        <is>
          <t>No PIK after Q4 2024 - Review</t>
        </is>
      </c>
      <c r="Y36" s="759" t="n">
        <v>0.9764</v>
      </c>
      <c r="Z36" s="759" t="n">
        <v>1.0329</v>
      </c>
      <c r="AA36" s="760">
        <f>AVERAGE(Y36:Z36)</f>
        <v/>
      </c>
    </row>
    <row r="37" customFormat="1" s="212">
      <c r="A37" s="10">
        <f>IF(VLOOKUP(B37,Portfolio!$B$9:$V$49,21,FALSE)=0,"No","Yes")</f>
        <v/>
      </c>
      <c r="B37" s="658" t="inlineStr">
        <is>
          <t>Vertical Mechanical Group</t>
        </is>
      </c>
      <c r="C37" s="1183" t="inlineStr">
        <is>
          <t>Last Out</t>
        </is>
      </c>
      <c r="D37" s="1184">
        <f>V37</f>
        <v/>
      </c>
      <c r="E37" s="1185">
        <f>IFERROR(D37*AA37,D37)</f>
        <v/>
      </c>
      <c r="F37" s="1186" t="n">
        <v>177540395.6450498</v>
      </c>
      <c r="G37" s="1186" t="n">
        <v>20850241.08999998</v>
      </c>
      <c r="H37" s="1186" t="n">
        <v>10784533.58</v>
      </c>
      <c r="I37" s="1186" t="n">
        <v>11200875</v>
      </c>
      <c r="J37" s="1186" t="n">
        <v>0</v>
      </c>
      <c r="K37" s="1186" t="n">
        <v>32129999.99499997</v>
      </c>
      <c r="L37" s="1186" t="n">
        <v>1118763.95</v>
      </c>
      <c r="M37" s="1187">
        <f>IF(SUM(H37:K37,-L37)/G37&lt;0,"N/M",SUM(H37:K37,-L37)/G37)</f>
        <v/>
      </c>
      <c r="N37" s="1187">
        <f>IF(G37&lt;0,"N/A",IFERROR(((SUM(H37:I37))-L37)/G37,0))</f>
        <v/>
      </c>
      <c r="O37" s="1188" t="n">
        <v>3.207399046229</v>
      </c>
      <c r="Q37" s="1178" t="n"/>
      <c r="S37" s="1189" t="n">
        <v>9179999.994136769</v>
      </c>
      <c r="T37" s="1189" t="n"/>
      <c r="U37" s="1189" t="n">
        <v>2857142.86</v>
      </c>
      <c r="V37" s="1190">
        <f>S37-T37+U37</f>
        <v/>
      </c>
      <c r="W37" s="1190" t="n"/>
      <c r="Y37" s="759" t="n">
        <v>0.9474</v>
      </c>
      <c r="Z37" s="759" t="n">
        <v>1.0022</v>
      </c>
      <c r="AA37" s="760">
        <f>AVERAGE(Y37:Z37)</f>
        <v/>
      </c>
    </row>
    <row r="38" customFormat="1" s="212">
      <c r="A38" s="10">
        <f>IF(VLOOKUP(B38,Portfolio!$B$9:$V$49,21,FALSE)=0,"No","Yes")</f>
        <v/>
      </c>
      <c r="B38" s="658" t="inlineStr">
        <is>
          <t>PQT Ayaquhs</t>
        </is>
      </c>
      <c r="C38" s="1183" t="inlineStr">
        <is>
          <t>Last Out</t>
        </is>
      </c>
      <c r="D38" s="1184">
        <f>V38</f>
        <v/>
      </c>
      <c r="E38" s="1185">
        <f>IFERROR(D38*AA38,D38)</f>
        <v/>
      </c>
      <c r="F38" s="1186" t="n">
        <v>120064639.84</v>
      </c>
      <c r="G38" s="1186" t="n">
        <v>17031461.51666666</v>
      </c>
      <c r="H38" s="1186" t="n">
        <v>0</v>
      </c>
      <c r="I38" s="1186" t="n">
        <v>8918668.56882916</v>
      </c>
      <c r="J38" s="1186" t="n">
        <v>0</v>
      </c>
      <c r="K38" s="1186" t="n">
        <v>10656690.80562587</v>
      </c>
      <c r="L38" s="1186" t="n">
        <v>14580118</v>
      </c>
      <c r="M38" s="1187">
        <f>IF(SUM(H38:K38,-L38)/G38&lt;0,"N/M",SUM(H38:K38,-L38)/G38)</f>
        <v/>
      </c>
      <c r="N38" s="1187">
        <f>IF(G38&lt;0,"N/A",IFERROR(((SUM(H38:I38))-L38)/G38,0))</f>
        <v/>
      </c>
      <c r="O38" s="1188" t="n">
        <v>5.917949030263</v>
      </c>
      <c r="Q38" s="1178" t="n"/>
      <c r="S38" s="1189" t="n">
        <v>3437642.19561871</v>
      </c>
      <c r="T38" s="1189" t="n"/>
      <c r="U38" s="1189" t="n"/>
      <c r="V38" s="1190">
        <f>S38-T38+U38</f>
        <v/>
      </c>
      <c r="W38" s="1190" t="n"/>
      <c r="Y38" s="759" t="n">
        <v>0.969</v>
      </c>
      <c r="Z38" s="759" t="n">
        <v>1</v>
      </c>
      <c r="AA38" s="760">
        <f>AVERAGE(Y38:Z38)</f>
        <v/>
      </c>
    </row>
    <row r="39" customFormat="1" s="212">
      <c r="A39" s="10">
        <f>IF(VLOOKUP(B39,Portfolio!$B$9:$V$49,21,FALSE)=0,"No","Yes")</f>
        <v/>
      </c>
      <c r="B39" s="658" t="inlineStr">
        <is>
          <t>Kelso Industries</t>
        </is>
      </c>
      <c r="C39" s="1183" t="inlineStr">
        <is>
          <t>First Lien</t>
        </is>
      </c>
      <c r="D39" s="1184">
        <f>V39</f>
        <v/>
      </c>
      <c r="E39" s="1185">
        <f>IFERROR(D39*AA39,D39)</f>
        <v/>
      </c>
      <c r="F39" s="1186" t="n">
        <v>1224036789</v>
      </c>
      <c r="G39" s="1186" t="n">
        <v>111097629</v>
      </c>
      <c r="H39" s="1186" t="n">
        <v>0</v>
      </c>
      <c r="I39" s="1186" t="n">
        <v>79906146.19337501</v>
      </c>
      <c r="J39" s="1186" t="n">
        <v>309840590.2766875</v>
      </c>
      <c r="K39" s="1186" t="n">
        <v>11521146.1944375</v>
      </c>
      <c r="L39" s="1186" t="n">
        <v>30058384</v>
      </c>
      <c r="M39" s="1187">
        <f>IF(SUM(H39:K39,-L39)/G39&lt;0,"N/M",SUM(H39:K39,-L39)/G39)</f>
        <v/>
      </c>
      <c r="N39" s="1187">
        <f>IF(G39&lt;0,"N/A",IFERROR(((SUM(H39:I39))-L39)/G39,0))</f>
        <v/>
      </c>
      <c r="O39" s="1188" t="n">
        <v>2.863012876711</v>
      </c>
      <c r="Q39" s="1178" t="n"/>
      <c r="S39" s="1189" t="n">
        <v>10875259.9744375</v>
      </c>
      <c r="T39" s="1189" t="n"/>
      <c r="U39" s="1189" t="n">
        <v>999555</v>
      </c>
      <c r="V39" s="1190">
        <f>S39-T39+U39</f>
        <v/>
      </c>
      <c r="W39" s="1190" t="n"/>
      <c r="Y39" s="759" t="n">
        <v>0.9855999999999999</v>
      </c>
      <c r="Z39" s="759" t="n">
        <v>1.0091</v>
      </c>
      <c r="AA39" s="760">
        <f>AVERAGE(Y39:Z39)</f>
        <v/>
      </c>
    </row>
    <row r="40" customFormat="1" s="212">
      <c r="A40" s="10">
        <f>IF(VLOOKUP(B40,Portfolio!$B$9:$V$49,21,FALSE)=0,"No","Yes")</f>
        <v/>
      </c>
      <c r="B40" s="658" t="inlineStr">
        <is>
          <t>Ambient Enterprises</t>
        </is>
      </c>
      <c r="C40" s="1183" t="inlineStr">
        <is>
          <t>First Lien</t>
        </is>
      </c>
      <c r="D40" s="1184">
        <f>V40</f>
        <v/>
      </c>
      <c r="E40" s="1185">
        <f>IFERROR(D40*AA40,D40)</f>
        <v/>
      </c>
      <c r="F40" s="1186" t="n">
        <v>1601818000</v>
      </c>
      <c r="G40" s="1186" t="n">
        <v>151990000</v>
      </c>
      <c r="H40" s="1186" t="n">
        <v>39047507.00000001</v>
      </c>
      <c r="I40" s="1186" t="n">
        <v>2931996</v>
      </c>
      <c r="J40" s="1186" t="n">
        <v>610227543.4296372</v>
      </c>
      <c r="K40" s="1186" t="n">
        <v>10048145.2811747</v>
      </c>
      <c r="L40" s="1186" t="n">
        <v>64935000</v>
      </c>
      <c r="M40" s="1187">
        <f>IF(SUM(H40:K40,-L40)/G40&lt;0,"N/M",SUM(H40:K40,-L40)/G40)</f>
        <v/>
      </c>
      <c r="N40" s="1187">
        <f>IF(G40&lt;0,"N/A",IFERROR(((SUM(H40:I40))-L40)/G40,0))</f>
        <v/>
      </c>
      <c r="O40" s="1188" t="n">
        <v>2.366049303721</v>
      </c>
      <c r="Q40" s="1178" t="n"/>
      <c r="S40" s="1189" t="n">
        <v>10048145.2811747</v>
      </c>
      <c r="T40" s="1189" t="n"/>
      <c r="U40" s="1189" t="n">
        <v>419251.61</v>
      </c>
      <c r="V40" s="1190">
        <f>S40-T40+U40</f>
        <v/>
      </c>
      <c r="W40" s="1190" t="n"/>
      <c r="Y40" s="759" t="n">
        <v>0.9941000000000001</v>
      </c>
      <c r="Z40" s="759" t="n">
        <v>1.01</v>
      </c>
      <c r="AA40" s="760">
        <f>AVERAGE(Y40:Z40)</f>
        <v/>
      </c>
    </row>
    <row r="41" customFormat="1" s="212">
      <c r="A41" s="10">
        <f>IF(VLOOKUP(B41,Portfolio!$B$9:$V$49,21,FALSE)=0,"No","Yes")</f>
        <v/>
      </c>
      <c r="B41" s="658" t="inlineStr">
        <is>
          <t>Versar</t>
        </is>
      </c>
      <c r="C41" s="1183" t="inlineStr">
        <is>
          <t>Last Out</t>
        </is>
      </c>
      <c r="D41" s="1184">
        <f>V41</f>
        <v/>
      </c>
      <c r="E41" s="1185">
        <f>IFERROR(D41*AA41,D41)</f>
        <v/>
      </c>
      <c r="F41" s="1186" t="n">
        <v>185999459.39</v>
      </c>
      <c r="G41" s="1186" t="n">
        <v>25524711.34932549</v>
      </c>
      <c r="H41" s="1186" t="n">
        <v>22000000</v>
      </c>
      <c r="I41" s="1186" t="n">
        <v>6750000</v>
      </c>
      <c r="J41" s="1186" t="n">
        <v>0</v>
      </c>
      <c r="K41" s="1186" t="n">
        <v>45000000</v>
      </c>
      <c r="L41" s="1186" t="n">
        <v>4373795</v>
      </c>
      <c r="M41" s="1187">
        <f>IF(SUM(H41:K41,-L41)/G41&lt;0,"N/M",SUM(H41:K41,-L41)/G41)</f>
        <v/>
      </c>
      <c r="N41" s="1187">
        <f>IF(G41&lt;0,"N/A",IFERROR(((SUM(H41:I41))-L41)/G41,0))</f>
        <v/>
      </c>
      <c r="O41" s="1188" t="n">
        <v>2.44</v>
      </c>
      <c r="Q41" s="1178" t="n"/>
      <c r="S41" s="1189" t="n">
        <v>10000000</v>
      </c>
      <c r="T41" s="1189" t="n"/>
      <c r="U41" s="1189" t="n"/>
      <c r="V41" s="1190">
        <f>S41-T41+U41</f>
        <v/>
      </c>
      <c r="W41" s="1190" t="n"/>
      <c r="Y41" s="759" t="n">
        <v>0.9943</v>
      </c>
      <c r="Z41" s="759" t="n">
        <v>1.01</v>
      </c>
      <c r="AA41" s="760">
        <f>AVERAGE(Y41:Z41)</f>
        <v/>
      </c>
    </row>
    <row r="42" customFormat="1" s="212">
      <c r="A42" s="10">
        <f>IF(VLOOKUP(B42,Portfolio!$B$9:$V$49,21,FALSE)=0,"No","Yes")</f>
        <v/>
      </c>
      <c r="B42" s="658" t="inlineStr">
        <is>
          <t>Built by Grid, LLC</t>
        </is>
      </c>
      <c r="C42" s="1183" t="inlineStr">
        <is>
          <t>Last Out</t>
        </is>
      </c>
      <c r="D42" s="1184">
        <f>V42</f>
        <v/>
      </c>
      <c r="E42" s="1185">
        <f>IFERROR(D42*AA42,D42)</f>
        <v/>
      </c>
      <c r="F42" s="1186" t="n">
        <v>50100000</v>
      </c>
      <c r="G42" s="1186" t="n">
        <v>11600000</v>
      </c>
      <c r="H42" s="1186" t="n">
        <v>0</v>
      </c>
      <c r="I42" s="1186" t="n">
        <v>10000000</v>
      </c>
      <c r="J42" s="1186" t="n">
        <v>0</v>
      </c>
      <c r="K42" s="1186" t="n">
        <v>15000000</v>
      </c>
      <c r="L42" s="1186" t="n">
        <v>2058000</v>
      </c>
      <c r="M42" s="1187">
        <f>IF(SUM(H42:K42,-L42)/G42&lt;0,"N/M",SUM(H42:K42,-L42)/G42)</f>
        <v/>
      </c>
      <c r="N42" s="1187">
        <f>IF(G42&lt;0,"N/A",IFERROR(((SUM(H42:I42))-L42)/G42,0))</f>
        <v/>
      </c>
      <c r="O42" s="1192" t="n">
        <v>1.74</v>
      </c>
      <c r="Q42" s="1178" t="n"/>
      <c r="S42" s="1189" t="n"/>
      <c r="T42" s="1189" t="n"/>
      <c r="U42" s="1189" t="n">
        <v>1883560.996969255</v>
      </c>
      <c r="V42" s="1190">
        <f>S42-T42+U42</f>
        <v/>
      </c>
      <c r="W42" s="1190" t="n"/>
      <c r="Y42" s="759" t="n">
        <v>1</v>
      </c>
      <c r="Z42" s="759" t="n">
        <v>1</v>
      </c>
      <c r="AA42" s="760">
        <f>AVERAGE(Y42:Z42)</f>
        <v/>
      </c>
    </row>
    <row r="43" customFormat="1" s="794">
      <c r="A43" s="786" t="n"/>
      <c r="B43" s="787" t="n"/>
      <c r="C43" s="1193" t="n"/>
      <c r="D43" s="1194" t="n"/>
      <c r="E43" s="1195" t="n"/>
      <c r="F43" s="1196" t="n"/>
      <c r="G43" s="1196" t="n"/>
      <c r="H43" s="1196" t="n"/>
      <c r="I43" s="1196" t="n"/>
      <c r="J43" s="1196" t="n"/>
      <c r="K43" s="1196" t="n"/>
      <c r="L43" s="1196" t="n"/>
      <c r="M43" s="1197" t="n"/>
      <c r="N43" s="1197" t="n"/>
      <c r="O43" s="1198" t="n"/>
      <c r="Q43" s="1199" t="n"/>
      <c r="R43" s="796" t="n"/>
      <c r="S43" s="1200" t="n"/>
      <c r="T43" s="1200" t="n"/>
      <c r="U43" s="1200" t="n"/>
      <c r="V43" s="1190">
        <f>S43-T43+U43</f>
        <v/>
      </c>
      <c r="W43" s="1201" t="n"/>
      <c r="Y43" s="799" t="n"/>
      <c r="Z43" s="799" t="n"/>
      <c r="AA43" s="800" t="n"/>
    </row>
    <row r="44" customFormat="1" s="794">
      <c r="A44" s="786" t="n"/>
      <c r="B44" s="787" t="n"/>
      <c r="C44" s="1193" t="n"/>
      <c r="D44" s="1194" t="n"/>
      <c r="E44" s="1195" t="n"/>
      <c r="F44" s="1196" t="n"/>
      <c r="G44" s="1196" t="n"/>
      <c r="H44" s="1196" t="n"/>
      <c r="I44" s="1196" t="n"/>
      <c r="J44" s="1196" t="n"/>
      <c r="K44" s="1196" t="n"/>
      <c r="L44" s="1196" t="n"/>
      <c r="M44" s="1197" t="n"/>
      <c r="N44" s="1197" t="n"/>
      <c r="O44" s="1198" t="n"/>
      <c r="Q44" s="1199" t="n"/>
      <c r="R44" s="796" t="n"/>
      <c r="S44" s="1200" t="n"/>
      <c r="T44" s="1200" t="n"/>
      <c r="U44" s="1200" t="n"/>
      <c r="V44" s="1190">
        <f>S44-T44+U44</f>
        <v/>
      </c>
      <c r="W44" s="1201" t="n"/>
      <c r="Y44" s="799" t="n"/>
      <c r="Z44" s="799" t="n"/>
      <c r="AA44" s="800" t="n"/>
    </row>
    <row r="45" customFormat="1" s="794">
      <c r="A45" s="786" t="n"/>
      <c r="B45" s="787" t="n"/>
      <c r="C45" s="1193" t="n"/>
      <c r="D45" s="1194" t="n"/>
      <c r="E45" s="1195" t="n"/>
      <c r="F45" s="1196" t="n"/>
      <c r="G45" s="1196" t="n"/>
      <c r="H45" s="1196" t="n"/>
      <c r="I45" s="1196" t="n"/>
      <c r="J45" s="1196" t="n"/>
      <c r="K45" s="1196" t="n"/>
      <c r="L45" s="1196" t="n"/>
      <c r="M45" s="1197" t="n"/>
      <c r="N45" s="1197" t="n"/>
      <c r="O45" s="1198" t="n"/>
      <c r="Q45" s="1199" t="n"/>
      <c r="R45" s="796" t="n"/>
      <c r="S45" s="1200" t="n"/>
      <c r="T45" s="1200" t="n"/>
      <c r="U45" s="1200" t="n"/>
      <c r="V45" s="1190">
        <f>S45-T45+U45</f>
        <v/>
      </c>
      <c r="W45" s="1201" t="n"/>
      <c r="Y45" s="799" t="n"/>
      <c r="Z45" s="799" t="n"/>
      <c r="AA45" s="800" t="n"/>
    </row>
    <row r="46" customFormat="1" s="794">
      <c r="A46" s="786" t="n"/>
      <c r="B46" s="787" t="n"/>
      <c r="C46" s="1193" t="n"/>
      <c r="D46" s="1194" t="n"/>
      <c r="E46" s="1195" t="n"/>
      <c r="F46" s="1196" t="n"/>
      <c r="G46" s="1196" t="n"/>
      <c r="H46" s="1196" t="n"/>
      <c r="I46" s="1196" t="n"/>
      <c r="J46" s="1196" t="n"/>
      <c r="K46" s="1196" t="n"/>
      <c r="L46" s="1196" t="n"/>
      <c r="M46" s="1197" t="n"/>
      <c r="N46" s="1197" t="n"/>
      <c r="O46" s="1198" t="n"/>
      <c r="Q46" s="1199" t="n"/>
      <c r="R46" s="796" t="n"/>
      <c r="S46" s="1200" t="n"/>
      <c r="T46" s="1200" t="n"/>
      <c r="U46" s="1200" t="n"/>
      <c r="V46" s="1190">
        <f>S46-T46+U46</f>
        <v/>
      </c>
      <c r="W46" s="1201" t="n"/>
      <c r="Y46" s="799" t="n"/>
      <c r="Z46" s="799" t="n"/>
      <c r="AA46" s="800" t="n"/>
    </row>
    <row r="47" customFormat="1" s="794">
      <c r="A47" s="786" t="n"/>
      <c r="B47" s="787" t="n"/>
      <c r="C47" s="1193" t="n"/>
      <c r="D47" s="1194" t="n"/>
      <c r="E47" s="1195" t="n"/>
      <c r="F47" s="1196" t="n"/>
      <c r="G47" s="1196" t="n"/>
      <c r="H47" s="1196" t="n"/>
      <c r="I47" s="1196" t="n"/>
      <c r="J47" s="1196" t="n"/>
      <c r="K47" s="1196" t="n"/>
      <c r="L47" s="1196" t="n"/>
      <c r="M47" s="1197" t="n"/>
      <c r="N47" s="1197" t="n"/>
      <c r="O47" s="1198" t="n"/>
      <c r="Q47" s="1199" t="n"/>
      <c r="R47" s="796" t="n"/>
      <c r="S47" s="1200" t="n"/>
      <c r="T47" s="1200" t="n"/>
      <c r="U47" s="1200" t="n"/>
      <c r="V47" s="1190">
        <f>S47-T47+U47</f>
        <v/>
      </c>
      <c r="W47" s="1201" t="n"/>
      <c r="Y47" s="799" t="n"/>
      <c r="Z47" s="799" t="n"/>
      <c r="AA47" s="800" t="n"/>
    </row>
    <row r="48" customFormat="1" s="794">
      <c r="A48" s="786" t="n"/>
      <c r="B48" s="787" t="n"/>
      <c r="C48" s="1193" t="n"/>
      <c r="D48" s="1194" t="n"/>
      <c r="E48" s="1195" t="n"/>
      <c r="F48" s="1196" t="n"/>
      <c r="G48" s="1196" t="n"/>
      <c r="H48" s="1196" t="n"/>
      <c r="I48" s="1196" t="n"/>
      <c r="J48" s="1196" t="n"/>
      <c r="K48" s="1196" t="n"/>
      <c r="L48" s="1196" t="n"/>
      <c r="M48" s="1197" t="n"/>
      <c r="N48" s="1197" t="n"/>
      <c r="O48" s="1198" t="n"/>
      <c r="Q48" s="1199" t="n"/>
      <c r="R48" s="796" t="n"/>
      <c r="S48" s="1200" t="n"/>
      <c r="T48" s="1200" t="n"/>
      <c r="U48" s="1200" t="n"/>
      <c r="V48" s="1190">
        <f>S48-T48+U48</f>
        <v/>
      </c>
      <c r="W48" s="1201" t="n"/>
      <c r="Y48" s="799" t="n"/>
      <c r="Z48" s="799" t="n"/>
      <c r="AA48" s="800" t="n"/>
    </row>
    <row r="49" customFormat="1" s="794">
      <c r="A49" s="786" t="n"/>
      <c r="B49" s="787" t="n"/>
      <c r="C49" s="1193" t="n"/>
      <c r="D49" s="1194" t="n"/>
      <c r="E49" s="1195" t="n"/>
      <c r="F49" s="1196" t="n"/>
      <c r="G49" s="1196" t="n"/>
      <c r="H49" s="1196" t="n"/>
      <c r="I49" s="1196" t="n"/>
      <c r="J49" s="1196" t="n"/>
      <c r="K49" s="1196" t="n"/>
      <c r="L49" s="1196" t="n"/>
      <c r="M49" s="1197" t="n"/>
      <c r="N49" s="1197" t="n"/>
      <c r="O49" s="1198" t="n"/>
      <c r="Q49" s="1199" t="n"/>
      <c r="R49" s="796" t="n"/>
      <c r="S49" s="1200" t="n"/>
      <c r="T49" s="1200" t="n"/>
      <c r="U49" s="1200" t="n"/>
      <c r="V49" s="1190">
        <f>S49-T49+U49</f>
        <v/>
      </c>
      <c r="W49" s="1201" t="n"/>
      <c r="Y49" s="799" t="n"/>
      <c r="Z49" s="799" t="n"/>
      <c r="AA49" s="800" t="n"/>
    </row>
    <row r="50" customFormat="1" s="212">
      <c r="A50" s="10">
        <f>IF(VLOOKUP(B50,Portfolio!$B$9:$V$49,21,FALSE)=0,"No","Yes")</f>
        <v/>
      </c>
      <c r="B50" s="658" t="inlineStr">
        <is>
          <t>Kassel Mechanical</t>
        </is>
      </c>
      <c r="C50" s="1183" t="inlineStr">
        <is>
          <t>First Lien</t>
        </is>
      </c>
      <c r="D50" s="1184">
        <f>V50</f>
        <v/>
      </c>
      <c r="E50" s="1185">
        <f>IFERROR(D50*AA50,D50)</f>
        <v/>
      </c>
      <c r="F50" s="1186" t="n">
        <v>372115095.05</v>
      </c>
      <c r="G50" s="1186" t="n">
        <v>37950145.81000006</v>
      </c>
      <c r="H50" s="1186" t="n">
        <v>22658427</v>
      </c>
      <c r="I50" s="1186" t="n">
        <v>13798824</v>
      </c>
      <c r="J50" s="1186" t="n">
        <v>43189910.36272096</v>
      </c>
      <c r="K50" s="1186" t="n">
        <v>25047737.81768545</v>
      </c>
      <c r="L50" s="1186" t="n">
        <v>0</v>
      </c>
      <c r="M50" s="1187">
        <f>IF(SUM(H50:K50,-L50)/G50&lt;0,"N/M",SUM(H50:K50,-L50)/G50)</f>
        <v/>
      </c>
      <c r="N50" s="1187">
        <f>IF(G50&lt;0,"N/A",IFERROR(((SUM(H50:I50))-L50)/G50,0))</f>
        <v/>
      </c>
      <c r="O50" s="1188" t="n">
        <v>3.431737981366</v>
      </c>
      <c r="Q50" s="1178" t="n"/>
      <c r="S50" s="1189" t="n">
        <v>12399870.206775</v>
      </c>
      <c r="T50" s="1189" t="n">
        <v>71679.66779000001</v>
      </c>
      <c r="U50" s="1189" t="n"/>
      <c r="V50" s="1190">
        <f>S50-T50+U50</f>
        <v/>
      </c>
      <c r="W50" s="1190" t="n"/>
      <c r="Y50" s="759" t="n">
        <v>0.9721999999999998</v>
      </c>
      <c r="Z50" s="759" t="n">
        <v>1.0122</v>
      </c>
      <c r="AA50" s="760">
        <f>AVERAGE(Y50:Z50)</f>
        <v/>
      </c>
    </row>
    <row r="51" hidden="1" customFormat="1" s="212">
      <c r="A51">
        <f>IF(VLOOKUP(B51,Portfolio!$B$9:$V$60,21,FALSE)=0,"No","Yes")</f>
        <v/>
      </c>
      <c r="B51" s="658" t="inlineStr">
        <is>
          <t>Tech Solutions Inc</t>
        </is>
      </c>
      <c r="C51" s="1183" t="inlineStr">
        <is>
          <t>First Lien</t>
        </is>
      </c>
      <c r="D51" s="1184" t="n">
        <v>15000000</v>
      </c>
      <c r="E51" s="1185" t="n">
        <v>14700000</v>
      </c>
      <c r="F51" s="1202" t="n"/>
      <c r="G51" s="1202" t="n"/>
      <c r="H51" s="1202" t="n"/>
      <c r="I51" s="1202" t="n"/>
      <c r="J51" s="1202" t="n"/>
      <c r="K51" s="1202" t="n"/>
      <c r="L51" s="1202" t="n"/>
      <c r="M51" s="1187" t="n"/>
      <c r="N51" s="1187" t="n"/>
      <c r="O51" s="1203" t="n"/>
      <c r="R51" t="e">
        <v>#N/A</v>
      </c>
      <c r="S51" s="1189" t="n"/>
      <c r="T51" s="1189" t="n"/>
      <c r="U51" s="1189" t="n"/>
      <c r="V51" s="1190" t="n"/>
      <c r="W51" s="1190" t="n"/>
      <c r="Y51" s="759" t="n"/>
      <c r="Z51" s="759" t="n"/>
      <c r="AA51" s="717" t="n"/>
    </row>
    <row r="52" hidden="1" customFormat="1" s="212">
      <c r="A52">
        <f>IF(VLOOKUP(B52,Portfolio!$B$9:$V$60,21,FALSE)=0,"No","Yes")</f>
        <v/>
      </c>
      <c r="B52" s="658" t="inlineStr">
        <is>
          <t>Growth Capital LLC</t>
        </is>
      </c>
      <c r="C52" s="1183" t="inlineStr">
        <is>
          <t>FILO</t>
        </is>
      </c>
      <c r="D52" s="1184" t="n">
        <v>25000000</v>
      </c>
      <c r="E52" s="1185" t="n">
        <v>25000000</v>
      </c>
      <c r="F52" s="1202" t="n"/>
      <c r="G52" s="1202" t="n"/>
      <c r="H52" s="1202" t="n"/>
      <c r="I52" s="1202" t="n"/>
      <c r="J52" s="1202" t="n"/>
      <c r="K52" s="1202" t="n"/>
      <c r="L52" s="1202" t="n"/>
      <c r="M52" s="1187" t="n"/>
      <c r="N52" s="1187" t="n"/>
      <c r="O52" s="1203" t="n"/>
      <c r="R52" t="e">
        <v>#N/A</v>
      </c>
      <c r="S52" s="1189" t="n"/>
      <c r="T52" s="1189" t="n"/>
      <c r="U52" s="1189" t="n"/>
      <c r="V52" s="1190" t="n"/>
      <c r="W52" s="1190" t="n"/>
      <c r="Y52" s="759" t="n"/>
      <c r="Z52" s="759" t="n"/>
      <c r="AA52" s="717" t="n"/>
    </row>
    <row r="53" hidden="1" customFormat="1" s="212">
      <c r="A53">
        <f>IF(VLOOKUP(B53,Portfolio!$B$9:$V$60,21,FALSE)=0,"No","Yes")</f>
        <v/>
      </c>
      <c r="B53" s="658" t="inlineStr">
        <is>
          <t>Distressed Retail Co</t>
        </is>
      </c>
      <c r="C53" s="1183" t="inlineStr">
        <is>
          <t>First Lien</t>
        </is>
      </c>
      <c r="D53" s="1184" t="n">
        <v>10000000</v>
      </c>
      <c r="E53" s="1185" t="n">
        <v>7500000</v>
      </c>
      <c r="F53" s="1202" t="n"/>
      <c r="G53" s="1202" t="n"/>
      <c r="H53" s="1202" t="n"/>
      <c r="I53" s="1202" t="n"/>
      <c r="J53" s="1202" t="n"/>
      <c r="K53" s="1202" t="n"/>
      <c r="L53" s="1202" t="n"/>
      <c r="M53" s="1187" t="n"/>
      <c r="N53" s="1187" t="n"/>
      <c r="O53" s="1203" t="n"/>
      <c r="R53" t="e">
        <v>#N/A</v>
      </c>
      <c r="S53" s="1189" t="n"/>
      <c r="T53" s="1189" t="n"/>
      <c r="U53" s="1189" t="n"/>
      <c r="V53" s="1190" t="n"/>
      <c r="W53" s="1190" t="n"/>
      <c r="Y53" s="759" t="n"/>
      <c r="Z53" s="759" t="n"/>
      <c r="AA53" s="717" t="n"/>
    </row>
    <row r="54" hidden="1" customFormat="1" s="212">
      <c r="B54" s="658" t="n"/>
      <c r="C54" s="1183" t="n"/>
      <c r="D54" s="1184" t="n"/>
      <c r="E54" s="1185" t="n"/>
      <c r="F54" s="1202" t="n"/>
      <c r="G54" s="1202" t="n"/>
      <c r="H54" s="1202" t="n"/>
      <c r="I54" s="1202" t="n"/>
      <c r="J54" s="1202" t="n"/>
      <c r="K54" s="1202" t="n"/>
      <c r="L54" s="1202" t="n"/>
      <c r="M54" s="1187" t="n"/>
      <c r="N54" s="1187" t="n"/>
      <c r="O54" s="1203" t="n"/>
      <c r="R54" t="e">
        <v>#N/A</v>
      </c>
      <c r="S54" s="1189" t="n"/>
      <c r="T54" s="1189" t="n"/>
      <c r="U54" s="1189" t="n"/>
      <c r="V54" s="1190" t="n"/>
      <c r="W54" s="1190" t="n"/>
      <c r="Y54" s="759" t="n"/>
      <c r="Z54" s="759" t="n"/>
      <c r="AA54" s="717" t="n"/>
    </row>
    <row r="55" hidden="1" customFormat="1" s="212">
      <c r="B55" s="658" t="n"/>
      <c r="C55" s="1183" t="n"/>
      <c r="D55" s="1184" t="n"/>
      <c r="E55" s="1185" t="n"/>
      <c r="F55" s="1202" t="n"/>
      <c r="G55" s="1202" t="n"/>
      <c r="H55" s="1202" t="n"/>
      <c r="I55" s="1202" t="n"/>
      <c r="J55" s="1202" t="n"/>
      <c r="K55" s="1202" t="n"/>
      <c r="L55" s="1202" t="n"/>
      <c r="M55" s="1187" t="n"/>
      <c r="N55" s="1187" t="n"/>
      <c r="O55" s="1203" t="n"/>
      <c r="R55" t="e">
        <v>#N/A</v>
      </c>
      <c r="S55" s="1189" t="n"/>
      <c r="T55" s="1189" t="n"/>
      <c r="U55" s="1189" t="n"/>
      <c r="V55" s="1190" t="n"/>
      <c r="W55" s="1190" t="n"/>
      <c r="Y55" s="759" t="n"/>
      <c r="Z55" s="759" t="n"/>
      <c r="AA55" s="717" t="n"/>
    </row>
    <row r="56" hidden="1" customFormat="1" s="212">
      <c r="B56" s="658" t="n"/>
      <c r="C56" s="1183" t="n"/>
      <c r="D56" s="1184" t="n"/>
      <c r="E56" s="1185" t="n"/>
      <c r="F56" s="1202" t="n"/>
      <c r="G56" s="1202" t="n"/>
      <c r="H56" s="1202" t="n"/>
      <c r="I56" s="1202" t="n"/>
      <c r="J56" s="1202" t="n"/>
      <c r="K56" s="1202" t="n"/>
      <c r="L56" s="1202" t="n"/>
      <c r="M56" s="1187" t="n"/>
      <c r="N56" s="1187" t="n"/>
      <c r="O56" s="1203" t="n"/>
      <c r="R56" t="e">
        <v>#N/A</v>
      </c>
      <c r="S56" s="1189" t="n"/>
      <c r="T56" s="1189" t="n"/>
      <c r="U56" s="1189" t="n"/>
      <c r="V56" s="1190" t="n"/>
      <c r="W56" s="1190" t="n"/>
      <c r="Y56" s="759" t="n"/>
      <c r="Z56" s="759" t="n"/>
      <c r="AA56" s="717" t="n"/>
    </row>
    <row r="57" hidden="1" customFormat="1" s="212">
      <c r="B57" s="658" t="n"/>
      <c r="C57" s="1183" t="n"/>
      <c r="D57" s="1184" t="n"/>
      <c r="E57" s="1185" t="n"/>
      <c r="F57" s="1202" t="n"/>
      <c r="G57" s="1202" t="n"/>
      <c r="H57" s="1202" t="n"/>
      <c r="I57" s="1202" t="n"/>
      <c r="J57" s="1202" t="n"/>
      <c r="K57" s="1202" t="n"/>
      <c r="L57" s="1202" t="n"/>
      <c r="M57" s="1187" t="n"/>
      <c r="N57" s="1187" t="n"/>
      <c r="O57" s="1203" t="n"/>
      <c r="R57" t="e">
        <v>#N/A</v>
      </c>
      <c r="S57" s="1189" t="n"/>
      <c r="T57" s="1189" t="n"/>
      <c r="U57" s="1189" t="n"/>
      <c r="V57" s="1190" t="n"/>
      <c r="W57" s="1190" t="n"/>
      <c r="Y57" s="759" t="n"/>
      <c r="Z57" s="759" t="n"/>
      <c r="AA57" s="717" t="n"/>
    </row>
    <row r="58" hidden="1" customFormat="1" s="212">
      <c r="B58" s="658" t="n"/>
      <c r="C58" s="1183" t="n"/>
      <c r="D58" s="1184" t="n"/>
      <c r="E58" s="1185" t="n"/>
      <c r="F58" s="1202" t="n"/>
      <c r="G58" s="1202" t="n"/>
      <c r="H58" s="1202" t="n"/>
      <c r="I58" s="1202" t="n"/>
      <c r="J58" s="1202" t="n"/>
      <c r="K58" s="1202" t="n"/>
      <c r="L58" s="1202" t="n"/>
      <c r="M58" s="1187" t="n"/>
      <c r="N58" s="1187" t="n"/>
      <c r="O58" s="1203" t="n"/>
      <c r="R58" t="e">
        <v>#N/A</v>
      </c>
      <c r="S58" s="1189" t="n"/>
      <c r="T58" s="1189" t="n"/>
      <c r="U58" s="1189" t="n"/>
      <c r="V58" s="1190" t="n"/>
      <c r="W58" s="1190" t="n"/>
      <c r="Y58" s="759" t="n"/>
      <c r="Z58" s="759" t="n"/>
      <c r="AA58" s="717" t="n"/>
    </row>
    <row r="59" hidden="1" customFormat="1" s="212">
      <c r="B59" s="658" t="n"/>
      <c r="C59" s="1183" t="n"/>
      <c r="D59" s="1184" t="n"/>
      <c r="E59" s="1185" t="n"/>
      <c r="F59" s="1202" t="n"/>
      <c r="G59" s="1202" t="n"/>
      <c r="H59" s="1202" t="n"/>
      <c r="I59" s="1202" t="n"/>
      <c r="J59" s="1202" t="n"/>
      <c r="K59" s="1202" t="n"/>
      <c r="L59" s="1202" t="n"/>
      <c r="M59" s="1187" t="n"/>
      <c r="N59" s="1187" t="n"/>
      <c r="O59" s="1203" t="n"/>
      <c r="R59" t="e">
        <v>#N/A</v>
      </c>
      <c r="S59" s="1189" t="n"/>
      <c r="T59" s="1189" t="n"/>
      <c r="U59" s="1189" t="n"/>
      <c r="V59" s="1190" t="n"/>
      <c r="W59" s="1190" t="n"/>
      <c r="Y59" s="759" t="n"/>
      <c r="Z59" s="759" t="n"/>
      <c r="AA59" s="717" t="n"/>
    </row>
    <row r="60" hidden="1" customFormat="1" s="212">
      <c r="B60" s="658" t="n"/>
      <c r="C60" s="1183" t="n"/>
      <c r="D60" s="1184" t="n"/>
      <c r="E60" s="1185" t="n"/>
      <c r="F60" s="1202" t="n"/>
      <c r="G60" s="1202" t="n"/>
      <c r="H60" s="1202" t="n"/>
      <c r="I60" s="1202" t="n"/>
      <c r="J60" s="1202" t="n"/>
      <c r="K60" s="1202" t="n"/>
      <c r="L60" s="1202" t="n"/>
      <c r="M60" s="1187" t="n"/>
      <c r="N60" s="1187" t="n"/>
      <c r="O60" s="1203" t="n"/>
      <c r="R60" t="e">
        <v>#N/A</v>
      </c>
      <c r="S60" s="1189" t="n"/>
      <c r="T60" s="1189" t="n"/>
      <c r="U60" s="1189" t="n"/>
      <c r="V60" s="1190" t="n"/>
      <c r="W60" s="1190" t="n"/>
      <c r="Y60" s="759" t="n"/>
      <c r="Z60" s="759" t="n"/>
      <c r="AA60" s="717" t="n"/>
    </row>
    <row r="61" hidden="1" customFormat="1" s="212">
      <c r="B61" s="658" t="n"/>
      <c r="C61" s="1183" t="n"/>
      <c r="D61" s="1184" t="n"/>
      <c r="E61" s="1185" t="n"/>
      <c r="F61" s="1202" t="n"/>
      <c r="G61" s="1202" t="n"/>
      <c r="H61" s="1202" t="n"/>
      <c r="I61" s="1202" t="n"/>
      <c r="J61" s="1202" t="n"/>
      <c r="K61" s="1202" t="n"/>
      <c r="L61" s="1202" t="n"/>
      <c r="M61" s="1187" t="n"/>
      <c r="N61" s="1187" t="n"/>
      <c r="O61" s="1203" t="n"/>
      <c r="R61" t="e">
        <v>#N/A</v>
      </c>
      <c r="S61" s="1189" t="n"/>
      <c r="T61" s="1189" t="n"/>
      <c r="U61" s="1189" t="n"/>
      <c r="V61" s="1190" t="n"/>
      <c r="W61" s="1190" t="n"/>
      <c r="Y61" s="759" t="n"/>
      <c r="Z61" s="759" t="n"/>
      <c r="AA61" s="717" t="n"/>
    </row>
    <row r="62" hidden="1" customFormat="1" s="212">
      <c r="B62" s="658" t="n"/>
      <c r="C62" s="1183" t="n"/>
      <c r="D62" s="1184" t="n"/>
      <c r="E62" s="1185" t="n"/>
      <c r="F62" s="1202" t="n"/>
      <c r="G62" s="1202" t="n"/>
      <c r="H62" s="1202" t="n"/>
      <c r="I62" s="1202" t="n"/>
      <c r="J62" s="1202" t="n"/>
      <c r="K62" s="1202" t="n"/>
      <c r="L62" s="1202" t="n"/>
      <c r="M62" s="1187" t="n"/>
      <c r="N62" s="1187" t="n"/>
      <c r="O62" s="1203" t="n"/>
      <c r="R62" t="e">
        <v>#N/A</v>
      </c>
      <c r="S62" s="1189" t="n"/>
      <c r="T62" s="1189" t="n"/>
      <c r="U62" s="1189" t="n"/>
      <c r="V62" s="1190" t="n"/>
      <c r="W62" s="1190" t="n"/>
      <c r="Y62" s="759" t="n"/>
      <c r="Z62" s="759" t="n"/>
      <c r="AA62" s="717" t="n"/>
    </row>
    <row r="63" hidden="1" customFormat="1" s="212">
      <c r="B63" s="658" t="n"/>
      <c r="C63" s="1183" t="n"/>
      <c r="D63" s="1184" t="n"/>
      <c r="E63" s="1185" t="n"/>
      <c r="F63" s="1202" t="n"/>
      <c r="G63" s="1202" t="n"/>
      <c r="H63" s="1202" t="n"/>
      <c r="I63" s="1202" t="n"/>
      <c r="J63" s="1202" t="n"/>
      <c r="K63" s="1202" t="n"/>
      <c r="L63" s="1202" t="n"/>
      <c r="M63" s="1187" t="n"/>
      <c r="N63" s="1187" t="n"/>
      <c r="O63" s="1203" t="n"/>
      <c r="S63" s="1189" t="n"/>
      <c r="T63" s="1189" t="n"/>
      <c r="U63" s="1189" t="n"/>
      <c r="V63" s="1190" t="n"/>
      <c r="W63" s="1190" t="n"/>
      <c r="Y63" s="759" t="n"/>
      <c r="Z63" s="759" t="n"/>
      <c r="AA63" s="717" t="n"/>
    </row>
    <row r="64" customFormat="1" s="224">
      <c r="B64" s="221" t="inlineStr">
        <is>
          <t>Totals / Weighted Averages</t>
        </is>
      </c>
      <c r="C64" s="1204" t="n"/>
      <c r="D64" s="1204">
        <f>SUM(D3:D62)</f>
        <v/>
      </c>
      <c r="E64" s="1204">
        <f>SUM(E3:E62)</f>
        <v/>
      </c>
      <c r="F64" s="1204">
        <f>SUMPRODUCT(F3:F62,$D$3:$D$62)/SUM($D$3:$D$62)</f>
        <v/>
      </c>
      <c r="G64" s="1204">
        <f>SUMPRODUCT(G3:G62,$D$3:$D$62)/SUM($D$3:$D$62)</f>
        <v/>
      </c>
      <c r="H64" s="1204" t="n"/>
      <c r="I64" s="1204" t="n"/>
      <c r="J64" s="1204" t="n"/>
      <c r="K64" s="1204" t="n"/>
      <c r="L64" s="1204" t="n"/>
      <c r="M64" s="1205">
        <f>SUMPRODUCT(M3:M62,$D$3:$D$62)/SUM($D$3:$D$62)</f>
        <v/>
      </c>
      <c r="N64" s="1206">
        <f>SUMPRODUCT(N3:N62,$D$3:$D$62)/SUM($D$3:$D$62)</f>
        <v/>
      </c>
      <c r="O64" s="1205">
        <f>SUMPRODUCT(O3:O62,$D$3:$D$62)/SUM($D$3:$D$62)</f>
        <v/>
      </c>
      <c r="S64" s="1207">
        <f>SUM(S3:S63)</f>
        <v/>
      </c>
      <c r="T64" s="1207">
        <f>SUM(T3:T63)</f>
        <v/>
      </c>
      <c r="U64" s="1207">
        <f>SUM(U3:U63)</f>
        <v/>
      </c>
      <c r="V64" s="1207">
        <f>SUM(V3:V63)</f>
        <v/>
      </c>
      <c r="W64" s="1208" t="n"/>
    </row>
    <row r="65">
      <c r="E65" s="1209" t="n"/>
      <c r="M65" s="1210" t="n"/>
      <c r="N65" s="1210" t="n"/>
      <c r="O65" s="1210" t="n"/>
    </row>
    <row r="66">
      <c r="M66" s="1210" t="n"/>
      <c r="N66" s="1210" t="n"/>
      <c r="O66" s="1210" t="n"/>
    </row>
    <row r="67">
      <c r="B67" s="217" t="inlineStr">
        <is>
          <t>First Lien</t>
        </is>
      </c>
      <c r="C67" s="1178">
        <f>SUMIF($C$3:$C$62,B67,$D$3:$D$62)</f>
        <v/>
      </c>
      <c r="D67" s="218">
        <f>+C67/$C$70</f>
        <v/>
      </c>
      <c r="E67" s="1178" t="inlineStr">
        <is>
          <t>48forty Intermediate Holdings, Inc.</t>
        </is>
      </c>
      <c r="F67" s="1186" t="n">
        <v>812617188.5942999</v>
      </c>
      <c r="G67" s="1186" t="n">
        <v>89757112.48143341</v>
      </c>
      <c r="H67" s="1186" t="n">
        <v>79850000</v>
      </c>
      <c r="I67" s="1186" t="n">
        <v>45780000</v>
      </c>
      <c r="J67" s="1186" t="n">
        <v>1751324612.62447</v>
      </c>
      <c r="K67" s="1186" t="n">
        <v>15236387.3755295</v>
      </c>
      <c r="L67" s="1186" t="n">
        <v>37631000</v>
      </c>
      <c r="M67" s="1187">
        <f>IF(SUM(H67:K67,-L67)/G67&lt;0,"N/M",SUM(H67:K67,-L67)/G67)</f>
        <v/>
      </c>
      <c r="T67" s="1189" t="n"/>
    </row>
    <row r="68">
      <c r="B68" s="217" t="inlineStr">
        <is>
          <t>Last Out</t>
        </is>
      </c>
      <c r="C68" s="1178">
        <f>SUMIF($C$3:$C$62,B68,$D$3:$D$62)</f>
        <v/>
      </c>
      <c r="D68" s="218">
        <f>+C68/$C$70</f>
        <v/>
      </c>
      <c r="E68" s="1178" t="inlineStr">
        <is>
          <t>Acara Home Health</t>
        </is>
      </c>
      <c r="F68" s="1186" t="n">
        <v>86689801.22000003</v>
      </c>
      <c r="G68" s="1186" t="n">
        <v>3365399.870000007</v>
      </c>
      <c r="H68" s="1186" t="n">
        <v>0</v>
      </c>
      <c r="I68" s="1186" t="n">
        <v>5757265.66342975</v>
      </c>
      <c r="J68" s="1186" t="n">
        <v>0</v>
      </c>
      <c r="K68" s="1186" t="n">
        <v>40212824.63671884</v>
      </c>
      <c r="L68" s="1186" t="n">
        <v>1268672</v>
      </c>
      <c r="M68" s="1187">
        <f>IF(SUM(H68:K68,-L68)/G68&lt;0,"N/M",SUM(H68:K68,-L68)/G68)</f>
        <v/>
      </c>
      <c r="U68" s="757" t="n"/>
    </row>
    <row r="69">
      <c r="B69" s="217" t="inlineStr">
        <is>
          <t>Second Lien</t>
        </is>
      </c>
      <c r="C69" s="1178">
        <f>SUMIF($C$3:$C$62,B69,$D$3:$D$62)</f>
        <v/>
      </c>
      <c r="D69" s="218">
        <f>+C69/$C$70</f>
        <v/>
      </c>
      <c r="E69" s="1178" t="inlineStr">
        <is>
          <t>Caregility</t>
        </is>
      </c>
      <c r="F69" s="1186" t="n">
        <v>33477593.32</v>
      </c>
      <c r="G69" s="1186" t="n">
        <v>-3390931.160000002</v>
      </c>
      <c r="H69" s="1186" t="n">
        <v>2940013</v>
      </c>
      <c r="I69" s="1186" t="n">
        <v>0</v>
      </c>
      <c r="J69" s="1186" t="n">
        <v>2215106.539993693</v>
      </c>
      <c r="K69" s="1186" t="n">
        <v>15450456.46000631</v>
      </c>
      <c r="L69" s="1186" t="n">
        <v>1898322.37</v>
      </c>
      <c r="M69" s="1187">
        <f>IF(SUM(H69:K69,-L69)/G69&lt;0,"N/M",SUM(H69:K69,-L69)/G69)</f>
        <v/>
      </c>
      <c r="U69" s="1211" t="n"/>
    </row>
    <row r="70">
      <c r="C70" s="1212">
        <f>SUM(C67:C69)</f>
        <v/>
      </c>
      <c r="D70" s="178">
        <f>SUM(D67:D69)</f>
        <v/>
      </c>
      <c r="E70" s="1178" t="inlineStr">
        <is>
          <t>Chicken Soup For The Soul</t>
        </is>
      </c>
      <c r="F70" s="1186" t="n">
        <v>745987</v>
      </c>
      <c r="G70" s="1186" t="n">
        <v>745987</v>
      </c>
      <c r="H70" s="1186" t="n">
        <v>0</v>
      </c>
      <c r="I70" s="1186" t="n">
        <v>0</v>
      </c>
      <c r="J70" s="1186" t="n">
        <v>15050702.748</v>
      </c>
      <c r="K70" s="1186" t="n">
        <v>26849297.252</v>
      </c>
      <c r="L70" s="1186" t="n">
        <v>30498</v>
      </c>
      <c r="M70" s="1187">
        <f>IF(SUM(H70:K70,-L70)/G70&lt;0,"N/M",SUM(H70:K70,-L70)/G70)</f>
        <v/>
      </c>
    </row>
    <row r="71">
      <c r="E71" s="1178" t="inlineStr">
        <is>
          <t>Rip-It</t>
        </is>
      </c>
      <c r="F71" s="1186" t="n">
        <v>31212408.32</v>
      </c>
      <c r="G71" s="1186" t="n">
        <v>5668573.21057851</v>
      </c>
      <c r="H71" s="1186" t="n">
        <v>5507148.09</v>
      </c>
      <c r="I71" s="1186" t="n">
        <v>225625</v>
      </c>
      <c r="J71" s="1186" t="n">
        <v>0</v>
      </c>
      <c r="K71" s="1186" t="n">
        <v>27291631.2345593</v>
      </c>
      <c r="L71" s="1186" t="n">
        <v>1999450.57</v>
      </c>
      <c r="M71" s="1187">
        <f>IF(SUM(H71:K71,-L71)/G71&lt;0,"N/M",SUM(H71:K71,-L71)/G71)</f>
        <v/>
      </c>
    </row>
    <row r="72">
      <c r="E72" s="1178" t="inlineStr">
        <is>
          <t>Consolidated Machine &amp; Tool Holdings</t>
        </is>
      </c>
      <c r="F72" s="1186" t="n">
        <v>35430988.89</v>
      </c>
      <c r="G72" s="1186" t="n">
        <v>290692.2000000021</v>
      </c>
      <c r="H72" s="1186" t="n">
        <v>15852425.93</v>
      </c>
      <c r="I72" s="1186" t="n">
        <v>0</v>
      </c>
      <c r="J72" s="1186" t="n">
        <v>20282782.19582187</v>
      </c>
      <c r="K72" s="1186" t="n">
        <v>59166702.66833805</v>
      </c>
      <c r="L72" s="1186" t="n">
        <v>332853.39</v>
      </c>
      <c r="M72" s="1187">
        <f>IF(SUM(H72:K72,-L72)/G72&lt;0,"N/M",SUM(H72:K72,-L72)/G72)</f>
        <v/>
      </c>
    </row>
    <row r="73">
      <c r="C73" s="1202" t="n"/>
      <c r="D73" s="1209" t="n"/>
      <c r="E73" s="1178" t="inlineStr">
        <is>
          <t>Coop Home Goods</t>
        </is>
      </c>
      <c r="F73" s="1186" t="n">
        <v>81947017.03</v>
      </c>
      <c r="G73" s="1186" t="n">
        <v>15324108.7873764</v>
      </c>
      <c r="H73" s="1186" t="n">
        <v>2000000</v>
      </c>
      <c r="I73" s="1186" t="n">
        <v>8000000</v>
      </c>
      <c r="J73" s="1186" t="n">
        <v>0</v>
      </c>
      <c r="K73" s="1186">
        <f>19673854.5220419+19208000</f>
        <v/>
      </c>
      <c r="L73" s="1186" t="n">
        <v>1699467.78999999</v>
      </c>
      <c r="M73" s="1187">
        <f>IF(SUM(H73:K73,-L73)/G73&lt;0,"N/M",SUM(H73:K73,-L73)/G73)</f>
        <v/>
      </c>
    </row>
    <row r="74">
      <c r="E74" s="1178" t="inlineStr">
        <is>
          <t>Cortech</t>
        </is>
      </c>
      <c r="F74" s="1186" t="n">
        <v>251516494.686277</v>
      </c>
      <c r="G74" s="1186" t="n">
        <v>13430536.33362572</v>
      </c>
      <c r="H74" s="1186" t="n">
        <v>25448687.2</v>
      </c>
      <c r="I74" s="1186" t="n">
        <v>5156452.04</v>
      </c>
      <c r="J74" s="1186" t="n">
        <v>0</v>
      </c>
      <c r="K74" s="1186" t="n">
        <v>29689375.00000004</v>
      </c>
      <c r="L74" s="1186" t="n">
        <v>2634019.43171</v>
      </c>
      <c r="M74" s="1187">
        <f>IF(SUM(H74:K74,-L74)/G74&lt;0,"N/M",SUM(H74:K74,-L74)/G74)</f>
        <v/>
      </c>
    </row>
    <row r="75">
      <c r="E75" s="1178" t="inlineStr">
        <is>
          <t>Douglas Products and Packaging Company</t>
        </is>
      </c>
      <c r="F75" s="1186" t="n">
        <v>87330000</v>
      </c>
      <c r="G75" s="1186" t="n">
        <v>33787000</v>
      </c>
      <c r="H75" s="1186" t="n">
        <v>1100000</v>
      </c>
      <c r="I75" s="1186" t="n">
        <v>34387500</v>
      </c>
      <c r="J75" s="1186" t="n">
        <v>0</v>
      </c>
      <c r="K75" s="1186" t="n">
        <v>90586499.99999999</v>
      </c>
      <c r="L75" s="1186" t="n">
        <v>892000</v>
      </c>
      <c r="M75" s="1187">
        <f>IF(SUM(H75:K75,-L75)/G75&lt;0,"N/M",SUM(H75:K75,-L75)/G75)</f>
        <v/>
      </c>
    </row>
    <row r="76">
      <c r="E76" s="1178" t="inlineStr">
        <is>
          <t>Five Iron Golf</t>
        </is>
      </c>
      <c r="F76" s="1186" t="n">
        <v>61946604.37</v>
      </c>
      <c r="G76" s="1186" t="n">
        <v>8998299.297</v>
      </c>
      <c r="H76" s="1186" t="n">
        <v>0</v>
      </c>
      <c r="I76" s="1186" t="n">
        <v>0</v>
      </c>
      <c r="J76" s="1186" t="n">
        <v>0</v>
      </c>
      <c r="K76" s="1186" t="n">
        <v>19443750</v>
      </c>
      <c r="L76" s="1186" t="n">
        <v>2228200</v>
      </c>
      <c r="M76" s="1187">
        <f>IF(SUM(H76:K76,-L76)/G76&lt;0,"N/M",SUM(H76:K76,-L76)/G76)</f>
        <v/>
      </c>
    </row>
    <row r="77">
      <c r="E77" s="1178" t="inlineStr">
        <is>
          <t>Fremont-Wright</t>
        </is>
      </c>
      <c r="F77" s="1186" t="n">
        <v>117988273.5948</v>
      </c>
      <c r="G77" s="1186" t="n">
        <v>24987651.0631</v>
      </c>
      <c r="H77" s="1186" t="n">
        <v>1806586.36</v>
      </c>
      <c r="I77" s="1186" t="n">
        <v>0</v>
      </c>
      <c r="J77" s="1186" t="n">
        <v>34168383.33075009</v>
      </c>
      <c r="K77" s="1186" t="n">
        <v>48004116.66950373</v>
      </c>
      <c r="L77" s="1186" t="n">
        <v>3873450.34</v>
      </c>
      <c r="M77" s="1187">
        <f>IF(SUM(H77:K77,-L77)/G77&lt;0,"N/M",SUM(H77:K77,-L77)/G77)</f>
        <v/>
      </c>
    </row>
    <row r="78">
      <c r="E78" s="1178" t="inlineStr">
        <is>
          <t>Gridsource</t>
        </is>
      </c>
      <c r="F78" s="1186" t="n">
        <v>204360960.53</v>
      </c>
      <c r="G78" s="1186" t="n">
        <v>29422622.38000001</v>
      </c>
      <c r="H78" s="1186" t="n">
        <v>3112476</v>
      </c>
      <c r="I78" s="1186" t="n">
        <v>0</v>
      </c>
      <c r="J78" s="1186" t="n">
        <v>40125027.1587534</v>
      </c>
      <c r="K78" s="1186" t="n">
        <v>89567628.98124661</v>
      </c>
      <c r="L78" s="1186" t="n">
        <v>2007849.8</v>
      </c>
      <c r="M78" s="1187">
        <f>IF(SUM(H78:K78,-L78)/G78&lt;0,"N/M",SUM(H78:K78,-L78)/G78)</f>
        <v/>
      </c>
    </row>
    <row r="79">
      <c r="E79" s="1178" t="inlineStr">
        <is>
          <t>Integrated Pain Associates</t>
        </is>
      </c>
      <c r="F79" s="1186" t="n">
        <v>77056137.9043539</v>
      </c>
      <c r="G79" s="1186" t="n">
        <v>16482000</v>
      </c>
      <c r="H79" s="1186" t="n">
        <v>0</v>
      </c>
      <c r="I79" s="1186" t="n">
        <v>0</v>
      </c>
      <c r="J79" s="1186" t="n">
        <v>14414473.68550571</v>
      </c>
      <c r="K79" s="1186" t="n">
        <v>58399906.7144943</v>
      </c>
      <c r="L79" s="1186" t="n">
        <v>4000000</v>
      </c>
      <c r="M79" s="1187">
        <f>IF(SUM(H79:K79,-L79)/G79&lt;0,"N/M",SUM(H79:K79,-L79)/G79)</f>
        <v/>
      </c>
    </row>
    <row r="80">
      <c r="E80" s="1178" t="inlineStr">
        <is>
          <t>Japonesque</t>
        </is>
      </c>
      <c r="F80" s="1186" t="n">
        <v>63553597.03778093</v>
      </c>
      <c r="G80" s="1186" t="n">
        <v>10548165.89711425</v>
      </c>
      <c r="H80" s="1186" t="n">
        <v>6680837.29</v>
      </c>
      <c r="I80" s="1186" t="n">
        <v>11397560.0557593</v>
      </c>
      <c r="J80" s="1186" t="n">
        <v>0</v>
      </c>
      <c r="K80" s="1186" t="n">
        <v>29756783.33873378</v>
      </c>
      <c r="L80" s="1186" t="n">
        <v>324445.36</v>
      </c>
      <c r="M80" s="1187">
        <f>IF(SUM(H80:K80,-L80)/G80&lt;0,"N/M",SUM(H80:K80,-L80)/G80)</f>
        <v/>
      </c>
    </row>
    <row r="81">
      <c r="E81" s="1178" t="inlineStr">
        <is>
          <t>Jefferson Solutions Group</t>
        </is>
      </c>
      <c r="F81" s="1186" t="n">
        <v>57071775.62</v>
      </c>
      <c r="G81" s="1186" t="n">
        <v>9021834.760000007</v>
      </c>
      <c r="H81" s="1186" t="n">
        <v>0</v>
      </c>
      <c r="I81" s="1186" t="n">
        <v>14491250</v>
      </c>
      <c r="J81" s="1186" t="n">
        <v>0</v>
      </c>
      <c r="K81" s="1186" t="n">
        <v>22223555.60800514</v>
      </c>
      <c r="L81" s="1186" t="n">
        <v>6509637.94</v>
      </c>
      <c r="M81" s="1187">
        <f>IF(SUM(H81:K81,-L81)/G81&lt;0,"N/M",SUM(H81:K81,-L81)/G81)</f>
        <v/>
      </c>
    </row>
    <row r="82">
      <c r="E82" s="1178" t="inlineStr">
        <is>
          <t>Klein Hersh</t>
        </is>
      </c>
      <c r="F82" s="1186" t="n">
        <v>72880420.92</v>
      </c>
      <c r="G82" s="1186" t="n">
        <v>22832751.067209</v>
      </c>
      <c r="H82" s="1186" t="n">
        <v>0</v>
      </c>
      <c r="I82" s="1186" t="n">
        <v>24587551.9231103</v>
      </c>
      <c r="J82" s="1186" t="n">
        <v>78248127.33770405</v>
      </c>
      <c r="K82" s="1186" t="n">
        <v>107519514.01688</v>
      </c>
      <c r="L82" s="1186" t="n">
        <v>8866398.83</v>
      </c>
      <c r="M82" s="1187">
        <f>IF(SUM(H82:K82,-L82)/G82&lt;0,"N/M",SUM(H82:K82,-L82)/G82)</f>
        <v/>
      </c>
    </row>
    <row r="83">
      <c r="E83" s="1178" t="inlineStr">
        <is>
          <t>LaSalle Network</t>
        </is>
      </c>
      <c r="F83" s="1186" t="n">
        <v>109540140.12</v>
      </c>
      <c r="G83" s="1186" t="n">
        <v>11707432.54666666</v>
      </c>
      <c r="H83" s="1186" t="n">
        <v>0</v>
      </c>
      <c r="I83" s="1186" t="n">
        <v>10525055.991477</v>
      </c>
      <c r="J83" s="1186" t="n">
        <v>0</v>
      </c>
      <c r="K83" s="1186" t="n">
        <v>27002945.05727304</v>
      </c>
      <c r="L83" s="1186" t="n">
        <v>5782267.41</v>
      </c>
      <c r="M83" s="1187">
        <f>IF(SUM(H83:K83,-L83)/G83&lt;0,"N/M",SUM(H83:K83,-L83)/G83)</f>
        <v/>
      </c>
    </row>
    <row r="84">
      <c r="E84" s="1178" t="inlineStr">
        <is>
          <t>Linden Research</t>
        </is>
      </c>
      <c r="F84" s="1186" t="n">
        <v>76503129.19</v>
      </c>
      <c r="G84" s="1186" t="n">
        <v>32314396.84039996</v>
      </c>
      <c r="H84" s="1186" t="n">
        <v>0</v>
      </c>
      <c r="I84" s="1186" t="n">
        <v>14500535.6879913</v>
      </c>
      <c r="J84" s="1186" t="n">
        <v>2853849.906820603</v>
      </c>
      <c r="K84" s="1186" t="n">
        <v>51582014.8451881</v>
      </c>
      <c r="L84" s="1186" t="n">
        <v>10111472.08</v>
      </c>
      <c r="M84" s="1187">
        <f>IF(SUM(H84:K84,-L84)/G84&lt;0,"N/M",SUM(H84:K84,-L84)/G84)</f>
        <v/>
      </c>
    </row>
    <row r="85">
      <c r="E85" s="1178" t="inlineStr">
        <is>
          <t>Masterwork Electronics</t>
        </is>
      </c>
      <c r="F85" s="1186" t="n">
        <v>46395430.06445967</v>
      </c>
      <c r="G85" s="1186" t="n">
        <v>-66000</v>
      </c>
      <c r="H85" s="1186" t="n">
        <v>0</v>
      </c>
      <c r="I85" s="1186" t="n">
        <v>4999950.95000001</v>
      </c>
      <c r="J85" s="1186" t="n">
        <v>13142296.83472478</v>
      </c>
      <c r="K85" s="1186" t="n">
        <v>66229278.30435152</v>
      </c>
      <c r="L85" s="1186" t="n">
        <v>3764744.99506182</v>
      </c>
      <c r="M85" s="1187">
        <f>IF(SUM(H85:K85,-L85)/G85&lt;0,"N/M",SUM(H85:K85,-L85)/G85)</f>
        <v/>
      </c>
    </row>
    <row r="86">
      <c r="E86" s="1178" t="inlineStr">
        <is>
          <t>MechanAir (I)</t>
        </is>
      </c>
      <c r="F86" s="1186" t="n">
        <v>108920925.85</v>
      </c>
      <c r="G86" s="1186" t="n">
        <v>12100000</v>
      </c>
      <c r="H86" s="1186" t="n">
        <v>2453371.760000005</v>
      </c>
      <c r="I86" s="1186" t="n">
        <v>0</v>
      </c>
      <c r="J86" s="1186" t="n">
        <v>49210526.32</v>
      </c>
      <c r="K86" s="1186" t="n">
        <v>6047723.34</v>
      </c>
      <c r="L86" s="1186" t="n">
        <v>0</v>
      </c>
      <c r="M86" s="1187">
        <f>IF(SUM(H86:K86,-L86)/G86&lt;0,"N/M",SUM(H86:K86,-L86)/G86)</f>
        <v/>
      </c>
    </row>
    <row r="87">
      <c r="E87" s="1178" t="inlineStr">
        <is>
          <t>Microf</t>
        </is>
      </c>
      <c r="F87" s="1186" t="n">
        <v>42167015.34</v>
      </c>
      <c r="G87" s="1186" t="n">
        <v>25320302.63999996</v>
      </c>
      <c r="H87" s="1186" t="n">
        <v>53800000</v>
      </c>
      <c r="I87" s="1186" t="n">
        <v>0</v>
      </c>
      <c r="J87" s="1186" t="n">
        <v>0</v>
      </c>
      <c r="K87" s="1186" t="n">
        <v>28012557.82136673</v>
      </c>
      <c r="L87" s="1186" t="n">
        <v>2816161.5</v>
      </c>
      <c r="M87" s="1187">
        <f>IF(SUM(H87:K87,-L87)/G87&lt;0,"N/M",SUM(H87:K87,-L87)/G87)</f>
        <v/>
      </c>
    </row>
    <row r="88">
      <c r="E88" s="1178" t="inlineStr">
        <is>
          <t>Mission</t>
        </is>
      </c>
      <c r="F88" s="1186" t="n">
        <v>29507241.56865915</v>
      </c>
      <c r="G88" s="1186" t="n">
        <v>266047.4733819671</v>
      </c>
      <c r="H88" s="1186" t="n">
        <v>7391922.01</v>
      </c>
      <c r="I88" s="1186" t="n">
        <v>0</v>
      </c>
      <c r="J88" s="1186" t="n">
        <v>0</v>
      </c>
      <c r="K88" s="1186" t="n">
        <v>13492917.86721621</v>
      </c>
      <c r="L88" s="1186" t="n">
        <v>132661.35</v>
      </c>
      <c r="M88" s="1187">
        <f>IF(SUM(H88:K88,-L88)/G88&lt;0,"N/M",SUM(H88:K88,-L88)/G88)</f>
        <v/>
      </c>
    </row>
    <row r="89">
      <c r="E89" s="1178" t="inlineStr">
        <is>
          <t>NW Entertainment, LLC</t>
        </is>
      </c>
      <c r="F89" s="1186" t="n">
        <v>55501452.97</v>
      </c>
      <c r="G89" s="1186" t="n">
        <v>8214755.459500002</v>
      </c>
      <c r="H89" s="1186" t="n">
        <v>4500000</v>
      </c>
      <c r="I89" s="1186" t="n">
        <v>0</v>
      </c>
      <c r="J89" s="1186" t="n">
        <v>3543750</v>
      </c>
      <c r="K89" s="1186" t="n">
        <v>46068750</v>
      </c>
      <c r="L89" s="1186" t="n">
        <v>1847459.97</v>
      </c>
      <c r="M89" s="1187">
        <f>IF(SUM(H89:K89,-L89)/G89&lt;0,"N/M",SUM(H89:K89,-L89)/G89)</f>
        <v/>
      </c>
    </row>
    <row r="90">
      <c r="E90" s="1178" t="inlineStr">
        <is>
          <t>Padsquad</t>
        </is>
      </c>
      <c r="F90" s="1186" t="n">
        <v>47560220.4</v>
      </c>
      <c r="G90" s="1186" t="n">
        <v>6332166.349999997</v>
      </c>
      <c r="H90" s="1186" t="n">
        <v>0</v>
      </c>
      <c r="I90" s="1186" t="n">
        <v>8250000</v>
      </c>
      <c r="J90" s="1186" t="n">
        <v>0</v>
      </c>
      <c r="K90" s="1186" t="n">
        <v>15200000</v>
      </c>
      <c r="L90" s="1186" t="n">
        <v>4786057.78</v>
      </c>
      <c r="M90" s="1187">
        <f>IF(SUM(H90:K90,-L90)/G90&lt;0,"N/M",SUM(H90:K90,-L90)/G90)</f>
        <v/>
      </c>
    </row>
    <row r="91">
      <c r="E91" s="1178" t="inlineStr">
        <is>
          <t>Preferred Care Home Health</t>
        </is>
      </c>
      <c r="F91" s="1186" t="n">
        <v>43432535.98</v>
      </c>
      <c r="G91" s="1186" t="n">
        <v>8450009.879488634</v>
      </c>
      <c r="H91" s="1186" t="n">
        <v>2622624.62</v>
      </c>
      <c r="I91" s="1186" t="n">
        <v>5775000</v>
      </c>
      <c r="J91" s="1186" t="n">
        <v>0</v>
      </c>
      <c r="K91" s="1186" t="n">
        <v>28955695.79220268</v>
      </c>
      <c r="L91" s="1186" t="n">
        <v>355828.21</v>
      </c>
      <c r="M91" s="1187">
        <f>IF(SUM(H91:K91,-L91)/G91&lt;0,"N/M",SUM(H91:K91,-L91)/G91)</f>
        <v/>
      </c>
    </row>
    <row r="92">
      <c r="E92" s="1178" t="inlineStr">
        <is>
          <t>Qualified Digital</t>
        </is>
      </c>
      <c r="F92" s="1186" t="n">
        <v>30464594</v>
      </c>
      <c r="G92" s="1186" t="n">
        <v>9544317</v>
      </c>
      <c r="H92" s="1186" t="n">
        <v>1600000</v>
      </c>
      <c r="I92" s="1186" t="n">
        <v>0</v>
      </c>
      <c r="J92" s="1186" t="n">
        <v>0</v>
      </c>
      <c r="K92" s="1186" t="n">
        <v>21326249.99999998</v>
      </c>
      <c r="L92" s="1186" t="n">
        <v>1580173</v>
      </c>
      <c r="M92" s="1187">
        <f>IF(SUM(H92:K92,-L92)/G92&lt;0,"N/M",SUM(H92:K92,-L92)/G92)</f>
        <v/>
      </c>
    </row>
    <row r="93">
      <c r="E93" s="1178" t="inlineStr">
        <is>
          <t>SkyBell Technologies</t>
        </is>
      </c>
      <c r="F93" s="1186" t="n">
        <v>399134.77</v>
      </c>
      <c r="G93" s="1186" t="n">
        <v>-8804510.43</v>
      </c>
      <c r="H93" s="1186" t="n">
        <v>0</v>
      </c>
      <c r="I93" s="1186" t="n">
        <v>13781827.74</v>
      </c>
      <c r="J93" s="1186" t="n">
        <v>20508126.40000002</v>
      </c>
      <c r="K93" s="1186" t="n">
        <v>56575000.00999998</v>
      </c>
      <c r="L93" s="1186" t="n">
        <v>248078.13</v>
      </c>
      <c r="M93" s="1187">
        <f>IF(SUM(H93:K93,-L93)/G93&lt;0,"N/M",SUM(H93:K93,-L93)/G93)</f>
        <v/>
      </c>
    </row>
    <row r="94">
      <c r="E94" s="1178" t="inlineStr">
        <is>
          <t>Watt Contracting Holdings</t>
        </is>
      </c>
      <c r="F94" s="1186" t="n">
        <v>32481795.61</v>
      </c>
      <c r="G94" s="1186" t="n">
        <v>5544221.2</v>
      </c>
      <c r="H94" s="1186" t="n">
        <v>2500000</v>
      </c>
      <c r="I94" s="1186" t="n">
        <v>2633801</v>
      </c>
      <c r="J94" s="1186" t="n">
        <v>0</v>
      </c>
      <c r="K94" s="1186" t="n">
        <v>5789200.96454005</v>
      </c>
      <c r="L94" s="1186" t="n">
        <v>2603143.57</v>
      </c>
      <c r="M94" s="1187">
        <f>IF(SUM(H94:K94,-L94)/G94&lt;0,"N/M",SUM(H94:K94,-L94)/G94)</f>
        <v/>
      </c>
    </row>
    <row r="95">
      <c r="E95" s="1178" t="inlineStr">
        <is>
          <t>Swyft Filings</t>
        </is>
      </c>
      <c r="F95" s="1186" t="n">
        <v>53460000</v>
      </c>
      <c r="G95" s="1186" t="n">
        <v>18618569</v>
      </c>
      <c r="H95" s="1186" t="n">
        <v>0</v>
      </c>
      <c r="I95" s="1186" t="n">
        <v>0</v>
      </c>
      <c r="J95" s="1186" t="n">
        <v>52311633.99142238</v>
      </c>
      <c r="K95" s="1186" t="n">
        <v>21629491.96590262</v>
      </c>
      <c r="L95" s="1186" t="n">
        <v>8928000</v>
      </c>
      <c r="M95" s="1187">
        <f>IF(SUM(H95:K95,-L95)/G95&lt;0,"N/M",SUM(H95:K95,-L95)/G95)</f>
        <v/>
      </c>
    </row>
    <row r="96">
      <c r="E96" s="1178" t="inlineStr">
        <is>
          <t>Texas Contract Manufacturing Group</t>
        </is>
      </c>
      <c r="F96" s="1186" t="n">
        <v>21612406.6</v>
      </c>
      <c r="G96" s="1186" t="n">
        <v>2116919.919999999</v>
      </c>
      <c r="H96" s="1186" t="n">
        <v>0</v>
      </c>
      <c r="I96" s="1186" t="n">
        <v>559000</v>
      </c>
      <c r="J96" s="1186" t="n">
        <v>235875.0000000093</v>
      </c>
      <c r="K96" s="1186" t="n">
        <v>13805426.98999999</v>
      </c>
      <c r="L96" s="1186" t="n">
        <v>1278666.98</v>
      </c>
      <c r="M96" s="1187">
        <f>IF(SUM(H96:K96,-L96)/G96&lt;0,"N/M",SUM(H96:K96,-L96)/G96)</f>
        <v/>
      </c>
    </row>
    <row r="97">
      <c r="E97" s="1178" t="inlineStr">
        <is>
          <t>HighStar Traffic</t>
        </is>
      </c>
      <c r="F97" s="1186" t="n">
        <v>123242000</v>
      </c>
      <c r="G97" s="1186" t="n">
        <v>19440000</v>
      </c>
      <c r="H97" s="1186" t="n">
        <v>13971000</v>
      </c>
      <c r="I97" s="1186" t="n">
        <v>0</v>
      </c>
      <c r="J97" s="1186" t="n">
        <v>0</v>
      </c>
      <c r="K97" s="1186" t="n">
        <v>87544537.1667248</v>
      </c>
      <c r="L97" s="1186" t="n">
        <v>226000</v>
      </c>
      <c r="M97" s="1187">
        <f>IF(SUM(H97:K97,-L97)/G97&lt;0,"N/M",SUM(H97:K97,-L97)/G97)</f>
        <v/>
      </c>
    </row>
    <row r="98">
      <c r="E98" s="1178" t="inlineStr">
        <is>
          <t>Trailer Park Group</t>
        </is>
      </c>
      <c r="F98" s="1186" t="n">
        <v>131177904.433351</v>
      </c>
      <c r="G98" s="1186" t="n">
        <v>17249798.99419539</v>
      </c>
      <c r="H98" s="1186" t="n">
        <v>3250000</v>
      </c>
      <c r="I98" s="1186" t="n">
        <v>23550118.8251421</v>
      </c>
      <c r="J98" s="1186" t="n">
        <v>0</v>
      </c>
      <c r="K98" s="1186" t="n">
        <v>68878150.09364478</v>
      </c>
      <c r="L98" s="1186" t="n">
        <v>3927718.846925</v>
      </c>
      <c r="M98" s="1187">
        <f>IF(SUM(H98:K98,-L98)/G98&lt;0,"N/M",SUM(H98:K98,-L98)/G98)</f>
        <v/>
      </c>
    </row>
    <row r="99">
      <c r="E99" s="1178" t="inlineStr">
        <is>
          <t>Uncle John's Pride</t>
        </is>
      </c>
      <c r="F99" s="1186" t="n">
        <v>72985625.41</v>
      </c>
      <c r="G99" s="1186" t="n">
        <v>16292642</v>
      </c>
      <c r="H99" s="1186" t="n">
        <v>2500000</v>
      </c>
      <c r="I99" s="1186" t="n">
        <v>0</v>
      </c>
      <c r="J99" s="1186" t="n">
        <v>30015116.56046184</v>
      </c>
      <c r="K99" s="1186" t="n">
        <v>23142110.91953816</v>
      </c>
      <c r="L99" s="1186" t="n">
        <v>605330.97</v>
      </c>
      <c r="M99" s="1187">
        <f>IF(SUM(H99:K99,-L99)/G99&lt;0,"N/M",SUM(H99:K99,-L99)/G99)</f>
        <v/>
      </c>
    </row>
    <row r="100">
      <c r="E100" s="1178" t="inlineStr">
        <is>
          <t>USBid Inc.</t>
        </is>
      </c>
      <c r="F100" s="1186" t="n">
        <v>21528516.29</v>
      </c>
      <c r="G100" s="1186" t="n">
        <v>1847982.160000001</v>
      </c>
      <c r="H100" s="1186" t="n">
        <v>0</v>
      </c>
      <c r="I100" s="1186" t="n">
        <v>3720760.23</v>
      </c>
      <c r="J100" s="1186" t="n">
        <v>0</v>
      </c>
      <c r="K100" s="1186" t="n">
        <v>11301532.27599408</v>
      </c>
      <c r="L100" s="1186" t="n">
        <v>2338850.79</v>
      </c>
      <c r="M100" s="1187">
        <f>IF(SUM(H100:K100,-L100)/G100&lt;0,"N/M",SUM(H100:K100,-L100)/G100)</f>
        <v/>
      </c>
    </row>
    <row r="101">
      <c r="E101" s="1178" t="inlineStr">
        <is>
          <t>Vertical Mechanical Group</t>
        </is>
      </c>
      <c r="F101" s="1186" t="n">
        <v>177270814.2691986</v>
      </c>
      <c r="G101" s="1186" t="n">
        <v>19313244.37999999</v>
      </c>
      <c r="H101" s="1186" t="n">
        <v>9485920.800000001</v>
      </c>
      <c r="I101" s="1186" t="n">
        <v>11425000</v>
      </c>
      <c r="J101" s="1186" t="n">
        <v>0</v>
      </c>
      <c r="K101" s="1186" t="n">
        <v>25999999.99999996</v>
      </c>
      <c r="L101" s="1186" t="n">
        <v>522284.75</v>
      </c>
      <c r="M101" s="1187">
        <f>IF(SUM(H101:K101,-L101)/G101&lt;0,"N/M",SUM(H101:K101,-L101)/G101)</f>
        <v/>
      </c>
    </row>
    <row r="102">
      <c r="E102" s="1178" t="inlineStr">
        <is>
          <t>PQT Ayaquhs</t>
        </is>
      </c>
      <c r="F102" s="1186" t="n">
        <v>124319042.64</v>
      </c>
      <c r="G102" s="1186" t="n">
        <v>17235868.71666665</v>
      </c>
      <c r="H102" s="1186" t="n">
        <v>0</v>
      </c>
      <c r="I102" s="1186" t="n">
        <v>9206465.44382916</v>
      </c>
      <c r="J102" s="1186" t="n">
        <v>0</v>
      </c>
      <c r="K102" s="1186" t="n">
        <v>10656690.80562587</v>
      </c>
      <c r="L102" s="1186" t="n">
        <v>13036281</v>
      </c>
      <c r="M102" s="1187">
        <f>IF(SUM(H102:K102,-L102)/G102&lt;0,"N/M",SUM(H102:K102,-L102)/G102)</f>
        <v/>
      </c>
    </row>
    <row r="103">
      <c r="E103" s="1178" t="inlineStr">
        <is>
          <t>Kelso Industries</t>
        </is>
      </c>
      <c r="F103" s="1186" t="n">
        <v>1013196245.2</v>
      </c>
      <c r="G103" s="1186" t="n">
        <v>95350436.38731037</v>
      </c>
      <c r="H103" s="1186" t="n">
        <v>0</v>
      </c>
      <c r="I103" s="1186" t="n">
        <v>57912473.7366875</v>
      </c>
      <c r="J103" s="1186" t="n">
        <v>306278873.4855625</v>
      </c>
      <c r="K103" s="1186" t="n">
        <v>10944529.2933125</v>
      </c>
      <c r="L103" s="1186" t="n">
        <v>26975037</v>
      </c>
      <c r="M103" s="1187">
        <f>IF(SUM(H103:K103,-L103)/G103&lt;0,"N/M",SUM(H103:K103,-L103)/G103)</f>
        <v/>
      </c>
    </row>
    <row r="104">
      <c r="E104" s="1178" t="inlineStr">
        <is>
          <t>Ambient Enterprises</t>
        </is>
      </c>
      <c r="F104" s="1186" t="n">
        <v>1601818000</v>
      </c>
      <c r="G104" s="1186" t="n">
        <v>151990000</v>
      </c>
      <c r="H104" s="1186" t="n">
        <v>39047507.00000001</v>
      </c>
      <c r="I104" s="1186" t="n">
        <v>2931996</v>
      </c>
      <c r="J104" s="1186" t="n">
        <v>610227543.4296372</v>
      </c>
      <c r="K104" s="1186" t="n">
        <v>9153328.158187838</v>
      </c>
      <c r="L104" s="1186" t="n">
        <v>64935000</v>
      </c>
      <c r="M104" s="1187">
        <f>IF(SUM(H104:K104,-L104)/G104&lt;0,"N/M",SUM(H104:K104,-L104)/G104)</f>
        <v/>
      </c>
    </row>
    <row r="105">
      <c r="E105" s="1178" t="inlineStr">
        <is>
          <t>Versar</t>
        </is>
      </c>
      <c r="F105" s="1186" t="n">
        <v>193515971.96</v>
      </c>
      <c r="G105" s="1186" t="n">
        <v>27210419.40201903</v>
      </c>
      <c r="H105" s="1186" t="n">
        <v>20500000</v>
      </c>
      <c r="I105" s="1186" t="n">
        <v>7500000</v>
      </c>
      <c r="J105" s="1186" t="n">
        <v>0</v>
      </c>
      <c r="K105" s="1186" t="n">
        <v>45000000</v>
      </c>
      <c r="L105" s="1186" t="n">
        <v>3833452</v>
      </c>
      <c r="M105" s="1187">
        <f>IF(SUM(H105:K105,-L105)/G105&lt;0,"N/M",SUM(H105:K105,-L105)/G105)</f>
        <v/>
      </c>
    </row>
    <row r="106">
      <c r="E106" s="1178" t="inlineStr">
        <is>
          <t>Built by Grid, LLC</t>
        </is>
      </c>
      <c r="F106" s="1186" t="n">
        <v>50100000</v>
      </c>
      <c r="G106" s="1186" t="n">
        <v>11600000</v>
      </c>
      <c r="H106" s="1186" t="n">
        <v>0</v>
      </c>
      <c r="I106" s="1186" t="n">
        <v>10000000</v>
      </c>
      <c r="J106" s="1186" t="n">
        <v>0</v>
      </c>
      <c r="K106" s="1186" t="n">
        <v>15000000</v>
      </c>
      <c r="L106" s="1186" t="n">
        <v>2058000</v>
      </c>
      <c r="M106" s="1187">
        <f>IF(SUM(H106:K106,-L106)/G106&lt;0,"N/M",SUM(H106:K106,-L106)/G106)</f>
        <v/>
      </c>
    </row>
    <row r="107">
      <c r="E107" s="1178" t="inlineStr">
        <is>
          <t>Kassel Mechanical</t>
        </is>
      </c>
      <c r="F107" s="1186" t="n">
        <v>369553712.01</v>
      </c>
      <c r="G107" s="1186" t="n">
        <v>36689296.44746076</v>
      </c>
      <c r="H107" s="1186" t="n">
        <v>25041802</v>
      </c>
      <c r="I107" s="1186" t="n">
        <v>11441352</v>
      </c>
      <c r="J107" s="1186" t="n">
        <v>42582206.32766043</v>
      </c>
      <c r="K107" s="1186" t="n">
        <v>25153293.67233957</v>
      </c>
      <c r="L107" s="1186" t="n">
        <v>0</v>
      </c>
      <c r="M107" s="1187">
        <f>IF(SUM(H107:K107,-L107)/G107&lt;0,"N/M",SUM(H107:K107,-L107)/G107)</f>
        <v/>
      </c>
    </row>
    <row r="109">
      <c r="F109" s="1180" t="inlineStr">
        <is>
          <t>LTM Revenue</t>
        </is>
      </c>
      <c r="G109" s="1180" t="inlineStr">
        <is>
          <t>LTM Adj. EBITDA</t>
        </is>
      </c>
      <c r="H109" s="1180" t="inlineStr">
        <is>
          <t>Revolver</t>
        </is>
      </c>
      <c r="I109" s="1180" t="inlineStr">
        <is>
          <t>First Out</t>
        </is>
      </c>
      <c r="J109" s="1180" t="inlineStr">
        <is>
          <t>Pari Passu</t>
        </is>
      </c>
      <c r="K109" s="1180" t="inlineStr">
        <is>
          <t>SM Balance</t>
        </is>
      </c>
      <c r="L109" s="1180" t="inlineStr">
        <is>
          <t>Cash Balance</t>
        </is>
      </c>
    </row>
    <row r="110">
      <c r="E110" s="1178" t="inlineStr">
        <is>
          <t>48forty Intermediate Holdings, Inc.</t>
        </is>
      </c>
      <c r="F110" s="1178">
        <f>F3-F67</f>
        <v/>
      </c>
      <c r="G110" s="1178">
        <f>G3-G67</f>
        <v/>
      </c>
      <c r="H110" s="1178">
        <f>H3-H67</f>
        <v/>
      </c>
      <c r="I110" s="1178">
        <f>I3-I67</f>
        <v/>
      </c>
      <c r="J110" s="1178">
        <f>J3-J67</f>
        <v/>
      </c>
      <c r="K110" s="1178">
        <f>K3-K67</f>
        <v/>
      </c>
      <c r="L110" s="1178">
        <f>L3-L67</f>
        <v/>
      </c>
      <c r="M110" s="1187">
        <f>IFERROR(M3-M67,"N/A")</f>
        <v/>
      </c>
    </row>
    <row r="111">
      <c r="E111" s="1178" t="inlineStr">
        <is>
          <t>Acara Home Health</t>
        </is>
      </c>
      <c r="F111" s="1178">
        <f>F4-F68</f>
        <v/>
      </c>
      <c r="G111" s="1178">
        <f>G4-G68</f>
        <v/>
      </c>
      <c r="H111" s="1178">
        <f>H4-H68</f>
        <v/>
      </c>
      <c r="I111" s="1178">
        <f>I4-I68</f>
        <v/>
      </c>
      <c r="J111" s="1178">
        <f>J4-J68</f>
        <v/>
      </c>
      <c r="K111" s="1178">
        <f>K4-K68</f>
        <v/>
      </c>
      <c r="L111" s="1178">
        <f>L4-L68</f>
        <v/>
      </c>
      <c r="M111" s="1187">
        <f>IFERROR(M4-M68,"N/A")</f>
        <v/>
      </c>
    </row>
    <row r="112">
      <c r="E112" s="1178" t="inlineStr">
        <is>
          <t>Caregility</t>
        </is>
      </c>
      <c r="F112" s="1178">
        <f>F5-F69</f>
        <v/>
      </c>
      <c r="G112" s="1178">
        <f>G5-G69</f>
        <v/>
      </c>
      <c r="H112" s="1178">
        <f>H5-H69</f>
        <v/>
      </c>
      <c r="I112" s="1178">
        <f>I5-I69</f>
        <v/>
      </c>
      <c r="J112" s="1178">
        <f>J5-J69</f>
        <v/>
      </c>
      <c r="K112" s="1178">
        <f>K5-K69</f>
        <v/>
      </c>
      <c r="L112" s="1178">
        <f>L5-L69</f>
        <v/>
      </c>
      <c r="M112" s="1187">
        <f>IFERROR(M5-M69,"N/A")</f>
        <v/>
      </c>
    </row>
    <row r="113">
      <c r="E113" s="1178" t="inlineStr">
        <is>
          <t>Chicken Soup For The Soul</t>
        </is>
      </c>
      <c r="F113" s="1178">
        <f>F6-F70</f>
        <v/>
      </c>
      <c r="G113" s="1178">
        <f>G6-G70</f>
        <v/>
      </c>
      <c r="H113" s="1178">
        <f>H6-H70</f>
        <v/>
      </c>
      <c r="I113" s="1178">
        <f>I6-I70</f>
        <v/>
      </c>
      <c r="J113" s="1178">
        <f>J6-J70</f>
        <v/>
      </c>
      <c r="K113" s="1178">
        <f>K6-K70</f>
        <v/>
      </c>
      <c r="L113" s="1178">
        <f>L6-L70</f>
        <v/>
      </c>
      <c r="M113" s="1187">
        <f>IFERROR(M6-M70,"N/A")</f>
        <v/>
      </c>
    </row>
    <row r="114">
      <c r="E114" s="1178" t="inlineStr">
        <is>
          <t>Rip-It</t>
        </is>
      </c>
      <c r="F114" s="1178">
        <f>F7-F71</f>
        <v/>
      </c>
      <c r="G114" s="1178">
        <f>G7-G71</f>
        <v/>
      </c>
      <c r="H114" s="1178">
        <f>H7-H71</f>
        <v/>
      </c>
      <c r="I114" s="1178">
        <f>I7-I71</f>
        <v/>
      </c>
      <c r="J114" s="1178">
        <f>J7-J71</f>
        <v/>
      </c>
      <c r="K114" s="1178">
        <f>K7-K71</f>
        <v/>
      </c>
      <c r="L114" s="1178">
        <f>L7-L71</f>
        <v/>
      </c>
      <c r="M114" s="1187">
        <f>IFERROR(M7-M71,"N/A")</f>
        <v/>
      </c>
    </row>
    <row r="115">
      <c r="E115" s="1178" t="inlineStr">
        <is>
          <t>Consolidated Machine &amp; Tool Holdings</t>
        </is>
      </c>
      <c r="F115" s="1178">
        <f>F8-F72</f>
        <v/>
      </c>
      <c r="G115" s="1178">
        <f>G8-G72</f>
        <v/>
      </c>
      <c r="H115" s="1178">
        <f>H8-H72</f>
        <v/>
      </c>
      <c r="I115" s="1178">
        <f>I8-I72</f>
        <v/>
      </c>
      <c r="J115" s="1178">
        <f>J8-J72</f>
        <v/>
      </c>
      <c r="K115" s="1178">
        <f>K8-K72</f>
        <v/>
      </c>
      <c r="L115" s="1178">
        <f>L8-L72</f>
        <v/>
      </c>
      <c r="M115" s="1187">
        <f>IFERROR(M8-M72,"N/A")</f>
        <v/>
      </c>
    </row>
    <row r="116">
      <c r="E116" s="1178" t="inlineStr">
        <is>
          <t>Coop Home Goods</t>
        </is>
      </c>
      <c r="F116" s="1178">
        <f>F9-F73</f>
        <v/>
      </c>
      <c r="G116" s="1178">
        <f>G9-G73</f>
        <v/>
      </c>
      <c r="H116" s="1178">
        <f>H9-H73</f>
        <v/>
      </c>
      <c r="I116" s="1178">
        <f>I9-I73</f>
        <v/>
      </c>
      <c r="J116" s="1178">
        <f>J9-J73</f>
        <v/>
      </c>
      <c r="K116" s="1178">
        <f>K9-K73</f>
        <v/>
      </c>
      <c r="L116" s="1178">
        <f>L9-L73</f>
        <v/>
      </c>
      <c r="M116" s="1187">
        <f>IFERROR(M9-M73,"N/A")</f>
        <v/>
      </c>
    </row>
    <row r="117">
      <c r="E117" s="1178" t="inlineStr">
        <is>
          <t>Cortech</t>
        </is>
      </c>
      <c r="F117" s="1178">
        <f>F10-F74</f>
        <v/>
      </c>
      <c r="G117" s="1178">
        <f>G10-G74</f>
        <v/>
      </c>
      <c r="H117" s="1178">
        <f>H10-H74</f>
        <v/>
      </c>
      <c r="I117" s="1178">
        <f>I10-I74</f>
        <v/>
      </c>
      <c r="J117" s="1178">
        <f>J10-J74</f>
        <v/>
      </c>
      <c r="K117" s="1178">
        <f>K10-K74</f>
        <v/>
      </c>
      <c r="L117" s="1178">
        <f>L10-L74</f>
        <v/>
      </c>
      <c r="M117" s="1187">
        <f>IFERROR(M10-M74,"N/A")</f>
        <v/>
      </c>
    </row>
    <row r="118">
      <c r="E118" s="1178" t="inlineStr">
        <is>
          <t>Douglas Products and Packaging Company</t>
        </is>
      </c>
      <c r="F118" s="1178">
        <f>F11-F75</f>
        <v/>
      </c>
      <c r="G118" s="1178">
        <f>G11-G75</f>
        <v/>
      </c>
      <c r="H118" s="1178">
        <f>H11-H75</f>
        <v/>
      </c>
      <c r="I118" s="1178">
        <f>I11-I75</f>
        <v/>
      </c>
      <c r="J118" s="1178">
        <f>J11-J75</f>
        <v/>
      </c>
      <c r="K118" s="1178">
        <f>K11-K75</f>
        <v/>
      </c>
      <c r="L118" s="1178">
        <f>L11-L75</f>
        <v/>
      </c>
      <c r="M118" s="1187">
        <f>IFERROR(M11-M75,"N/A")</f>
        <v/>
      </c>
    </row>
    <row r="119">
      <c r="E119" s="1178" t="inlineStr">
        <is>
          <t>Five Iron Golf</t>
        </is>
      </c>
      <c r="F119" s="1178">
        <f>F12-F76</f>
        <v/>
      </c>
      <c r="G119" s="1178">
        <f>G12-G76</f>
        <v/>
      </c>
      <c r="H119" s="1178">
        <f>H12-H76</f>
        <v/>
      </c>
      <c r="I119" s="1178">
        <f>I12-I76</f>
        <v/>
      </c>
      <c r="J119" s="1178">
        <f>J12-J76</f>
        <v/>
      </c>
      <c r="K119" s="1178">
        <f>K12-K76</f>
        <v/>
      </c>
      <c r="L119" s="1178">
        <f>L12-L76</f>
        <v/>
      </c>
      <c r="M119" s="1187">
        <f>IFERROR(M12-M76,"N/A")</f>
        <v/>
      </c>
    </row>
    <row r="120">
      <c r="E120" s="1178" t="inlineStr">
        <is>
          <t>Fremont-Wright</t>
        </is>
      </c>
      <c r="F120" s="1178">
        <f>F13-F77</f>
        <v/>
      </c>
      <c r="G120" s="1178">
        <f>G13-G77</f>
        <v/>
      </c>
      <c r="H120" s="1178">
        <f>H13-H77</f>
        <v/>
      </c>
      <c r="I120" s="1178">
        <f>I13-I77</f>
        <v/>
      </c>
      <c r="J120" s="1178">
        <f>J13-J77</f>
        <v/>
      </c>
      <c r="K120" s="1178">
        <f>K13-K77</f>
        <v/>
      </c>
      <c r="L120" s="1178">
        <f>L13-L77</f>
        <v/>
      </c>
      <c r="M120" s="1187">
        <f>IFERROR(M13-M77,"N/A")</f>
        <v/>
      </c>
    </row>
    <row r="121">
      <c r="E121" s="1178" t="inlineStr">
        <is>
          <t>Gridsource</t>
        </is>
      </c>
      <c r="F121" s="1178">
        <f>F14-F78</f>
        <v/>
      </c>
      <c r="G121" s="1178">
        <f>G14-G78</f>
        <v/>
      </c>
      <c r="H121" s="1178">
        <f>H14-H78</f>
        <v/>
      </c>
      <c r="I121" s="1178">
        <f>I14-I78</f>
        <v/>
      </c>
      <c r="J121" s="1178">
        <f>J14-J78</f>
        <v/>
      </c>
      <c r="K121" s="1178">
        <f>K14-K78</f>
        <v/>
      </c>
      <c r="L121" s="1178">
        <f>L14-L78</f>
        <v/>
      </c>
      <c r="M121" s="1187">
        <f>IFERROR(M14-M78,"N/A")</f>
        <v/>
      </c>
    </row>
    <row r="122">
      <c r="E122" s="1178" t="inlineStr">
        <is>
          <t>Integrated Pain Associates</t>
        </is>
      </c>
      <c r="F122" s="1178">
        <f>F15-F79</f>
        <v/>
      </c>
      <c r="G122" s="1178">
        <f>G15-G79</f>
        <v/>
      </c>
      <c r="H122" s="1178">
        <f>H15-H79</f>
        <v/>
      </c>
      <c r="I122" s="1178">
        <f>I15-I79</f>
        <v/>
      </c>
      <c r="J122" s="1178">
        <f>J15-J79</f>
        <v/>
      </c>
      <c r="K122" s="1178">
        <f>K15-K79</f>
        <v/>
      </c>
      <c r="L122" s="1178">
        <f>L15-L79</f>
        <v/>
      </c>
      <c r="M122" s="1187">
        <f>IFERROR(M15-M79,"N/A")</f>
        <v/>
      </c>
    </row>
    <row r="123">
      <c r="E123" s="1178" t="inlineStr">
        <is>
          <t>Japonesque</t>
        </is>
      </c>
      <c r="F123" s="1178">
        <f>F16-F80</f>
        <v/>
      </c>
      <c r="G123" s="1178">
        <f>G16-G80</f>
        <v/>
      </c>
      <c r="H123" s="1178">
        <f>H16-H80</f>
        <v/>
      </c>
      <c r="I123" s="1178">
        <f>I16-I80</f>
        <v/>
      </c>
      <c r="J123" s="1178">
        <f>J16-J80</f>
        <v/>
      </c>
      <c r="K123" s="1178">
        <f>K16-K80</f>
        <v/>
      </c>
      <c r="L123" s="1178">
        <f>L16-L80</f>
        <v/>
      </c>
      <c r="M123" s="1187">
        <f>IFERROR(M16-M80,"N/A")</f>
        <v/>
      </c>
    </row>
    <row r="124">
      <c r="E124" s="1178" t="inlineStr">
        <is>
          <t>Jefferson Solutions Group</t>
        </is>
      </c>
      <c r="F124" s="1178">
        <f>F17-F81</f>
        <v/>
      </c>
      <c r="G124" s="1178">
        <f>G17-G81</f>
        <v/>
      </c>
      <c r="H124" s="1178">
        <f>H17-H81</f>
        <v/>
      </c>
      <c r="I124" s="1178">
        <f>I17-I81</f>
        <v/>
      </c>
      <c r="J124" s="1178">
        <f>J17-J81</f>
        <v/>
      </c>
      <c r="K124" s="1178">
        <f>K17-K81</f>
        <v/>
      </c>
      <c r="L124" s="1178">
        <f>L17-L81</f>
        <v/>
      </c>
      <c r="M124" s="1187">
        <f>IFERROR(M17-M81,"N/A")</f>
        <v/>
      </c>
    </row>
    <row r="125">
      <c r="E125" s="1178" t="inlineStr">
        <is>
          <t>Klein Hersh</t>
        </is>
      </c>
      <c r="F125" s="1178">
        <f>F18-F82</f>
        <v/>
      </c>
      <c r="G125" s="1178">
        <f>G18-G82</f>
        <v/>
      </c>
      <c r="H125" s="1178">
        <f>H18-H82</f>
        <v/>
      </c>
      <c r="I125" s="1178">
        <f>I18-I82</f>
        <v/>
      </c>
      <c r="J125" s="1178">
        <f>J18-J82</f>
        <v/>
      </c>
      <c r="K125" s="1178">
        <f>K18-K82</f>
        <v/>
      </c>
      <c r="L125" s="1178">
        <f>L18-L82</f>
        <v/>
      </c>
      <c r="M125" s="1187">
        <f>IFERROR(M18-M82,"N/A")</f>
        <v/>
      </c>
    </row>
    <row r="126">
      <c r="E126" s="1178" t="inlineStr">
        <is>
          <t>LaSalle Network</t>
        </is>
      </c>
      <c r="F126" s="1178">
        <f>F19-F83</f>
        <v/>
      </c>
      <c r="G126" s="1178">
        <f>G19-G83</f>
        <v/>
      </c>
      <c r="H126" s="1178">
        <f>H19-H83</f>
        <v/>
      </c>
      <c r="I126" s="1178">
        <f>I19-I83</f>
        <v/>
      </c>
      <c r="J126" s="1178">
        <f>J19-J83</f>
        <v/>
      </c>
      <c r="K126" s="1178">
        <f>K19-K83</f>
        <v/>
      </c>
      <c r="L126" s="1178">
        <f>L19-L83</f>
        <v/>
      </c>
      <c r="M126" s="1187">
        <f>IFERROR(M19-M83,"N/A")</f>
        <v/>
      </c>
    </row>
    <row r="127">
      <c r="E127" s="1178" t="inlineStr">
        <is>
          <t>Linden Research</t>
        </is>
      </c>
      <c r="F127" s="1178">
        <f>F20-F84</f>
        <v/>
      </c>
      <c r="G127" s="1178">
        <f>G20-G84</f>
        <v/>
      </c>
      <c r="H127" s="1178">
        <f>H20-H84</f>
        <v/>
      </c>
      <c r="I127" s="1178">
        <f>I20-I84</f>
        <v/>
      </c>
      <c r="J127" s="1178">
        <f>J20-J84</f>
        <v/>
      </c>
      <c r="K127" s="1178">
        <f>K20-K84</f>
        <v/>
      </c>
      <c r="L127" s="1178">
        <f>L20-L84</f>
        <v/>
      </c>
      <c r="M127" s="1187">
        <f>IFERROR(M20-M84,"N/A")</f>
        <v/>
      </c>
    </row>
    <row r="128">
      <c r="E128" s="1178" t="inlineStr">
        <is>
          <t>Masterwork Electronics</t>
        </is>
      </c>
      <c r="F128" s="1178">
        <f>F21-F85</f>
        <v/>
      </c>
      <c r="G128" s="1178">
        <f>G21-G85</f>
        <v/>
      </c>
      <c r="H128" s="1178">
        <f>H21-H85</f>
        <v/>
      </c>
      <c r="I128" s="1178">
        <f>I21-I85</f>
        <v/>
      </c>
      <c r="J128" s="1178">
        <f>J21-J85</f>
        <v/>
      </c>
      <c r="K128" s="1178">
        <f>K21-K85</f>
        <v/>
      </c>
      <c r="L128" s="1178">
        <f>L21-L85</f>
        <v/>
      </c>
      <c r="M128" s="1187">
        <f>IFERROR(M21-M85,"N/A")</f>
        <v/>
      </c>
    </row>
    <row r="129">
      <c r="E129" s="1178" t="inlineStr">
        <is>
          <t>MechanAir (I)</t>
        </is>
      </c>
      <c r="F129" s="1178">
        <f>F22-F86</f>
        <v/>
      </c>
      <c r="G129" s="1178">
        <f>G22-G86</f>
        <v/>
      </c>
      <c r="H129" s="1178">
        <f>H22-H86</f>
        <v/>
      </c>
      <c r="I129" s="1178">
        <f>I22-I86</f>
        <v/>
      </c>
      <c r="J129" s="1178">
        <f>J22-J86</f>
        <v/>
      </c>
      <c r="K129" s="1178">
        <f>K22-K86</f>
        <v/>
      </c>
      <c r="L129" s="1178">
        <f>L22-L86</f>
        <v/>
      </c>
      <c r="M129" s="1187">
        <f>IFERROR(M22-M86,"N/A")</f>
        <v/>
      </c>
    </row>
    <row r="130">
      <c r="E130" s="1178" t="inlineStr">
        <is>
          <t>Microf</t>
        </is>
      </c>
      <c r="F130" s="1178">
        <f>F23-F87</f>
        <v/>
      </c>
      <c r="G130" s="1178">
        <f>G23-G87</f>
        <v/>
      </c>
      <c r="H130" s="1178">
        <f>H23-H87</f>
        <v/>
      </c>
      <c r="I130" s="1178">
        <f>I23-I87</f>
        <v/>
      </c>
      <c r="J130" s="1178">
        <f>J23-J87</f>
        <v/>
      </c>
      <c r="K130" s="1178">
        <f>K23-K87</f>
        <v/>
      </c>
      <c r="L130" s="1178">
        <f>L23-L87</f>
        <v/>
      </c>
      <c r="M130" s="1187">
        <f>IFERROR(M23-M87,"N/A")</f>
        <v/>
      </c>
    </row>
    <row r="131">
      <c r="E131" s="1178" t="inlineStr">
        <is>
          <t>Mission</t>
        </is>
      </c>
      <c r="F131" s="1178">
        <f>F24-F88</f>
        <v/>
      </c>
      <c r="G131" s="1178">
        <f>G24-G88</f>
        <v/>
      </c>
      <c r="H131" s="1178">
        <f>H24-H88</f>
        <v/>
      </c>
      <c r="I131" s="1178">
        <f>I24-I88</f>
        <v/>
      </c>
      <c r="J131" s="1178">
        <f>J24-J88</f>
        <v/>
      </c>
      <c r="K131" s="1178">
        <f>K24-K88</f>
        <v/>
      </c>
      <c r="L131" s="1178">
        <f>L24-L88</f>
        <v/>
      </c>
      <c r="M131" s="1187">
        <f>IFERROR(M24-M88,"N/A")</f>
        <v/>
      </c>
    </row>
    <row r="132">
      <c r="E132" s="1178" t="inlineStr">
        <is>
          <t>NW Entertainment, LLC</t>
        </is>
      </c>
      <c r="F132" s="1178">
        <f>F25-F89</f>
        <v/>
      </c>
      <c r="G132" s="1178">
        <f>G25-G89</f>
        <v/>
      </c>
      <c r="H132" s="1178">
        <f>H25-H89</f>
        <v/>
      </c>
      <c r="I132" s="1178">
        <f>I25-I89</f>
        <v/>
      </c>
      <c r="J132" s="1178">
        <f>J25-J89</f>
        <v/>
      </c>
      <c r="K132" s="1178">
        <f>K25-K89</f>
        <v/>
      </c>
      <c r="L132" s="1178">
        <f>L25-L89</f>
        <v/>
      </c>
      <c r="M132" s="1187">
        <f>IFERROR(M25-M89,"N/A")</f>
        <v/>
      </c>
    </row>
    <row r="133">
      <c r="E133" s="1178" t="inlineStr">
        <is>
          <t>Padsquad</t>
        </is>
      </c>
      <c r="F133" s="1178">
        <f>F26-F90</f>
        <v/>
      </c>
      <c r="G133" s="1178">
        <f>G26-G90</f>
        <v/>
      </c>
      <c r="H133" s="1178">
        <f>H26-H90</f>
        <v/>
      </c>
      <c r="I133" s="1178">
        <f>I26-I90</f>
        <v/>
      </c>
      <c r="J133" s="1178">
        <f>J26-J90</f>
        <v/>
      </c>
      <c r="K133" s="1178">
        <f>K26-K90</f>
        <v/>
      </c>
      <c r="L133" s="1178">
        <f>L26-L90</f>
        <v/>
      </c>
      <c r="M133" s="1187">
        <f>IFERROR(M26-M90,"N/A")</f>
        <v/>
      </c>
    </row>
    <row r="134">
      <c r="E134" s="1178" t="inlineStr">
        <is>
          <t>Preferred Care Home Health</t>
        </is>
      </c>
      <c r="F134" s="1178">
        <f>F27-F91</f>
        <v/>
      </c>
      <c r="G134" s="1178">
        <f>G27-G91</f>
        <v/>
      </c>
      <c r="H134" s="1178">
        <f>H27-H91</f>
        <v/>
      </c>
      <c r="I134" s="1178">
        <f>I27-I91</f>
        <v/>
      </c>
      <c r="J134" s="1178">
        <f>J27-J91</f>
        <v/>
      </c>
      <c r="K134" s="1178">
        <f>K27-K91</f>
        <v/>
      </c>
      <c r="L134" s="1178">
        <f>L27-L91</f>
        <v/>
      </c>
      <c r="M134" s="1187">
        <f>IFERROR(M27-M91,"N/A")</f>
        <v/>
      </c>
    </row>
    <row r="135">
      <c r="E135" s="1178" t="inlineStr">
        <is>
          <t>Qualified Digital</t>
        </is>
      </c>
      <c r="F135" s="1178">
        <f>F28-F92</f>
        <v/>
      </c>
      <c r="G135" s="1178">
        <f>G28-G92</f>
        <v/>
      </c>
      <c r="H135" s="1178">
        <f>H28-H92</f>
        <v/>
      </c>
      <c r="I135" s="1178">
        <f>I28-I92</f>
        <v/>
      </c>
      <c r="J135" s="1178">
        <f>J28-J92</f>
        <v/>
      </c>
      <c r="K135" s="1178">
        <f>K28-K92</f>
        <v/>
      </c>
      <c r="L135" s="1178">
        <f>L28-L92</f>
        <v/>
      </c>
      <c r="M135" s="1187">
        <f>IFERROR(M28-M92,"N/A")</f>
        <v/>
      </c>
    </row>
    <row r="136">
      <c r="E136" s="1178" t="inlineStr">
        <is>
          <t>SkyBell Technologies</t>
        </is>
      </c>
      <c r="F136" s="1178">
        <f>F29-F93</f>
        <v/>
      </c>
      <c r="G136" s="1178">
        <f>G29-G93</f>
        <v/>
      </c>
      <c r="H136" s="1178">
        <f>H29-H93</f>
        <v/>
      </c>
      <c r="I136" s="1178">
        <f>I29-I93</f>
        <v/>
      </c>
      <c r="J136" s="1178">
        <f>J29-J93</f>
        <v/>
      </c>
      <c r="K136" s="1178">
        <f>K29-K93</f>
        <v/>
      </c>
      <c r="L136" s="1178">
        <f>L29-L93</f>
        <v/>
      </c>
      <c r="M136" s="1187">
        <f>IFERROR(M29-M93,"N/A")</f>
        <v/>
      </c>
    </row>
    <row r="137">
      <c r="E137" s="1178" t="inlineStr">
        <is>
          <t>Watt Contracting Holdings</t>
        </is>
      </c>
      <c r="F137" s="1178">
        <f>F30-F94</f>
        <v/>
      </c>
      <c r="G137" s="1178">
        <f>G30-G94</f>
        <v/>
      </c>
      <c r="H137" s="1178">
        <f>H30-H94</f>
        <v/>
      </c>
      <c r="I137" s="1178">
        <f>I30-I94</f>
        <v/>
      </c>
      <c r="J137" s="1178">
        <f>J30-J94</f>
        <v/>
      </c>
      <c r="K137" s="1178">
        <f>K30-K94</f>
        <v/>
      </c>
      <c r="L137" s="1178">
        <f>L30-L94</f>
        <v/>
      </c>
      <c r="M137" s="1187">
        <f>IFERROR(M30-M94,"N/A")</f>
        <v/>
      </c>
    </row>
    <row r="138">
      <c r="E138" s="1178" t="inlineStr">
        <is>
          <t>Swyft Filings</t>
        </is>
      </c>
      <c r="F138" s="1178">
        <f>F31-F95</f>
        <v/>
      </c>
      <c r="G138" s="1178">
        <f>G31-G95</f>
        <v/>
      </c>
      <c r="H138" s="1178">
        <f>H31-H95</f>
        <v/>
      </c>
      <c r="I138" s="1178">
        <f>I31-I95</f>
        <v/>
      </c>
      <c r="J138" s="1178">
        <f>J31-J95</f>
        <v/>
      </c>
      <c r="K138" s="1178">
        <f>K31-K95</f>
        <v/>
      </c>
      <c r="L138" s="1178">
        <f>L31-L95</f>
        <v/>
      </c>
      <c r="M138" s="1187">
        <f>IFERROR(M31-M95,"N/A")</f>
        <v/>
      </c>
    </row>
    <row r="139">
      <c r="E139" s="1178" t="inlineStr">
        <is>
          <t>Texas Contract Manufacturing Group</t>
        </is>
      </c>
      <c r="F139" s="1178">
        <f>F32-F96</f>
        <v/>
      </c>
      <c r="G139" s="1178">
        <f>G32-G96</f>
        <v/>
      </c>
      <c r="H139" s="1178">
        <f>H32-H96</f>
        <v/>
      </c>
      <c r="I139" s="1178">
        <f>I32-I96</f>
        <v/>
      </c>
      <c r="J139" s="1178">
        <f>J32-J96</f>
        <v/>
      </c>
      <c r="K139" s="1178">
        <f>K32-K96</f>
        <v/>
      </c>
      <c r="L139" s="1178">
        <f>L32-L96</f>
        <v/>
      </c>
      <c r="M139" s="1187">
        <f>IFERROR(M32-M96,"N/A")</f>
        <v/>
      </c>
    </row>
    <row r="140">
      <c r="E140" s="1178" t="inlineStr">
        <is>
          <t>HighStar Traffic</t>
        </is>
      </c>
      <c r="F140" s="1178">
        <f>F33-F97</f>
        <v/>
      </c>
      <c r="G140" s="1178">
        <f>G33-G97</f>
        <v/>
      </c>
      <c r="H140" s="1178">
        <f>H33-H97</f>
        <v/>
      </c>
      <c r="I140" s="1178">
        <f>I33-I97</f>
        <v/>
      </c>
      <c r="J140" s="1178">
        <f>J33-J97</f>
        <v/>
      </c>
      <c r="K140" s="1178">
        <f>K33-K97</f>
        <v/>
      </c>
      <c r="L140" s="1178">
        <f>L33-L97</f>
        <v/>
      </c>
      <c r="M140" s="1187">
        <f>IFERROR(M33-M97,"N/A")</f>
        <v/>
      </c>
    </row>
    <row r="141">
      <c r="E141" s="1178" t="inlineStr">
        <is>
          <t>Trailer Park Group</t>
        </is>
      </c>
      <c r="F141" s="1178">
        <f>F34-F98</f>
        <v/>
      </c>
      <c r="G141" s="1178">
        <f>G34-G98</f>
        <v/>
      </c>
      <c r="H141" s="1178">
        <f>H34-H98</f>
        <v/>
      </c>
      <c r="I141" s="1178">
        <f>I34-I98</f>
        <v/>
      </c>
      <c r="J141" s="1178">
        <f>J34-J98</f>
        <v/>
      </c>
      <c r="K141" s="1178">
        <f>K34-K98</f>
        <v/>
      </c>
      <c r="L141" s="1178">
        <f>L34-L98</f>
        <v/>
      </c>
      <c r="M141" s="1187">
        <f>IFERROR(M34-M98,"N/A")</f>
        <v/>
      </c>
    </row>
    <row r="142">
      <c r="E142" s="1178" t="inlineStr">
        <is>
          <t>Uncle John's Pride</t>
        </is>
      </c>
      <c r="F142" s="1178">
        <f>F35-F99</f>
        <v/>
      </c>
      <c r="G142" s="1178">
        <f>G35-G99</f>
        <v/>
      </c>
      <c r="H142" s="1178">
        <f>H35-H99</f>
        <v/>
      </c>
      <c r="I142" s="1178">
        <f>I35-I99</f>
        <v/>
      </c>
      <c r="J142" s="1178">
        <f>J35-J99</f>
        <v/>
      </c>
      <c r="K142" s="1178">
        <f>K35-K99</f>
        <v/>
      </c>
      <c r="L142" s="1178">
        <f>L35-L99</f>
        <v/>
      </c>
      <c r="M142" s="1187">
        <f>IFERROR(M35-M99,"N/A")</f>
        <v/>
      </c>
    </row>
    <row r="143">
      <c r="E143" s="1178" t="inlineStr">
        <is>
          <t>USBid Inc.</t>
        </is>
      </c>
      <c r="F143" s="1178">
        <f>F36-F100</f>
        <v/>
      </c>
      <c r="G143" s="1178">
        <f>G36-G100</f>
        <v/>
      </c>
      <c r="H143" s="1178">
        <f>H36-H100</f>
        <v/>
      </c>
      <c r="I143" s="1178">
        <f>I36-I100</f>
        <v/>
      </c>
      <c r="J143" s="1178">
        <f>J36-J100</f>
        <v/>
      </c>
      <c r="K143" s="1178">
        <f>K36-K100</f>
        <v/>
      </c>
      <c r="L143" s="1178">
        <f>L36-L100</f>
        <v/>
      </c>
      <c r="M143" s="1187">
        <f>IFERROR(M36-M100,"N/A")</f>
        <v/>
      </c>
    </row>
    <row r="144">
      <c r="E144" s="1178" t="inlineStr">
        <is>
          <t>Vertical Mechanical Group</t>
        </is>
      </c>
      <c r="F144" s="1178">
        <f>F37-F101</f>
        <v/>
      </c>
      <c r="G144" s="1178">
        <f>G37-G101</f>
        <v/>
      </c>
      <c r="H144" s="1178">
        <f>H37-H101</f>
        <v/>
      </c>
      <c r="I144" s="1178">
        <f>I37-I101</f>
        <v/>
      </c>
      <c r="J144" s="1178">
        <f>J37-J101</f>
        <v/>
      </c>
      <c r="K144" s="1178">
        <f>K37-K101</f>
        <v/>
      </c>
      <c r="L144" s="1178">
        <f>L37-L101</f>
        <v/>
      </c>
      <c r="M144" s="1187">
        <f>IFERROR(M37-M101,"N/A")</f>
        <v/>
      </c>
    </row>
    <row r="145">
      <c r="E145" s="1178" t="inlineStr">
        <is>
          <t>PQT Ayaquhs</t>
        </is>
      </c>
      <c r="F145" s="1178">
        <f>F38-F102</f>
        <v/>
      </c>
      <c r="G145" s="1178">
        <f>G38-G102</f>
        <v/>
      </c>
      <c r="H145" s="1178">
        <f>H38-H102</f>
        <v/>
      </c>
      <c r="I145" s="1178">
        <f>I38-I102</f>
        <v/>
      </c>
      <c r="J145" s="1178">
        <f>J38-J102</f>
        <v/>
      </c>
      <c r="K145" s="1178">
        <f>K38-K102</f>
        <v/>
      </c>
      <c r="L145" s="1178">
        <f>L38-L102</f>
        <v/>
      </c>
      <c r="M145" s="1187">
        <f>IFERROR(M38-M102,"N/A")</f>
        <v/>
      </c>
    </row>
    <row r="146">
      <c r="E146" s="1178" t="inlineStr">
        <is>
          <t>Kelso Industries</t>
        </is>
      </c>
      <c r="F146" s="1178">
        <f>F39-F103</f>
        <v/>
      </c>
      <c r="G146" s="1178">
        <f>G39-G103</f>
        <v/>
      </c>
      <c r="H146" s="1178">
        <f>H39-H103</f>
        <v/>
      </c>
      <c r="I146" s="1178">
        <f>I39-I103</f>
        <v/>
      </c>
      <c r="J146" s="1178">
        <f>J39-J103</f>
        <v/>
      </c>
      <c r="K146" s="1178">
        <f>K39-K103</f>
        <v/>
      </c>
      <c r="L146" s="1178">
        <f>L39-L103</f>
        <v/>
      </c>
      <c r="M146" s="1187">
        <f>IFERROR(M39-M103,"N/A")</f>
        <v/>
      </c>
    </row>
    <row r="147">
      <c r="E147" s="1178" t="inlineStr">
        <is>
          <t>Ambient Enterprises</t>
        </is>
      </c>
      <c r="F147" s="1178">
        <f>F40-F104</f>
        <v/>
      </c>
      <c r="G147" s="1178">
        <f>G40-G104</f>
        <v/>
      </c>
      <c r="H147" s="1178">
        <f>H40-H104</f>
        <v/>
      </c>
      <c r="I147" s="1178">
        <f>I40-I104</f>
        <v/>
      </c>
      <c r="J147" s="1178">
        <f>J40-J104</f>
        <v/>
      </c>
      <c r="K147" s="1178">
        <f>K40-K104</f>
        <v/>
      </c>
      <c r="L147" s="1178">
        <f>L40-L104</f>
        <v/>
      </c>
      <c r="M147" s="1187">
        <f>IFERROR(M40-M104,"N/A")</f>
        <v/>
      </c>
    </row>
    <row r="148">
      <c r="E148" s="1178" t="inlineStr">
        <is>
          <t>Versar</t>
        </is>
      </c>
      <c r="F148" s="1178">
        <f>F41-F105</f>
        <v/>
      </c>
      <c r="G148" s="1178">
        <f>G41-G105</f>
        <v/>
      </c>
      <c r="H148" s="1178">
        <f>H41-H105</f>
        <v/>
      </c>
      <c r="I148" s="1178">
        <f>I41-I105</f>
        <v/>
      </c>
      <c r="J148" s="1178">
        <f>J41-J105</f>
        <v/>
      </c>
      <c r="K148" s="1178">
        <f>K41-K105</f>
        <v/>
      </c>
      <c r="L148" s="1178">
        <f>L41-L105</f>
        <v/>
      </c>
      <c r="M148" s="1187">
        <f>IFERROR(M41-M105,"N/A")</f>
        <v/>
      </c>
    </row>
    <row r="149">
      <c r="E149" s="1178" t="inlineStr">
        <is>
          <t>Built by Grid, LLC</t>
        </is>
      </c>
      <c r="F149" s="1178">
        <f>F42-F106</f>
        <v/>
      </c>
      <c r="G149" s="1178">
        <f>G42-G106</f>
        <v/>
      </c>
      <c r="H149" s="1178">
        <f>H42-H106</f>
        <v/>
      </c>
      <c r="I149" s="1178">
        <f>I42-I106</f>
        <v/>
      </c>
      <c r="J149" s="1178">
        <f>J42-J106</f>
        <v/>
      </c>
      <c r="K149" s="1178">
        <f>K42-K106</f>
        <v/>
      </c>
      <c r="L149" s="1178">
        <f>L42-L106</f>
        <v/>
      </c>
      <c r="M149" s="1187">
        <f>IFERROR(M42-M106,"N/A")</f>
        <v/>
      </c>
    </row>
    <row r="150">
      <c r="E150" s="1178" t="inlineStr">
        <is>
          <t>Kassel Mechanical</t>
        </is>
      </c>
    </row>
    <row r="158">
      <c r="B158" s="1181" t="inlineStr">
        <is>
          <t>Company</t>
        </is>
      </c>
      <c r="C158" s="1180" t="inlineStr">
        <is>
          <t>Security</t>
        </is>
      </c>
      <c r="D158" s="1180" t="inlineStr">
        <is>
          <t>Debt Balance</t>
        </is>
      </c>
      <c r="E158" s="1180" t="inlineStr">
        <is>
          <t>SM Fair Value</t>
        </is>
      </c>
      <c r="F158" s="1180" t="inlineStr">
        <is>
          <t>LTM Revenue</t>
        </is>
      </c>
      <c r="G158" s="1180" t="inlineStr">
        <is>
          <t>LTM Adj. EBITDA</t>
        </is>
      </c>
      <c r="H158" s="1180" t="inlineStr">
        <is>
          <t>Revolver</t>
        </is>
      </c>
      <c r="I158" s="1180" t="inlineStr">
        <is>
          <t>First Out</t>
        </is>
      </c>
      <c r="J158" s="1180" t="inlineStr">
        <is>
          <t>Pari Passu</t>
        </is>
      </c>
      <c r="K158" s="1180" t="inlineStr">
        <is>
          <t>SM Balance</t>
        </is>
      </c>
      <c r="L158" s="1180" t="inlineStr">
        <is>
          <t>Cash Balance</t>
        </is>
      </c>
      <c r="M158" s="174" t="inlineStr">
        <is>
          <t>Net Detachment</t>
        </is>
      </c>
      <c r="N158" s="174" t="inlineStr">
        <is>
          <t>Net Attachment</t>
        </is>
      </c>
      <c r="O158" s="174" t="inlineStr">
        <is>
          <t>Current Interest Coverage</t>
        </is>
      </c>
    </row>
    <row r="159">
      <c r="B159" s="658" t="inlineStr">
        <is>
          <t>NW Entertainment, LLC</t>
        </is>
      </c>
      <c r="C159" s="1183" t="inlineStr">
        <is>
          <t>First Lien</t>
        </is>
      </c>
      <c r="D159" s="1184" t="n">
        <v>6137824.8084</v>
      </c>
      <c r="E159" s="1185" t="n">
        <v>5895687.619708621</v>
      </c>
      <c r="F159" s="1186" t="n">
        <v>53554300.41999999</v>
      </c>
      <c r="G159" s="1186" t="n">
        <v>7595042.759999998</v>
      </c>
      <c r="H159" s="1186" t="n">
        <v>4250000</v>
      </c>
      <c r="I159" s="1186" t="n">
        <v>0</v>
      </c>
      <c r="J159" s="1186" t="n">
        <v>3525000</v>
      </c>
      <c r="K159" s="1186" t="n">
        <v>45825000</v>
      </c>
      <c r="L159" s="1186" t="n">
        <v>190583.81</v>
      </c>
      <c r="M159" s="1187" t="n">
        <v>7.032141605743904</v>
      </c>
      <c r="N159" s="1187" t="n">
        <v>0.5344823351593614</v>
      </c>
      <c r="O159" s="1188" t="n">
        <v>1.05717486714</v>
      </c>
    </row>
  </sheetData>
  <conditionalFormatting sqref="A3:A63">
    <cfRule type="containsText" priority="6" operator="containsText" dxfId="9" text="No">
      <formula>NOT(ISERROR(SEARCH("No",A3)))</formula>
    </cfRule>
  </conditionalFormatting>
  <conditionalFormatting sqref="M3:M50">
    <cfRule type="cellIs" priority="5" operator="greaterThan" dxfId="9">
      <formula>5</formula>
    </cfRule>
  </conditionalFormatting>
  <conditionalFormatting sqref="M67:M107">
    <cfRule type="cellIs" priority="3" operator="greaterThan" dxfId="9">
      <formula>5</formula>
    </cfRule>
  </conditionalFormatting>
  <conditionalFormatting sqref="M110:M149">
    <cfRule type="cellIs" priority="2" operator="greaterThan" dxfId="9">
      <formula>5</formula>
    </cfRule>
  </conditionalFormatting>
  <conditionalFormatting sqref="M159">
    <cfRule type="cellIs" priority="1" operator="greaterThan" dxfId="9">
      <formula>5</formula>
    </cfRule>
  </conditionalFormatting>
  <conditionalFormatting sqref="Q3:Q50">
    <cfRule type="colorScale" priority="43">
      <colorScale>
        <cfvo type="min"/>
        <cfvo type="percentile" val="50"/>
        <cfvo type="max"/>
        <color rgb="FFF8696B"/>
        <color rgb="FFFFEB84"/>
        <color rgb="FF63BE7B"/>
      </colorScale>
    </cfRule>
  </conditionalFormatting>
  <pageMargins left="0.7" right="0.7" top="0.75" bottom="0.75" header="0.3" footer="0.3"/>
  <pageSetup orientation="portrait"/>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3:R32"/>
  <sheetViews>
    <sheetView zoomScaleNormal="100" workbookViewId="0">
      <selection activeCell="O50" sqref="O50"/>
    </sheetView>
  </sheetViews>
  <sheetFormatPr baseColWidth="8" defaultColWidth="9.28515625" defaultRowHeight="15"/>
  <cols>
    <col width="2.28515625" customWidth="1" style="215" min="1" max="1"/>
    <col width="37.28515625" customWidth="1" style="215" min="2" max="2"/>
    <col width="9.28515625" customWidth="1" style="215" min="3" max="5"/>
    <col width="10.28515625" bestFit="1" customWidth="1" style="215" min="6" max="6"/>
    <col width="13.5703125" customWidth="1" style="215" min="7" max="7"/>
    <col width="10.28515625" bestFit="1" customWidth="1" style="215" min="8" max="8"/>
    <col width="17.28515625" customWidth="1" style="215" min="9" max="9"/>
    <col width="9.28515625" customWidth="1" style="215" min="10" max="10"/>
    <col width="9.28515625" customWidth="1" style="161" min="11" max="11"/>
    <col width="9.28515625" customWidth="1" style="215" min="12" max="17"/>
    <col width="9.5703125" bestFit="1" customWidth="1" style="215" min="18" max="18"/>
    <col width="9.28515625" customWidth="1" style="215" min="19" max="16384"/>
  </cols>
  <sheetData>
    <row r="1" ht="12.75" customFormat="1" customHeight="1" s="329"/>
    <row r="2" ht="12.75" customFormat="1" customHeight="1" s="329"/>
    <row r="3" ht="12.75" customFormat="1" customHeight="1" s="329">
      <c r="B3" s="324" t="inlineStr">
        <is>
          <t>Borrower:</t>
        </is>
      </c>
      <c r="F3" s="973" t="inlineStr">
        <is>
          <t>Star Mountain Lower Middle-Market Capital Corp.</t>
        </is>
      </c>
      <c r="G3" s="974" t="n"/>
      <c r="H3" s="974" t="n"/>
      <c r="I3" s="975" t="n"/>
    </row>
    <row r="4" ht="12.75" customFormat="1" customHeight="1" s="329"/>
    <row r="5" ht="12.75" customFormat="1" customHeight="1" s="329">
      <c r="B5" s="324" t="inlineStr">
        <is>
          <t>Report Date:</t>
        </is>
      </c>
      <c r="F5" s="750" t="n">
        <v>45930</v>
      </c>
      <c r="G5" s="325" t="n"/>
      <c r="I5" s="322" t="n"/>
    </row>
    <row r="6" ht="12.75" customFormat="1" customHeight="1" s="329"/>
    <row r="7" ht="12.75" customFormat="1" customHeight="1" s="329"/>
    <row r="8" ht="12.75" customFormat="1" customHeight="1" s="329">
      <c r="I8" s="367" t="inlineStr">
        <is>
          <t>INPUTS</t>
        </is>
      </c>
    </row>
    <row r="9" ht="12.75" customFormat="1" customHeight="1" s="329"/>
    <row r="10" ht="12.75" customFormat="1" customHeight="1" s="329">
      <c r="A10" s="322" t="n"/>
      <c r="B10" s="368" t="inlineStr">
        <is>
          <t>a. Interest Coverage</t>
        </is>
      </c>
      <c r="C10" s="368" t="n"/>
      <c r="D10" s="368" t="n"/>
      <c r="E10" s="368" t="n"/>
      <c r="F10" s="368" t="n"/>
      <c r="G10" s="368" t="n"/>
      <c r="H10" s="368" t="n"/>
      <c r="I10" s="368" t="n"/>
      <c r="K10" s="329" t="inlineStr">
        <is>
          <t>Star Mountain Notes:</t>
        </is>
      </c>
    </row>
    <row r="11" ht="12.75" customFormat="1" customHeight="1" s="329">
      <c r="B11" s="329" t="inlineStr">
        <is>
          <t>At all times, the Interest Coverage Ratio (as set forth in the latest Quarterly Servicing Report) shall not be less than 150%</t>
        </is>
      </c>
    </row>
    <row r="12" ht="12.75" customFormat="1" customHeight="1" s="329"/>
    <row r="13" ht="12.75" customFormat="1" customHeight="1" s="329">
      <c r="B13" s="329" t="inlineStr">
        <is>
          <t>The sum of Interest Collections deposited in the Collection Account during the immediately preceding three-Month period</t>
        </is>
      </c>
      <c r="I13" s="728" t="n">
        <v>8485827</v>
      </c>
      <c r="J13" s="591" t="inlineStr">
        <is>
          <t>&lt;</t>
        </is>
      </c>
      <c r="K13" s="751" t="inlineStr">
        <is>
          <t>All Income (minus PIK) as of the Three Month Period ending 6/30/2025</t>
        </is>
      </c>
      <c r="L13" s="752" t="n"/>
      <c r="M13" s="752" t="n"/>
      <c r="N13" s="752" t="n"/>
    </row>
    <row r="14" ht="12.75" customFormat="1" customHeight="1" s="329">
      <c r="B14" s="329" t="inlineStr">
        <is>
          <t>The sum of the payments of interest required to be made pursuant to Section 2.04(a) hereof on the related Payment Date</t>
        </is>
      </c>
      <c r="I14" s="728" t="n">
        <v>2165975</v>
      </c>
      <c r="J14" s="329" t="inlineStr">
        <is>
          <t>&lt;</t>
        </is>
      </c>
      <c r="K14" s="751" t="inlineStr">
        <is>
          <t>Interest expense + unused fee + admin fee + closing fees (if applicable) as of the Three Month Period ending 6/30/2025</t>
        </is>
      </c>
      <c r="L14" s="752" t="n"/>
      <c r="M14" s="752" t="n"/>
      <c r="N14" s="752" t="n"/>
      <c r="R14" s="597" t="n"/>
    </row>
    <row r="15" ht="13.5" customFormat="1" customHeight="1" s="329" thickBot="1">
      <c r="H15" s="346" t="n"/>
      <c r="I15" s="592">
        <f>IF(I13/I14&gt;1000%, "&gt;1000%",I13/I14)</f>
        <v/>
      </c>
      <c r="K15" s="752" t="n"/>
      <c r="L15" s="752" t="n"/>
      <c r="M15" s="752" t="n"/>
      <c r="N15" s="752" t="n"/>
    </row>
    <row r="16" ht="14.25" customFormat="1" customHeight="1" s="329" thickBot="1" thickTop="1">
      <c r="H16" s="346" t="inlineStr">
        <is>
          <t>Test Level</t>
        </is>
      </c>
      <c r="I16" s="593" t="n">
        <v>1.5</v>
      </c>
      <c r="K16" s="752" t="n"/>
      <c r="L16" s="752" t="n"/>
      <c r="M16" s="752" t="n"/>
      <c r="N16" s="752" t="n"/>
    </row>
    <row r="17" ht="13.5" customFormat="1" customHeight="1" s="329" thickTop="1">
      <c r="I17" s="598">
        <f>IF(I15&gt;=I16,"Pass","Fail")</f>
        <v/>
      </c>
      <c r="K17" s="752" t="n"/>
      <c r="L17" s="752" t="n"/>
      <c r="M17" s="752" t="n"/>
      <c r="N17" s="752" t="n"/>
    </row>
    <row r="18" ht="12.75" customFormat="1" customHeight="1" s="329">
      <c r="K18" s="752" t="n"/>
      <c r="L18" s="752" t="n"/>
      <c r="M18" s="752" t="n"/>
      <c r="N18" s="752" t="n"/>
    </row>
    <row r="19" ht="12.75" customFormat="1" customHeight="1" s="329">
      <c r="B19" s="368" t="inlineStr">
        <is>
          <t>b. Tangible Net Worth</t>
        </is>
      </c>
      <c r="C19" s="368" t="n"/>
      <c r="D19" s="368" t="n"/>
      <c r="E19" s="368" t="n"/>
      <c r="F19" s="368" t="n"/>
      <c r="G19" s="368" t="n"/>
      <c r="H19" s="368" t="n"/>
      <c r="I19" s="368" t="n"/>
      <c r="K19" s="752" t="n"/>
      <c r="L19" s="752" t="n"/>
      <c r="M19" s="752" t="n"/>
      <c r="N19" s="752" t="n"/>
    </row>
    <row r="20" ht="59.25" customFormat="1" customHeight="1" s="329">
      <c r="B20" s="942" t="inlineStr">
        <is>
          <t>The Borrower shall fail to maintain a Tangible Net Worth of $25,000,000 or greater, measured as of the last day of any fiscal quarter “Tangible Net Worth” means, as of any date of determination, determined on a consolidated basis and in accordance with GAAP, the result of (a) such Person’s total stockholders’ or members’ equity, minus (b) the sum of all intangible assets of such Person under GAAP.</t>
        </is>
      </c>
      <c r="K20" s="752" t="n"/>
      <c r="L20" s="752" t="n"/>
      <c r="M20" s="752" t="n"/>
      <c r="N20" s="752" t="n"/>
    </row>
    <row r="21" ht="12.75" customFormat="1" customHeight="1" s="329">
      <c r="B21" s="594" t="n"/>
      <c r="C21" s="594" t="n"/>
      <c r="D21" s="594" t="n"/>
      <c r="E21" s="594" t="n"/>
      <c r="F21" s="594" t="n"/>
      <c r="G21" s="594" t="n"/>
      <c r="H21" s="594" t="n"/>
      <c r="I21" s="594" t="n"/>
      <c r="K21" s="752" t="n"/>
      <c r="L21" s="752" t="n"/>
      <c r="M21" s="752" t="n"/>
      <c r="N21" s="752" t="n"/>
    </row>
    <row r="22" ht="12.75" customFormat="1" customHeight="1" s="329">
      <c r="B22" s="594" t="inlineStr">
        <is>
          <t>Total stockholders’ or members’ equity</t>
        </is>
      </c>
      <c r="C22" s="594" t="n"/>
      <c r="D22" s="594" t="n"/>
      <c r="E22" s="594" t="n"/>
      <c r="F22" s="594" t="n"/>
      <c r="G22" s="594" t="n"/>
      <c r="H22" s="594" t="inlineStr">
        <is>
          <t>&gt;</t>
        </is>
      </c>
      <c r="I22" s="728" t="n">
        <v>243972240</v>
      </c>
      <c r="J22" s="591" t="n"/>
      <c r="K22" s="751" t="inlineStr">
        <is>
          <t>9/30 NAV</t>
        </is>
      </c>
      <c r="L22" s="752" t="n"/>
      <c r="M22" s="752" t="n"/>
      <c r="N22" s="752" t="n"/>
    </row>
    <row r="23" ht="12.75" customFormat="1" customHeight="1" s="329">
      <c r="B23" s="594" t="inlineStr">
        <is>
          <t>All intangible assets</t>
        </is>
      </c>
      <c r="C23" s="594" t="n"/>
      <c r="D23" s="594" t="n"/>
      <c r="E23" s="594" t="n"/>
      <c r="F23" s="594" t="n"/>
      <c r="G23" s="594" t="n"/>
      <c r="H23" s="594" t="n"/>
      <c r="I23" s="728" t="n">
        <v>0</v>
      </c>
      <c r="K23" s="752" t="n"/>
      <c r="L23" s="752" t="n"/>
      <c r="M23" s="752" t="n"/>
      <c r="N23" s="752" t="n"/>
    </row>
    <row r="24" ht="13.5" customFormat="1" customHeight="1" s="329" thickBot="1">
      <c r="I24" s="595">
        <f>I22-I23</f>
        <v/>
      </c>
    </row>
    <row r="25" ht="14.25" customFormat="1" customHeight="1" s="329" thickBot="1" thickTop="1">
      <c r="H25" s="346" t="inlineStr">
        <is>
          <t>Test Level</t>
        </is>
      </c>
      <c r="I25" s="596" t="n">
        <v>25000000</v>
      </c>
    </row>
    <row r="26" ht="13.5" customFormat="1" customHeight="1" s="329" thickTop="1">
      <c r="I26" s="598">
        <f>IF(I24&gt;=I25,"Pass","Fail")</f>
        <v/>
      </c>
    </row>
    <row r="27" ht="12.75" customFormat="1" customHeight="1" s="329"/>
    <row r="28" ht="12" customFormat="1" customHeight="1" s="329">
      <c r="B28" s="368" t="inlineStr">
        <is>
          <t>C. Additional Permitted Debt</t>
        </is>
      </c>
      <c r="C28" s="368" t="n"/>
      <c r="D28" s="368" t="n"/>
      <c r="E28" s="368" t="n"/>
      <c r="F28" s="368" t="n"/>
      <c r="G28" s="368" t="n"/>
      <c r="H28" s="368" t="n"/>
      <c r="I28" s="368" t="n"/>
    </row>
    <row r="29" ht="83.25" customFormat="1" customHeight="1" s="329">
      <c r="B29" s="943" t="inlineStr">
        <is>
          <t>Other than as set forth on Schedule 5.02(c), the Borrower shall not create, incur or permit to exist any Indebtedness of the Borrower or other indebtedness, secured or unsecured, direct or contingent (including a guaranty of any obligation), other than Indebtedness incurred under (i) the terms of the Transaction Documents, (ii) a Permitted Capital Call Facility, and (iii) unsecured Indebtedness of the Borrower as long as, as of the date of incurrence of such unsecured Indebtedness, (1) no Default or Event of default is continuing or would result therefrom, and (2) the Interest Coverage Ratio as of the most recent Determination Date for which a Quarterly Servicing Report has been delivered shall not be less than 225%.</t>
        </is>
      </c>
    </row>
    <row r="30" ht="13.5" customFormat="1" customHeight="1" s="329" thickBot="1">
      <c r="H30" s="363" t="n"/>
      <c r="I30" s="592">
        <f>I15</f>
        <v/>
      </c>
    </row>
    <row r="31" ht="14.25" customFormat="1" customHeight="1" s="329" thickBot="1" thickTop="1">
      <c r="H31" s="363" t="inlineStr">
        <is>
          <t>Test Level</t>
        </is>
      </c>
      <c r="I31" s="593" t="n">
        <v>2.25</v>
      </c>
    </row>
    <row r="32" ht="15.75" customHeight="1" thickTop="1">
      <c r="B32" s="329" t="n"/>
      <c r="C32" s="329" t="n"/>
      <c r="D32" s="329" t="n"/>
      <c r="E32" s="329" t="n"/>
      <c r="F32" s="329" t="n"/>
      <c r="G32" s="329" t="n"/>
      <c r="H32" s="329" t="n"/>
      <c r="I32" s="598">
        <f>IF(I30&gt;=I31,"Pass","Fail")</f>
        <v/>
      </c>
    </row>
  </sheetData>
  <sheetProtection selectLockedCells="0" selectUnlockedCells="0" algorithmName="SHA-512" sheet="1" objects="1" insertRows="1" insertHyperlinks="1" autoFilter="1" scenarios="1" formatColumns="1" deleteColumns="1" insertColumns="1" pivotTables="1" deleteRows="1" formatCells="1" saltValue="jyLsz8nRTdySllJ+a+oAxA==" formatRows="1" sort="1" spinCount="100000" hashValue="dZ646OLx9RVittTFIkcW6BnAJMQl+XfXwpOfwEx0ODQVPcRPMQefSuHHFlA/aGQUL9Nxl12WnhBvIz76PmxGQQ=="/>
  <mergeCells count="3">
    <mergeCell ref="F3:I3"/>
    <mergeCell ref="B20:I20"/>
    <mergeCell ref="B29:I29"/>
  </mergeCells>
  <conditionalFormatting sqref="H15:H16">
    <cfRule type="containsText" priority="7" operator="containsText" dxfId="4" text="Pass">
      <formula>NOT(ISERROR(SEARCH("Pass",H15)))</formula>
    </cfRule>
  </conditionalFormatting>
  <conditionalFormatting sqref="I17">
    <cfRule type="containsText" priority="6" operator="containsText" dxfId="3" text="Fail">
      <formula>NOT(ISERROR(SEARCH("Fail",I17)))</formula>
    </cfRule>
  </conditionalFormatting>
  <conditionalFormatting sqref="I26">
    <cfRule type="containsText" priority="5" operator="containsText" dxfId="3" text="Fail">
      <formula>NOT(ISERROR(SEARCH("Fail",I26)))</formula>
    </cfRule>
  </conditionalFormatting>
  <conditionalFormatting sqref="H25">
    <cfRule type="containsText" priority="3" operator="containsText" dxfId="4" text="Pass">
      <formula>NOT(ISERROR(SEARCH("Pass",H25)))</formula>
    </cfRule>
  </conditionalFormatting>
  <conditionalFormatting sqref="H30:H31">
    <cfRule type="containsText" priority="2" operator="containsText" dxfId="4" text="Pass">
      <formula>NOT(ISERROR(SEARCH("Pass",H30)))</formula>
    </cfRule>
  </conditionalFormatting>
  <conditionalFormatting sqref="I32">
    <cfRule type="containsText" priority="1" operator="containsText" dxfId="3" text="Fail">
      <formula>NOT(ISERROR(SEARCH("Fail",I32)))</formula>
    </cfRule>
  </conditionalFormatting>
  <pageMargins left="0.7" right="0.7" top="0.75" bottom="0.75" header="0.3" footer="0.3"/>
</worksheet>
</file>

<file path=xl/worksheets/sheet11.xml><?xml version="1.0" encoding="utf-8"?>
<worksheet xmlns="http://schemas.openxmlformats.org/spreadsheetml/2006/main">
  <sheetPr>
    <outlinePr summaryBelow="1" summaryRight="1"/>
    <pageSetUpPr fitToPage="1"/>
  </sheetPr>
  <dimension ref="B1:M21"/>
  <sheetViews>
    <sheetView workbookViewId="0">
      <selection activeCell="H13" sqref="H13"/>
    </sheetView>
  </sheetViews>
  <sheetFormatPr baseColWidth="8" defaultColWidth="9.28515625" defaultRowHeight="15"/>
  <cols>
    <col width="2.28515625" customWidth="1" style="188" min="1" max="1"/>
    <col width="24.28515625" bestFit="1" customWidth="1" style="188" min="2" max="2"/>
    <col width="16.5703125" bestFit="1" customWidth="1" style="1213" min="3" max="3"/>
    <col width="33.28515625" bestFit="1" customWidth="1" style="1213" min="4" max="4"/>
    <col width="17.28515625" bestFit="1" customWidth="1" style="1213" min="5" max="5"/>
    <col width="13.28515625" bestFit="1" customWidth="1" style="1213" min="6" max="6"/>
    <col width="50.5703125" bestFit="1" customWidth="1" style="1213" min="7" max="7"/>
    <col width="28.5703125" bestFit="1" customWidth="1" style="1213" min="8" max="8"/>
    <col width="18.5703125" bestFit="1" customWidth="1" style="1214" min="9" max="9"/>
    <col width="49" bestFit="1" customWidth="1" style="1213" min="10" max="10"/>
    <col width="23.28515625" bestFit="1" customWidth="1" style="188" min="11" max="11"/>
    <col width="21" bestFit="1" customWidth="1" style="188" min="12" max="12"/>
    <col width="140.5703125" bestFit="1" customWidth="1" style="188" min="13" max="13"/>
    <col width="9.28515625" customWidth="1" style="188" min="14" max="16384"/>
  </cols>
  <sheetData>
    <row r="1" customFormat="1" s="68">
      <c r="B1" s="179" t="n"/>
      <c r="C1" s="1215" t="n"/>
      <c r="D1" s="1216" t="n"/>
      <c r="E1" s="1217" t="inlineStr">
        <is>
          <t>Governance</t>
        </is>
      </c>
      <c r="F1" s="1217" t="n"/>
      <c r="G1" s="1217" t="n"/>
      <c r="H1" s="1216" t="n"/>
      <c r="I1" s="183" t="n"/>
      <c r="J1" s="1216" t="n"/>
      <c r="K1" s="179" t="n"/>
      <c r="L1" s="179" t="n"/>
      <c r="M1" s="179" t="n"/>
    </row>
    <row r="2" ht="45" customFormat="1" customHeight="1" s="68">
      <c r="B2" s="179" t="inlineStr">
        <is>
          <t>Company Name</t>
        </is>
      </c>
      <c r="C2" s="1216" t="inlineStr">
        <is>
          <t>BDC Capital Invested</t>
        </is>
      </c>
      <c r="D2" s="1216" t="inlineStr">
        <is>
          <t>Were SM Proceeds Used To Make A Distribution to Active Shareholders?</t>
        </is>
      </c>
      <c r="E2" s="1216" t="inlineStr">
        <is>
          <t>Board Observation Rights</t>
        </is>
      </c>
      <c r="F2" s="1216" t="inlineStr">
        <is>
          <t>Maintenance Covenants</t>
        </is>
      </c>
      <c r="G2" s="1216" t="inlineStr">
        <is>
          <t>Non-Tax Distributions to Shareholders Blocked Unless in Compliance with SM?</t>
        </is>
      </c>
      <c r="H2" s="1216" t="inlineStr">
        <is>
          <t>Does Ownership Have Capital To Support The Company?</t>
        </is>
      </c>
      <c r="I2" s="183" t="inlineStr">
        <is>
          <t>Third-Party Equity Invested?</t>
        </is>
      </c>
      <c r="J2" s="1216" t="inlineStr">
        <is>
          <t>Notable Management Operating Experience</t>
        </is>
      </c>
      <c r="K2" s="179" t="inlineStr">
        <is>
          <t>Ownership</t>
        </is>
      </c>
      <c r="L2" s="183" t="inlineStr">
        <is>
          <t>Sponsor / Family Office Name</t>
        </is>
      </c>
      <c r="M2" s="179" t="inlineStr">
        <is>
          <t>Details</t>
        </is>
      </c>
    </row>
    <row r="3" ht="45" customHeight="1">
      <c r="B3" s="184" t="inlineStr">
        <is>
          <t>Yorktel</t>
        </is>
      </c>
      <c r="C3" s="1218" t="n">
        <v>5647096.730000001</v>
      </c>
      <c r="D3" s="1219" t="inlineStr">
        <is>
          <t>No</t>
        </is>
      </c>
      <c r="E3" s="1219" t="inlineStr">
        <is>
          <t>Yes</t>
        </is>
      </c>
      <c r="F3" s="1219" t="inlineStr">
        <is>
          <t>Yes</t>
        </is>
      </c>
      <c r="G3" s="1219" t="inlineStr">
        <is>
          <t>Yes</t>
        </is>
      </c>
      <c r="H3" s="1219" t="inlineStr">
        <is>
          <t>Yes</t>
        </is>
      </c>
      <c r="I3" s="1219" t="inlineStr">
        <is>
          <t>No; but in process of raising PE capital.</t>
        </is>
      </c>
      <c r="J3" s="1219" t="inlineStr">
        <is>
          <t>Management team ran business through multiple recessions since its founding in 1985.</t>
        </is>
      </c>
      <c r="K3" s="187" t="inlineStr">
        <is>
          <t>Founder / Executives</t>
        </is>
      </c>
      <c r="L3" s="187" t="inlineStr">
        <is>
          <t>N/A</t>
        </is>
      </c>
      <c r="M3" s="184" t="inlineStr">
        <is>
          <t>Company was founded in 1985. Founder and executives own ~75% of the business. Significant equity value at risk underneath Star Mountain’s first lien investment. The management team has a long track record of collaboration; the Company’s CEO, CFO, CTO have been working together for nearly 2 decades. The Yorktel family has a substantial amount of wealth (estimated at ~$100 mm).</t>
        </is>
      </c>
    </row>
    <row r="4" ht="45" customHeight="1">
      <c r="B4" s="184" t="inlineStr">
        <is>
          <t>Consolidated Machine &amp; Tool Holdings</t>
        </is>
      </c>
      <c r="C4" s="1220" t="n">
        <v>4181842.4291537</v>
      </c>
      <c r="D4" s="1219" t="inlineStr">
        <is>
          <t>No</t>
        </is>
      </c>
      <c r="E4" s="1219" t="inlineStr">
        <is>
          <t>Yes</t>
        </is>
      </c>
      <c r="F4" s="1219" t="inlineStr">
        <is>
          <t>Yes</t>
        </is>
      </c>
      <c r="G4" s="1219" t="inlineStr">
        <is>
          <t>Yes</t>
        </is>
      </c>
      <c r="H4" s="1219" t="inlineStr">
        <is>
          <t>Yes</t>
        </is>
      </c>
      <c r="I4" s="1221" t="inlineStr">
        <is>
          <t>Yes</t>
        </is>
      </c>
      <c r="J4" s="1219" t="inlineStr">
        <is>
          <t>Management team draws on 20+ years of experience in the CNC machining industry to guide the company.</t>
        </is>
      </c>
      <c r="K4" s="187" t="inlineStr">
        <is>
          <t>Independent Sponsor / Family Office</t>
        </is>
      </c>
      <c r="L4" s="187" t="inlineStr">
        <is>
          <t>White Wolf Capital Partners</t>
        </is>
      </c>
      <c r="M4" s="184" t="inlineStr">
        <is>
          <t>White Wolf was founded in 2011 focusing on control investments in lower middle-market ("LMM") businesses. White Wolf raises money from institutional family offices on a deal by deal basis. Elie Azar, the founder and CEO of White Wolf, is a seasoned private equity professional, drawing on a career that spans over 20 years of M&amp;A and private equity investing experience including Cerberus Capital Management and Ernst &amp; Young.</t>
        </is>
      </c>
    </row>
    <row r="5" ht="45" customHeight="1">
      <c r="B5" s="184" t="inlineStr">
        <is>
          <t>NSC Technologies</t>
        </is>
      </c>
      <c r="C5" s="1220" t="n">
        <v>3500000</v>
      </c>
      <c r="D5" s="1219" t="inlineStr">
        <is>
          <t>No</t>
        </is>
      </c>
      <c r="E5" s="1219" t="inlineStr">
        <is>
          <t>Yes</t>
        </is>
      </c>
      <c r="F5" s="1219" t="inlineStr">
        <is>
          <t>Yes</t>
        </is>
      </c>
      <c r="G5" s="1219" t="inlineStr">
        <is>
          <t>Yes</t>
        </is>
      </c>
      <c r="H5" s="1219" t="inlineStr">
        <is>
          <t>Yes</t>
        </is>
      </c>
      <c r="I5" s="1221" t="inlineStr">
        <is>
          <t>Yes</t>
        </is>
      </c>
      <c r="J5" s="1219" t="inlineStr">
        <is>
          <t>Founder and CEO has been in the business his entire working life. The senior management team has been working together for 10+ years.</t>
        </is>
      </c>
      <c r="K5" s="187">
        <f>$K$4</f>
        <v/>
      </c>
      <c r="L5" s="187" t="inlineStr">
        <is>
          <t>White Wolf Capital Partners</t>
        </is>
      </c>
      <c r="M5" s="184">
        <f>$M$4</f>
        <v/>
      </c>
    </row>
    <row r="6" ht="45" customHeight="1">
      <c r="B6" s="184" t="inlineStr">
        <is>
          <t>SkyBell Technologies</t>
        </is>
      </c>
      <c r="C6" s="1220" t="n">
        <v>2879872.36</v>
      </c>
      <c r="D6" s="1219" t="inlineStr">
        <is>
          <t>No</t>
        </is>
      </c>
      <c r="E6" s="1219" t="inlineStr">
        <is>
          <t>Yes</t>
        </is>
      </c>
      <c r="F6" s="1219" t="inlineStr">
        <is>
          <t>Yes</t>
        </is>
      </c>
      <c r="G6" s="1219" t="inlineStr">
        <is>
          <t>Yes</t>
        </is>
      </c>
      <c r="H6" s="1219" t="inlineStr">
        <is>
          <t>Yes</t>
        </is>
      </c>
      <c r="I6" s="1221" t="inlineStr">
        <is>
          <t>Yes</t>
        </is>
      </c>
      <c r="J6" s="1219" t="inlineStr">
        <is>
          <t>CEO previously served as President of Motorola and oversaw European operations, leading turnaround of Motorola Europe.</t>
        </is>
      </c>
      <c r="K6" s="187" t="inlineStr">
        <is>
          <t>Family Office / Executives</t>
        </is>
      </c>
      <c r="L6" s="187" t="inlineStr">
        <is>
          <t>Lynx Holdings (Raymond Brothers)</t>
        </is>
      </c>
      <c r="M6" s="184" t="inlineStr">
        <is>
          <t>Capitalized by a highly-aligned management team and strategic shareholder base (~$56 mm aggregate basis of preferred equity), serving as a meaningful cash equity cushion to Star Mountain’s first lien loan. Equity investors include John and Rob Raymond ($24 billon family office), Bob Gay (former senior MD at Bain Capital), David Neeleman (founder of JetBlue) and Scott Durchslag (CEO of Angie's List).</t>
        </is>
      </c>
    </row>
    <row r="7" ht="45" customHeight="1">
      <c r="B7" s="184" t="inlineStr">
        <is>
          <t>160 Driving Academy</t>
        </is>
      </c>
      <c r="C7" s="1220" t="n">
        <v>2855163.651943951</v>
      </c>
      <c r="D7" s="1219" t="inlineStr">
        <is>
          <t>No</t>
        </is>
      </c>
      <c r="E7" s="1219" t="inlineStr">
        <is>
          <t>Yes</t>
        </is>
      </c>
      <c r="F7" s="1219" t="inlineStr">
        <is>
          <t>Yes</t>
        </is>
      </c>
      <c r="G7" s="1219" t="inlineStr">
        <is>
          <t>Yes</t>
        </is>
      </c>
      <c r="H7" s="1219" t="inlineStr">
        <is>
          <t>Yes</t>
        </is>
      </c>
      <c r="I7" s="1221" t="inlineStr">
        <is>
          <t>Yes</t>
        </is>
      </c>
      <c r="J7" s="1219" t="inlineStr">
        <is>
          <t>Founder and CEO had former roles at Opera Solutions (backed by KKR Accel), PepsiCo and was a partner at Deloitte.</t>
        </is>
      </c>
      <c r="K7" s="187" t="inlineStr">
        <is>
          <t>Founder / Executives</t>
        </is>
      </c>
      <c r="L7" s="187" t="inlineStr">
        <is>
          <t>N/A</t>
        </is>
      </c>
      <c r="M7" s="184" t="inlineStr">
        <is>
          <t>Company was founded in 2008. The CEO, Steve Gold, is the co-founder who owns ~77% of the business. Significant equity value at risk underneath Star Mountain’s first lien investment. Steve is a highly experienced logistics executive - former roles include Executive VP at Opera Solutions (backed by KKR Accel), Operating Partner at Stone Tower Capital, Chief Supply Chain Officer at PepsiCo and Partner at Deloitte.</t>
        </is>
      </c>
    </row>
    <row r="8" ht="45" customHeight="1">
      <c r="B8" s="184" t="inlineStr">
        <is>
          <t>Novinium</t>
        </is>
      </c>
      <c r="C8" s="1220" t="n">
        <v>2777778</v>
      </c>
      <c r="D8" s="1219" t="inlineStr">
        <is>
          <t>No</t>
        </is>
      </c>
      <c r="E8" s="1219" t="inlineStr">
        <is>
          <t>Yes</t>
        </is>
      </c>
      <c r="F8" s="1219" t="inlineStr">
        <is>
          <t>Yes</t>
        </is>
      </c>
      <c r="G8" s="1219" t="inlineStr">
        <is>
          <t>Yes</t>
        </is>
      </c>
      <c r="H8" s="1219" t="inlineStr">
        <is>
          <t>Yes</t>
        </is>
      </c>
      <c r="I8" s="1221" t="inlineStr">
        <is>
          <t>Yes</t>
        </is>
      </c>
      <c r="J8" s="1219" t="inlineStr">
        <is>
          <t>CEO has 30+ years of experience in the energy sector and was the founder of PowerSecure International.</t>
        </is>
      </c>
      <c r="K8" s="187" t="inlineStr">
        <is>
          <t>Funded Sponsor</t>
        </is>
      </c>
      <c r="L8" s="187" t="inlineStr">
        <is>
          <t>ClearSky Power and Technology</t>
        </is>
      </c>
      <c r="M8" s="184" t="inlineStr">
        <is>
          <t>ClearSky was founded in 2012 as a venture capital / growth equity firm focused on innovative companies providing technology and services to enterprise customers, with a special focus on the power sector. Latest fund closed ~$150 mm of commitments.</t>
        </is>
      </c>
    </row>
    <row r="9" ht="45" customHeight="1">
      <c r="B9" s="184" t="inlineStr">
        <is>
          <t>Microf</t>
        </is>
      </c>
      <c r="C9" s="1220" t="n">
        <v>2503133.71</v>
      </c>
      <c r="D9" s="1219" t="inlineStr">
        <is>
          <t>No</t>
        </is>
      </c>
      <c r="E9" s="1219" t="inlineStr">
        <is>
          <t>Yes</t>
        </is>
      </c>
      <c r="F9" s="1219" t="inlineStr">
        <is>
          <t>Yes</t>
        </is>
      </c>
      <c r="G9" s="1219" t="inlineStr">
        <is>
          <t>Yes</t>
        </is>
      </c>
      <c r="H9" s="1219" t="inlineStr">
        <is>
          <t>Yes</t>
        </is>
      </c>
      <c r="I9" s="1221" t="inlineStr">
        <is>
          <t>Yes</t>
        </is>
      </c>
      <c r="J9" s="1219" t="inlineStr">
        <is>
          <t>CEO joined the company to effectuate a turnaround at the request of the sponsor and was previously the CEO of Dollar Financial Group, North America.</t>
        </is>
      </c>
      <c r="K9" s="187" t="inlineStr">
        <is>
          <t>Funded Sponsor</t>
        </is>
      </c>
      <c r="L9" s="187" t="inlineStr">
        <is>
          <t>Rotunda Capital</t>
        </is>
      </c>
      <c r="M9" s="184" t="inlineStr">
        <is>
          <t>Rotunda was founded in 2009 and specializes in LMM companies focused on distribution, logistics, financial services and industrial services. Latest fund closed ~$200 mm of commitments.</t>
        </is>
      </c>
    </row>
    <row r="10" ht="45" customHeight="1">
      <c r="B10" s="184" t="inlineStr">
        <is>
          <t>Consulting Solutions</t>
        </is>
      </c>
      <c r="C10" s="1220" t="n">
        <v>2104368.93</v>
      </c>
      <c r="D10" s="1219" t="inlineStr">
        <is>
          <t>No</t>
        </is>
      </c>
      <c r="E10" s="1219" t="inlineStr">
        <is>
          <t>Yes</t>
        </is>
      </c>
      <c r="F10" s="1219" t="inlineStr">
        <is>
          <t>Yes</t>
        </is>
      </c>
      <c r="G10" s="1219" t="inlineStr">
        <is>
          <t>Yes</t>
        </is>
      </c>
      <c r="H10" s="1219" t="inlineStr">
        <is>
          <t>Yes</t>
        </is>
      </c>
      <c r="I10" s="1221" t="inlineStr">
        <is>
          <t>Yes</t>
        </is>
      </c>
      <c r="J10" s="1219" t="inlineStr">
        <is>
          <t>Management team has deep industry knowledge and experience scaling businesses in the staffing space. Tenured sales and recruiting team.</t>
        </is>
      </c>
      <c r="K10" s="187">
        <f>$K$4</f>
        <v/>
      </c>
      <c r="L10" s="187" t="inlineStr">
        <is>
          <t>White Wolf Capital Partners</t>
        </is>
      </c>
      <c r="M10" s="184">
        <f>$M$4</f>
        <v/>
      </c>
    </row>
    <row r="11" ht="45" customHeight="1">
      <c r="B11" s="184" t="inlineStr">
        <is>
          <t>Channel Factory</t>
        </is>
      </c>
      <c r="C11" s="1220" t="n">
        <v>2000000</v>
      </c>
      <c r="D11" s="1221" t="inlineStr">
        <is>
          <t>Yes</t>
        </is>
      </c>
      <c r="E11" s="1219" t="inlineStr">
        <is>
          <t>Yes</t>
        </is>
      </c>
      <c r="F11" s="1219" t="inlineStr">
        <is>
          <t>No</t>
        </is>
      </c>
      <c r="G11" s="1219" t="inlineStr">
        <is>
          <t>N/A - SM is invested in the preferred equity only and would receive a pro-rata share of the distributions.</t>
        </is>
      </c>
      <c r="H11" s="1219" t="inlineStr">
        <is>
          <t>Yes</t>
        </is>
      </c>
      <c r="I11" s="1219" t="inlineStr">
        <is>
          <t>No</t>
        </is>
      </c>
      <c r="J11" s="1221" t="inlineStr">
        <is>
          <t>Founder and CEO has over 10 years of experience running Channel Factory and navigating the video advertising ecosystem.</t>
        </is>
      </c>
      <c r="K11" s="187" t="inlineStr">
        <is>
          <t>Founder / Executives</t>
        </is>
      </c>
      <c r="L11" s="187" t="inlineStr">
        <is>
          <t>N/A</t>
        </is>
      </c>
      <c r="M11" s="184" t="inlineStr">
        <is>
          <t>Company was founded in 2014. Tony Chen is the co-founder and CEO who owns ~66% of the business. Significant equity value at risk underneath Star Mountain’s preferred equity investment, which detaches at 3.1x as of 12/31/2020. Channel Factory has been named a Cynopsis award winning technology innovator and ranked among the fastest growing companies by Inc. Magazine.</t>
        </is>
      </c>
    </row>
    <row r="12" ht="45" customHeight="1">
      <c r="B12" s="184" t="inlineStr">
        <is>
          <t>BWG Strategy</t>
        </is>
      </c>
      <c r="C12" s="1220" t="n">
        <v>2000000</v>
      </c>
      <c r="D12" s="1221" t="inlineStr">
        <is>
          <t>Yes</t>
        </is>
      </c>
      <c r="E12" s="1219" t="inlineStr">
        <is>
          <t>Yes</t>
        </is>
      </c>
      <c r="F12" s="1219" t="inlineStr">
        <is>
          <t>Yes</t>
        </is>
      </c>
      <c r="G12" s="1219" t="inlineStr">
        <is>
          <t>Yes</t>
        </is>
      </c>
      <c r="H12" s="1219" t="inlineStr">
        <is>
          <t>Yes</t>
        </is>
      </c>
      <c r="I12" s="1221" t="inlineStr">
        <is>
          <t>Yes</t>
        </is>
      </c>
      <c r="J12" s="1219" t="inlineStr">
        <is>
          <t>Management team has an average tenure of over six years, with four of the five members having been with the Company since its founding year in 2013.</t>
        </is>
      </c>
      <c r="K12" s="187" t="inlineStr">
        <is>
          <t>Independent Sponsor</t>
        </is>
      </c>
      <c r="L12" s="187" t="inlineStr">
        <is>
          <t>Infinedi Partners</t>
        </is>
      </c>
      <c r="M12" s="184" t="inlineStr">
        <is>
          <t>Infinedi was founded in 2018 focused on the business services and healthcare sectors. Infinedi has invested $115 mm of equity across various deals. Multiple members of the Star Mountain team have longstanding relationships with the principals at Infinedi, who have 50+ years of combined experience and have led over $1.0 billion of private equity investments prior to forming Infinedi. LNC Partners invested alongside Star Mountain in the first lien tranche.</t>
        </is>
      </c>
    </row>
    <row r="13" ht="45" customHeight="1">
      <c r="B13" s="184" t="inlineStr">
        <is>
          <t>Linden Research</t>
        </is>
      </c>
      <c r="C13" s="1220" t="n">
        <v>2000000</v>
      </c>
      <c r="D13" s="1219" t="inlineStr">
        <is>
          <t>No</t>
        </is>
      </c>
      <c r="E13" s="1219" t="inlineStr">
        <is>
          <t>Yes</t>
        </is>
      </c>
      <c r="F13" s="1219" t="inlineStr">
        <is>
          <t>Yes</t>
        </is>
      </c>
      <c r="G13" s="1219" t="inlineStr">
        <is>
          <t>Yes</t>
        </is>
      </c>
      <c r="H13" s="1219" t="inlineStr">
        <is>
          <t>Yes</t>
        </is>
      </c>
      <c r="I13" s="1221" t="inlineStr">
        <is>
          <t>Yes</t>
        </is>
      </c>
      <c r="J13" s="1219" t="inlineStr">
        <is>
          <t>CEO was the founder and CEO at Jyve, a talent marketplace and optimization platform and has been the head of five different companies in his career.</t>
        </is>
      </c>
      <c r="K13" s="187" t="inlineStr">
        <is>
          <t>Family Office / Executives</t>
        </is>
      </c>
      <c r="L13" s="187" t="inlineStr">
        <is>
          <t>Waterfield Group</t>
        </is>
      </c>
      <c r="M13" s="184" t="inlineStr">
        <is>
          <t>Waterfield is a multi-billion dollar family office run by former Goldman Sachs-trained investment professionals with whom Star Mountain has a longstanding relationship. Linden's CEO, Brad Oberwager, was the founder and CEO at Jyve, a talent marketplace and optimization platform for brands and retailers to connect with certified talent. Brad has been the head of five different companies in his career.</t>
        </is>
      </c>
    </row>
    <row r="14" ht="45" customHeight="1">
      <c r="B14" s="184" t="inlineStr">
        <is>
          <t>Fremont-Wright</t>
        </is>
      </c>
      <c r="C14" s="1220" t="n">
        <v>1830882.35</v>
      </c>
      <c r="D14" s="1219" t="inlineStr">
        <is>
          <t>No</t>
        </is>
      </c>
      <c r="E14" s="1219" t="inlineStr">
        <is>
          <t>Yes</t>
        </is>
      </c>
      <c r="F14" s="1219" t="inlineStr">
        <is>
          <t>Yes</t>
        </is>
      </c>
      <c r="G14" s="1219" t="inlineStr">
        <is>
          <t>Yes</t>
        </is>
      </c>
      <c r="H14" s="1219" t="inlineStr">
        <is>
          <t>Yes</t>
        </is>
      </c>
      <c r="I14" s="1221" t="inlineStr">
        <is>
          <t>Yes</t>
        </is>
      </c>
      <c r="J14" s="1219" t="inlineStr">
        <is>
          <t>The platform has 10 subsidiaries with an average of ~30 years operating history each with the oldest being founded in 1968.</t>
        </is>
      </c>
      <c r="K14" s="187" t="inlineStr">
        <is>
          <t>Independent Sponsor / Family Office</t>
        </is>
      </c>
      <c r="L14" s="187" t="inlineStr">
        <is>
          <t>SouthWorth Capital</t>
        </is>
      </c>
      <c r="M14" s="184" t="inlineStr">
        <is>
          <t>SouthWorth was founded in 1998 focusing on investments in field-labor based businesses in the LMM. SouthWorth currently owns 5 platforms and has completed over 30 platform and add-on acquisitions. Star Mountain also co-invested in the first lien tranche alongside Capitala, a $3.0 billion private debt investment firm to further support the platform.</t>
        </is>
      </c>
    </row>
    <row r="15" ht="45" customHeight="1">
      <c r="B15" s="184" t="inlineStr">
        <is>
          <t>Temporary Housing Directory</t>
        </is>
      </c>
      <c r="C15" s="1220" t="n">
        <v>1729903.06</v>
      </c>
      <c r="D15" s="1219" t="inlineStr">
        <is>
          <t>No</t>
        </is>
      </c>
      <c r="E15" s="1219" t="inlineStr">
        <is>
          <t>Yes</t>
        </is>
      </c>
      <c r="F15" s="1219" t="inlineStr">
        <is>
          <t>Yes</t>
        </is>
      </c>
      <c r="G15" s="1219" t="inlineStr">
        <is>
          <t>Yes</t>
        </is>
      </c>
      <c r="H15" s="1219" t="inlineStr">
        <is>
          <t>Yes</t>
        </is>
      </c>
      <c r="I15" s="1221" t="inlineStr">
        <is>
          <t>Yes</t>
        </is>
      </c>
      <c r="J15" s="1219" t="inlineStr">
        <is>
          <t>Founder and CEO has ~30 years of experience in the industry and is supported by a tenured management team (150+ years of combined industry experience).</t>
        </is>
      </c>
      <c r="K15" s="187">
        <f>$K$4</f>
        <v/>
      </c>
      <c r="L15" s="187" t="inlineStr">
        <is>
          <t>White Wolf Capital Partners</t>
        </is>
      </c>
      <c r="M15" s="184">
        <f>$M$4</f>
        <v/>
      </c>
    </row>
    <row r="16" ht="45" customHeight="1">
      <c r="B16" s="184" t="inlineStr">
        <is>
          <t>Arrow Home Health</t>
        </is>
      </c>
      <c r="C16" s="1220" t="n">
        <v>1544590.127152318</v>
      </c>
      <c r="D16" s="1219" t="inlineStr">
        <is>
          <t>No</t>
        </is>
      </c>
      <c r="E16" s="1219" t="inlineStr">
        <is>
          <t>Yes</t>
        </is>
      </c>
      <c r="F16" s="1219" t="inlineStr">
        <is>
          <t>Yes</t>
        </is>
      </c>
      <c r="G16" s="1219" t="inlineStr">
        <is>
          <t>Yes</t>
        </is>
      </c>
      <c r="H16" s="1219" t="inlineStr">
        <is>
          <t>Yes</t>
        </is>
      </c>
      <c r="I16" s="1221" t="inlineStr">
        <is>
          <t>Yes</t>
        </is>
      </c>
      <c r="J16" s="1219" t="inlineStr">
        <is>
          <t>CEO was brought on to manage the platform by the sponsor and he has C-Suite experience in three different healthcare companies.</t>
        </is>
      </c>
      <c r="K16" s="187" t="inlineStr">
        <is>
          <t>Independent Sponsor / Family Office</t>
        </is>
      </c>
      <c r="L16" s="187" t="inlineStr">
        <is>
          <t>Tygon Peak Capital</t>
        </is>
      </c>
      <c r="M16" s="184" t="inlineStr">
        <is>
          <t>Tygon Peak was founded in 2016 focusing on control investments in LMM companies, with industry expertise in highly regulated sectors of government, healthcare and business services. The founder of Tygon Peak had previous roles at Salomon Smith Barney and Sun Capital Partners ($10 billion PE firm) before starting Tygon Peak. Turtle Creek, a family office, also owns a portion of the funded equity.</t>
        </is>
      </c>
    </row>
    <row r="17" ht="45" customHeight="1">
      <c r="B17" s="184" t="inlineStr">
        <is>
          <t>PureCars</t>
        </is>
      </c>
      <c r="C17" s="1220" t="n">
        <v>1500000</v>
      </c>
      <c r="D17" s="1219" t="inlineStr">
        <is>
          <t>No</t>
        </is>
      </c>
      <c r="E17" s="1219" t="inlineStr">
        <is>
          <t>Yes</t>
        </is>
      </c>
      <c r="F17" s="1219" t="inlineStr">
        <is>
          <t>Yes</t>
        </is>
      </c>
      <c r="G17" s="1219" t="inlineStr">
        <is>
          <t>Yes</t>
        </is>
      </c>
      <c r="H17" s="1219" t="inlineStr">
        <is>
          <t>Yes</t>
        </is>
      </c>
      <c r="I17" s="1221" t="inlineStr">
        <is>
          <t>Yes</t>
        </is>
      </c>
      <c r="J17" s="1219" t="inlineStr">
        <is>
          <t>CEO is the founder who managed the business through the 2007-2009 recession.</t>
        </is>
      </c>
      <c r="K17" s="187" t="inlineStr">
        <is>
          <t>Funded Sponsor</t>
        </is>
      </c>
      <c r="L17" s="187" t="inlineStr">
        <is>
          <t>Diversis Capital</t>
        </is>
      </c>
      <c r="M17" s="184" t="inlineStr">
        <is>
          <t>Diversis Capital was founded in 2013 as a private equity firm with a focus on the technology, consumer, software and service sectors. Latest fund closed ~$250 mm of commitments.</t>
        </is>
      </c>
    </row>
    <row r="18" ht="45" customHeight="1">
      <c r="B18" s="184" t="inlineStr">
        <is>
          <t>CorTech</t>
        </is>
      </c>
      <c r="C18" s="1220" t="n">
        <v>1059430.13</v>
      </c>
      <c r="D18" s="1219" t="inlineStr">
        <is>
          <t>No</t>
        </is>
      </c>
      <c r="E18" s="1219" t="inlineStr">
        <is>
          <t>Yes</t>
        </is>
      </c>
      <c r="F18" s="1219" t="inlineStr">
        <is>
          <t>Yes</t>
        </is>
      </c>
      <c r="G18" s="1219" t="inlineStr">
        <is>
          <t>Yes; except for up to a $35k/month dividend to the CEO.</t>
        </is>
      </c>
      <c r="H18" s="1219" t="inlineStr">
        <is>
          <t>Yes</t>
        </is>
      </c>
      <c r="I18" s="1219" t="inlineStr">
        <is>
          <t>No</t>
        </is>
      </c>
      <c r="J18" s="1219" t="inlineStr">
        <is>
          <t>Founder, CEO and management team ran the business through multiple recessions since its founding in 1999.</t>
        </is>
      </c>
      <c r="K18" s="187" t="inlineStr">
        <is>
          <t>Founder / Executives</t>
        </is>
      </c>
      <c r="L18" s="187" t="inlineStr">
        <is>
          <t>N/A</t>
        </is>
      </c>
      <c r="M18" s="184" t="inlineStr">
        <is>
          <t>Company was founded in 1999. The CEO, Vincent Rossy, is the co-founder who owns 100% of the business. Significant equity value at risk underneath Star Mountain’s second lien investment. Mr. Rossy has almost all of his net worth in the business. CorTech’s senior management team averages over 20 years in the staffing industry, with a majority of the team having been with CorTech for over a decade.</t>
        </is>
      </c>
    </row>
    <row r="19" ht="45" customHeight="1">
      <c r="B19" s="184" t="inlineStr">
        <is>
          <t>Southern Ag</t>
        </is>
      </c>
      <c r="C19" s="1220" t="n">
        <v>956937.8</v>
      </c>
      <c r="D19" s="1219" t="inlineStr">
        <is>
          <t>No</t>
        </is>
      </c>
      <c r="E19" s="1219" t="inlineStr">
        <is>
          <t>Yes</t>
        </is>
      </c>
      <c r="F19" s="1219" t="inlineStr">
        <is>
          <t>Yes</t>
        </is>
      </c>
      <c r="G19" s="1219" t="inlineStr">
        <is>
          <t>Yes</t>
        </is>
      </c>
      <c r="H19" s="1219" t="inlineStr">
        <is>
          <t>Yes</t>
        </is>
      </c>
      <c r="I19" s="1221" t="inlineStr">
        <is>
          <t>Yes</t>
        </is>
      </c>
      <c r="J19" s="1219" t="inlineStr">
        <is>
          <t>CEO has 20+ years of experience in the trucking industry, having worked as a truck driver himself.</t>
        </is>
      </c>
      <c r="K19" s="187" t="inlineStr">
        <is>
          <t>Funded Sponsor</t>
        </is>
      </c>
      <c r="L19" s="187" t="inlineStr">
        <is>
          <t>HCI Equity Partners</t>
        </is>
      </c>
      <c r="M19" s="184" t="inlineStr">
        <is>
          <t>HCI Equity Partners was founded in 2011 as a LMM private equity firm targeting growth-oriented, independently owned, manufacturing, service and distribution companies. Latest fund closed ~$500 mm of commitments.</t>
        </is>
      </c>
    </row>
    <row r="20" customFormat="1" s="193">
      <c r="B20" s="191" t="inlineStr">
        <is>
          <t>Totals / Weighted Average</t>
        </is>
      </c>
      <c r="C20" s="1222">
        <f>SUM(C3:C19)</f>
        <v/>
      </c>
      <c r="D20" s="1222" t="n"/>
      <c r="E20" s="1222" t="n"/>
      <c r="F20" s="1222" t="n"/>
      <c r="G20" s="1222" t="n"/>
      <c r="H20" s="1222" t="n"/>
      <c r="I20" s="1222" t="n"/>
      <c r="J20" s="1222" t="n"/>
      <c r="K20" s="191" t="n"/>
      <c r="L20" s="191" t="n"/>
      <c r="M20" s="191" t="n"/>
    </row>
    <row r="21">
      <c r="B21" s="194" t="inlineStr"/>
    </row>
  </sheetData>
  <conditionalFormatting sqref="B3:M19">
    <cfRule type="expression" priority="1" dxfId="2">
      <formula>MOD(ROW(),2)=0</formula>
    </cfRule>
  </conditionalFormatting>
  <pageMargins left="0.7" right="0.7" top="0.75" bottom="0.75" header="0.3" footer="0.3"/>
  <pageSetup orientation="landscape" scale="28" fitToHeight="0"/>
</worksheet>
</file>

<file path=xl/worksheets/sheet12.xml><?xml version="1.0" encoding="utf-8"?>
<worksheet xmlns="http://schemas.openxmlformats.org/spreadsheetml/2006/main">
  <sheetPr>
    <outlinePr summaryBelow="1" summaryRight="1"/>
    <pageSetUpPr/>
  </sheetPr>
  <dimension ref="A1:G37"/>
  <sheetViews>
    <sheetView workbookViewId="0">
      <selection activeCell="C26" sqref="C26"/>
    </sheetView>
  </sheetViews>
  <sheetFormatPr baseColWidth="8" defaultRowHeight="15"/>
  <cols>
    <col width="72" bestFit="1" customWidth="1" min="1" max="1"/>
  </cols>
  <sheetData>
    <row r="1" ht="18.75" customHeight="1">
      <c r="A1" s="944" t="inlineStr">
        <is>
          <t>BORROWING BASE - CLAUDE FOR EXCEL SESSION LOG</t>
        </is>
      </c>
    </row>
    <row r="3">
      <c r="A3" s="777" t="inlineStr">
        <is>
          <t>Date</t>
        </is>
      </c>
      <c r="B3" s="777" t="inlineStr">
        <is>
          <t>Time</t>
        </is>
      </c>
      <c r="C3" s="777" t="inlineStr">
        <is>
          <t>User</t>
        </is>
      </c>
      <c r="D3" s="777" t="inlineStr">
        <is>
          <t>Action Type</t>
        </is>
      </c>
      <c r="E3" s="777" t="inlineStr">
        <is>
          <t>Description</t>
        </is>
      </c>
      <c r="F3" s="777" t="inlineStr">
        <is>
          <t>Impact</t>
        </is>
      </c>
    </row>
    <row r="5">
      <c r="A5" s="778" t="inlineStr">
        <is>
          <t>HOW TO USE THIS TAB:</t>
        </is>
      </c>
    </row>
    <row r="6">
      <c r="A6" t="inlineStr">
        <is>
          <t>After each session, add a row: Date | Session | User | Action | Description | Impact</t>
        </is>
      </c>
      <c r="B6" s="779" t="n"/>
    </row>
    <row r="7">
      <c r="A7" t="inlineStr">
        <is>
          <t>This creates an audit trail and helps Claude understand past changes</t>
        </is>
      </c>
      <c r="B7" s="779" t="n"/>
    </row>
    <row r="8">
      <c r="A8" t="n">
        <v>46055</v>
      </c>
      <c r="B8" s="779" t="inlineStr">
        <is>
          <t>Session 3</t>
        </is>
      </c>
      <c r="C8" t="inlineStr">
        <is>
          <t>User + Claude</t>
        </is>
      </c>
      <c r="D8" t="inlineStr">
        <is>
          <t>Pro Forma Test &amp; Fix</t>
        </is>
      </c>
      <c r="E8" t="inlineStr">
        <is>
          <t>Tested system with Hunter Corp ($4M Last Out). Initially ineligible due to Inclusion Date error. Fixed: Inclusion Date (AO) must equal Investment Date (U). Updated AI_Instructions Section 14.</t>
        </is>
      </c>
      <c r="F8" t="inlineStr">
        <is>
          <t>Hunter Corp now eligible. +$1.11M availability (27.72% impact). Current: $148.20M. CRITICAL LESSON: AO=U required.</t>
        </is>
      </c>
    </row>
    <row r="9">
      <c r="A9" t="inlineStr">
        <is>
          <t>SESSION LOG (MOST RECENT FIRST)</t>
        </is>
      </c>
    </row>
    <row r="10">
      <c r="A10" s="721" t="inlineStr">
        <is>
          <t>Date</t>
        </is>
      </c>
      <c r="B10" s="721" t="inlineStr">
        <is>
          <t>Session</t>
        </is>
      </c>
      <c r="C10" s="721" t="inlineStr">
        <is>
          <t>User</t>
        </is>
      </c>
      <c r="D10" s="721" t="inlineStr">
        <is>
          <t>Action</t>
        </is>
      </c>
      <c r="E10" s="721" t="inlineStr">
        <is>
          <t>Description</t>
        </is>
      </c>
      <c r="F10" s="721" t="inlineStr">
        <is>
          <t>Impact</t>
        </is>
      </c>
    </row>
    <row r="11">
      <c r="A11" s="721" t="n">
        <v>46090</v>
      </c>
      <c r="B11" s="721" t="inlineStr">
        <is>
          <t>Session 11</t>
        </is>
      </c>
      <c r="C11" s="721" t="inlineStr">
        <is>
          <t>User + Claude</t>
        </is>
      </c>
      <c r="D11" s="721" t="inlineStr">
        <is>
          <t>MAPPING_LAYER Tab Created</t>
        </is>
      </c>
      <c r="E11" s="721" t="inlineStr">
        <is>
          <t>Built complete MAPPING_LAYER worksheet (210 rows, 7 sections) as formal AI orchestration control sheet. Sections: (A) Input Mapping Table - 36 fields (IN-01 to IN-36) with 19 columns each mapping deal-team inputs to exact workbook destinations across SM Support, Loan Tape, and Portfolio. Includes user-friendly prompts, data types, picklists, defaults, validation rules, destination sheets/cells, write methods, AI inference permissions, human confirmation flags, and eligibility/concentration/availability impact flags. (B) Output Mapping Table - 24 outputs (OUT-01 to OUT-24) covering availability, borrowing base, eligibility, concentration limits (13 limits with before/after/delta), and portfolio composition. (C) Validation Rules - 32 rules (VR-01 to VR-32) across 6 categories: required fields, range checks, eligibility pre-checks, cross-field consistency (AO=U, D=E=S), taxonomy, and business logic. Severity: Hard Stop / Warning / Info. (D) Controlled Write Policy - 17 rows covering every tab: 6 ALLOWED, 4 READ ONLY, 7 NEVER TOUCH. Color-coded green/orange/red. (E) Exception Rules - 14 triggers (EX-01 to EX-14) for manual review: taxonomy mismatch, missing data, defaults, PIK, amendments, repayments, leverage/maturity breaches, post-run CL breaches, Credit Enhancement failure, eligibility failure. (F) Run Metadata - 21-column structured audit log per execution. (G) AI Execution Protocol - 11-step sequence (Steps 0-10) any AI agent must follow.</t>
        </is>
      </c>
      <c r="F11" s="721" t="inlineStr">
        <is>
          <t>Production-ready AI control layer. Any LLM agent (ChatGPT, Claude) can now read this single tab to know: what to collect, how to validate, where to write, what not to touch, when to stop for human review, what outputs to report, and how to log. Supports New Origination, Add-On, Repayment, and Amendment run types. Encodes all critical lessons from Sessions 1-10 (AO=U, D=E=S, pre-flight check, industry exact match). Column widths set, freeze panes on row 2, text wrapping on key columns.</t>
        </is>
      </c>
    </row>
    <row r="12">
      <c r="A12" s="780" t="n">
        <v>46068</v>
      </c>
      <c r="B12" s="721" t="inlineStr">
        <is>
          <t>Session 10</t>
        </is>
      </c>
      <c r="C12" s="721" t="inlineStr">
        <is>
          <t>User</t>
        </is>
      </c>
      <c r="D12" s="721" t="inlineStr">
        <is>
          <t>Deal Team Input Redesign - Grand Finale</t>
        </is>
      </c>
      <c r="E12" s="721" t="inlineStr">
        <is>
          <t>Applied all DRAFT improvements to live Deal Team Input sheet. Changes: (1) Redesigned instructions section (J3:K36) with 5 clear steps, bordered boxes, color-coded headers (blue for steps, green for Claude actions), explicit Action/Wait/Critical labels. (2) Enhanced availability impact section (A47:D57) with color-coded cells (orange for BEFORE B53, green for AFTER B54, blue bold for Change B56), medium borders around entire section. (3) Added visual grouping to portfolio composition (A60:D68) with alternating row shading and section border. (4) Styled concentration limits (A72:I91) with category headers (blue background) and divider borders between groups. (5) Set column widths J=180pt, K=280pt for readability. (6) Removed placeholder eligibility rows (92-98) with non-actionable text. All formulas verified 1:1 with original (no changes). DRAFT sheet deleted after successful application.</t>
        </is>
      </c>
      <c r="F12" s="721" t="inlineStr">
        <is>
          <t>Professional, user-friendly layout. Instructions now have clear visual hierarchy and step-to-action correspondence. Output sections use color coding for quick interpretation (orange=capture, green=live link, blue=impact). Concentration limits visually grouped by category. Deal team can now scan and understand the sheet much faster. Andres identified UX issues and requested these improvements.</t>
        </is>
      </c>
    </row>
    <row r="13">
      <c r="A13" s="868" t="n">
        <v>46065</v>
      </c>
      <c r="B13" s="866" t="inlineStr">
        <is>
          <t>Session 8</t>
        </is>
      </c>
      <c r="C13" s="866" t="inlineStr">
        <is>
          <t>User + Claude</t>
        </is>
      </c>
      <c r="D13" s="866" t="inlineStr">
        <is>
          <t>Pro Forma Pre-Flight Check Enhancement</t>
        </is>
      </c>
      <c r="E13" s="866" t="inlineStr">
        <is>
          <t>Added mandatory STEP 0 safeguard to AI_Instructions Section 14. Claude now MUST ask user before every pro forma run if they want to clear old Deal Team Input data (checks B7, B8, B53). Prevents confusion from previous runs and data mixing. If user says YES: clears B7-B39 inputs, B53, D74:E86 (Prior columns). If NO: proceeds with overwriting. User requested this as imperative safety feature.</t>
        </is>
      </c>
      <c r="F13" s="866" t="inlineStr">
        <is>
          <t>Critical workflow improvement. Even if fields appear empty, Claude asks every time as safeguard. Eliminates risk of stale data contaminating new pro forma analysis. User emphasized: 'must be an ask from Claude' and 'run this safeguard prior to running any new inputs just to be safe.'</t>
        </is>
      </c>
    </row>
    <row r="14">
      <c r="A14" s="780" t="n">
        <v>46068</v>
      </c>
      <c r="B14" s="721" t="inlineStr">
        <is>
          <t>Session 7</t>
        </is>
      </c>
      <c r="C14" s="721" t="inlineStr">
        <is>
          <t>User + Claude</t>
        </is>
      </c>
      <c r="D14" s="721" t="inlineStr">
        <is>
          <t>Concentration Limits Table + Pro Forma Test</t>
        </is>
      </c>
      <c r="E14" s="721" t="inlineStr">
        <is>
          <t>Rebuilt Deal Team Input concentration limits section (rows 71-87). 9 columns: A=Limit Type, B=Limit %, C=Applicable Test Limit $ (J49:J70), D=Prior Actual $ (L49:L70), E=Prior Excess $ (K49:K70), F=Pro Forma Actual $, G=Pro Forma Excess $, H=Δ Actual $ (=F-D, formula), I=Δ Excess $ (=G-E, formula). Cleared old leftover H-I columns (Buffer %/Status from prior 6-row layout). Pre-populated 6 default inputs (USD, par, US, Floating, Monthly, 0% PIK). Also ran Recom pro forma test ($2M First Lien, Specialty Retail) — reverted after verification. Fixed: Loan Tape FMV (col S) must be par for par investments, Impact Ratio formula (B57 ref B55→B56).</t>
        </is>
      </c>
      <c r="F14" s="721" t="inlineStr">
        <is>
          <t>Full before/after concentration visibility with delta columns. 13 limits tracked across 9 columns. H-I (Δ) are formula-driven — auto-calculate when Pro Forma cols F-G populated. Default inputs reduce user entry from 21 to 15 fields. LESSON: Loan Tape col S (FMV) must equal BDC balance for par investments.</t>
        </is>
      </c>
    </row>
    <row r="15">
      <c r="A15" s="780" t="n">
        <v>46068</v>
      </c>
      <c r="B15" s="721" t="inlineStr">
        <is>
          <t>Session 6</t>
        </is>
      </c>
      <c r="C15" s="721" t="inlineStr">
        <is>
          <t>User + Claude</t>
        </is>
      </c>
      <c r="D15" s="721" t="inlineStr">
        <is>
          <t>User Instructions &amp; Conditional Formatting</t>
        </is>
      </c>
      <c r="E15" s="721" t="inlineStr">
        <is>
          <t>Added 4-step user instructions in Deal Team Input I3:J9 guiding new users through: (1) Open Claude add-in, (2) Paste initialization prompt to read Memory &amp; AI_Instructions, (3) Fill inputs in column B watching B4 status indicator, (4) Paste run prompt for pro forma analysis. Also updated B4 conditional formatting: red font/highlight for 'Fill Required Fields', green font/highlight for 'READY TO RUN'.</t>
        </is>
      </c>
      <c r="F15" s="721" t="inlineStr">
        <is>
          <t>Complete onboarding flow for new users. No prior knowledge needed — instructions walk through entire process from opening Claude to running pro forma. B4 status indicator now visually distinct (red→green) for clear readiness signal.</t>
        </is>
      </c>
    </row>
    <row r="16">
      <c r="A16" s="1223" t="n">
        <v>46068</v>
      </c>
      <c r="B16" s="780" t="inlineStr">
        <is>
          <t>Session 5</t>
        </is>
      </c>
      <c r="C16" s="780" t="inlineStr">
        <is>
          <t>User + Claude</t>
        </is>
      </c>
      <c r="D16" s="780" t="inlineStr">
        <is>
          <t>Initiate Button Creation</t>
        </is>
      </c>
      <c r="E16" s="780" t="inlineStr">
        <is>
          <t>Added 'Initiate' button to top of Deal Team Input sheet (B1:D1, merged). Button includes embedded cell note with instructions for Claude to read AI_Instructions (Sheet 18) and Memory (Sheet 19) tabs at session start. Inserted 2 rows at top: Row 1 = button, Row 2 = spacer. Styled to match existing header theme (#0B64A0 blue, bold white text, medium borders).</t>
        </is>
      </c>
      <c r="F16" s="780" t="inlineStr">
        <is>
          <t>Streamlines session initialization. Users (or new team members) can hover over the Initiate button or say 'Initiate' to trigger full context load. Eliminates need to remember tab names or IDs.</t>
        </is>
      </c>
    </row>
    <row r="17">
      <c r="A17" s="780" t="n">
        <v>46063</v>
      </c>
      <c r="B17" s="780" t="inlineStr">
        <is>
          <t>Session 4</t>
        </is>
      </c>
      <c r="C17" s="780" t="inlineStr">
        <is>
          <t>User + Claude</t>
        </is>
      </c>
      <c r="D17" s="780" t="inlineStr">
        <is>
          <t>Agentic Layer Documentation</t>
        </is>
      </c>
      <c r="E17" s="780" t="inlineStr">
        <is>
          <t>Created comprehensive workflow documentation: (1) Complete cell-level mapping of all 21 inputs to destinations across 3 tabs, (2) Stage-by-stage workflow (Input→Validate→Execute→Verify→Report), (3) Portfolio calculation engine (10 eligibility tests), (4) Agentic decision tree with 8-step execution sequence, (5) Visual flowchart showing data journey, (6) Tab interconnection diagram. Documentation placed in 'Agentic Layer Workflow' sheet for reference.</t>
        </is>
      </c>
      <c r="F17" s="780" t="inlineStr">
        <is>
          <t>Full transparency into agentic operations. Users and stakeholders now understand: What Claude does, Why it's needed (eliminates 90% errors, 15min→30sec), How it works (7-stage process), Critical rules (AO=U, D=E, industry validation). Serves as technical spec and user guide.</t>
        </is>
      </c>
    </row>
    <row r="18">
      <c r="A18" t="n">
        <v>46055</v>
      </c>
      <c r="B18" t="inlineStr">
        <is>
          <t>Session 2</t>
        </is>
      </c>
      <c r="C18" t="inlineStr">
        <is>
          <t>User + Claude</t>
        </is>
      </c>
      <c r="D18" t="inlineStr">
        <is>
          <t>Pro Forma System Build</t>
        </is>
      </c>
      <c r="E18" t="inlineStr">
        <is>
          <t>Built complete pro forma system: (1) AI_Instructions Section 14, (2) Deal Team Input sheet with 21 inputs, status indicator, auto-calc metrics, before/after capture, (3) 73-industry validation list</t>
        </is>
      </c>
      <c r="F18" t="inlineStr">
        <is>
          <t>Production-ready system. Test: Recom $13.56M added, +$9.74M availability (71.83% impact). Current availability: $156.83M</t>
        </is>
      </c>
    </row>
    <row r="19">
      <c r="A19" s="780" t="n">
        <v>46068</v>
      </c>
      <c r="B19" t="inlineStr">
        <is>
          <t>Session 9</t>
        </is>
      </c>
      <c r="C19" t="inlineStr">
        <is>
          <t>User + Claude</t>
        </is>
      </c>
      <c r="D19" t="inlineStr">
        <is>
          <t>Deal Team Input Redesign - Formula Verification</t>
        </is>
      </c>
      <c r="E19" t="inlineStr">
        <is>
          <t>Created DRAFT tab to test stylistic redesign of Deal Team Input instructions (J3:K36 rebuild: clear 5-step process, bordered sections, color-coded headers, explicit Action/Wait/Critical labels). Enhanced output sections with visual grouping (A47:D57 availability, A60:D68 portfolio, A72:A95 concentration limits). Verified ALL formulas between original and DRAFT: 15/16 exact matches. B57 discrepancy discovered: Original referenced B55 (non-existent cell), DRAFT corrected to B56 (Change in Availability). Verdict: DRAFT contains BUG FIX, not error. User requested verification before applying changes to live sheet.</t>
        </is>
      </c>
      <c r="F19" t="inlineStr">
        <is>
          <t>Clean user instructions with visual hierarchy. All formulas intact except B57 which was FIXED (original had #REF! error to B55). Ready for user approval to apply DRAFT styling to live 'Deal Team Input' sheet. Key improvement: Floating numbers removed, step-to-action clarity enhanced, visual breaks between sections.</t>
        </is>
      </c>
    </row>
    <row r="20">
      <c r="A20" t="n">
        <v>46068</v>
      </c>
      <c r="B20" t="inlineStr">
        <is>
          <t>Session 10</t>
        </is>
      </c>
      <c r="C20" t="inlineStr">
        <is>
          <t>Usser + Claude</t>
        </is>
      </c>
      <c r="D20" t="inlineStr">
        <is>
          <t>Deal Team Input Cleanup + Eligibility Safeguard</t>
        </is>
      </c>
      <c r="E20" t="inlineStr">
        <is>
          <t>User identified and removed placeholder eligibility test rows (92-98) from DRAFT tab — rows contained non-actionable 'Claude will display...' text taking up space with no inputs/outputs. Cleaned section now ends at row 91 (SPONSOR / OWNERSHIP LIMITS). User also requested addition of eligibility check safeguard to AI_Instructions: Added Step 6.5 after loan addition to check Portfolio Column P (Eligible Y/N). If ineligible, Claude reads columns E-N to identify which of 10 tests failed and warns user immediately. Also fixed B57 formula in original Deal Team Input sheet (changed B55→B56 reference to match DRAFT correction).</t>
        </is>
      </c>
      <c r="F20" t="inlineStr">
        <is>
          <t>Cleaner DRAFT layout with no placeholder clutter. New eligibility safeguard catches problematic deals before commitment — if loan fails any of 10 tests, Claude reports specific failures (e.g., 'Failed: Maturity, Leverage') in pro forma summary. No change to deal team workflow, just better automatic validation.</t>
        </is>
      </c>
    </row>
    <row r="21">
      <c r="A21" t="inlineStr">
        <is>
          <t>• BDC Balance Structure: Column D (Debt) = BDC specific, Column E (Fair Value) = must equal D for par, Column K (SM Balance) = total SM (can be larger)</t>
        </is>
      </c>
    </row>
    <row r="22">
      <c r="A22" t="inlineStr">
        <is>
          <t>• Before/After Capture: B48 is manual (Claude populates), B49 is formula (live link), allowing true before/after comparison</t>
        </is>
      </c>
    </row>
    <row r="23">
      <c r="A23" t="inlineStr">
        <is>
          <t>• Industry Validation: Must match exactly from Concentration Limits E81:E153 to avoid #N/A errors</t>
        </is>
      </c>
    </row>
    <row r="26">
      <c r="A26" t="n">
        <v>46049</v>
      </c>
      <c r="B26" t="inlineStr">
        <is>
          <t>Session 1</t>
        </is>
      </c>
      <c r="C26" t="inlineStr">
        <is>
          <t>User + Claude</t>
        </is>
      </c>
      <c r="D26" t="inlineStr">
        <is>
          <t>Initial Setup</t>
        </is>
      </c>
      <c r="E26" t="inlineStr">
        <is>
          <t>Created AI_Instructions (Sections 1-13) and Memory tab with system documentation</t>
        </is>
      </c>
      <c r="F26" t="inlineStr">
        <is>
          <t>Established knowledge base and audit trail system</t>
        </is>
      </c>
    </row>
    <row r="27">
      <c r="A27" s="781" t="n"/>
    </row>
    <row r="29">
      <c r="A29" s="1224" t="inlineStr">
        <is>
          <t>FUTURE SESSIONS: Start by saying 'Read AI_Instructions and Memory tabs' for full context</t>
        </is>
      </c>
    </row>
    <row r="30">
      <c r="A30" s="1224" t="n"/>
    </row>
    <row r="31">
      <c r="A31" s="1224" t="n"/>
    </row>
    <row r="32">
      <c r="A32" s="1224" t="n"/>
    </row>
    <row r="33">
      <c r="A33" s="1224" t="n">
        <v>46055</v>
      </c>
      <c r="B33" t="inlineStr">
        <is>
          <t>Session 2</t>
        </is>
      </c>
      <c r="C33" t="inlineStr">
        <is>
          <t>User + Claude</t>
        </is>
      </c>
      <c r="D33" t="inlineStr">
        <is>
          <t>Add Investment - Pro Forma</t>
        </is>
      </c>
      <c r="E33" t="inlineStr">
        <is>
          <t>Added Recom - BDC: $13.56M (of $50M total SM), First Lien, Internet &amp; Direct Marketing Retail, 3.48x leverage, 0.81x attach</t>
        </is>
      </c>
      <c r="F33" t="inlineStr">
        <is>
          <t>Availability increased $9.74M (from $147.09M to $156.83M). Eligible loan, 71.83% impact ratio</t>
        </is>
      </c>
    </row>
    <row r="34">
      <c r="A34" s="1224" t="n">
        <v>46055</v>
      </c>
      <c r="B34" t="inlineStr">
        <is>
          <t>Session 2</t>
        </is>
      </c>
      <c r="C34" t="inlineStr">
        <is>
          <t>User + Claude</t>
        </is>
      </c>
      <c r="D34" t="inlineStr">
        <is>
          <t>Documentation Update</t>
        </is>
      </c>
      <c r="E34" t="inlineStr">
        <is>
          <t>Added SECTION 14 to AI_Instructions: Complete pro forma modeling procedure with BDC balance structure</t>
        </is>
      </c>
      <c r="F34" t="inlineStr">
        <is>
          <t>Key learning: Column D (BDC balance) ≠ Column K (total SM). Fair Value (E) must equal Debt Balance (D) for par investments</t>
        </is>
      </c>
    </row>
    <row r="36">
      <c r="A36" s="1224" t="n">
        <v>46055</v>
      </c>
      <c r="B36" t="inlineStr">
        <is>
          <t>Session 2</t>
        </is>
      </c>
      <c r="C36" t="inlineStr">
        <is>
          <t>User + Claude</t>
        </is>
      </c>
      <c r="D36" t="inlineStr">
        <is>
          <t>Sheet Creation</t>
        </is>
      </c>
      <c r="E36" t="inlineStr">
        <is>
          <t>Created 'Deal Team Input' sheet - user-friendly form to collect all 21 pro forma inputs with status indicator, auto-calculated metrics, and summary output section</t>
        </is>
      </c>
      <c r="F36" t="inlineStr">
        <is>
          <t>Streamlines pro forma process - deal team fills form, Claude runs calculation and updates availability</t>
        </is>
      </c>
    </row>
    <row r="37">
      <c r="A37" s="1224" t="n">
        <v>46055</v>
      </c>
      <c r="B37" t="inlineStr">
        <is>
          <t>Session 2</t>
        </is>
      </c>
      <c r="C37" t="inlineStr">
        <is>
          <t>User + Claude</t>
        </is>
      </c>
      <c r="D37" t="inlineStr">
        <is>
          <t>Complete Pro Forma System</t>
        </is>
      </c>
      <c r="E37" t="inlineStr">
        <is>
          <t>Built end-to-end pro forma system: (1) Documented procedure in AI_Instructions Section 14, (2) Created Deal Team Input sheet with 21 inputs, status indicator, auto-calc metrics, (3) Added full 73-industry validation list</t>
        </is>
      </c>
      <c r="F37" t="inlineStr">
        <is>
          <t>System ready for production use. Deal team fills form → Claude runs pro forma → Availability updates automatically. Test run: Recom $13.56M added successfully, +$9.74M availability impact</t>
        </is>
      </c>
    </row>
  </sheetData>
  <mergeCells count="1">
    <mergeCell ref="A1:G1"/>
  </mergeCell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F203"/>
  <sheetViews>
    <sheetView topLeftCell="A156" workbookViewId="0">
      <selection activeCell="A130" sqref="A130"/>
    </sheetView>
  </sheetViews>
  <sheetFormatPr baseColWidth="8" defaultRowHeight="15"/>
  <cols>
    <col width="69" bestFit="1" customWidth="1" min="1" max="1"/>
    <col width="68.7109375" bestFit="1" customWidth="1" min="2" max="2"/>
    <col width="52" bestFit="1" customWidth="1" min="3" max="3"/>
  </cols>
  <sheetData>
    <row r="1" ht="18.75" customHeight="1">
      <c r="A1" s="944" t="inlineStr">
        <is>
          <t>BORROWING BASE AI ASSISTANT INSTRUCTIONS</t>
        </is>
      </c>
    </row>
    <row r="3" ht="15.75" customHeight="1">
      <c r="A3" s="784" t="inlineStr">
        <is>
          <t>BORROWING BASE METADATA</t>
        </is>
      </c>
    </row>
    <row r="5">
      <c r="A5" t="inlineStr">
        <is>
          <t>File Name:</t>
        </is>
      </c>
      <c r="B5" t="inlineStr">
        <is>
          <t>Star Mountain BDC Borrowing Base 12.31.2025 QSR</t>
        </is>
      </c>
    </row>
    <row r="6">
      <c r="A6" t="inlineStr">
        <is>
          <t>Version:</t>
        </is>
      </c>
      <c r="B6" t="inlineStr">
        <is>
          <t>v2.1</t>
        </is>
      </c>
    </row>
    <row r="7">
      <c r="A7" t="inlineStr">
        <is>
          <t>Last Updated:</t>
        </is>
      </c>
      <c r="B7" s="1224">
        <f>TODAY()</f>
        <v/>
      </c>
    </row>
    <row r="8">
      <c r="A8" t="inlineStr">
        <is>
          <t>Measurement Date:</t>
        </is>
      </c>
      <c r="B8" s="1224" t="n">
        <v>46022</v>
      </c>
    </row>
    <row r="9">
      <c r="A9" t="inlineStr">
        <is>
          <t>Borrower:</t>
        </is>
      </c>
      <c r="B9" t="inlineStr">
        <is>
          <t>Star Mountain Lower Middle-Market Capital Corp.</t>
        </is>
      </c>
    </row>
    <row r="10">
      <c r="A10" t="inlineStr">
        <is>
          <t>Facility Amount:</t>
        </is>
      </c>
      <c r="B10" s="1225">
        <f>Availability!$L$16</f>
        <v/>
      </c>
    </row>
    <row r="11">
      <c r="A11" t="inlineStr">
        <is>
          <t>Current Advances:</t>
        </is>
      </c>
      <c r="B11" s="1225">
        <f>Availability!$L$51</f>
        <v/>
      </c>
    </row>
    <row r="12">
      <c r="A12" t="inlineStr">
        <is>
          <t>Current Availability:</t>
        </is>
      </c>
      <c r="B12" s="1225">
        <f>Availability!L26</f>
        <v/>
      </c>
    </row>
    <row r="13">
      <c r="A13" t="inlineStr">
        <is>
          <t>Total Portfolio:</t>
        </is>
      </c>
      <c r="B13" s="1225" t="n">
        <v>343790191.004408</v>
      </c>
    </row>
    <row r="14">
      <c r="A14" t="inlineStr">
        <is>
          <t>Ineligible Loans:</t>
        </is>
      </c>
      <c r="B14">
        <f>Portfolio!$V$64</f>
        <v/>
      </c>
    </row>
    <row r="16">
      <c r="A16" s="721" t="inlineStr">
        <is>
          <t>KEY TABS:</t>
        </is>
      </c>
      <c r="B16" t="inlineStr">
        <is>
          <t>Purpose</t>
        </is>
      </c>
    </row>
    <row r="17">
      <c r="A17" t="inlineStr">
        <is>
          <t>Availability</t>
        </is>
      </c>
      <c r="B17" t="inlineStr">
        <is>
          <t>Output - Final borrowing capacity</t>
        </is>
      </c>
    </row>
    <row r="18">
      <c r="A18" t="inlineStr">
        <is>
          <t>Portfolio</t>
        </is>
      </c>
      <c r="B18" t="inlineStr">
        <is>
          <t>Calculation engine - Eligibility tests</t>
        </is>
      </c>
    </row>
    <row r="19">
      <c r="A19" t="inlineStr">
        <is>
          <t>Concentration Limits</t>
        </is>
      </c>
      <c r="B19" t="inlineStr">
        <is>
          <t>Advance rates and concentration tracking</t>
        </is>
      </c>
    </row>
    <row r="20">
      <c r="A20" t="inlineStr">
        <is>
          <t>Loan Tape - Settled</t>
        </is>
      </c>
      <c r="B20" t="inlineStr">
        <is>
          <t>Raw loan data input</t>
        </is>
      </c>
    </row>
    <row r="21">
      <c r="A21" s="777" t="inlineStr">
        <is>
          <t>SECTION 1: SYSTEM OVERVIEW</t>
        </is>
      </c>
    </row>
    <row r="22">
      <c r="A22" t="inlineStr">
        <is>
          <t>Purpose:</t>
        </is>
      </c>
      <c r="B22" t="inlineStr">
        <is>
          <t>Calculate borrowing availability for Star Mountain BDC revolving credit facility</t>
        </is>
      </c>
    </row>
    <row r="23">
      <c r="A23" t="inlineStr">
        <is>
          <t>Key Principle:</t>
        </is>
      </c>
      <c r="B23" t="inlineStr">
        <is>
          <t>Availability = MIN(Facility Cap, Borrowing Base Calc, Credit Enhancement Test)</t>
        </is>
      </c>
    </row>
    <row r="25">
      <c r="A25" s="777" t="inlineStr">
        <is>
          <t>SECTION 2: TAB INTERCONNECTIONS</t>
        </is>
      </c>
    </row>
    <row r="26">
      <c r="A26" t="inlineStr">
        <is>
          <t>Data Flow:</t>
        </is>
      </c>
      <c r="B26" t="inlineStr">
        <is>
          <t>Loan Tape &gt; Portfolio &gt; Concentration Limits &gt; Availability</t>
        </is>
      </c>
    </row>
    <row r="27">
      <c r="A27" t="inlineStr">
        <is>
          <t>Loan Tape - Settled</t>
        </is>
      </c>
      <c r="B27" t="inlineStr">
        <is>
          <t>Raw loan data (source of truth)</t>
        </is>
      </c>
    </row>
    <row r="28">
      <c r="A28" t="inlineStr">
        <is>
          <t>SM Support</t>
        </is>
      </c>
      <c r="B28" t="inlineStr">
        <is>
          <t>Lookup table for commitment balances and FMV</t>
        </is>
      </c>
    </row>
    <row r="29">
      <c r="A29" t="inlineStr">
        <is>
          <t>Portfolio</t>
        </is>
      </c>
      <c r="B29" t="inlineStr">
        <is>
          <t>Calculation engine - pulls from Loan Tape via INDEX/MATCH on CCM ID (Col A)</t>
        </is>
      </c>
    </row>
    <row r="30">
      <c r="A30" t="inlineStr">
        <is>
          <t>Concentration Limits</t>
        </is>
      </c>
      <c r="B30" t="inlineStr">
        <is>
          <t>Advance rates, concentration thresholds, excess calculations</t>
        </is>
      </c>
    </row>
    <row r="31">
      <c r="A31" t="inlineStr">
        <is>
          <t>AGENT</t>
        </is>
      </c>
      <c r="B31" t="inlineStr">
        <is>
          <t>Eligibility criteria thresholds and configuration</t>
        </is>
      </c>
    </row>
    <row r="32">
      <c r="A32" t="inlineStr">
        <is>
          <t>Availability</t>
        </is>
      </c>
      <c r="B32" t="inlineStr">
        <is>
          <t>Final output - borrowing capacity calculation</t>
        </is>
      </c>
    </row>
    <row r="34">
      <c r="A34" s="777" t="inlineStr">
        <is>
          <t>SECTION 3: ELIGIBILITY CRITERIA - 10 TESTS</t>
        </is>
      </c>
    </row>
    <row r="35">
      <c r="A35" t="inlineStr">
        <is>
          <t>ALL 10 tests must be TRUE for loan to be eligible (Portfolio Column P)</t>
        </is>
      </c>
    </row>
    <row r="36">
      <c r="A36" t="inlineStr">
        <is>
          <t>Test</t>
        </is>
      </c>
      <c r="B36" t="inlineStr">
        <is>
          <t>Portfolio Column</t>
        </is>
      </c>
      <c r="C36" t="inlineStr">
        <is>
          <t>Criteria</t>
        </is>
      </c>
    </row>
    <row r="37">
      <c r="A37" t="inlineStr">
        <is>
          <t>1. Type</t>
        </is>
      </c>
      <c r="B37" t="inlineStr">
        <is>
          <t>E</t>
        </is>
      </c>
      <c r="C37" t="inlineStr">
        <is>
          <t>Must be First Lien, FILO, or Second Lien (AGENT!A4:A10)</t>
        </is>
      </c>
    </row>
    <row r="38">
      <c r="A38" t="inlineStr">
        <is>
          <t>2. Non-PIK/DIP</t>
        </is>
      </c>
      <c r="B38" t="inlineStr">
        <is>
          <t>F</t>
        </is>
      </c>
      <c r="C38" t="inlineStr">
        <is>
          <t>Not payment-in-kind or debtor-in-possession (BZ, CA = No)</t>
        </is>
      </c>
    </row>
    <row r="39">
      <c r="A39" t="inlineStr">
        <is>
          <t>3. EBITDA</t>
        </is>
      </c>
      <c r="B39" t="inlineStr">
        <is>
          <t>G</t>
        </is>
      </c>
      <c r="C39" t="inlineStr">
        <is>
          <t>Second Liens need min EBITDA (AGENT!B4)</t>
        </is>
      </c>
    </row>
    <row r="40">
      <c r="A40" t="inlineStr">
        <is>
          <t>4. Total Leverage</t>
        </is>
      </c>
      <c r="B40" t="inlineStr">
        <is>
          <t>H</t>
        </is>
      </c>
      <c r="C40" t="inlineStr">
        <is>
          <t>Debt/EBITDA &lt;= 7.0x (AGENT!D4)</t>
        </is>
      </c>
    </row>
    <row r="41">
      <c r="A41" t="inlineStr">
        <is>
          <t>5. Purchase Price</t>
        </is>
      </c>
      <c r="B41" t="inlineStr">
        <is>
          <t>I</t>
        </is>
      </c>
      <c r="C41" t="inlineStr">
        <is>
          <t>Acquired &gt;= 92% of par (AGENT!E4)</t>
        </is>
      </c>
    </row>
    <row r="42">
      <c r="A42" t="inlineStr">
        <is>
          <t>6. Currency</t>
        </is>
      </c>
      <c r="B42" t="inlineStr">
        <is>
          <t>J</t>
        </is>
      </c>
      <c r="C42" t="inlineStr">
        <is>
          <t>Must be USD</t>
        </is>
      </c>
    </row>
    <row r="43">
      <c r="A43" t="inlineStr">
        <is>
          <t>7. Domicile</t>
        </is>
      </c>
      <c r="B43" t="inlineStr">
        <is>
          <t>K</t>
        </is>
      </c>
      <c r="C43" t="inlineStr">
        <is>
          <t>Must be United States</t>
        </is>
      </c>
    </row>
    <row r="44">
      <c r="A44" t="inlineStr">
        <is>
          <t>8. Cov-lite</t>
        </is>
      </c>
      <c r="B44" t="inlineStr">
        <is>
          <t>L</t>
        </is>
      </c>
      <c r="C44" t="inlineStr">
        <is>
          <t>Must have financial covenants (BS = NO)</t>
        </is>
      </c>
    </row>
    <row r="45">
      <c r="A45" t="inlineStr">
        <is>
          <t>9. Maturity</t>
        </is>
      </c>
      <c r="B45" t="inlineStr">
        <is>
          <t>M</t>
        </is>
      </c>
      <c r="C45" t="inlineStr">
        <is>
          <t>Original term &lt;= 6.5 years (AGENT!F4)</t>
        </is>
      </c>
    </row>
    <row r="46">
      <c r="A46" t="inlineStr">
        <is>
          <t>10. Payment Default</t>
        </is>
      </c>
      <c r="B46" t="inlineStr">
        <is>
          <t>N</t>
        </is>
      </c>
      <c r="C46" t="inlineStr">
        <is>
          <t>Not in payment default (DX not equal Yes)</t>
        </is>
      </c>
    </row>
    <row r="50">
      <c r="A50" s="777" t="inlineStr">
        <is>
          <t>SECTION 4: ADVANCE RATES</t>
        </is>
      </c>
    </row>
    <row r="51">
      <c r="A51" t="inlineStr">
        <is>
          <t>Loan Category</t>
        </is>
      </c>
      <c r="B51" t="inlineStr">
        <is>
          <t>Advance Rate</t>
        </is>
      </c>
      <c r="C51" t="inlineStr">
        <is>
          <t>Reference</t>
        </is>
      </c>
    </row>
    <row r="52">
      <c r="A52" t="inlineStr">
        <is>
          <t>First Lien &lt;= $10MM</t>
        </is>
      </c>
      <c r="B52" s="717" t="n">
        <v>0.625</v>
      </c>
      <c r="C52" t="inlineStr">
        <is>
          <t>Concentration Limits D5:G5</t>
        </is>
      </c>
    </row>
    <row r="53">
      <c r="A53" t="inlineStr">
        <is>
          <t>First Lien $10-20MM</t>
        </is>
      </c>
      <c r="B53" s="717" t="n">
        <v>0.65</v>
      </c>
      <c r="C53" t="inlineStr">
        <is>
          <t>Concentration Limits D9:G9</t>
        </is>
      </c>
    </row>
    <row r="54">
      <c r="A54" t="inlineStr">
        <is>
          <t>First Lien &gt; $20MM</t>
        </is>
      </c>
      <c r="B54" s="717" t="n">
        <v>0.675</v>
      </c>
      <c r="C54" t="inlineStr">
        <is>
          <t>Concentration Limits D13:G13</t>
        </is>
      </c>
    </row>
    <row r="55">
      <c r="A55" t="inlineStr">
        <is>
          <t>FILO &lt; 0.75x</t>
        </is>
      </c>
      <c r="B55" s="717" t="n">
        <v>0.625</v>
      </c>
      <c r="C55" t="inlineStr">
        <is>
          <t>Concentration Limits D17:G17</t>
        </is>
      </c>
    </row>
    <row r="56">
      <c r="A56" t="inlineStr">
        <is>
          <t>FILO &lt;= 1.25x</t>
        </is>
      </c>
      <c r="B56" s="717" t="n">
        <v>0.575</v>
      </c>
      <c r="C56" t="inlineStr">
        <is>
          <t>Concentration Limits D21:G21</t>
        </is>
      </c>
    </row>
    <row r="57">
      <c r="A57" t="inlineStr">
        <is>
          <t>FILO &gt; 1.25x</t>
        </is>
      </c>
      <c r="B57" s="717" t="n">
        <v>0.45</v>
      </c>
      <c r="C57" t="inlineStr">
        <is>
          <t>Concentration Limits D25:G25</t>
        </is>
      </c>
    </row>
    <row r="58">
      <c r="A58" t="inlineStr">
        <is>
          <t>Second Lien</t>
        </is>
      </c>
      <c r="B58" s="717" t="n">
        <v>0.45</v>
      </c>
      <c r="C58" t="inlineStr">
        <is>
          <t>Concentration Limits D29:G29</t>
        </is>
      </c>
    </row>
    <row r="60">
      <c r="A60" s="777" t="inlineStr">
        <is>
          <t>SECTION 5: CONCENTRATION LIMITS</t>
        </is>
      </c>
    </row>
    <row r="61">
      <c r="A61" t="inlineStr">
        <is>
          <t>Limit Type</t>
        </is>
      </c>
      <c r="B61" t="inlineStr">
        <is>
          <t>Threshold</t>
        </is>
      </c>
      <c r="C61" t="inlineStr">
        <is>
          <t>Reference</t>
        </is>
      </c>
    </row>
    <row r="62">
      <c r="A62" t="inlineStr">
        <is>
          <t>FILO Total</t>
        </is>
      </c>
      <c r="B62" t="inlineStr">
        <is>
          <t>20% of portfolio</t>
        </is>
      </c>
      <c r="C62" t="inlineStr">
        <is>
          <t>Concentration Limits H49</t>
        </is>
      </c>
    </row>
    <row r="63">
      <c r="A63" t="inlineStr">
        <is>
          <t>Second Lien</t>
        </is>
      </c>
      <c r="B63" t="inlineStr">
        <is>
          <t>10% of portfolio</t>
        </is>
      </c>
      <c r="C63" t="inlineStr">
        <is>
          <t>Concentration Limits H50</t>
        </is>
      </c>
    </row>
    <row r="64">
      <c r="A64" t="inlineStr">
        <is>
          <t>Industry Specific</t>
        </is>
      </c>
      <c r="B64" t="inlineStr">
        <is>
          <t>Varies</t>
        </is>
      </c>
      <c r="C64" t="inlineStr">
        <is>
          <t>Concentration Limits E81:H153</t>
        </is>
      </c>
    </row>
    <row r="66">
      <c r="A66" s="777" t="inlineStr">
        <is>
          <t>SECTION 6: ADD NEW INVESTMENT PROCEDURE</t>
        </is>
      </c>
    </row>
    <row r="67">
      <c r="A67" t="inlineStr">
        <is>
          <t>Step 1</t>
        </is>
      </c>
      <c r="B67" t="inlineStr">
        <is>
          <t>Loan Tape - Settled</t>
        </is>
      </c>
      <c r="C67" t="inlineStr">
        <is>
          <t>Add new row with all loan details</t>
        </is>
      </c>
    </row>
    <row r="68">
      <c r="A68" t="inlineStr">
        <is>
          <t xml:space="preserve">  Key columns:</t>
        </is>
      </c>
      <c r="B68" t="inlineStr">
        <is>
          <t>G=Obligor, H=Security, J=Loan Type, X=Industry</t>
        </is>
      </c>
    </row>
    <row r="70">
      <c r="A70" t="inlineStr">
        <is>
          <t>Step 2</t>
        </is>
      </c>
      <c r="B70" t="inlineStr">
        <is>
          <t>SM Support</t>
        </is>
      </c>
      <c r="C70" t="inlineStr">
        <is>
          <t>Add row: B=Obligor, C=Loan Type, D=Commitment, E=FMV</t>
        </is>
      </c>
    </row>
    <row r="71">
      <c r="A71" t="inlineStr">
        <is>
          <t>Step 3</t>
        </is>
      </c>
      <c r="B71" t="inlineStr">
        <is>
          <t>Portfolio</t>
        </is>
      </c>
      <c r="C71" t="inlineStr">
        <is>
          <t>Add CCM ID to Column A (next sequential number)</t>
        </is>
      </c>
    </row>
    <row r="72">
      <c r="A72" t="inlineStr">
        <is>
          <t>Step 4</t>
        </is>
      </c>
      <c r="B72" t="inlineStr">
        <is>
          <t>Copy Formulas</t>
        </is>
      </c>
      <c r="C72" t="inlineStr">
        <is>
          <t>Copy entire row from row above (B:HN) to new row</t>
        </is>
      </c>
    </row>
    <row r="73">
      <c r="A73" t="inlineStr">
        <is>
          <t>Step 5</t>
        </is>
      </c>
      <c r="B73" t="inlineStr">
        <is>
          <t>Set Manual Inputs</t>
        </is>
      </c>
      <c r="C73" t="inlineStr">
        <is>
          <t>BZ=No, CA=No, DX=Yes if in default</t>
        </is>
      </c>
    </row>
    <row r="74">
      <c r="A74" t="inlineStr">
        <is>
          <t>Step 6</t>
        </is>
      </c>
      <c r="B74" t="inlineStr">
        <is>
          <t>Verify</t>
        </is>
      </c>
      <c r="C74" t="inlineStr">
        <is>
          <t>Check Column P shows Yes or No</t>
        </is>
      </c>
    </row>
    <row r="76">
      <c r="A76" s="777" t="inlineStr">
        <is>
          <t>SECTION 7: FINANCIAL METRICS REQUIRED</t>
        </is>
      </c>
    </row>
    <row r="77">
      <c r="A77" t="inlineStr">
        <is>
          <t>Loan Tape Columns AQ-BK:</t>
        </is>
      </c>
    </row>
    <row r="78">
      <c r="A78" t="inlineStr">
        <is>
          <t xml:space="preserve">  BA</t>
        </is>
      </c>
      <c r="B78" t="inlineStr">
        <is>
          <t>Current TTM EBITDA</t>
        </is>
      </c>
      <c r="C78" t="inlineStr">
        <is>
          <t>Used for leverage calculations</t>
        </is>
      </c>
    </row>
    <row r="79">
      <c r="A79" t="inlineStr">
        <is>
          <t xml:space="preserve">  BD</t>
        </is>
      </c>
      <c r="B79" t="inlineStr">
        <is>
          <t>Current Total Net Leverage</t>
        </is>
      </c>
      <c r="C79" t="inlineStr">
        <is>
          <t>Must be &lt;= 7.0x</t>
        </is>
      </c>
    </row>
    <row r="80">
      <c r="A80" t="inlineStr">
        <is>
          <t xml:space="preserve">  BJ</t>
        </is>
      </c>
      <c r="B80" t="inlineStr">
        <is>
          <t>Net Attachment</t>
        </is>
      </c>
      <c r="C80" t="inlineStr">
        <is>
          <t>For FILO advance rate classification</t>
        </is>
      </c>
    </row>
    <row r="82">
      <c r="A82" s="777" t="inlineStr">
        <is>
          <t>SECTION 8: COMMON ERRORS AND SOLUTIONS</t>
        </is>
      </c>
    </row>
    <row r="83">
      <c r="A83" t="inlineStr">
        <is>
          <t>Error</t>
        </is>
      </c>
      <c r="B83" t="inlineStr">
        <is>
          <t>Cause</t>
        </is>
      </c>
      <c r="C83" t="inlineStr">
        <is>
          <t>Solution</t>
        </is>
      </c>
    </row>
    <row r="84">
      <c r="A84" t="inlineStr">
        <is>
          <t>#N/A in FU/FZ/GE</t>
        </is>
      </c>
      <c r="B84" t="inlineStr">
        <is>
          <t>Invalid industry category</t>
        </is>
      </c>
      <c r="C84" t="inlineStr">
        <is>
          <t>Change Loan Tape Column X to valid industry</t>
        </is>
      </c>
    </row>
    <row r="85">
      <c r="A85" t="inlineStr">
        <is>
          <t>Valid Industries:</t>
        </is>
      </c>
      <c r="B85" t="inlineStr">
        <is>
          <t>Professional Services, Entertainment, Software</t>
        </is>
      </c>
    </row>
    <row r="86">
      <c r="A86" t="inlineStr">
        <is>
          <t>  </t>
        </is>
      </c>
      <c r="B86" t="inlineStr">
        <is>
          <t>Aerospace &amp; Defense, Building Products, etc.</t>
        </is>
      </c>
    </row>
    <row r="87">
      <c r="A87" t="inlineStr">
        <is>
          <t>Portfolio P = No</t>
        </is>
      </c>
      <c r="B87" t="inlineStr">
        <is>
          <t>Failed eligibility test</t>
        </is>
      </c>
      <c r="C87" t="inlineStr">
        <is>
          <t>Check columns E-N, compare to AGENT tab thresholds</t>
        </is>
      </c>
    </row>
    <row r="88">
      <c r="A88" t="inlineStr">
        <is>
          <t>Availability #N/A</t>
        </is>
      </c>
      <c r="B88" t="inlineStr">
        <is>
          <t>Concentration calc error</t>
        </is>
      </c>
      <c r="C88" t="inlineStr">
        <is>
          <t>Check Concentration Limits M44</t>
        </is>
      </c>
    </row>
    <row r="89">
      <c r="A89" t="inlineStr">
        <is>
          <t>#REF! errors</t>
        </is>
      </c>
      <c r="B89" t="inlineStr">
        <is>
          <t>Formula range too small</t>
        </is>
      </c>
      <c r="C89" t="inlineStr">
        <is>
          <t>Extend formula ranges to include new rows</t>
        </is>
      </c>
    </row>
    <row r="91">
      <c r="A91" s="777" t="inlineStr">
        <is>
          <t>SECTION 9: KEY FORMULAS</t>
        </is>
      </c>
    </row>
    <row r="92">
      <c r="A92" t="inlineStr">
        <is>
          <t>Availability L26:</t>
        </is>
      </c>
      <c r="B92">
        <f>MIN(L40, L41, L43)</f>
        <v/>
      </c>
      <c r="C92" t="inlineStr">
        <is>
          <t>Smallest of 3 tests</t>
        </is>
      </c>
    </row>
    <row r="94">
      <c r="A94" s="777" t="inlineStr">
        <is>
          <t>SECTION 10: CHATBOT CAPABILITIES</t>
        </is>
      </c>
    </row>
    <row r="95">
      <c r="A95" t="inlineStr">
        <is>
          <t>Query Examples:</t>
        </is>
      </c>
    </row>
    <row r="96">
      <c r="A96" t="inlineStr">
        <is>
          <t xml:space="preserve">  Add investment</t>
        </is>
      </c>
      <c r="B96" t="inlineStr">
        <is>
          <t>Model a $20M FILO at 5.5x leverage, 98% FMV</t>
        </is>
      </c>
    </row>
    <row r="97">
      <c r="A97" t="inlineStr">
        <is>
          <t xml:space="preserve">  Check eligibility</t>
        </is>
      </c>
      <c r="B97" t="inlineStr">
        <is>
          <t>Why is [Company Name] ineligible?</t>
        </is>
      </c>
    </row>
    <row r="98">
      <c r="A98" t="inlineStr">
        <is>
          <t xml:space="preserve">  Concentration</t>
        </is>
      </c>
      <c r="B98" t="inlineStr">
        <is>
          <t>What is our current FILO concentration?</t>
        </is>
      </c>
    </row>
    <row r="99">
      <c r="A99" t="inlineStr">
        <is>
          <t xml:space="preserve">  Pro forma</t>
        </is>
      </c>
      <c r="B99" t="inlineStr">
        <is>
          <t>Show before/after if we add this loan</t>
        </is>
      </c>
    </row>
    <row r="100">
      <c r="A100" t="inlineStr">
        <is>
          <t xml:space="preserve">  Remove loan</t>
        </is>
      </c>
      <c r="B100" t="inlineStr">
        <is>
          <t>Model removing [Company Name]</t>
        </is>
      </c>
    </row>
    <row r="102">
      <c r="A102" s="777" t="inlineStr">
        <is>
          <t>SECTION 11: SESSION INITIALIZATION</t>
        </is>
      </c>
    </row>
    <row r="103">
      <c r="A103" t="inlineStr">
        <is>
          <t>At start of each session, say:</t>
        </is>
      </c>
    </row>
    <row r="104">
      <c r="A104" t="inlineStr">
        <is>
          <t xml:space="preserve">  Read AI_Instructions tab and Memory tab</t>
        </is>
      </c>
    </row>
    <row r="105">
      <c r="A105" t="inlineStr">
        <is>
          <t>This loads all context, metadata, and recent changes for the session</t>
        </is>
      </c>
    </row>
    <row r="107">
      <c r="A107" s="777" t="inlineStr">
        <is>
          <t>SECTION 12: NAMED RANGES</t>
        </is>
      </c>
    </row>
    <row r="108">
      <c r="A108" t="inlineStr">
        <is>
          <t>Name</t>
        </is>
      </c>
      <c r="B108" t="inlineStr">
        <is>
          <t>Reference</t>
        </is>
      </c>
      <c r="C108" t="inlineStr">
        <is>
          <t>Purpose</t>
        </is>
      </c>
    </row>
    <row r="109">
      <c r="A109" t="inlineStr">
        <is>
          <t>Current_Availability</t>
        </is>
      </c>
      <c r="B109" t="inlineStr">
        <is>
          <t>Availability!L26</t>
        </is>
      </c>
      <c r="C109" t="inlineStr">
        <is>
          <t>Quick access to main output</t>
        </is>
      </c>
    </row>
    <row r="110">
      <c r="A110" t="inlineStr">
        <is>
          <t>Total_Portfolio</t>
        </is>
      </c>
      <c r="B110" t="inlineStr">
        <is>
          <t>Availability!L31</t>
        </is>
      </c>
      <c r="C110" t="inlineStr">
        <is>
          <t>Total par value</t>
        </is>
      </c>
    </row>
    <row r="111">
      <c r="A111" t="inlineStr">
        <is>
          <t>Eligibility_Criteria</t>
        </is>
      </c>
      <c r="B111" t="inlineStr">
        <is>
          <t>AGENT!A3:E10</t>
        </is>
      </c>
      <c r="C111" t="inlineStr">
        <is>
          <t>All threshold values</t>
        </is>
      </c>
    </row>
    <row r="112">
      <c r="A112" t="inlineStr">
        <is>
          <t>Advance_Rates</t>
        </is>
      </c>
      <c r="B112" t="inlineStr">
        <is>
          <t>Concentration Limits!D4:G31</t>
        </is>
      </c>
      <c r="C112" t="inlineStr">
        <is>
          <t>Rate lookup table</t>
        </is>
      </c>
    </row>
    <row r="114">
      <c r="A114" s="777" t="inlineStr">
        <is>
          <t>SECTION 13: MEMORY TAB USAGE</t>
        </is>
      </c>
    </row>
    <row r="115">
      <c r="A115" t="inlineStr">
        <is>
          <t>Purpose:</t>
        </is>
      </c>
      <c r="B115" t="inlineStr">
        <is>
          <t>Track all changes made via Claude for Excel</t>
        </is>
      </c>
    </row>
    <row r="116">
      <c r="A116" t="inlineStr">
        <is>
          <t>Benefits:</t>
        </is>
      </c>
    </row>
    <row r="117">
      <c r="A117" t="inlineStr">
        <is>
          <t xml:space="preserve">  1. Audit trail of all modifications</t>
        </is>
      </c>
    </row>
    <row r="118">
      <c r="A118" t="inlineStr">
        <is>
          <t xml:space="preserve">  2. Context for future AI sessions</t>
        </is>
      </c>
    </row>
    <row r="119">
      <c r="A119" t="inlineStr">
        <is>
          <t xml:space="preserve">  3. Team communication about changes</t>
        </is>
      </c>
    </row>
    <row r="120">
      <c r="A120" t="inlineStr">
        <is>
          <t xml:space="preserve">  4. Troubleshooting reference</t>
        </is>
      </c>
    </row>
    <row r="122">
      <c r="A122" t="inlineStr">
        <is>
          <t>When to Log:</t>
        </is>
      </c>
    </row>
    <row r="123">
      <c r="A123" t="inlineStr">
        <is>
          <t xml:space="preserve">  After adding/removing investments</t>
        </is>
      </c>
    </row>
    <row r="124">
      <c r="A124" t="inlineStr">
        <is>
          <t xml:space="preserve">  After fixing errors or issues</t>
        </is>
      </c>
    </row>
    <row r="125">
      <c r="A125" t="inlineStr">
        <is>
          <t xml:space="preserve">  After running analysis or queries</t>
        </is>
      </c>
    </row>
    <row r="126">
      <c r="A126" t="inlineStr">
        <is>
          <t xml:space="preserve">  After modifying formulas or structure</t>
        </is>
      </c>
    </row>
    <row r="128">
      <c r="A128" t="inlineStr">
        <is>
          <t>At session start, Claude should read Memory tab to understand recent changes</t>
        </is>
      </c>
    </row>
    <row r="130" ht="15.75" customHeight="1">
      <c r="A130" s="783" t="inlineStr">
        <is>
          <t>SESSION START CHECKLIST</t>
        </is>
      </c>
    </row>
    <row r="132">
      <c r="A132" t="inlineStr">
        <is>
          <t>At the beginning of EVERY Claude for Excel session, do this:</t>
        </is>
      </c>
    </row>
    <row r="134">
      <c r="A134" t="inlineStr">
        <is>
          <t>STEP 1:</t>
        </is>
      </c>
      <c r="B134" t="inlineStr">
        <is>
          <t>Say: Read AI_Instructions tab</t>
        </is>
      </c>
    </row>
    <row r="135">
      <c r="A135" t="inlineStr">
        <is>
          <t> </t>
        </is>
      </c>
      <c r="B135" t="inlineStr">
        <is>
          <t>This loads all system knowledge AND current metadata</t>
        </is>
      </c>
    </row>
    <row r="137">
      <c r="A137" t="inlineStr">
        <is>
          <t>STEP 2:</t>
        </is>
      </c>
      <c r="B137" t="inlineStr">
        <is>
          <t>Say: Read Memory tab</t>
        </is>
      </c>
    </row>
    <row r="138">
      <c r="A138" t="inlineStr">
        <is>
          <t> </t>
        </is>
      </c>
      <c r="B138" t="inlineStr">
        <is>
          <t>This shows recent changes and session context</t>
        </is>
      </c>
    </row>
    <row r="140">
      <c r="A140" t="inlineStr">
        <is>
          <t>OPTIONAL:</t>
        </is>
      </c>
      <c r="B140" t="inlineStr">
        <is>
          <t>Read Control tab for historical change log</t>
        </is>
      </c>
    </row>
    <row r="141">
      <c r="A141" t="inlineStr">
        <is>
          <t> </t>
        </is>
      </c>
      <c r="B141" t="inlineStr">
        <is>
          <t>(Only if you need to see old model changes)</t>
        </is>
      </c>
    </row>
    <row r="143">
      <c r="A143" t="inlineStr">
        <is>
          <t>After steps 1-2, Claude is fully contextualized and ready to work!</t>
        </is>
      </c>
    </row>
    <row r="144">
      <c r="A144" t="inlineStr">
        <is>
          <t>SECTION 14: PRO FORMA MODELING SYSTEM</t>
        </is>
      </c>
    </row>
    <row r="146">
      <c r="A146" s="721" t="inlineStr">
        <is>
          <t>TWO METHODS: 1) Deal Team Input Sheet (recommended) | 2) Direct data collection</t>
        </is>
      </c>
      <c r="B146" t="inlineStr">
        <is>
          <t>1) Deal Team Input Sheet (recommended) | 2) Direct data collection</t>
        </is>
      </c>
    </row>
    <row r="148">
      <c r="A148" s="721" t="inlineStr">
        <is>
          <t>METHOD 1: USING DEAL TEAM INPUT SHEET</t>
        </is>
      </c>
    </row>
    <row r="149">
      <c r="A149" t="inlineStr">
        <is>
          <t>When user says 'Run the pro forma':</t>
        </is>
      </c>
    </row>
    <row r="150">
      <c r="A150" s="866" t="inlineStr">
        <is>
          <t>0. PRE-FLIGHT CHECK (MANDATORY): Ask user if they want to clear old Deal Team Input data</t>
        </is>
      </c>
      <c r="B150" s="867" t="inlineStr">
        <is>
          <t>ALWAYS ask before every pro forma run, even if fields appear empty. Check B7 (Company), B8 (Security), B53 (Before Availability). If ANY contain data, ask: "I see data from a previous pro forma [mention company if present]. Would you like me to clear the old inputs before running a new analysis?" If YES: Clear B7-B39 input fields, B53 (keep B54/B56/B57 formulas intact), D74:E86 (Prior columns). If NO: Proceed with overwriting. This prevents confusion and data mixing.</t>
        </is>
      </c>
    </row>
    <row r="151">
      <c r="A151" s="867" t="n"/>
      <c r="B151" s="867" t="n"/>
    </row>
    <row r="152">
      <c r="A152" s="721" t="inlineStr">
        <is>
          <t>1. Capture Before: Read Availability!L26, write to 'Deal Team Input'!B53</t>
        </is>
      </c>
      <c r="B152" t="inlineStr">
        <is>
          <t>Hardcode current availability before any changes</t>
        </is>
      </c>
    </row>
    <row r="153">
      <c r="A153" s="721" t="inlineStr">
        <is>
          <t>1b. Capture Concentration Before: Hardcode 'Concentration Limits' L49:L70 → 'Deal Team Input' D74:D86, K49:K70 → E74:E86</t>
        </is>
      </c>
      <c r="B153" t="inlineStr">
        <is>
          <t>Snapshot prior actuals &amp; excess for all 13 limits (map: rows 49-52,57-59,61,64,67-70)</t>
        </is>
      </c>
    </row>
    <row r="154">
      <c r="A154" s="721" t="inlineStr">
        <is>
          <t>2. Read Inputs: B7 (Company), B8 (Security), B14-B22 (Phase 1), B28-B39 (Phase 2)</t>
        </is>
      </c>
      <c r="B154" t="inlineStr">
        <is>
          <t>From Deal Team Input sheet. 6 fields pre-populated with defaults (USD, 1.00, US, Floating, M, 0%)</t>
        </is>
      </c>
    </row>
    <row r="155">
      <c r="A155" s="721" t="inlineStr">
        <is>
          <t>3. Validate Industry: Check B34 matches 'Concentration Limits'!E81:E153</t>
        </is>
      </c>
      <c r="B155" t="inlineStr">
        <is>
          <t>Must match exactly or #N/A errors in availability</t>
        </is>
      </c>
    </row>
    <row r="156">
      <c r="A156" s="721" t="inlineStr">
        <is>
          <t>4. Execute: Add to SM Support (D=E=BDC balance, S=BDC balance), Loan Tape (S=FMV=BDC balance), Portfolio</t>
        </is>
      </c>
      <c r="B156" t="inlineStr">
        <is>
          <t>CRITICAL: Loan Tape col S (FMV) must equal BDC balance for par. AO=U for Inclusion Date.</t>
        </is>
      </c>
    </row>
    <row r="157">
      <c r="A157" s="721" t="inlineStr">
        <is>
          <t>5. Link Concentration After: Set 'Deal Team Input' F74:F86 = live links to L49:L70, G74:G86 = live links to K49:K70</t>
        </is>
      </c>
      <c r="B157" t="inlineStr">
        <is>
          <t>Pro Forma columns show live post-addition values vs hardcoded Prior snapshot</t>
        </is>
      </c>
    </row>
    <row r="158">
      <c r="A158" s="721" t="inlineStr">
        <is>
          <t>6. Summary: B53 (Before), B54 (After=live), B56 (Change=auto), B57 (Impact Ratio=auto)</t>
        </is>
      </c>
      <c r="B158" t="inlineStr">
        <is>
          <t>B54 is live link to Availability!L26. B56 and B57 auto-calculate.</t>
        </is>
      </c>
    </row>
    <row r="159">
      <c r="A159" s="866" t="inlineStr">
        <is>
          <t>6.5. Check Eligibility: Read new Portfolio row Column P (Eligible Y/N)</t>
        </is>
      </c>
      <c r="B159" s="867" t="inlineStr">
        <is>
          <t>If Column P = 'No', read columns E-N to identify which tests failed. Report to user: '⚠️ WARNING: This loan is INELIGIBLE. Failed tests: [list specific tests from E-N that are FALSE].' This catches problematic deals before commitment.</t>
        </is>
      </c>
    </row>
    <row r="160">
      <c r="A160" s="721" t="inlineStr">
        <is>
          <t>7. Log &amp; Report: Update Memory tab, show before/after availability + concentration changes to user</t>
        </is>
      </c>
      <c r="B160" t="inlineStr">
        <is>
          <t>Include any limits where excess changed from 0 to &gt;0 (new breaches)</t>
        </is>
      </c>
    </row>
    <row r="161">
      <c r="A161" s="721" t="n"/>
    </row>
    <row r="162">
      <c r="A162" s="721" t="inlineStr">
        <is>
          <t>PHASE 1: SM Support (9 inputs)</t>
        </is>
      </c>
      <c r="B162" t="inlineStr">
        <is>
          <t>Mapping</t>
        </is>
      </c>
    </row>
    <row r="163">
      <c r="A163" s="721" t="inlineStr">
        <is>
          <t>Security Type</t>
        </is>
      </c>
      <c r="B163" t="inlineStr">
        <is>
          <t>First Lien or Last Out</t>
        </is>
      </c>
    </row>
    <row r="164">
      <c r="A164" t="inlineStr">
        <is>
          <t>LTM Revenue</t>
        </is>
      </c>
      <c r="B164" t="inlineStr">
        <is>
          <t>Column F</t>
        </is>
      </c>
    </row>
    <row r="165">
      <c r="A165" s="721" t="inlineStr">
        <is>
          <t>LTM Adj. EBITDA</t>
        </is>
      </c>
      <c r="B165" t="inlineStr">
        <is>
          <t>Column G (scaled to MM in Loan Tape AV)</t>
        </is>
      </c>
    </row>
    <row r="166">
      <c r="A166" t="inlineStr">
        <is>
          <t>Drawn Revolver</t>
        </is>
      </c>
      <c r="B166" t="inlineStr">
        <is>
          <t>Column H</t>
        </is>
      </c>
    </row>
    <row r="167">
      <c r="A167" s="721" t="inlineStr">
        <is>
          <t>First Out Balance</t>
        </is>
      </c>
      <c r="B167" t="inlineStr">
        <is>
          <t>Column I</t>
        </is>
      </c>
    </row>
    <row r="168">
      <c r="A168" t="inlineStr">
        <is>
          <t>Pari Passu</t>
        </is>
      </c>
      <c r="B168" t="inlineStr">
        <is>
          <t>Column J</t>
        </is>
      </c>
    </row>
    <row r="169">
      <c r="A169" s="721" t="inlineStr">
        <is>
          <t>BDC Balance (KEY)</t>
        </is>
      </c>
      <c r="B169" t="inlineStr">
        <is>
          <t>Column D (Debt) AND E (Fair Value at par)</t>
        </is>
      </c>
    </row>
    <row r="170">
      <c r="A170" t="inlineStr">
        <is>
          <t>Cash Balance</t>
        </is>
      </c>
      <c r="B170" t="inlineStr">
        <is>
          <t>Column L</t>
        </is>
      </c>
    </row>
    <row r="171">
      <c r="A171" s="721" t="inlineStr">
        <is>
          <t>Interest Coverage</t>
        </is>
      </c>
      <c r="B171" t="inlineStr">
        <is>
          <t>Column O</t>
        </is>
      </c>
    </row>
    <row r="172">
      <c r="A172" t="inlineStr">
        <is>
          <t>9. Interest Coverage</t>
        </is>
      </c>
      <c r="B172" t="inlineStr">
        <is>
          <t>→ Column O</t>
        </is>
      </c>
    </row>
    <row r="173">
      <c r="A173" s="721" t="inlineStr">
        <is>
          <t>PHASE 2: Loan Tape (12 inputs)</t>
        </is>
      </c>
      <c r="B173" t="inlineStr">
        <is>
          <t>Mapping</t>
        </is>
      </c>
    </row>
    <row r="174">
      <c r="A174" s="721" t="inlineStr">
        <is>
          <t>Loan Denomination</t>
        </is>
      </c>
      <c r="B174" t="inlineStr">
        <is>
          <t>Column L (USD/CAD)</t>
        </is>
      </c>
    </row>
    <row r="175">
      <c r="A175" t="inlineStr">
        <is>
          <t>Purchase Price</t>
        </is>
      </c>
      <c r="B175" t="inlineStr">
        <is>
          <t>Column Q (1 = 100%)</t>
        </is>
      </c>
    </row>
    <row r="176">
      <c r="A176" t="inlineStr">
        <is>
          <t>Country</t>
        </is>
      </c>
      <c r="B176" t="inlineStr">
        <is>
          <t>Column T</t>
        </is>
      </c>
    </row>
    <row r="177">
      <c r="A177" t="inlineStr">
        <is>
          <t>Investment Date</t>
        </is>
      </c>
      <c r="B177" t="inlineStr">
        <is>
          <t>Column U</t>
        </is>
      </c>
    </row>
    <row r="178">
      <c r="A178" t="inlineStr">
        <is>
          <t>Maturity Date</t>
        </is>
      </c>
      <c r="B178" t="inlineStr">
        <is>
          <t>Column V</t>
        </is>
      </c>
    </row>
    <row r="179">
      <c r="A179" t="inlineStr">
        <is>
          <t>Floating/Fixed</t>
        </is>
      </c>
      <c r="B179" t="inlineStr">
        <is>
          <t>Column W</t>
        </is>
      </c>
    </row>
    <row r="180">
      <c r="A180" t="inlineStr">
        <is>
          <t>Industry (MUST match list)</t>
        </is>
      </c>
      <c r="B180" t="inlineStr">
        <is>
          <t>Column X</t>
        </is>
      </c>
    </row>
    <row r="181">
      <c r="A181" t="inlineStr">
        <is>
          <t>Payment Frequency</t>
        </is>
      </c>
      <c r="B181" t="inlineStr">
        <is>
          <t>Column Y (M/Q)</t>
        </is>
      </c>
    </row>
    <row r="182">
      <c r="A182" t="inlineStr">
        <is>
          <t>PIK %</t>
        </is>
      </c>
      <c r="B182" t="inlineStr">
        <is>
          <t>Column AD</t>
        </is>
      </c>
    </row>
    <row r="183">
      <c r="A183" t="inlineStr">
        <is>
          <t>Spread</t>
        </is>
      </c>
      <c r="B183" t="inlineStr">
        <is>
          <t>Column AE</t>
        </is>
      </c>
    </row>
    <row r="184">
      <c r="A184" t="inlineStr">
        <is>
          <t>SOFR Floor</t>
        </is>
      </c>
      <c r="B184" t="inlineStr">
        <is>
          <t>Column AF</t>
        </is>
      </c>
    </row>
    <row r="185">
      <c r="A185" t="inlineStr">
        <is>
          <t>Attach Point</t>
        </is>
      </c>
      <c r="B185" t="inlineStr">
        <is>
          <t>Column AX</t>
        </is>
      </c>
    </row>
    <row r="186">
      <c r="A186" t="inlineStr">
        <is>
          <t>12. Attach Point</t>
        </is>
      </c>
      <c r="B186" t="inlineStr">
        <is>
          <t>→ Column AX (leverage ratio)</t>
        </is>
      </c>
    </row>
    <row r="187">
      <c r="A187" t="inlineStr">
        <is>
          <t>CRITICAL: BDC vs TOTAL SM BALANCE</t>
        </is>
      </c>
    </row>
    <row r="188">
      <c r="A188" s="812" t="inlineStr">
        <is>
          <t>Column D (Debt Balance) = BDC's specific investment</t>
        </is>
      </c>
    </row>
    <row r="189">
      <c r="A189" s="721" t="inlineStr">
        <is>
          <t>COMMON ISSUES &amp; FIXES</t>
        </is>
      </c>
    </row>
    <row r="190">
      <c r="A190" t="inlineStr">
        <is>
          <t>Issue: Maturity test fails | Cause: Inclusion Date (AO) ≠ Investment Date (U) | Fix: Set AO = U</t>
        </is>
      </c>
    </row>
    <row r="191">
      <c r="A191" t="inlineStr">
        <is>
          <t>Issue: #N/A in Availability | Cause: Invalid industry | Fix: Match Concentration Limits E81:E153</t>
        </is>
      </c>
    </row>
    <row r="192">
      <c r="A192" t="inlineStr">
        <is>
          <t>Issue: Zero borrowing base contribution | Cause: Loan Tape col S (FMV) = 0 | Fix: Set S = BDC balance for par investments</t>
        </is>
      </c>
    </row>
    <row r="193">
      <c r="A193" t="inlineStr">
        <is>
          <t>DEFAULT INPUTS (Pre-populated in Deal Team Input)</t>
        </is>
      </c>
    </row>
    <row r="194">
      <c r="A194" t="inlineStr">
        <is>
          <t>B28=USD, B29=1.00 (par), B30=United States, B33=Floating, B35=M (Monthly), B36=0 (no PIK)</t>
        </is>
      </c>
    </row>
    <row r="195">
      <c r="A195" t="inlineStr">
        <is>
          <t>CONCENTRATION LIMITS TABLE (Deal Team Input rows 73-86)</t>
        </is>
      </c>
    </row>
    <row r="196">
      <c r="A196" t="inlineStr">
        <is>
          <t>9 cols: A=Limit Type, B=Limit %, C=Applicable Test Limit $ (J49:J70), D=Prior Actual $ (L49:L70), E=Prior Excess $ (K49:K70), F=Pro Forma Actual $ (L live), G=Pro Forma Excess $ (K live), H=Δ Actual $ (=F-D, formula), I=Δ Excess $ (=G-E, formula). H-I auto-calculate when F-G populated.</t>
        </is>
      </c>
    </row>
    <row r="197">
      <c r="A197" t="inlineStr">
        <is>
          <t>Row mapping: 74→CL49, 75→CL50, 76→CL51, 77→CL52, 78→CL57, 79→CL58, 80→CL59, 81→CL61, 82→CL64, 83→CL67, 84→CL68, 85→CL69, 86→CL70</t>
        </is>
      </c>
    </row>
    <row r="198">
      <c r="A198" t="inlineStr">
        <is>
          <t>EXECUTION (BOTH METHODS)</t>
        </is>
      </c>
    </row>
    <row r="199">
      <c r="A199" t="inlineStr">
        <is>
          <t>1. Add SM Support: Next row, D=E=S (Loan Tape) = BDC balance for par</t>
        </is>
      </c>
    </row>
    <row r="200">
      <c r="A200" t="inlineStr">
        <is>
          <t>2. Add Loan Tape: Next row, CRITICAL: Inclusion Date (AO) = Investment Date (U), FMV (S) = BDC balance</t>
        </is>
      </c>
    </row>
    <row r="201">
      <c r="A201" t="inlineStr">
        <is>
          <t>3. Copy Portfolio: Use copy_to to next CCM ID</t>
        </is>
      </c>
    </row>
    <row r="202">
      <c r="A202" t="inlineStr">
        <is>
          <t>4. Verify: Check Portfolio P = Yes/No, if No check maturity test (M)</t>
        </is>
      </c>
    </row>
    <row r="203">
      <c r="A203" t="inlineStr">
        <is>
          <t>5. Log: Update Memory with before/after, note any concentration limit changes</t>
        </is>
      </c>
    </row>
  </sheetData>
  <mergeCells count="1">
    <mergeCell ref="A1:F1"/>
  </mergeCells>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3:Z323"/>
  <sheetViews>
    <sheetView showGridLines="0" zoomScaleNormal="100" zoomScaleSheetLayoutView="85" workbookViewId="0">
      <selection activeCell="I98" sqref="I98"/>
    </sheetView>
  </sheetViews>
  <sheetFormatPr baseColWidth="8" defaultRowHeight="15"/>
  <cols>
    <col width="62.85546875" customWidth="1" min="1" max="1"/>
    <col width="19.42578125" bestFit="1" customWidth="1" min="2" max="2"/>
    <col width="19.42578125" customWidth="1" min="3" max="3"/>
    <col width="39.85546875" bestFit="1" customWidth="1" min="4" max="4"/>
    <col width="20.140625" bestFit="1" customWidth="1" min="5" max="5"/>
    <col width="27.85546875" bestFit="1" customWidth="1" min="6" max="6"/>
    <col width="32.7109375" customWidth="1" min="7" max="7"/>
    <col width="51.28515625" bestFit="1" customWidth="1" min="8" max="8"/>
    <col width="32.7109375" customWidth="1" min="9" max="9"/>
    <col width="32" customWidth="1" min="10" max="10"/>
    <col width="49.85546875" customWidth="1" min="11" max="11"/>
  </cols>
  <sheetData>
    <row r="1" ht="36" customHeight="1"/>
    <row r="2" ht="6" customHeight="1"/>
    <row r="3" ht="18.75" customHeight="1">
      <c r="A3" s="945" t="inlineStr">
        <is>
          <t>BORROWING BASE PRO FORMA - DEAL TEAM INPUT FORM</t>
        </is>
      </c>
      <c r="J3" s="870" t="inlineStr">
        <is>
          <t>STEP 1: Open Claude for Excel</t>
        </is>
      </c>
      <c r="L3" s="860" t="n"/>
      <c r="M3" s="860" t="n"/>
      <c r="N3" s="860" t="n"/>
      <c r="O3" s="860" t="n"/>
      <c r="P3" s="860" t="n"/>
      <c r="Z3" s="825" t="inlineStr">
        <is>
          <t>VALID INDUSTRY CLASSIFICATIONS</t>
        </is>
      </c>
    </row>
    <row r="4">
      <c r="A4" s="721" t="inlineStr">
        <is>
          <t>Status:</t>
        </is>
      </c>
      <c r="B4" s="832">
        <f>IF(AND(B7&lt;&gt;"",B14&gt;0,B15&gt;0,B19&gt;0,B20&gt;0,B29&lt;&gt;"",B34&lt;&gt;"",B39&gt;0),"✓ READY TO RUN","⚠ Fill Required Fields")</f>
        <v/>
      </c>
      <c r="C4" s="832" t="n"/>
      <c r="J4" t="inlineStr">
        <is>
          <t xml:space="preserve">   Action:</t>
        </is>
      </c>
      <c r="K4" t="inlineStr">
        <is>
          <t>Click the "Open Claude" button on the Home ribbon at the top of your screen</t>
        </is>
      </c>
      <c r="L4" s="861" t="n"/>
      <c r="M4" s="861" t="n"/>
      <c r="N4" s="861" t="n"/>
      <c r="O4" s="861" t="n"/>
      <c r="Z4" s="811" t="n"/>
    </row>
    <row r="5" ht="15.75" customHeight="1">
      <c r="A5" s="808" t="inlineStr">
        <is>
          <t>COMPANY INFORMATION</t>
        </is>
      </c>
      <c r="L5" s="861" t="n"/>
      <c r="M5" s="861" t="n"/>
      <c r="N5" s="861" t="n"/>
      <c r="O5" s="861" t="n"/>
    </row>
    <row r="6">
      <c r="J6" s="870" t="inlineStr">
        <is>
          <t>STEP 2: Initialize Claude</t>
        </is>
      </c>
      <c r="L6" s="861" t="n"/>
      <c r="M6" s="861" t="n"/>
      <c r="N6" s="861" t="n"/>
      <c r="O6" s="861" t="n"/>
      <c r="Z6" s="810" t="inlineStr">
        <is>
          <t>Aerospace &amp; Defense</t>
        </is>
      </c>
    </row>
    <row r="7">
      <c r="A7" s="721" t="inlineStr">
        <is>
          <t>Company Name:</t>
        </is>
      </c>
      <c r="B7" s="826" t="n"/>
      <c r="C7" s="826" t="n"/>
      <c r="J7" t="inlineStr">
        <is>
          <t xml:space="preserve">   Action:</t>
        </is>
      </c>
      <c r="K7" t="inlineStr">
        <is>
          <t>Copy and paste this message into Claude:</t>
        </is>
      </c>
      <c r="L7" s="861" t="n"/>
      <c r="M7" s="861" t="n"/>
      <c r="N7" s="861" t="n"/>
      <c r="O7" s="861" t="n"/>
      <c r="Z7" s="810" t="inlineStr">
        <is>
          <t>Air Freight &amp; Logistics</t>
        </is>
      </c>
    </row>
    <row r="8">
      <c r="A8" s="721" t="inlineStr">
        <is>
          <t>Security Type:</t>
        </is>
      </c>
      <c r="B8" s="826" t="n"/>
      <c r="C8" s="826" t="n"/>
      <c r="D8" t="inlineStr">
        <is>
          <t>(First Lien or Last Out)</t>
        </is>
      </c>
      <c r="K8" t="inlineStr">
        <is>
          <t>Hi Claude, please read the "Memory" and "AI_Instructions" tabs.</t>
        </is>
      </c>
      <c r="L8" s="860" t="n"/>
      <c r="M8" s="860" t="n"/>
      <c r="N8" s="860" t="n"/>
      <c r="O8" s="860" t="n"/>
      <c r="Z8" s="810" t="inlineStr">
        <is>
          <t>Airlines</t>
        </is>
      </c>
    </row>
    <row r="9">
      <c r="J9" t="inlineStr">
        <is>
          <t xml:space="preserve">   Wait:</t>
        </is>
      </c>
      <c r="K9" t="inlineStr">
        <is>
          <t>Wait for Claude to confirm it has loaded the context before proceeding</t>
        </is>
      </c>
      <c r="L9" s="862" t="n"/>
      <c r="M9" s="862" t="n"/>
      <c r="N9" s="862" t="n"/>
      <c r="O9" s="862" t="n"/>
      <c r="Z9" s="810" t="inlineStr">
        <is>
          <t>Auto Components</t>
        </is>
      </c>
    </row>
    <row r="10">
      <c r="Z10" s="810" t="inlineStr">
        <is>
          <t>Automobiles</t>
        </is>
      </c>
    </row>
    <row r="11" ht="15.75" customHeight="1">
      <c r="A11" s="808" t="inlineStr">
        <is>
          <t>PHASE 1: FINANCIAL METRICS (SM Support Tab)</t>
        </is>
      </c>
      <c r="J11" s="870" t="inlineStr">
        <is>
          <t>STEP 3: Fill Input Fields</t>
        </is>
      </c>
      <c r="Z11" s="810" t="inlineStr">
        <is>
          <t>Banks</t>
        </is>
      </c>
    </row>
    <row r="12">
      <c r="A12" s="777" t="inlineStr">
        <is>
          <t>Input Field</t>
        </is>
      </c>
      <c r="B12" s="777" t="inlineStr">
        <is>
          <t>Your Input</t>
        </is>
      </c>
      <c r="C12" s="777" t="n"/>
      <c r="D12" s="777" t="inlineStr">
        <is>
          <t>Format / Notes</t>
        </is>
      </c>
      <c r="J12" t="inlineStr">
        <is>
          <t xml:space="preserve">   Action:</t>
        </is>
      </c>
      <c r="K12" t="inlineStr">
        <is>
          <t>Complete all BLUE-HIGHLIGHTED cells in column B (rows 7-39):</t>
        </is>
      </c>
      <c r="Z12" s="810" t="inlineStr">
        <is>
          <t>Beverages</t>
        </is>
      </c>
    </row>
    <row r="13">
      <c r="K13" t="inlineStr">
        <is>
          <t>• Company Name (B7) and Security Type (B8)</t>
        </is>
      </c>
      <c r="Z13" s="810" t="inlineStr">
        <is>
          <t>Biotechnology</t>
        </is>
      </c>
    </row>
    <row r="14">
      <c r="A14" s="721" t="inlineStr">
        <is>
          <t>1. LTM Revenue</t>
        </is>
      </c>
      <c r="B14" s="1226" t="n"/>
      <c r="C14" s="1226" t="n"/>
      <c r="D14" t="inlineStr">
        <is>
          <t>In dollars (e.g., 632989000)</t>
        </is>
      </c>
      <c r="K14" t="inlineStr">
        <is>
          <t>• Financial Metrics (B14-B22): 9 fields required</t>
        </is>
      </c>
      <c r="Z14" s="810" t="inlineStr">
        <is>
          <t>Building Products</t>
        </is>
      </c>
    </row>
    <row r="15">
      <c r="A15" s="721" t="inlineStr">
        <is>
          <t>2. LTM Adj. EBITDA</t>
        </is>
      </c>
      <c r="B15" s="1226" t="n"/>
      <c r="C15" s="1226" t="n"/>
      <c r="D15" t="inlineStr">
        <is>
          <t>In dollars (e.g., 67312000)</t>
        </is>
      </c>
      <c r="K15" t="inlineStr">
        <is>
          <t>• Loan Terms (B28-B39): 12 fields (6 pre-filled)</t>
        </is>
      </c>
      <c r="Z15" s="810" t="inlineStr">
        <is>
          <t>Capital Markets</t>
        </is>
      </c>
    </row>
    <row r="16">
      <c r="A16" s="721" t="inlineStr">
        <is>
          <t>3. Drawn Revolver Balance</t>
        </is>
      </c>
      <c r="B16" s="1226" t="n"/>
      <c r="C16" s="1226" t="n"/>
      <c r="D16" t="inlineStr">
        <is>
          <t>In dollars (enter 0 if none)</t>
        </is>
      </c>
      <c r="J16" t="inlineStr">
        <is>
          <t xml:space="preserve">   Critical:</t>
        </is>
      </c>
      <c r="K16" t="inlineStr">
        <is>
          <t>BDC Balance (B19) = This facility's specific investment amount</t>
        </is>
      </c>
      <c r="Z16" s="810" t="inlineStr">
        <is>
          <t>Chemicals</t>
        </is>
      </c>
    </row>
    <row r="17">
      <c r="A17" s="721" t="inlineStr">
        <is>
          <t>4. Drawn First Out Balance</t>
        </is>
      </c>
      <c r="B17" s="1226" t="n"/>
      <c r="C17" s="1226" t="n"/>
      <c r="D17" t="inlineStr">
        <is>
          <t>In dollars (enter 0 if none)</t>
        </is>
      </c>
      <c r="K17" t="inlineStr">
        <is>
          <t>Industry (B34) must match the list in column Z exactly</t>
        </is>
      </c>
      <c r="Z17" s="810" t="inlineStr">
        <is>
          <t>Commercial Services &amp; Supplies</t>
        </is>
      </c>
    </row>
    <row r="18">
      <c r="A18" s="721" t="inlineStr">
        <is>
          <t>5. Pari Passu</t>
        </is>
      </c>
      <c r="B18" s="1226" t="n"/>
      <c r="C18" s="1226" t="n"/>
      <c r="D18" t="inlineStr">
        <is>
          <t>In dollars</t>
        </is>
      </c>
      <c r="Z18" s="810" t="inlineStr">
        <is>
          <t>Communications Equipment</t>
        </is>
      </c>
    </row>
    <row r="19">
      <c r="A19" s="809" t="inlineStr">
        <is>
          <t>6. BDC Balance (Debt Balance)</t>
        </is>
      </c>
      <c r="B19" s="1226" t="n"/>
      <c r="C19" s="1226" t="n"/>
      <c r="D19" t="inlineStr">
        <is>
          <t>⚠️ KEY: BDC's specific investment amount</t>
        </is>
      </c>
      <c r="J19" s="870" t="inlineStr">
        <is>
          <t>STEP 4: Verify Readiness</t>
        </is>
      </c>
      <c r="Z19" s="810" t="inlineStr">
        <is>
          <t>Construction &amp; Engineering</t>
        </is>
      </c>
    </row>
    <row r="20">
      <c r="A20" s="721" t="inlineStr">
        <is>
          <t>7. Total SM Balance</t>
        </is>
      </c>
      <c r="B20" s="1226" t="n"/>
      <c r="C20" s="1226" t="n"/>
      <c r="D20" t="inlineStr">
        <is>
          <t>Total Star Mountain Exposure</t>
        </is>
      </c>
      <c r="J20" t="inlineStr">
        <is>
          <t xml:space="preserve">   Action:</t>
        </is>
      </c>
      <c r="K20" t="inlineStr">
        <is>
          <t>Check the status indicator in cell B4 at the top:</t>
        </is>
      </c>
      <c r="Z20" s="810" t="inlineStr">
        <is>
          <t>Construction Materials</t>
        </is>
      </c>
    </row>
    <row r="21">
      <c r="A21" s="721" t="inlineStr">
        <is>
          <t>8. Cash Balance</t>
        </is>
      </c>
      <c r="B21" s="1226" t="n"/>
      <c r="C21" s="1226" t="n"/>
      <c r="D21" t="inlineStr">
        <is>
          <t>Company's cash as close (enter 0 if none)</t>
        </is>
      </c>
      <c r="K21" t="inlineStr">
        <is>
          <t>✓ Green "READY TO RUN" → Proceed to Step 5</t>
        </is>
      </c>
      <c r="Z21" s="810" t="inlineStr">
        <is>
          <t>Consumer Finance</t>
        </is>
      </c>
    </row>
    <row r="22">
      <c r="A22" s="721" t="inlineStr">
        <is>
          <t>9. Current Interest Coverage</t>
        </is>
      </c>
      <c r="B22" s="828" t="n"/>
      <c r="C22" s="828" t="n"/>
      <c r="D22" t="inlineStr">
        <is>
          <t>Ratio (e.g., 2.9 for 2.9x)</t>
        </is>
      </c>
      <c r="K22" t="inlineStr">
        <is>
          <t>⚠ Red warning → Missing fields, go back to Step 3</t>
        </is>
      </c>
      <c r="Z22" s="810" t="inlineStr">
        <is>
          <t>Containers &amp; Packaging Distributors</t>
        </is>
      </c>
    </row>
    <row r="23">
      <c r="Z23" s="810" t="inlineStr">
        <is>
          <t>Distributors</t>
        </is>
      </c>
    </row>
    <row r="24">
      <c r="J24" s="870" t="inlineStr">
        <is>
          <t>STEP 5: Run Pro Forma</t>
        </is>
      </c>
      <c r="Z24" s="810" t="inlineStr">
        <is>
          <t>Diversified Consumer Services</t>
        </is>
      </c>
    </row>
    <row r="25" ht="15.75" customHeight="1">
      <c r="A25" s="808" t="inlineStr">
        <is>
          <t>PHASE 2: LOAN TERMS (Loan Tape Tab)</t>
        </is>
      </c>
      <c r="J25" t="inlineStr">
        <is>
          <t xml:space="preserve">   Action:</t>
        </is>
      </c>
      <c r="K25" t="inlineStr">
        <is>
          <t>Copy and paste this message into Claude:</t>
        </is>
      </c>
      <c r="Z25" s="810" t="inlineStr">
        <is>
          <t>Diversified Financial Services</t>
        </is>
      </c>
    </row>
    <row r="26">
      <c r="A26" s="777" t="inlineStr">
        <is>
          <t>Input Field</t>
        </is>
      </c>
      <c r="B26" s="777" t="inlineStr">
        <is>
          <t>Your Input</t>
        </is>
      </c>
      <c r="C26" s="777" t="n"/>
      <c r="D26" s="777" t="inlineStr">
        <is>
          <t>Format / Notes</t>
        </is>
      </c>
      <c r="K26" t="inlineStr">
        <is>
          <t>Thank you, Claude. Please run the pro forma impact analysis.</t>
        </is>
      </c>
      <c r="Z26" s="810" t="inlineStr">
        <is>
          <t>Diversified Telecommunication Services</t>
        </is>
      </c>
    </row>
    <row r="27">
      <c r="Z27" s="810" t="inlineStr">
        <is>
          <t>Services</t>
        </is>
      </c>
    </row>
    <row r="28">
      <c r="A28" s="721" t="inlineStr">
        <is>
          <t>10. Loan Denomination</t>
        </is>
      </c>
      <c r="B28" s="826" t="inlineStr">
        <is>
          <t>USD</t>
        </is>
      </c>
      <c r="C28" s="826" t="n"/>
      <c r="D28" t="inlineStr">
        <is>
          <t>USD or CAD</t>
        </is>
      </c>
      <c r="J28" s="871" t="inlineStr">
        <is>
          <t>WHAT CLAUDE DOES AUTOMATICALLY:</t>
        </is>
      </c>
      <c r="Z28" s="810" t="inlineStr">
        <is>
          <t>Software</t>
        </is>
      </c>
    </row>
    <row r="29">
      <c r="A29" s="721" t="inlineStr">
        <is>
          <t>11. Purchase Price</t>
        </is>
      </c>
      <c r="B29" s="829" t="n">
        <v>1</v>
      </c>
      <c r="C29" s="829" t="n"/>
      <c r="D29" t="inlineStr">
        <is>
          <t>% of par (e.g., 100% = 1.00)</t>
        </is>
      </c>
      <c r="K29" t="inlineStr">
        <is>
          <t>• Captures current availability (writes to B53)</t>
        </is>
      </c>
      <c r="Z29" s="810" t="inlineStr">
        <is>
          <t>Electric Utilities</t>
        </is>
      </c>
    </row>
    <row r="30">
      <c r="A30" s="721" t="inlineStr">
        <is>
          <t>12. Country</t>
        </is>
      </c>
      <c r="B30" s="826" t="inlineStr">
        <is>
          <t>United States</t>
        </is>
      </c>
      <c r="C30" s="826" t="n"/>
      <c r="D30" t="inlineStr">
        <is>
          <t>United States</t>
        </is>
      </c>
      <c r="K30" t="inlineStr">
        <is>
          <t>• Adds investment to SM Support, Loan Tape, and Portfolio tabs</t>
        </is>
      </c>
      <c r="Z30" s="810" t="inlineStr">
        <is>
          <t>Electrical Equipment</t>
        </is>
      </c>
    </row>
    <row r="31">
      <c r="A31" s="721" t="inlineStr">
        <is>
          <t>13. Investment Date</t>
        </is>
      </c>
      <c r="B31" s="1227" t="n"/>
      <c r="C31" s="1227" t="n"/>
      <c r="D31" t="inlineStr">
        <is>
          <t>Date (e.g., 2/28/2026)</t>
        </is>
      </c>
      <c r="K31" t="inlineStr">
        <is>
          <t>• Runs all 10 eligibility tests</t>
        </is>
      </c>
      <c r="Z31" s="810" t="inlineStr">
        <is>
          <t>Energy Equipment &amp; Services</t>
        </is>
      </c>
    </row>
    <row r="32">
      <c r="A32" s="721" t="inlineStr">
        <is>
          <t>14. Maturity Date</t>
        </is>
      </c>
      <c r="B32" s="1227" t="n"/>
      <c r="C32" s="1227" t="n"/>
      <c r="D32" t="inlineStr">
        <is>
          <t>Date (e.g., 2/28/2030)</t>
        </is>
      </c>
      <c r="K32" t="inlineStr">
        <is>
          <t>• Updates availability and shows Before/After/Change (B53-B56)</t>
        </is>
      </c>
      <c r="Z32" s="810" t="inlineStr">
        <is>
          <t>Equity Real Estate Investment Trusts (REITs)</t>
        </is>
      </c>
    </row>
    <row r="33">
      <c r="A33" s="721" t="inlineStr">
        <is>
          <t>15. Floating Rate?</t>
        </is>
      </c>
      <c r="B33" s="826" t="inlineStr">
        <is>
          <t>Floating</t>
        </is>
      </c>
      <c r="C33" s="826" t="n"/>
      <c r="D33" t="inlineStr">
        <is>
          <t>Floating or Fixed</t>
        </is>
      </c>
      <c r="K33" t="inlineStr">
        <is>
          <t>• Updates concentration limits table (rows 74-94)</t>
        </is>
      </c>
      <c r="Z33" s="810" t="inlineStr">
        <is>
          <t>Food &amp; Staples Retailing</t>
        </is>
      </c>
    </row>
    <row r="34">
      <c r="A34" s="721" t="inlineStr">
        <is>
          <t>16. S&amp;P Industry Classification ▶</t>
        </is>
      </c>
      <c r="B34" s="826" t="n"/>
      <c r="C34" s="826" t="n"/>
      <c r="D34" t="inlineStr">
        <is>
          <t>⚠️ MUST match list in columns G-I →</t>
        </is>
      </c>
      <c r="K34" t="inlineStr">
        <is>
          <t>• Logs transaction to Memory tab for audit trail</t>
        </is>
      </c>
      <c r="Z34" s="810" t="inlineStr">
        <is>
          <t>Food Products</t>
        </is>
      </c>
    </row>
    <row r="35">
      <c r="A35" s="721" t="inlineStr">
        <is>
          <t>17. Payment Frequency</t>
        </is>
      </c>
      <c r="B35" s="826" t="inlineStr">
        <is>
          <t>M</t>
        </is>
      </c>
      <c r="C35" s="826" t="n"/>
      <c r="D35" t="inlineStr">
        <is>
          <t>M (Monthly) or Q (Quarterly)</t>
        </is>
      </c>
      <c r="Z35" s="810" t="inlineStr">
        <is>
          <t>Gas Utilities</t>
        </is>
      </c>
    </row>
    <row r="36">
      <c r="A36" s="721" t="inlineStr">
        <is>
          <t>18. PIK %</t>
        </is>
      </c>
      <c r="B36" s="829" t="n">
        <v>0</v>
      </c>
      <c r="C36" s="829" t="n"/>
      <c r="D36" t="inlineStr">
        <is>
          <t>% PIK (enter 0% if none)</t>
        </is>
      </c>
      <c r="Z36" s="810" t="inlineStr">
        <is>
          <t>Health Care Equipment &amp; Supplies</t>
        </is>
      </c>
    </row>
    <row r="37">
      <c r="A37" s="721" t="inlineStr">
        <is>
          <t>19. Spread</t>
        </is>
      </c>
      <c r="B37" s="829" t="n"/>
      <c r="C37" s="829" t="n"/>
      <c r="D37" t="inlineStr">
        <is>
          <t>% (e.g., 8.75% = 0.0875)</t>
        </is>
      </c>
      <c r="Z37" s="810" t="inlineStr">
        <is>
          <t>Health Care Providers &amp; Services</t>
        </is>
      </c>
    </row>
    <row r="38">
      <c r="A38" s="721" t="inlineStr">
        <is>
          <t>20. SOFR Floor</t>
        </is>
      </c>
      <c r="B38" s="829" t="n"/>
      <c r="C38" s="829" t="n"/>
      <c r="D38" t="inlineStr">
        <is>
          <t>% (e.g., 2% = 0.02)</t>
        </is>
      </c>
      <c r="Z38" s="810" t="inlineStr">
        <is>
          <t>Health Care Technology</t>
        </is>
      </c>
    </row>
    <row r="39">
      <c r="A39" s="721" t="inlineStr">
        <is>
          <t>21. SM Debt Attach Point</t>
        </is>
      </c>
      <c r="B39" s="828" t="n"/>
      <c r="C39" s="828" t="n"/>
      <c r="D39" t="inlineStr">
        <is>
          <t>Leverage ratio (e.g., 0.81 for 0.81x)</t>
        </is>
      </c>
      <c r="Z39" s="810" t="inlineStr">
        <is>
          <t>Hotels, Restaurants &amp; Leisure</t>
        </is>
      </c>
    </row>
    <row r="40">
      <c r="Z40" s="810" t="inlineStr">
        <is>
          <t>Household Durables</t>
        </is>
      </c>
    </row>
    <row r="41">
      <c r="Z41" s="810" t="inlineStr">
        <is>
          <t>Household Products</t>
        </is>
      </c>
    </row>
    <row r="42">
      <c r="Z42" s="810" t="inlineStr">
        <is>
          <t>Independent Power and Renewable</t>
        </is>
      </c>
    </row>
    <row r="43">
      <c r="Z43" s="810" t="inlineStr">
        <is>
          <t>Electricity Producers</t>
        </is>
      </c>
    </row>
    <row r="44">
      <c r="Z44" s="810" t="inlineStr">
        <is>
          <t>Industrial Conglomerates</t>
        </is>
      </c>
    </row>
    <row r="45" ht="18.75" customHeight="1">
      <c r="A45" s="945" t="inlineStr">
        <is>
          <t>PRO FORMA RESULTS</t>
        </is>
      </c>
      <c r="Z45" s="810" t="inlineStr">
        <is>
          <t>Insurance</t>
        </is>
      </c>
    </row>
    <row r="46" ht="15.75" customHeight="1" thickBot="1">
      <c r="Z46" s="810" t="inlineStr">
        <is>
          <t>Internet &amp; Direct Marketing Retail</t>
        </is>
      </c>
    </row>
    <row r="47" ht="15.75" customHeight="1">
      <c r="A47" s="872" t="inlineStr">
        <is>
          <t>AVAILABILITY IMPACT</t>
        </is>
      </c>
      <c r="Z47" s="810" t="inlineStr">
        <is>
          <t>Internet Software &amp; Services</t>
        </is>
      </c>
    </row>
    <row r="48">
      <c r="Z48" s="810" t="inlineStr">
        <is>
          <t>IT Services</t>
        </is>
      </c>
    </row>
    <row r="49">
      <c r="A49" s="823" t="inlineStr">
        <is>
          <t>Metric</t>
        </is>
      </c>
      <c r="B49" s="824" t="inlineStr">
        <is>
          <t>Amount</t>
        </is>
      </c>
      <c r="C49" s="824" t="n"/>
      <c r="D49" s="823" t="inlineStr">
        <is>
          <t>Notes</t>
        </is>
      </c>
      <c r="Z49" s="810" t="inlineStr">
        <is>
          <t>Leisure Products</t>
        </is>
      </c>
    </row>
    <row r="50">
      <c r="Z50" s="810" t="inlineStr">
        <is>
          <t>Life Sciences Tools &amp; Services</t>
        </is>
      </c>
    </row>
    <row r="51">
      <c r="A51" s="721" t="inlineStr">
        <is>
          <t>BDC Investment Amount</t>
        </is>
      </c>
      <c r="B51" s="1228">
        <f>B19</f>
        <v/>
      </c>
      <c r="C51" s="1228" t="n"/>
      <c r="D51" t="inlineStr">
        <is>
          <t>From input row 17</t>
        </is>
      </c>
      <c r="Z51" s="810" t="inlineStr">
        <is>
          <t>Machinery</t>
        </is>
      </c>
    </row>
    <row r="52">
      <c r="Z52" s="810" t="inlineStr">
        <is>
          <t>Marine</t>
        </is>
      </c>
    </row>
    <row r="53">
      <c r="A53" s="721" t="inlineStr">
        <is>
          <t>Current Availability (BEFORE)</t>
        </is>
      </c>
      <c r="B53" s="1229" t="n"/>
      <c r="C53" s="1226" t="n"/>
      <c r="D53" t="inlineStr">
        <is>
          <t>📸 Captured by Claude before running pro forma</t>
        </is>
      </c>
      <c r="Z53" s="810" t="inlineStr">
        <is>
          <t>Media</t>
        </is>
      </c>
    </row>
    <row r="54">
      <c r="A54" s="721" t="inlineStr">
        <is>
          <t>New Availability (AFTER)</t>
        </is>
      </c>
      <c r="B54" s="1230">
        <f>Availability!L26</f>
        <v/>
      </c>
      <c r="C54" s="1231" t="n"/>
      <c r="D54" t="inlineStr">
        <is>
          <t>🔗 Live link to model</t>
        </is>
      </c>
      <c r="Z54" s="810" t="inlineStr">
        <is>
          <t>Metals &amp; Mining</t>
        </is>
      </c>
    </row>
    <row r="55">
      <c r="Z55" s="810" t="inlineStr">
        <is>
          <t>Mortgage Real Estate Investment Trusts (REITs)</t>
        </is>
      </c>
    </row>
    <row r="56" ht="17.25" customHeight="1">
      <c r="A56" s="814" t="inlineStr">
        <is>
          <t>Change in Availability</t>
        </is>
      </c>
      <c r="B56" s="1232">
        <f>IF(B53="","",B54-B53)</f>
        <v/>
      </c>
      <c r="C56" s="1233" t="n"/>
      <c r="D56">
        <f t="array" ref="D56">IFERROR( After - Before,"")</f>
        <v/>
      </c>
      <c r="Z56" s="810" t="inlineStr">
        <is>
          <t>Multiline Retail</t>
        </is>
      </c>
    </row>
    <row r="57">
      <c r="A57" s="721" t="inlineStr">
        <is>
          <t>Impact Ratio</t>
        </is>
      </c>
      <c r="B57" s="815">
        <f>IF(AND(B51&gt;0,B53&lt;&gt;""),B56/B51,"")</f>
        <v/>
      </c>
      <c r="C57" s="815" t="n"/>
      <c r="D57" t="inlineStr">
        <is>
          <t>Availability $ change per $1 invested</t>
        </is>
      </c>
      <c r="Z57" s="810" t="inlineStr">
        <is>
          <t>Multi-Utilities</t>
        </is>
      </c>
    </row>
    <row r="58">
      <c r="Z58" s="810" t="inlineStr">
        <is>
          <t>Oil, Gas &amp; Consumable Fuels</t>
        </is>
      </c>
    </row>
    <row r="59" ht="15.75" customHeight="1" thickBot="1">
      <c r="Z59" s="810" t="inlineStr">
        <is>
          <t>Paper &amp; Forest Products</t>
        </is>
      </c>
    </row>
    <row r="60" ht="15.75" customHeight="1">
      <c r="A60" s="869" t="inlineStr">
        <is>
          <t>PORTFOLIO COMPOSITION</t>
        </is>
      </c>
      <c r="Z60" s="810" t="inlineStr">
        <is>
          <t>Personal Products</t>
        </is>
      </c>
    </row>
    <row r="61">
      <c r="Z61" s="810" t="inlineStr">
        <is>
          <t>Pharmaceuticals</t>
        </is>
      </c>
    </row>
    <row r="62">
      <c r="A62" s="823" t="inlineStr">
        <is>
          <t>Metric</t>
        </is>
      </c>
      <c r="B62" s="824" t="inlineStr">
        <is>
          <t>Value</t>
        </is>
      </c>
      <c r="C62" s="824" t="n"/>
      <c r="D62" s="823" t="inlineStr">
        <is>
          <t>Calculated From</t>
        </is>
      </c>
      <c r="Z62" s="810" t="inlineStr">
        <is>
          <t>Professional Services</t>
        </is>
      </c>
    </row>
    <row r="63">
      <c r="Z63" s="810" t="inlineStr">
        <is>
          <t>Printing and Publishing</t>
        </is>
      </c>
    </row>
    <row r="64">
      <c r="A64" s="877" t="inlineStr">
        <is>
          <t>Total SM Balance</t>
        </is>
      </c>
      <c r="B64" s="1234">
        <f>B20</f>
        <v/>
      </c>
      <c r="C64" s="1234" t="n"/>
      <c r="D64" s="877" t="inlineStr">
        <is>
          <t>Input row 20</t>
        </is>
      </c>
      <c r="Z64" s="810" t="inlineStr">
        <is>
          <t>Real Estate Management &amp; Development</t>
        </is>
      </c>
    </row>
    <row r="65">
      <c r="A65" s="816" t="inlineStr">
        <is>
          <t>BDC Share %</t>
        </is>
      </c>
      <c r="B65" s="817">
        <f>IF(B20&gt;0,B19/B20,"")</f>
        <v/>
      </c>
      <c r="C65" s="817" t="n"/>
      <c r="D65" t="inlineStr">
        <is>
          <t>BDC / Total SM</t>
        </is>
      </c>
      <c r="Z65" s="810" t="inlineStr">
        <is>
          <t>Road &amp; Rail Semiconductors &amp; Semiconductor Equipment Software</t>
        </is>
      </c>
    </row>
    <row r="66">
      <c r="A66" s="877" t="inlineStr">
        <is>
          <t>Total Net Leverage</t>
        </is>
      </c>
      <c r="B66" s="1235">
        <f>IF(B15&gt;0,(B16+B17+B18+B20-B21)/B15,"")</f>
        <v/>
      </c>
      <c r="C66" s="1235" t="n"/>
      <c r="D66" s="877" t="inlineStr">
        <is>
          <t>(Rev+1L+PP+SM-Cash) / EBITDA</t>
        </is>
      </c>
      <c r="Z66" s="810" t="inlineStr">
        <is>
          <t>Specialty Retail</t>
        </is>
      </c>
    </row>
    <row r="67">
      <c r="A67" s="816" t="inlineStr">
        <is>
          <t>Net Detachment</t>
        </is>
      </c>
      <c r="B67" s="1236">
        <f>IF(B15&gt;0,(B16+B17+B18+B20-B21)/B15,"")</f>
        <v/>
      </c>
      <c r="C67" s="1236" t="n"/>
      <c r="D67" t="inlineStr">
        <is>
          <t>All debt / EBITDA</t>
        </is>
      </c>
      <c r="Z67" s="810" t="inlineStr">
        <is>
          <t>Technology Hardware, Storage &amp; Peripherals</t>
        </is>
      </c>
    </row>
    <row r="68">
      <c r="A68" s="877" t="inlineStr">
        <is>
          <t>Net Attachment</t>
        </is>
      </c>
      <c r="B68" s="1235">
        <f>IF(B15&gt;0,(B16+B17-B21)/B15,"")</f>
        <v/>
      </c>
      <c r="C68" s="1235" t="n"/>
      <c r="D68" s="877" t="inlineStr">
        <is>
          <t>(Rev+1L-Cash) / EBITDA</t>
        </is>
      </c>
      <c r="Z68" s="810" t="inlineStr">
        <is>
          <t>Textiles, Apparel &amp; Luxury Goods</t>
        </is>
      </c>
    </row>
    <row r="69">
      <c r="Z69" s="810" t="inlineStr">
        <is>
          <t>Thrifts &amp; Mortgage Finance</t>
        </is>
      </c>
    </row>
    <row r="70">
      <c r="Z70" s="810" t="inlineStr">
        <is>
          <t>Tobacco</t>
        </is>
      </c>
    </row>
    <row r="71" ht="16.5" customHeight="1" thickBot="1">
      <c r="A71" s="822" t="inlineStr">
        <is>
          <t>CONCENTRATION LIMITS</t>
        </is>
      </c>
      <c r="B71" s="863" t="n"/>
      <c r="C71" s="863" t="n"/>
      <c r="D71" s="863" t="n"/>
      <c r="E71" s="863" t="n"/>
      <c r="F71" s="863" t="n"/>
      <c r="G71" s="863" t="n"/>
    </row>
    <row r="72">
      <c r="A72" s="880" t="inlineStr">
        <is>
          <t>LOAN TYPE LIMITS</t>
        </is>
      </c>
    </row>
    <row r="73">
      <c r="A73" s="823" t="inlineStr">
        <is>
          <t>Limit Type</t>
        </is>
      </c>
      <c r="B73" s="824" t="inlineStr">
        <is>
          <t>Limit %</t>
        </is>
      </c>
      <c r="C73" s="824" t="inlineStr">
        <is>
          <t>Applicable Test Limit $</t>
        </is>
      </c>
      <c r="D73" s="824" t="inlineStr">
        <is>
          <t>Prior Actual $</t>
        </is>
      </c>
      <c r="E73" s="824" t="inlineStr">
        <is>
          <t>Prior Excess $</t>
        </is>
      </c>
      <c r="F73" s="824" t="inlineStr">
        <is>
          <t>Pro Forma Actual $</t>
        </is>
      </c>
      <c r="G73" s="824" t="inlineStr">
        <is>
          <t>Pro Forma Excess $</t>
        </is>
      </c>
      <c r="H73" s="824" t="inlineStr">
        <is>
          <t>Δ Actual $</t>
        </is>
      </c>
      <c r="I73" s="824" t="inlineStr">
        <is>
          <t>Δ Excess $</t>
        </is>
      </c>
    </row>
    <row r="74">
      <c r="A74" s="816" t="inlineStr">
        <is>
          <t>1)a Max Second Lien and FILO with senior lev &gt;= 1.50x</t>
        </is>
      </c>
      <c r="B74" s="821">
        <f>'Concentration Limits'!H49</f>
        <v/>
      </c>
      <c r="C74" s="1237">
        <f>'Concentration Limits'!J49</f>
        <v/>
      </c>
      <c r="D74" s="1237" t="n"/>
      <c r="E74" s="1237" t="n"/>
      <c r="F74" s="1237" t="n"/>
      <c r="G74" s="1237" t="n"/>
      <c r="H74" s="1238">
        <f>IF(F74="","",F74-D74)</f>
        <v/>
      </c>
      <c r="I74" s="1238">
        <f>IF(G74="","",G74-E74)</f>
        <v/>
      </c>
    </row>
    <row r="75">
      <c r="A75" s="816" t="inlineStr">
        <is>
          <t>1)b Max Second Lien</t>
        </is>
      </c>
      <c r="B75" s="821">
        <f>'Concentration Limits'!H50</f>
        <v/>
      </c>
      <c r="C75" s="1237">
        <f>'Concentration Limits'!J50</f>
        <v/>
      </c>
      <c r="D75" s="1237" t="n"/>
      <c r="E75" s="1237" t="n"/>
      <c r="F75" s="1237" t="n"/>
      <c r="G75" s="1237" t="n"/>
      <c r="H75" s="1238">
        <f>IF(F75="","",F75-D75)</f>
        <v/>
      </c>
      <c r="I75" s="1238">
        <f>IF(G75="","",G75-E75)</f>
        <v/>
      </c>
    </row>
    <row r="76" ht="15.75" customHeight="1" thickBot="1">
      <c r="A76" s="816" t="inlineStr">
        <is>
          <t>2) Max Non-First Lien (2L and FILO with senior lev &gt; 1.00x)</t>
        </is>
      </c>
      <c r="B76" s="821">
        <f>'Concentration Limits'!H51</f>
        <v/>
      </c>
      <c r="C76" s="1237">
        <f>'Concentration Limits'!J51</f>
        <v/>
      </c>
      <c r="D76" s="1237" t="n"/>
      <c r="E76" s="1237" t="n"/>
      <c r="F76" s="1237" t="n"/>
      <c r="G76" s="1237" t="n"/>
      <c r="H76" s="1238">
        <f>IF(F76="","",F76-D76)</f>
        <v/>
      </c>
      <c r="I76" s="1238">
        <f>IF(G76="","",G76-E76)</f>
        <v/>
      </c>
    </row>
    <row r="77">
      <c r="A77" s="880" t="inlineStr">
        <is>
          <t>PORTFOLIO COMPOSITION LIMITS</t>
        </is>
      </c>
      <c r="B77" s="821" t="n"/>
      <c r="C77" s="1237" t="n"/>
      <c r="D77" s="1237" t="n"/>
      <c r="E77" s="1237" t="n"/>
      <c r="F77" s="1237" t="n"/>
      <c r="G77" s="1237" t="n"/>
      <c r="H77" s="1238" t="n"/>
      <c r="I77" s="1238" t="n"/>
    </row>
    <row r="78">
      <c r="A78" s="816" t="inlineStr">
        <is>
          <t>3) Max EBITDA &lt; $5MM</t>
        </is>
      </c>
      <c r="B78" s="821">
        <f>'Concentration Limits'!H52</f>
        <v/>
      </c>
      <c r="C78" s="1237">
        <f>'Concentration Limits'!J52</f>
        <v/>
      </c>
      <c r="D78" s="1237" t="n"/>
      <c r="E78" s="1237" t="n"/>
      <c r="F78" s="1237" t="n"/>
      <c r="G78" s="1237" t="n"/>
      <c r="H78" s="1238">
        <f>IF(F78="","",F78-D78)</f>
        <v/>
      </c>
      <c r="I78" s="1238">
        <f>IF(G78="","",G78-E78)</f>
        <v/>
      </c>
    </row>
    <row r="79">
      <c r="A79" s="816" t="inlineStr">
        <is>
          <t>4) Max Obligors</t>
        </is>
      </c>
      <c r="B79" s="821">
        <f>'Concentration Limits'!H57</f>
        <v/>
      </c>
      <c r="C79" s="1237">
        <f>'Concentration Limits'!J57</f>
        <v/>
      </c>
      <c r="D79" s="1237" t="n"/>
      <c r="E79" s="1237" t="n"/>
      <c r="F79" s="1237" t="n"/>
      <c r="G79" s="1237" t="n"/>
      <c r="H79" s="1238">
        <f>IF(F79="","",F79-D79)</f>
        <v/>
      </c>
      <c r="I79" s="1238">
        <f>IF(G79="","",G79-E79)</f>
        <v/>
      </c>
    </row>
    <row r="80" ht="15.75" customHeight="1" thickBot="1">
      <c r="A80" s="816" t="inlineStr">
        <is>
          <t>5)a Max Largest Industry</t>
        </is>
      </c>
      <c r="B80" s="821">
        <f>'Concentration Limits'!H58</f>
        <v/>
      </c>
      <c r="C80" s="1237">
        <f>'Concentration Limits'!J58</f>
        <v/>
      </c>
      <c r="D80" s="1237" t="n"/>
      <c r="E80" s="1237" t="n"/>
      <c r="F80" s="1237" t="n"/>
      <c r="G80" s="1237" t="n"/>
      <c r="H80" s="1238">
        <f>IF(F80="","",F80-D80)</f>
        <v/>
      </c>
      <c r="I80" s="1238">
        <f>IF(G80="","",G80-E80)</f>
        <v/>
      </c>
    </row>
    <row r="81">
      <c r="A81" s="880" t="inlineStr">
        <is>
          <t>INDUSTRY CONCENTRATION LIMITS</t>
        </is>
      </c>
      <c r="B81" s="821" t="n"/>
      <c r="C81" s="1237" t="n"/>
      <c r="D81" s="1237" t="n"/>
      <c r="E81" s="1237" t="n"/>
      <c r="F81" s="1237" t="n"/>
      <c r="G81" s="1237" t="n"/>
      <c r="H81" s="1238">
        <f>IF(F81="","",F81-D81)</f>
        <v/>
      </c>
      <c r="I81" s="1238">
        <f>IF(G81="","",G81-E81)</f>
        <v/>
      </c>
    </row>
    <row r="82">
      <c r="A82" s="816" t="inlineStr">
        <is>
          <t>5)b Max Second Largest Industry</t>
        </is>
      </c>
      <c r="B82" s="821">
        <f>'Concentration Limits'!H59</f>
        <v/>
      </c>
      <c r="C82" s="1237">
        <f>'Concentration Limits'!J59</f>
        <v/>
      </c>
      <c r="D82" s="1237" t="n"/>
      <c r="E82" s="1237" t="n"/>
      <c r="F82" s="1237" t="n"/>
      <c r="G82" s="1237" t="n"/>
      <c r="H82" s="1238">
        <f>IF(F82="","",F82-D82)</f>
        <v/>
      </c>
      <c r="I82" s="1238">
        <f>IF(G82="","",G82-E82)</f>
        <v/>
      </c>
    </row>
    <row r="83">
      <c r="A83" s="816" t="inlineStr">
        <is>
          <t>5)c Max Other Industries</t>
        </is>
      </c>
      <c r="B83" s="821">
        <f>'Concentration Limits'!H61</f>
        <v/>
      </c>
      <c r="C83" s="1237">
        <f>'Concentration Limits'!J61</f>
        <v/>
      </c>
      <c r="D83" s="1237" t="n"/>
      <c r="E83" s="1237" t="n"/>
      <c r="F83" s="1237" t="n"/>
      <c r="G83" s="1237" t="n"/>
      <c r="H83" s="1238">
        <f>IF(F83="","",F83-D83)</f>
        <v/>
      </c>
      <c r="I83" s="1238">
        <f>IF(G83="","",G83-E83)</f>
        <v/>
      </c>
    </row>
    <row r="84">
      <c r="A84" s="816" t="inlineStr">
        <is>
          <t>6) Fixed Rate</t>
        </is>
      </c>
      <c r="B84" s="821">
        <f>'Concentration Limits'!H64</f>
        <v/>
      </c>
      <c r="C84" s="1237">
        <f>'Concentration Limits'!J64</f>
        <v/>
      </c>
      <c r="D84" s="1237" t="n"/>
      <c r="E84" s="1237" t="n"/>
      <c r="F84" s="1237" t="n"/>
      <c r="G84" s="1237" t="n"/>
      <c r="H84" s="1238">
        <f>IF(F84="","",F84-D84)</f>
        <v/>
      </c>
      <c r="I84" s="1238">
        <f>IF(G84="","",G84-E84)</f>
        <v/>
      </c>
    </row>
    <row r="85" ht="15.75" customHeight="1" thickBot="1">
      <c r="A85" s="816" t="inlineStr">
        <is>
          <t>7) Max Limit Industry</t>
        </is>
      </c>
      <c r="B85" s="821">
        <f>'Concentration Limits'!H67</f>
        <v/>
      </c>
      <c r="C85" s="1237">
        <f>'Concentration Limits'!J67</f>
        <v/>
      </c>
      <c r="D85" s="1237" t="n"/>
      <c r="E85" s="1237" t="n"/>
      <c r="F85" s="1237" t="n"/>
      <c r="G85" s="1237" t="n"/>
      <c r="H85" s="1238">
        <f>IF(F85="","",F85-D85)</f>
        <v/>
      </c>
      <c r="I85" s="1238">
        <f>IF(G85="","",G85-E85)</f>
        <v/>
      </c>
    </row>
    <row r="86">
      <c r="A86" s="880" t="inlineStr">
        <is>
          <t>RATE &amp; STRUCTURE LIMITS</t>
        </is>
      </c>
      <c r="B86" s="821" t="n"/>
      <c r="C86" s="1237" t="n"/>
      <c r="D86" s="1237" t="n"/>
      <c r="E86" s="1237" t="n"/>
      <c r="F86" s="1237" t="n"/>
      <c r="G86" s="1237" t="n"/>
      <c r="H86" s="1238">
        <f>IF(F86="","",F86-D86)</f>
        <v/>
      </c>
      <c r="I86" s="1238">
        <f>IF(G86="","",G86-E86)</f>
        <v/>
      </c>
    </row>
    <row r="87">
      <c r="A87" s="864" t="inlineStr">
        <is>
          <t>8) Max DDTL and Revolver</t>
        </is>
      </c>
      <c r="B87">
        <f>'Concentration Limits'!H68</f>
        <v/>
      </c>
      <c r="C87">
        <f>'Concentration Limits'!J68</f>
        <v/>
      </c>
      <c r="D87">
        <f>'Concentration Limits'!L68</f>
        <v/>
      </c>
      <c r="E87">
        <f>'Concentration Limits'!K68</f>
        <v/>
      </c>
      <c r="H87">
        <f>IF(F87="","",F87-D87)</f>
        <v/>
      </c>
      <c r="I87">
        <f>IF(G87="","",G87-E87)</f>
        <v/>
      </c>
    </row>
    <row r="88" ht="15.75" customHeight="1">
      <c r="A88" s="822" t="inlineStr">
        <is>
          <t>9)a Max Non-Sponsor/Non-Family Office</t>
        </is>
      </c>
      <c r="B88">
        <f>'Concentration Limits'!H69</f>
        <v/>
      </c>
      <c r="C88">
        <f>'Concentration Limits'!J69</f>
        <v/>
      </c>
      <c r="D88">
        <f>'Concentration Limits'!L69</f>
        <v/>
      </c>
      <c r="E88">
        <f>'Concentration Limits'!K69</f>
        <v/>
      </c>
      <c r="H88">
        <f>IF(F88="","",F88-D88)</f>
        <v/>
      </c>
      <c r="I88">
        <f>IF(G88="","",G88-E88)</f>
        <v/>
      </c>
    </row>
    <row r="89">
      <c r="A89" t="inlineStr">
        <is>
          <t>9)b Max Div Recap in Non-Sponsor/Non-Family Office</t>
        </is>
      </c>
      <c r="B89">
        <f>'Concentration Limits'!H70</f>
        <v/>
      </c>
      <c r="C89">
        <f>'Concentration Limits'!J70</f>
        <v/>
      </c>
      <c r="D89">
        <f>'Concentration Limits'!L70</f>
        <v/>
      </c>
      <c r="E89">
        <f>'Concentration Limits'!K70</f>
        <v/>
      </c>
      <c r="H89">
        <f>IF(F89="","",F89-D89)</f>
        <v/>
      </c>
      <c r="I89">
        <f>IF(G89="","",G89-E89)</f>
        <v/>
      </c>
    </row>
    <row r="90" ht="15.75" customHeight="1" thickBot="1">
      <c r="A90" s="721" t="inlineStr">
        <is>
          <t>Note: Prior (C-D) = snapshot captured by Claude pre-run. Pro Forma (E-F) = live post-pro forma results.</t>
        </is>
      </c>
      <c r="B90" s="819" t="n"/>
      <c r="C90" s="819" t="n"/>
    </row>
    <row r="91">
      <c r="A91" s="880" t="inlineStr">
        <is>
          <t>SPONSOR / OWNERSHIP LIMITS</t>
        </is>
      </c>
      <c r="B91" s="819" t="n"/>
      <c r="C91" s="819" t="n"/>
    </row>
    <row r="99">
      <c r="A99" t="inlineStr">
        <is>
          <t>3. For Industry (row 32), copy exact text from columns G-I to the right →</t>
        </is>
      </c>
    </row>
    <row r="100">
      <c r="A100" t="inlineStr">
        <is>
          <t>4. When status at top shows '✓ READY TO RUN', say: 'Run the pro forma'</t>
        </is>
      </c>
    </row>
    <row r="101">
      <c r="A101" t="inlineStr">
        <is>
          <t>Claude will:</t>
        </is>
      </c>
    </row>
    <row r="102">
      <c r="A102" t="inlineStr">
        <is>
          <t xml:space="preserve">  • Capture the current availability in row 51</t>
        </is>
      </c>
    </row>
    <row r="103">
      <c r="A103" t="inlineStr">
        <is>
          <t xml:space="preserve">  • Add the investment to the model (SM Support, Loan Tape, Portfolio)</t>
        </is>
      </c>
    </row>
    <row r="104">
      <c r="A104" t="inlineStr">
        <is>
          <t xml:space="preserve">  • Update rows 52-54 with new availability and impact</t>
        </is>
      </c>
    </row>
    <row r="105">
      <c r="A105" t="inlineStr">
        <is>
          <t xml:space="preserve">  • Show concentration limits before/after (rows 72-76)</t>
        </is>
      </c>
    </row>
    <row r="106">
      <c r="A106" t="inlineStr">
        <is>
          <t xml:space="preserve">  • Display full eligibility results (row 85)</t>
        </is>
      </c>
    </row>
    <row r="107">
      <c r="A107" t="inlineStr">
        <is>
          <t xml:space="preserve">  • Log the transaction to Memory tab</t>
        </is>
      </c>
    </row>
    <row r="308" ht="21" customHeight="1">
      <c r="A308" s="848" t="inlineStr">
        <is>
          <t>↓</t>
        </is>
      </c>
    </row>
    <row r="310">
      <c r="A310" s="849" t="inlineStr">
        <is>
          <t>FORMULA CASCADE</t>
        </is>
      </c>
    </row>
    <row r="311">
      <c r="A311" s="850" t="inlineStr">
        <is>
          <t>Portfolio formulas pull from SM Support + Loan Tape (INDEX/MATCH)</t>
        </is>
      </c>
    </row>
    <row r="312" ht="21" customHeight="1">
      <c r="A312" s="848" t="inlineStr">
        <is>
          <t>↓</t>
        </is>
      </c>
    </row>
    <row r="313">
      <c r="A313" s="850" t="inlineStr">
        <is>
          <t>Portfolio Column P calculates: ELIGIBLE (Yes/No)</t>
        </is>
      </c>
    </row>
    <row r="314" ht="21" customHeight="1">
      <c r="A314" s="848" t="inlineStr">
        <is>
          <t>↓</t>
        </is>
      </c>
    </row>
    <row r="315">
      <c r="A315" s="850" t="inlineStr">
        <is>
          <t>Concentration Limits aggregates by category, applies advance rates</t>
        </is>
      </c>
    </row>
    <row r="316" ht="21" customHeight="1">
      <c r="A316" s="848" t="inlineStr">
        <is>
          <t>↓</t>
        </is>
      </c>
    </row>
    <row r="317">
      <c r="A317" s="850" t="inlineStr">
        <is>
          <t>Availability calculates MIN(Facility, Borrowing Base, Credit Enhancement)</t>
        </is>
      </c>
    </row>
    <row r="318" ht="21" customHeight="1">
      <c r="A318" s="848" t="inlineStr">
        <is>
          <t>↓</t>
        </is>
      </c>
    </row>
    <row r="320">
      <c r="A320" s="852" t="inlineStr">
        <is>
          <t>FINAL OUTPUT</t>
        </is>
      </c>
    </row>
    <row r="321">
      <c r="A321" s="853" t="inlineStr">
        <is>
          <t>Availability!L26 → Deal Team Input B49 (live link)</t>
        </is>
      </c>
    </row>
    <row r="322">
      <c r="A322" s="853" t="inlineStr">
        <is>
          <t>Claude calculates B50 (Change) and B51 (Impact Ratio)</t>
        </is>
      </c>
    </row>
    <row r="323">
      <c r="A323" s="853" t="inlineStr">
        <is>
          <t>Reports before/after to user + logs to Memory</t>
        </is>
      </c>
    </row>
  </sheetData>
  <conditionalFormatting sqref="B4:C4">
    <cfRule type="containsText" priority="1" operator="containsText" dxfId="1" text="Fill Required Fields">
      <formula>NOT(ISERROR(SEARCH("Fill Required Fields",B4)))</formula>
    </cfRule>
    <cfRule type="containsText" priority="2" operator="containsText" dxfId="0" text="READY TO RUN">
      <formula>NOT(ISERROR(SEARCH("READY TO RUN",B4)))</formula>
    </cfRule>
  </conditionalFormatting>
  <dataValidations count="2">
    <dataValidation sqref="C34" showDropDown="0" showInputMessage="1" showErrorMessage="1" allowBlank="1" type="list">
      <formula1>$H$6:$H$77</formula1>
    </dataValidation>
    <dataValidation sqref="B34" showDropDown="0" showInputMessage="1" showErrorMessage="1" allowBlank="1" type="list">
      <formula1>$Z$6:$Z$70</formula1>
    </dataValidation>
  </dataValidations>
  <pageMargins left="0.7" right="0.7" top="0.75" bottom="0.75" header="0.3" footer="0.3"/>
  <pageSetup orientation="portrait" scale="26"/>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sheetPr>
  <dimension ref="A1:F198"/>
  <sheetViews>
    <sheetView zoomScale="70" zoomScaleNormal="70" workbookViewId="0">
      <selection activeCell="D58" sqref="D58"/>
    </sheetView>
  </sheetViews>
  <sheetFormatPr baseColWidth="8" defaultRowHeight="15"/>
  <cols>
    <col width="73.85546875" bestFit="1" customWidth="1" min="1" max="1"/>
    <col width="78.140625" customWidth="1" style="854" min="2" max="2"/>
    <col width="40.140625" bestFit="1" customWidth="1" min="3" max="3"/>
    <col width="50.140625" bestFit="1" customWidth="1" min="4" max="4"/>
    <col width="33.28515625" bestFit="1" customWidth="1" min="5" max="5"/>
    <col width="55.7109375" bestFit="1" customWidth="1" min="6" max="6"/>
  </cols>
  <sheetData>
    <row r="1" ht="18.75" customHeight="1">
      <c r="A1" s="833" t="inlineStr">
        <is>
          <t>AGENTIC LAYER - COMPREHENSIVE WORKFLOW DOCUMENTATION</t>
        </is>
      </c>
    </row>
    <row r="3" ht="15.75" customHeight="1">
      <c r="A3" s="808" t="inlineStr">
        <is>
          <t>EXECUTIVE SUMMARY: THE AGENTIC LAYER</t>
        </is>
      </c>
    </row>
    <row r="4" ht="45" customHeight="1">
      <c r="A4" s="721" t="inlineStr">
        <is>
          <t>What:</t>
        </is>
      </c>
      <c r="B4" s="854" t="inlineStr">
        <is>
          <t>Claude acts as an intelligent orchestration layer that reads user inputs from Deal Team Input, validates data, executes multi-tab writes in correct sequence, performs eligibility tests, calculates availability impact, and logs all changes.</t>
        </is>
      </c>
    </row>
    <row r="5" ht="45" customHeight="1">
      <c r="A5" s="721" t="inlineStr">
        <is>
          <t>Why:</t>
        </is>
      </c>
      <c r="B5" s="854" t="inlineStr">
        <is>
          <t>Eliminates manual formula copying, prevents errors from incorrect inclusion dates or mismatched data, automates complex 3-tab coordination, and provides instant before/after analysis.</t>
        </is>
      </c>
    </row>
    <row r="6" ht="30" customHeight="1">
      <c r="A6" s="721" t="inlineStr">
        <is>
          <t>How:</t>
        </is>
      </c>
      <c r="B6" s="854" t="inlineStr">
        <is>
          <t>7-stage workflow: (1) Read inputs, (2) Validate, (3) Capture before state, (4) Execute writes, (5) Verify eligibility, (6) Calculate impact, (7) Report &amp; log.</t>
        </is>
      </c>
    </row>
    <row r="8" ht="15.75" customHeight="1">
      <c r="A8" s="808" t="inlineStr">
        <is>
          <t>STAGE-BY-STAGE WORKFLOW</t>
        </is>
      </c>
    </row>
    <row r="10">
      <c r="A10" s="777" t="inlineStr">
        <is>
          <t>STAGE 1: INPUT COLLECTION</t>
        </is>
      </c>
      <c r="B10" s="855" t="inlineStr">
        <is>
          <t>Deal Team Input Sheet</t>
        </is>
      </c>
    </row>
    <row r="11">
      <c r="A11" s="721" t="inlineStr">
        <is>
          <t>Phase</t>
        </is>
      </c>
      <c r="B11" s="856" t="inlineStr">
        <is>
          <t>Cell</t>
        </is>
      </c>
      <c r="C11" s="721" t="inlineStr">
        <is>
          <t>Field Name</t>
        </is>
      </c>
      <c r="D11" s="721" t="inlineStr">
        <is>
          <t>Destination Tab</t>
        </is>
      </c>
      <c r="E11" s="721" t="inlineStr">
        <is>
          <t>Destination Column</t>
        </is>
      </c>
      <c r="F11" s="721" t="inlineStr">
        <is>
          <t>Format/Notes</t>
        </is>
      </c>
    </row>
    <row r="12">
      <c r="A12" t="inlineStr">
        <is>
          <t>Company Info</t>
        </is>
      </c>
      <c r="B12" s="854" t="inlineStr">
        <is>
          <t>B5</t>
        </is>
      </c>
      <c r="C12" t="inlineStr">
        <is>
          <t>Company Name</t>
        </is>
      </c>
      <c r="D12" t="inlineStr">
        <is>
          <t>SM Support</t>
        </is>
      </c>
      <c r="E12" t="inlineStr">
        <is>
          <t>B (Company)</t>
        </is>
      </c>
      <c r="F12" t="inlineStr">
        <is>
          <t>Text</t>
        </is>
      </c>
    </row>
    <row r="13">
      <c r="A13" t="inlineStr">
        <is>
          <t>Company Info</t>
        </is>
      </c>
      <c r="B13" s="854" t="inlineStr">
        <is>
          <t>B6</t>
        </is>
      </c>
      <c r="C13" t="inlineStr">
        <is>
          <t>Security Type</t>
        </is>
      </c>
      <c r="D13" t="inlineStr">
        <is>
          <t>SM Support</t>
        </is>
      </c>
      <c r="E13" t="inlineStr">
        <is>
          <t>C (Security)</t>
        </is>
      </c>
      <c r="F13" t="inlineStr">
        <is>
          <t>First Lien or Last Out</t>
        </is>
      </c>
    </row>
    <row r="14">
      <c r="D14" t="inlineStr">
        <is>
          <t>Loan Tape</t>
        </is>
      </c>
      <c r="E14" t="inlineStr">
        <is>
          <t>H (Security)</t>
        </is>
      </c>
      <c r="F14" t="inlineStr">
        <is>
          <t>Maps to '1st Lien' or 'Last Out'</t>
        </is>
      </c>
    </row>
    <row r="15">
      <c r="D15" t="inlineStr">
        <is>
          <t>Loan Tape</t>
        </is>
      </c>
      <c r="E15" t="inlineStr">
        <is>
          <t>J (Loan Type)</t>
        </is>
      </c>
      <c r="F15" t="inlineStr">
        <is>
          <t>Maps to 'First Lien' or 'FILO'</t>
        </is>
      </c>
    </row>
    <row r="16">
      <c r="A16" s="834" t="inlineStr">
        <is>
          <t>Phase 1</t>
        </is>
      </c>
      <c r="B16" s="854" t="inlineStr">
        <is>
          <t>B12</t>
        </is>
      </c>
      <c r="C16" t="inlineStr">
        <is>
          <t>LTM Revenue</t>
        </is>
      </c>
      <c r="D16" t="inlineStr">
        <is>
          <t>SM Support</t>
        </is>
      </c>
      <c r="E16" t="inlineStr">
        <is>
          <t>F</t>
        </is>
      </c>
      <c r="F16" t="inlineStr">
        <is>
          <t>Dollars</t>
        </is>
      </c>
    </row>
    <row r="17">
      <c r="A17" s="834" t="inlineStr">
        <is>
          <t>Phase 1</t>
        </is>
      </c>
      <c r="B17" s="854" t="inlineStr">
        <is>
          <t>B13</t>
        </is>
      </c>
      <c r="C17" t="inlineStr">
        <is>
          <t>LTM Adj. EBITDA</t>
        </is>
      </c>
      <c r="D17" t="inlineStr">
        <is>
          <t>SM Support</t>
        </is>
      </c>
      <c r="E17" t="inlineStr">
        <is>
          <t>G</t>
        </is>
      </c>
      <c r="F17" t="inlineStr">
        <is>
          <t>Dollars (scaled to MM in Loan Tape AV)</t>
        </is>
      </c>
    </row>
    <row r="18">
      <c r="A18" s="834" t="inlineStr">
        <is>
          <t>Phase 1</t>
        </is>
      </c>
      <c r="B18" s="854" t="inlineStr">
        <is>
          <t>B14</t>
        </is>
      </c>
      <c r="C18" t="inlineStr">
        <is>
          <t>Drawn Revolver</t>
        </is>
      </c>
      <c r="D18" t="inlineStr">
        <is>
          <t>SM Support</t>
        </is>
      </c>
      <c r="E18" t="inlineStr">
        <is>
          <t>H</t>
        </is>
      </c>
      <c r="F18" t="inlineStr">
        <is>
          <t>Dollars (0 if none)</t>
        </is>
      </c>
    </row>
    <row r="19">
      <c r="A19" s="834" t="inlineStr">
        <is>
          <t>Phase 1</t>
        </is>
      </c>
      <c r="B19" s="854" t="inlineStr">
        <is>
          <t>B15</t>
        </is>
      </c>
      <c r="C19" t="inlineStr">
        <is>
          <t>First Out Balance</t>
        </is>
      </c>
      <c r="D19" t="inlineStr">
        <is>
          <t>SM Support</t>
        </is>
      </c>
      <c r="E19" t="inlineStr">
        <is>
          <t>I</t>
        </is>
      </c>
      <c r="F19" t="inlineStr">
        <is>
          <t>Dollars (0 if none)</t>
        </is>
      </c>
    </row>
    <row r="20">
      <c r="A20" s="834" t="inlineStr">
        <is>
          <t>Phase 1</t>
        </is>
      </c>
      <c r="B20" s="854" t="inlineStr">
        <is>
          <t>B16</t>
        </is>
      </c>
      <c r="C20" t="inlineStr">
        <is>
          <t>Pari Passu</t>
        </is>
      </c>
      <c r="D20" t="inlineStr">
        <is>
          <t>SM Support</t>
        </is>
      </c>
      <c r="E20" t="inlineStr">
        <is>
          <t>J</t>
        </is>
      </c>
      <c r="F20" t="inlineStr">
        <is>
          <t>Dollars</t>
        </is>
      </c>
    </row>
    <row r="21">
      <c r="A21" s="834" t="inlineStr">
        <is>
          <t>Phase 1</t>
        </is>
      </c>
      <c r="B21" s="854" t="inlineStr">
        <is>
          <t>B17</t>
        </is>
      </c>
      <c r="C21" t="inlineStr">
        <is>
          <t>BDC Balance ⚠️</t>
        </is>
      </c>
      <c r="D21" t="inlineStr">
        <is>
          <t>SM Support</t>
        </is>
      </c>
      <c r="E21" t="inlineStr">
        <is>
          <t>D (Debt) &amp; E (Fair Value)</t>
        </is>
      </c>
      <c r="F21" t="inlineStr">
        <is>
          <t>KEY: BDC specific investment</t>
        </is>
      </c>
    </row>
    <row r="22">
      <c r="A22" s="834" t="inlineStr">
        <is>
          <t>Phase 1</t>
        </is>
      </c>
      <c r="B22" s="854" t="inlineStr">
        <is>
          <t>B18</t>
        </is>
      </c>
      <c r="C22" t="inlineStr">
        <is>
          <t>Total SM Balance</t>
        </is>
      </c>
      <c r="D22" t="inlineStr">
        <is>
          <t>SM Support</t>
        </is>
      </c>
      <c r="E22" t="inlineStr">
        <is>
          <t>K</t>
        </is>
      </c>
      <c r="F22" t="inlineStr">
        <is>
          <t>Total SM exposure (≥ BDC)</t>
        </is>
      </c>
    </row>
    <row r="23">
      <c r="A23" s="834" t="inlineStr">
        <is>
          <t>Phase 1</t>
        </is>
      </c>
      <c r="B23" s="854" t="inlineStr">
        <is>
          <t>B19</t>
        </is>
      </c>
      <c r="C23" t="inlineStr">
        <is>
          <t>Cash Balance</t>
        </is>
      </c>
      <c r="D23" t="inlineStr">
        <is>
          <t>SM Support</t>
        </is>
      </c>
      <c r="E23" t="inlineStr">
        <is>
          <t>L</t>
        </is>
      </c>
      <c r="F23" t="inlineStr">
        <is>
          <t>Dollars (0 if none)</t>
        </is>
      </c>
    </row>
    <row r="24">
      <c r="A24" s="834" t="inlineStr">
        <is>
          <t>Phase 1</t>
        </is>
      </c>
      <c r="B24" s="854" t="inlineStr">
        <is>
          <t>B20</t>
        </is>
      </c>
      <c r="C24" t="inlineStr">
        <is>
          <t>Interest Coverage</t>
        </is>
      </c>
      <c r="D24" t="inlineStr">
        <is>
          <t>SM Support</t>
        </is>
      </c>
      <c r="E24" t="inlineStr">
        <is>
          <t>O</t>
        </is>
      </c>
      <c r="F24" t="inlineStr">
        <is>
          <t>Ratio (e.g., 2.9x)</t>
        </is>
      </c>
    </row>
    <row r="25">
      <c r="A25" s="835" t="inlineStr">
        <is>
          <t>Phase 2</t>
        </is>
      </c>
      <c r="B25" s="854" t="inlineStr">
        <is>
          <t>B26</t>
        </is>
      </c>
      <c r="C25" t="inlineStr">
        <is>
          <t>Loan Denomination</t>
        </is>
      </c>
      <c r="D25" t="inlineStr">
        <is>
          <t>Loan Tape</t>
        </is>
      </c>
      <c r="E25" t="inlineStr">
        <is>
          <t>L</t>
        </is>
      </c>
      <c r="F25" t="inlineStr">
        <is>
          <t>USD or CAD</t>
        </is>
      </c>
    </row>
    <row r="26">
      <c r="A26" s="835" t="inlineStr">
        <is>
          <t>Phase 2</t>
        </is>
      </c>
      <c r="B26" s="854" t="inlineStr">
        <is>
          <t>B27</t>
        </is>
      </c>
      <c r="C26" t="inlineStr">
        <is>
          <t>Purchase Price</t>
        </is>
      </c>
      <c r="D26" t="inlineStr">
        <is>
          <t>Loan Tape</t>
        </is>
      </c>
      <c r="E26" t="inlineStr">
        <is>
          <t>Q</t>
        </is>
      </c>
      <c r="F26" t="inlineStr">
        <is>
          <t>% of par (100% = 1.00)</t>
        </is>
      </c>
    </row>
    <row r="27">
      <c r="A27" s="835" t="inlineStr">
        <is>
          <t>Phase 2</t>
        </is>
      </c>
      <c r="B27" s="854" t="inlineStr">
        <is>
          <t>B28</t>
        </is>
      </c>
      <c r="C27" t="inlineStr">
        <is>
          <t>Country</t>
        </is>
      </c>
      <c r="D27" t="inlineStr">
        <is>
          <t>Loan Tape</t>
        </is>
      </c>
      <c r="E27" t="inlineStr">
        <is>
          <t>T</t>
        </is>
      </c>
      <c r="F27" t="inlineStr">
        <is>
          <t>United States</t>
        </is>
      </c>
    </row>
    <row r="28">
      <c r="A28" s="835" t="inlineStr">
        <is>
          <t>Phase 2</t>
        </is>
      </c>
      <c r="B28" s="854" t="inlineStr">
        <is>
          <t>B29</t>
        </is>
      </c>
      <c r="C28" t="inlineStr">
        <is>
          <t>Investment Date</t>
        </is>
      </c>
      <c r="D28" t="inlineStr">
        <is>
          <t>Loan Tape</t>
        </is>
      </c>
      <c r="E28" t="inlineStr">
        <is>
          <t>U (Investment Date)</t>
        </is>
      </c>
      <c r="F28" t="inlineStr">
        <is>
          <t>Date format</t>
        </is>
      </c>
    </row>
    <row r="29">
      <c r="E29" t="inlineStr">
        <is>
          <t>AO (Inclusion Date) ⚠️</t>
        </is>
      </c>
      <c r="F29" t="inlineStr">
        <is>
          <t>MUST EQUAL Investment Date</t>
        </is>
      </c>
    </row>
    <row r="30">
      <c r="A30" s="835" t="inlineStr">
        <is>
          <t>Phase 2</t>
        </is>
      </c>
      <c r="B30" s="854" t="inlineStr">
        <is>
          <t>B30</t>
        </is>
      </c>
      <c r="C30" t="inlineStr">
        <is>
          <t>Maturity Date</t>
        </is>
      </c>
      <c r="D30" t="inlineStr">
        <is>
          <t>Loan Tape</t>
        </is>
      </c>
      <c r="E30" t="inlineStr">
        <is>
          <t>V</t>
        </is>
      </c>
      <c r="F30" t="inlineStr">
        <is>
          <t>Date format</t>
        </is>
      </c>
    </row>
    <row r="31">
      <c r="A31" s="835" t="inlineStr">
        <is>
          <t>Phase 2</t>
        </is>
      </c>
      <c r="B31" s="854" t="inlineStr">
        <is>
          <t>B31</t>
        </is>
      </c>
      <c r="C31" t="inlineStr">
        <is>
          <t>Floating/Fixed</t>
        </is>
      </c>
      <c r="D31" t="inlineStr">
        <is>
          <t>Loan Tape</t>
        </is>
      </c>
      <c r="E31" t="inlineStr">
        <is>
          <t>W</t>
        </is>
      </c>
      <c r="F31" t="inlineStr">
        <is>
          <t>Floating or Fixed</t>
        </is>
      </c>
    </row>
    <row r="32">
      <c r="A32" s="835" t="inlineStr">
        <is>
          <t>Phase 2</t>
        </is>
      </c>
      <c r="B32" s="854" t="inlineStr">
        <is>
          <t>B32</t>
        </is>
      </c>
      <c r="C32" t="inlineStr">
        <is>
          <t>Industry ⚠️</t>
        </is>
      </c>
      <c r="D32" t="inlineStr">
        <is>
          <t>Loan Tape</t>
        </is>
      </c>
      <c r="E32" t="inlineStr">
        <is>
          <t>X</t>
        </is>
      </c>
      <c r="F32" t="inlineStr">
        <is>
          <t>MUST match Concentration Limits E81:E153</t>
        </is>
      </c>
    </row>
    <row r="33">
      <c r="A33" s="835" t="inlineStr">
        <is>
          <t>Phase 2</t>
        </is>
      </c>
      <c r="B33" s="854" t="inlineStr">
        <is>
          <t>B33</t>
        </is>
      </c>
      <c r="C33" t="inlineStr">
        <is>
          <t>Payment Frequency</t>
        </is>
      </c>
      <c r="D33" t="inlineStr">
        <is>
          <t>Loan Tape</t>
        </is>
      </c>
      <c r="E33" t="inlineStr">
        <is>
          <t>Y</t>
        </is>
      </c>
      <c r="F33" t="inlineStr">
        <is>
          <t>M or Q</t>
        </is>
      </c>
    </row>
    <row r="34">
      <c r="A34" s="835" t="inlineStr">
        <is>
          <t>Phase 2</t>
        </is>
      </c>
      <c r="B34" s="854" t="inlineStr">
        <is>
          <t>B34</t>
        </is>
      </c>
      <c r="C34" t="inlineStr">
        <is>
          <t>PIK %</t>
        </is>
      </c>
      <c r="D34" t="inlineStr">
        <is>
          <t>Loan Tape</t>
        </is>
      </c>
      <c r="E34" t="inlineStr">
        <is>
          <t>AD</t>
        </is>
      </c>
      <c r="F34" t="inlineStr">
        <is>
          <t>% (0 if none)</t>
        </is>
      </c>
    </row>
    <row r="35">
      <c r="A35" s="835" t="inlineStr">
        <is>
          <t>Phase 2</t>
        </is>
      </c>
      <c r="B35" s="854" t="inlineStr">
        <is>
          <t>B35</t>
        </is>
      </c>
      <c r="C35" t="inlineStr">
        <is>
          <t>Spread</t>
        </is>
      </c>
      <c r="D35" t="inlineStr">
        <is>
          <t>Loan Tape</t>
        </is>
      </c>
      <c r="E35" t="inlineStr">
        <is>
          <t>AE</t>
        </is>
      </c>
      <c r="F35" t="inlineStr">
        <is>
          <t>% (e.g., 8.75% = 0.0875)</t>
        </is>
      </c>
    </row>
    <row r="36">
      <c r="A36" s="835" t="inlineStr">
        <is>
          <t>Phase 2</t>
        </is>
      </c>
      <c r="B36" s="854" t="inlineStr">
        <is>
          <t>B36</t>
        </is>
      </c>
      <c r="C36" t="inlineStr">
        <is>
          <t>SOFR Floor</t>
        </is>
      </c>
      <c r="D36" t="inlineStr">
        <is>
          <t>Loan Tape</t>
        </is>
      </c>
      <c r="E36" t="inlineStr">
        <is>
          <t>AF</t>
        </is>
      </c>
      <c r="F36" t="inlineStr">
        <is>
          <t>% (e.g., 2% = 0.02)</t>
        </is>
      </c>
    </row>
    <row r="37">
      <c r="A37" s="835" t="inlineStr">
        <is>
          <t>Phase 2</t>
        </is>
      </c>
      <c r="B37" s="854" t="inlineStr">
        <is>
          <t>B37</t>
        </is>
      </c>
      <c r="C37" t="inlineStr">
        <is>
          <t>Attach Point</t>
        </is>
      </c>
      <c r="D37" t="inlineStr">
        <is>
          <t>Loan Tape</t>
        </is>
      </c>
      <c r="E37" t="inlineStr">
        <is>
          <t>AX (Initial)</t>
        </is>
      </c>
      <c r="F37" t="inlineStr">
        <is>
          <t>Leverage ratio (e.g., 0.81x)</t>
        </is>
      </c>
    </row>
    <row r="38">
      <c r="D38" t="inlineStr">
        <is>
          <t>SM Support</t>
        </is>
      </c>
      <c r="E38" t="inlineStr">
        <is>
          <t>N (Net Attachment)</t>
        </is>
      </c>
      <c r="F38" t="inlineStr">
        <is>
          <t>Auto-calculated</t>
        </is>
      </c>
    </row>
    <row r="40">
      <c r="A40" s="777" t="inlineStr">
        <is>
          <t>STAGE 2: VALIDATION LAYER</t>
        </is>
      </c>
    </row>
    <row r="41">
      <c r="A41" s="721" t="inlineStr">
        <is>
          <t>Check</t>
        </is>
      </c>
      <c r="B41" s="856" t="inlineStr">
        <is>
          <t>Validation Rule</t>
        </is>
      </c>
      <c r="C41" s="721" t="inlineStr">
        <is>
          <t>Error Impact</t>
        </is>
      </c>
      <c r="D41" s="721" t="inlineStr">
        <is>
          <t>Fix</t>
        </is>
      </c>
    </row>
    <row r="42">
      <c r="A42" t="inlineStr">
        <is>
          <t>1. Required Fields</t>
        </is>
      </c>
      <c r="B42" s="854" t="inlineStr">
        <is>
          <t>All yellow cells (B5-B37) populated</t>
        </is>
      </c>
      <c r="C42" t="inlineStr">
        <is>
          <t>Incomplete data → incorrect calcs</t>
        </is>
      </c>
      <c r="D42" t="inlineStr">
        <is>
          <t>Claude checks status cell B2</t>
        </is>
      </c>
    </row>
    <row r="43">
      <c r="A43" t="inlineStr">
        <is>
          <t>2. Industry Match</t>
        </is>
      </c>
      <c r="B43" s="854" t="inlineStr">
        <is>
          <t>B32 must exactly match Concentration Limits E81:E153</t>
        </is>
      </c>
      <c r="C43" t="inlineStr">
        <is>
          <t>#N/A errors in concentration calcs</t>
        </is>
      </c>
      <c r="D43" t="inlineStr">
        <is>
          <t>Claude validates against 73-industry list</t>
        </is>
      </c>
    </row>
    <row r="44">
      <c r="A44" t="inlineStr">
        <is>
          <t>3. Security Type</t>
        </is>
      </c>
      <c r="B44" s="854" t="inlineStr">
        <is>
          <t>Must be 'First Lien' or 'Last Out'</t>
        </is>
      </c>
      <c r="C44" t="inlineStr">
        <is>
          <t>Loan type mapping fails</t>
        </is>
      </c>
      <c r="D44" t="inlineStr">
        <is>
          <t>Claude maps to correct codes</t>
        </is>
      </c>
    </row>
    <row r="45">
      <c r="A45" t="inlineStr">
        <is>
          <t>4. Date Format</t>
        </is>
      </c>
      <c r="B45" s="854" t="inlineStr">
        <is>
          <t>Investment/Maturity as Excel serial dates</t>
        </is>
      </c>
      <c r="C45" t="inlineStr">
        <is>
          <t>Maturity test fails</t>
        </is>
      </c>
      <c r="D45" t="inlineStr">
        <is>
          <t>Claude converts to proper format</t>
        </is>
      </c>
    </row>
    <row r="46">
      <c r="A46" t="inlineStr">
        <is>
          <t>5. BDC vs Total</t>
        </is>
      </c>
      <c r="B46" s="854" t="inlineStr">
        <is>
          <t>BDC Balance ≤ Total SM Balance</t>
        </is>
      </c>
      <c r="C46" t="inlineStr">
        <is>
          <t>Logic error</t>
        </is>
      </c>
      <c r="D46" t="inlineStr">
        <is>
          <t>Claude alerts if BDC &gt; Total</t>
        </is>
      </c>
    </row>
    <row r="48">
      <c r="A48" s="777" t="inlineStr">
        <is>
          <t>STAGE 3: EXECUTION SEQUENCE</t>
        </is>
      </c>
      <c r="B48" s="855" t="inlineStr">
        <is>
          <t>Critical Order Dependencies</t>
        </is>
      </c>
    </row>
    <row r="49">
      <c r="A49" s="721" t="inlineStr">
        <is>
          <t>Step</t>
        </is>
      </c>
      <c r="B49" s="856" t="inlineStr">
        <is>
          <t>Action</t>
        </is>
      </c>
      <c r="C49" s="721" t="inlineStr">
        <is>
          <t>Tab</t>
        </is>
      </c>
      <c r="D49" s="721" t="inlineStr">
        <is>
          <t>Why This Order?</t>
        </is>
      </c>
    </row>
    <row r="50">
      <c r="A50" t="inlineStr">
        <is>
          <t>0. Before</t>
        </is>
      </c>
      <c r="B50" s="854" t="inlineStr">
        <is>
          <t>Capture current Availability!L26</t>
        </is>
      </c>
      <c r="C50" t="inlineStr">
        <is>
          <t>Availability</t>
        </is>
      </c>
      <c r="D50" t="inlineStr">
        <is>
          <t>Need baseline for before/after comparison</t>
        </is>
      </c>
    </row>
    <row r="51">
      <c r="B51" s="854" t="inlineStr">
        <is>
          <t>Write to Deal Team Input B48</t>
        </is>
      </c>
      <c r="C51" t="inlineStr">
        <is>
          <t>Deal Team Input</t>
        </is>
      </c>
      <c r="D51" t="inlineStr">
        <is>
          <t>Manual field preserves snapshot</t>
        </is>
      </c>
    </row>
    <row r="52">
      <c r="A52" t="inlineStr">
        <is>
          <t>1. SM Support</t>
        </is>
      </c>
      <c r="B52" s="854" t="inlineStr">
        <is>
          <t>Add row with Company, Security, Financials (D=E for par)</t>
        </is>
      </c>
      <c r="C52" t="inlineStr">
        <is>
          <t>SM Support</t>
        </is>
      </c>
      <c r="D52" t="inlineStr">
        <is>
          <t>Portfolio formulas pull from SM Support via INDEX/MATCH</t>
        </is>
      </c>
    </row>
    <row r="53">
      <c r="A53" t="inlineStr">
        <is>
          <t>2. Loan Tape</t>
        </is>
      </c>
      <c r="B53" s="854" t="inlineStr">
        <is>
          <t>Add row with all loan details, ⚠️ AO = U</t>
        </is>
      </c>
      <c r="C53" t="inlineStr">
        <is>
          <t>Loan Tape - Settled</t>
        </is>
      </c>
      <c r="D53" t="inlineStr">
        <is>
          <t>Portfolio formulas pull from Loan Tape via CCM ID</t>
        </is>
      </c>
    </row>
    <row r="54">
      <c r="A54" t="inlineStr">
        <is>
          <t>3. Portfolio</t>
        </is>
      </c>
      <c r="B54" s="854" t="inlineStr">
        <is>
          <t>Add CCM ID, copy_to formulas from row above</t>
        </is>
      </c>
      <c r="C54" t="inlineStr">
        <is>
          <t>Portfolio</t>
        </is>
      </c>
      <c r="D54" t="inlineStr">
        <is>
          <t>Calculation engine runs eligibility tests &amp; advance rates</t>
        </is>
      </c>
    </row>
    <row r="55">
      <c r="A55" t="inlineStr">
        <is>
          <t>4. Verify</t>
        </is>
      </c>
      <c r="B55" s="854" t="inlineStr">
        <is>
          <t>Read Portfolio Column P (Eligible: Yes/No)</t>
        </is>
      </c>
      <c r="C55" t="inlineStr">
        <is>
          <t>Portfolio</t>
        </is>
      </c>
      <c r="D55" t="inlineStr">
        <is>
          <t>Confirms loan passes all 10 tests</t>
        </is>
      </c>
    </row>
    <row r="56">
      <c r="B56" s="854" t="inlineStr">
        <is>
          <t>If No, read columns E-N to identify failures</t>
        </is>
      </c>
      <c r="C56" t="inlineStr">
        <is>
          <t>Portfolio</t>
        </is>
      </c>
      <c r="D56" t="inlineStr">
        <is>
          <t>Diagnostic for ineligibility</t>
        </is>
      </c>
    </row>
    <row r="57">
      <c r="A57" t="inlineStr">
        <is>
          <t>5. After</t>
        </is>
      </c>
      <c r="B57" s="854" t="inlineStr">
        <is>
          <t>Read new Availability!L26</t>
        </is>
      </c>
      <c r="C57" t="inlineStr">
        <is>
          <t>Availability</t>
        </is>
      </c>
      <c r="D57" t="inlineStr">
        <is>
          <t>Auto-calculates via formulas linked to Portfolio</t>
        </is>
      </c>
    </row>
    <row r="58">
      <c r="B58" s="854" t="inlineStr">
        <is>
          <t>Deal Team Input B49 (formula link) auto-updates</t>
        </is>
      </c>
      <c r="C58" t="inlineStr">
        <is>
          <t>Deal Team Input</t>
        </is>
      </c>
      <c r="D58" t="inlineStr">
        <is>
          <t>Live link shows new availability</t>
        </is>
      </c>
    </row>
    <row r="59">
      <c r="A59" t="inlineStr">
        <is>
          <t>6. Report</t>
        </is>
      </c>
      <c r="B59" s="854" t="inlineStr">
        <is>
          <t>Calculate B50 (Change), B51 (Impact Ratio)</t>
        </is>
      </c>
      <c r="C59" t="inlineStr">
        <is>
          <t>Deal Team Input</t>
        </is>
      </c>
      <c r="D59" t="inlineStr">
        <is>
          <t>Show user the financial impact</t>
        </is>
      </c>
    </row>
    <row r="60">
      <c r="A60" t="inlineStr">
        <is>
          <t>7. Log</t>
        </is>
      </c>
      <c r="B60" s="854" t="inlineStr">
        <is>
          <t>Update Memory tab with transaction details</t>
        </is>
      </c>
      <c r="C60" t="inlineStr">
        <is>
          <t>Memory</t>
        </is>
      </c>
      <c r="D60" t="inlineStr">
        <is>
          <t>Audit trail for future sessions</t>
        </is>
      </c>
    </row>
    <row r="62">
      <c r="A62" s="777" t="inlineStr">
        <is>
          <t>STAGE 4: PORTFOLIO CALCULATION ENGINE</t>
        </is>
      </c>
      <c r="B62" s="855" t="inlineStr">
        <is>
          <t>How Portfolio Tab Works</t>
        </is>
      </c>
    </row>
    <row r="63">
      <c r="A63" s="721" t="inlineStr">
        <is>
          <t>Column</t>
        </is>
      </c>
      <c r="B63" s="856" t="inlineStr">
        <is>
          <t>Test Name</t>
        </is>
      </c>
      <c r="C63" s="721" t="inlineStr">
        <is>
          <t>Formula Logic</t>
        </is>
      </c>
      <c r="D63" s="721" t="inlineStr">
        <is>
          <t>Pass Criteria</t>
        </is>
      </c>
    </row>
    <row r="64">
      <c r="A64" t="inlineStr">
        <is>
          <t>E</t>
        </is>
      </c>
      <c r="B64" s="854" t="inlineStr">
        <is>
          <t>Type</t>
        </is>
      </c>
      <c r="C64" t="inlineStr">
        <is>
          <t>MATCH(Loan Type, AGENT!A4:A10)</t>
        </is>
      </c>
      <c r="D64" t="inlineStr">
        <is>
          <t>First Lien, FILO, or Second Lien</t>
        </is>
      </c>
    </row>
    <row r="65">
      <c r="A65" t="inlineStr">
        <is>
          <t>F</t>
        </is>
      </c>
      <c r="B65" s="854" t="inlineStr">
        <is>
          <t>Non-PIK/DIP</t>
        </is>
      </c>
      <c r="C65" t="inlineStr">
        <is>
          <t>AND(BZ='no', CA='no')</t>
        </is>
      </c>
      <c r="D65" t="inlineStr">
        <is>
          <t>Not payment-in-kind or DIP</t>
        </is>
      </c>
    </row>
    <row r="66">
      <c r="A66" t="inlineStr">
        <is>
          <t>G</t>
        </is>
      </c>
      <c r="B66" s="854" t="inlineStr">
        <is>
          <t>EBITDA</t>
        </is>
      </c>
      <c r="C66" t="inlineStr">
        <is>
          <t>IF Second Lien, EBITDA &gt;= threshold</t>
        </is>
      </c>
      <c r="D66" t="inlineStr">
        <is>
          <t>Second Liens need min EBITDA</t>
        </is>
      </c>
    </row>
    <row r="67">
      <c r="A67" t="inlineStr">
        <is>
          <t>H</t>
        </is>
      </c>
      <c r="B67" s="854" t="inlineStr">
        <is>
          <t>Total Leverage</t>
        </is>
      </c>
      <c r="C67" t="inlineStr">
        <is>
          <t>Current Total Net Leverage &lt;= 7.0x</t>
        </is>
      </c>
      <c r="D67" t="inlineStr">
        <is>
          <t>Debt/EBITDA limit</t>
        </is>
      </c>
    </row>
    <row r="68">
      <c r="A68" t="inlineStr">
        <is>
          <t>I</t>
        </is>
      </c>
      <c r="B68" s="854" t="inlineStr">
        <is>
          <t>Purchase Price</t>
        </is>
      </c>
      <c r="C68" t="inlineStr">
        <is>
          <t>Acquired &gt;= 92% of par</t>
        </is>
      </c>
      <c r="D68" t="inlineStr">
        <is>
          <t>Minimum purchase price</t>
        </is>
      </c>
    </row>
    <row r="69">
      <c r="A69" t="inlineStr">
        <is>
          <t>J</t>
        </is>
      </c>
      <c r="B69" s="854" t="inlineStr">
        <is>
          <t>Currency</t>
        </is>
      </c>
      <c r="C69" t="inlineStr">
        <is>
          <t>Loan Denomination = 'USD'</t>
        </is>
      </c>
      <c r="D69" t="inlineStr">
        <is>
          <t>USD only</t>
        </is>
      </c>
    </row>
    <row r="70">
      <c r="A70" t="inlineStr">
        <is>
          <t>K</t>
        </is>
      </c>
      <c r="B70" s="854" t="inlineStr">
        <is>
          <t>Domicile</t>
        </is>
      </c>
      <c r="C70" t="inlineStr">
        <is>
          <t>Exposure Country = 'United States'</t>
        </is>
      </c>
      <c r="D70" t="inlineStr">
        <is>
          <t>US only</t>
        </is>
      </c>
    </row>
    <row r="71">
      <c r="A71" t="inlineStr">
        <is>
          <t>L</t>
        </is>
      </c>
      <c r="B71" s="854" t="inlineStr">
        <is>
          <t>Cov-lite</t>
        </is>
      </c>
      <c r="C71" t="inlineStr">
        <is>
          <t>BS = 'NO'</t>
        </is>
      </c>
      <c r="D71" t="inlineStr">
        <is>
          <t>Must have covenants</t>
        </is>
      </c>
    </row>
    <row r="72">
      <c r="A72" t="inlineStr">
        <is>
          <t>M</t>
        </is>
      </c>
      <c r="B72" s="854" t="inlineStr">
        <is>
          <t>Maturity</t>
        </is>
      </c>
      <c r="C72" t="inlineStr">
        <is>
          <t>(Maturity Date - Inclusion Date)/365 &lt;= 6.5</t>
        </is>
      </c>
      <c r="D72" t="inlineStr">
        <is>
          <t>Original term &lt;= 6.5 years</t>
        </is>
      </c>
    </row>
    <row r="73">
      <c r="A73" t="inlineStr">
        <is>
          <t>N</t>
        </is>
      </c>
      <c r="B73" s="854" t="inlineStr">
        <is>
          <t>Payment Default</t>
        </is>
      </c>
      <c r="C73" t="inlineStr">
        <is>
          <t>DX ≠ 'Yes'</t>
        </is>
      </c>
      <c r="D73" t="inlineStr">
        <is>
          <t>Not in payment default</t>
        </is>
      </c>
    </row>
    <row r="74">
      <c r="A74" t="inlineStr">
        <is>
          <t>P</t>
        </is>
      </c>
      <c r="B74" s="854" t="inlineStr">
        <is>
          <t>FINAL</t>
        </is>
      </c>
      <c r="C74" t="inlineStr">
        <is>
          <t>COUNTIFS(E:N, TRUE) = 10</t>
        </is>
      </c>
      <c r="D74" t="inlineStr">
        <is>
          <t>ALL 10 tests must pass</t>
        </is>
      </c>
    </row>
    <row r="76">
      <c r="A76" s="836" t="inlineStr">
        <is>
          <t>STAGE 5: CRITICAL FIXES &amp; COMMON ERRORS</t>
        </is>
      </c>
    </row>
    <row r="77">
      <c r="A77" s="721" t="inlineStr">
        <is>
          <t>Error</t>
        </is>
      </c>
      <c r="B77" s="856" t="inlineStr">
        <is>
          <t>Symptom</t>
        </is>
      </c>
      <c r="C77" s="721" t="inlineStr">
        <is>
          <t>Root Cause</t>
        </is>
      </c>
      <c r="D77" s="721" t="inlineStr">
        <is>
          <t>Claude Fix</t>
        </is>
      </c>
    </row>
    <row r="78">
      <c r="A78" t="inlineStr">
        <is>
          <t>Maturity Test Fails</t>
        </is>
      </c>
      <c r="B78" s="854" t="inlineStr">
        <is>
          <t>Portfolio Column M = FALSE</t>
        </is>
      </c>
      <c r="C78" t="inlineStr">
        <is>
          <t>Inclusion Date (AO) ≠ Investment Date (U)</t>
        </is>
      </c>
      <c r="D78" t="inlineStr">
        <is>
          <t>Set Loan Tape AO = U when writing</t>
        </is>
      </c>
    </row>
    <row r="79">
      <c r="A79" t="inlineStr">
        <is>
          <t>#N/A in Availability</t>
        </is>
      </c>
      <c r="B79" s="854" t="inlineStr">
        <is>
          <t>Availability shows #N/A</t>
        </is>
      </c>
      <c r="C79" t="inlineStr">
        <is>
          <t>Invalid industry in Loan Tape X</t>
        </is>
      </c>
      <c r="D79" t="inlineStr">
        <is>
          <t>Validate B32 against industry list before write</t>
        </is>
      </c>
    </row>
    <row r="80">
      <c r="A80" t="inlineStr">
        <is>
          <t>Wrong Advance Rate</t>
        </is>
      </c>
      <c r="B80" s="854" t="inlineStr">
        <is>
          <t>Availability too high/low</t>
        </is>
      </c>
      <c r="C80" t="inlineStr">
        <is>
          <t>FILO attachment point miscalculated</t>
        </is>
      </c>
      <c r="D80" t="inlineStr">
        <is>
          <t>Verify SM Support N (Net Attachment) formula</t>
        </is>
      </c>
    </row>
    <row r="81">
      <c r="A81" t="inlineStr">
        <is>
          <t>BDC Balance Error</t>
        </is>
      </c>
      <c r="B81" s="854" t="inlineStr">
        <is>
          <t>SM Support D ≠ E</t>
        </is>
      </c>
      <c r="C81" t="inlineStr">
        <is>
          <t>Fair Value not set to par</t>
        </is>
      </c>
      <c r="D81" t="inlineStr">
        <is>
          <t>Set D = E for par investments</t>
        </is>
      </c>
    </row>
    <row r="83" ht="15.75" customHeight="1">
      <c r="A83" s="837" t="inlineStr">
        <is>
          <t>HIGH-LEVEL AGENTIC ARCHITECTURE</t>
        </is>
      </c>
    </row>
    <row r="85">
      <c r="A85" s="838" t="inlineStr">
        <is>
          <t>THE AGENTIC LAYER: WHAT IT IS</t>
        </is>
      </c>
    </row>
    <row r="87" ht="45" customHeight="1">
      <c r="A87" s="721" t="inlineStr">
        <is>
          <t>Traditional Manual Process:</t>
        </is>
      </c>
      <c r="B87" s="854" t="inlineStr">
        <is>
          <t>Deal team manually adds rows to 3 tabs → Copies formulas → Fixes broken references → Checks eligibility → Calculates impact → Prone to errors (wrong inclusion date, invalid industry, formula mistakes)</t>
        </is>
      </c>
    </row>
    <row r="89" ht="45" customHeight="1">
      <c r="A89" s="839" t="inlineStr">
        <is>
          <t>With Agentic Layer (Claude):</t>
        </is>
      </c>
      <c r="B89" s="854" t="inlineStr">
        <is>
          <t>Deal team fills 1 form → Claude orchestrates: validates inputs, writes to 3 tabs in correct order, auto-fixes common errors (AO=U), runs eligibility tests, calculates before/after, logs to Memory → Instant, accurate, auditable</t>
        </is>
      </c>
    </row>
    <row r="91" ht="45" customHeight="1">
      <c r="A91" s="721" t="inlineStr">
        <is>
          <t>Value Proposition:</t>
        </is>
      </c>
      <c r="B91" s="854" t="inlineStr">
        <is>
          <t>Reduces 15-minute manual process to 30 seconds. Eliminates 90% of human errors. Provides instant impact analysis. Creates audit trail. Enables non-technical users to run pro formas.</t>
        </is>
      </c>
    </row>
    <row r="93">
      <c r="A93" s="838" t="inlineStr">
        <is>
          <t>DATA FLOW: HOW TABS INTERCONNECT</t>
        </is>
      </c>
    </row>
    <row r="95">
      <c r="A95" s="721" t="inlineStr">
        <is>
          <t>Tab</t>
        </is>
      </c>
      <c r="B95" s="856" t="inlineStr">
        <is>
          <t>Role</t>
        </is>
      </c>
      <c r="C95" s="721" t="inlineStr">
        <is>
          <t>Data It Provides</t>
        </is>
      </c>
      <c r="D95" s="721" t="inlineStr">
        <is>
          <t>Pulls Data From</t>
        </is>
      </c>
      <c r="E95" s="721" t="inlineStr">
        <is>
          <t>Feeds Data To</t>
        </is>
      </c>
    </row>
    <row r="96">
      <c r="A96" s="835" t="inlineStr">
        <is>
          <t>Deal Team Input</t>
        </is>
      </c>
      <c r="B96" s="854" t="inlineStr">
        <is>
          <t>User Interface</t>
        </is>
      </c>
      <c r="C96" t="inlineStr">
        <is>
          <t>21 investment inputs</t>
        </is>
      </c>
      <c r="D96" t="inlineStr">
        <is>
          <t>None (user-filled)</t>
        </is>
      </c>
      <c r="E96" t="inlineStr">
        <is>
          <t>Claude (reads inputs)</t>
        </is>
      </c>
    </row>
    <row r="97">
      <c r="A97" s="834" t="inlineStr">
        <is>
          <t>SM Support</t>
        </is>
      </c>
      <c r="B97" s="854" t="inlineStr">
        <is>
          <t>Financial Data Store</t>
        </is>
      </c>
      <c r="C97" t="inlineStr">
        <is>
          <t>Company financials, leverage, debt structure</t>
        </is>
      </c>
      <c r="D97" t="inlineStr">
        <is>
          <t>Deal Team Input (via Claude)</t>
        </is>
      </c>
      <c r="E97" t="inlineStr">
        <is>
          <t>Portfolio (INDEX/MATCH on Company)</t>
        </is>
      </c>
    </row>
    <row r="98">
      <c r="A98" s="834" t="inlineStr">
        <is>
          <t>Loan Tape - Settled</t>
        </is>
      </c>
      <c r="B98" s="854" t="inlineStr">
        <is>
          <t>Loan Detail Store</t>
        </is>
      </c>
      <c r="C98" t="inlineStr">
        <is>
          <t>Loan terms, dates, industry, pricing</t>
        </is>
      </c>
      <c r="D98" t="inlineStr">
        <is>
          <t>Deal Team Input (via Claude)</t>
        </is>
      </c>
      <c r="E98" t="inlineStr">
        <is>
          <t>Portfolio (INDEX/MATCH on CCM ID)</t>
        </is>
      </c>
    </row>
    <row r="99">
      <c r="A99" s="840" t="inlineStr">
        <is>
          <t>Portfolio</t>
        </is>
      </c>
      <c r="B99" s="854" t="inlineStr">
        <is>
          <t>Calculation Engine</t>
        </is>
      </c>
      <c r="C99" t="inlineStr">
        <is>
          <t>Eligibility tests (10), advance rate classification</t>
        </is>
      </c>
      <c r="D99" t="inlineStr">
        <is>
          <t>SM Support + Loan Tape + AGENT</t>
        </is>
      </c>
      <c r="E99" t="inlineStr">
        <is>
          <t>Concentration Limits</t>
        </is>
      </c>
    </row>
    <row r="100">
      <c r="A100" s="840" t="inlineStr">
        <is>
          <t>Concentration Limits</t>
        </is>
      </c>
      <c r="B100" s="854" t="inlineStr">
        <is>
          <t>Aggregation Layer</t>
        </is>
      </c>
      <c r="C100" t="inlineStr">
        <is>
          <t>Total par by category, concentration metrics</t>
        </is>
      </c>
      <c r="D100" t="inlineStr">
        <is>
          <t>Portfolio</t>
        </is>
      </c>
      <c r="E100" t="inlineStr">
        <is>
          <t>Availability</t>
        </is>
      </c>
    </row>
    <row r="101">
      <c r="A101" s="841" t="inlineStr">
        <is>
          <t>Availability</t>
        </is>
      </c>
      <c r="B101" s="854" t="inlineStr">
        <is>
          <t>Final Output</t>
        </is>
      </c>
      <c r="C101" t="inlineStr">
        <is>
          <t>Borrowing capacity (L26)</t>
        </is>
      </c>
      <c r="D101" t="inlineStr">
        <is>
          <t>Concentration Limits</t>
        </is>
      </c>
      <c r="E101" t="inlineStr">
        <is>
          <t>Deal Team Input B49 (live link)</t>
        </is>
      </c>
    </row>
    <row r="102">
      <c r="A102" s="842" t="inlineStr">
        <is>
          <t>Memory</t>
        </is>
      </c>
      <c r="B102" s="854" t="inlineStr">
        <is>
          <t>Audit Trail</t>
        </is>
      </c>
      <c r="C102" t="inlineStr">
        <is>
          <t>Session log of all changes</t>
        </is>
      </c>
      <c r="D102" t="inlineStr">
        <is>
          <t>Claude writes after each action</t>
        </is>
      </c>
      <c r="E102" t="inlineStr">
        <is>
          <t>Future Claude sessions (context)</t>
        </is>
      </c>
    </row>
    <row r="103">
      <c r="A103" s="842" t="inlineStr">
        <is>
          <t>AI_Instructions</t>
        </is>
      </c>
      <c r="B103" s="854" t="inlineStr">
        <is>
          <t>Knowledge Base</t>
        </is>
      </c>
      <c r="C103" t="inlineStr">
        <is>
          <t>System rules, thresholds, procedures</t>
        </is>
      </c>
      <c r="D103" t="inlineStr">
        <is>
          <t>Static documentation</t>
        </is>
      </c>
      <c r="E103" t="inlineStr">
        <is>
          <t>Claude (loads on startup)</t>
        </is>
      </c>
    </row>
    <row r="105">
      <c r="A105" s="838" t="inlineStr">
        <is>
          <t>CELL-LEVEL MAPPING: EVERY INPUT → DESTINATION</t>
        </is>
      </c>
    </row>
    <row r="107">
      <c r="A107" s="721" t="inlineStr">
        <is>
          <t>Input Cell</t>
        </is>
      </c>
      <c r="B107" s="856" t="inlineStr">
        <is>
          <t>Field</t>
        </is>
      </c>
      <c r="C107" s="721" t="inlineStr">
        <is>
          <t>Destination 1</t>
        </is>
      </c>
      <c r="D107" s="721" t="inlineStr">
        <is>
          <t>Destination 2</t>
        </is>
      </c>
      <c r="E107" s="721" t="inlineStr">
        <is>
          <t>Destination 3</t>
        </is>
      </c>
      <c r="F107" s="721" t="inlineStr">
        <is>
          <t>Claude Logic</t>
        </is>
      </c>
    </row>
    <row r="108">
      <c r="A108" t="inlineStr">
        <is>
          <t>B5</t>
        </is>
      </c>
      <c r="B108" s="854" t="inlineStr">
        <is>
          <t>Company Name</t>
        </is>
      </c>
      <c r="C108" t="inlineStr">
        <is>
          <t>SM Support B</t>
        </is>
      </c>
      <c r="D108" t="inlineStr">
        <is>
          <t>Loan Tape G</t>
        </is>
      </c>
      <c r="F108" t="inlineStr">
        <is>
          <t>Direct copy</t>
        </is>
      </c>
    </row>
    <row r="109">
      <c r="A109" t="inlineStr">
        <is>
          <t>B6</t>
        </is>
      </c>
      <c r="B109" s="854" t="inlineStr">
        <is>
          <t>Security Type</t>
        </is>
      </c>
      <c r="C109" t="inlineStr">
        <is>
          <t>SM Support C</t>
        </is>
      </c>
      <c r="D109" t="inlineStr">
        <is>
          <t>Loan Tape H</t>
        </is>
      </c>
      <c r="E109" t="inlineStr">
        <is>
          <t>Loan Tape J</t>
        </is>
      </c>
      <c r="F109" t="inlineStr">
        <is>
          <t>Maps: First Lien→'1st Lien'+'First Lien', Last Out→'Last Out'+'FILO'</t>
        </is>
      </c>
    </row>
    <row r="110">
      <c r="A110" t="inlineStr">
        <is>
          <t>B12</t>
        </is>
      </c>
      <c r="B110" s="854" t="inlineStr">
        <is>
          <t>LTM Revenue</t>
        </is>
      </c>
      <c r="C110" t="inlineStr">
        <is>
          <t>SM Support F</t>
        </is>
      </c>
      <c r="F110" t="inlineStr">
        <is>
          <t>Direct copy</t>
        </is>
      </c>
    </row>
    <row r="111">
      <c r="A111" t="inlineStr">
        <is>
          <t>B13</t>
        </is>
      </c>
      <c r="B111" s="854" t="inlineStr">
        <is>
          <t>LTM EBITDA</t>
        </is>
      </c>
      <c r="C111" t="inlineStr">
        <is>
          <t>SM Support G</t>
        </is>
      </c>
      <c r="D111" t="inlineStr">
        <is>
          <t>Loan Tape AV</t>
        </is>
      </c>
      <c r="F111" t="inlineStr">
        <is>
          <t>SM Support: full value; Loan Tape AV: /1000000</t>
        </is>
      </c>
    </row>
    <row r="112">
      <c r="A112" t="inlineStr">
        <is>
          <t>B14</t>
        </is>
      </c>
      <c r="B112" s="854" t="inlineStr">
        <is>
          <t>Revolver</t>
        </is>
      </c>
      <c r="C112" t="inlineStr">
        <is>
          <t>SM Support H</t>
        </is>
      </c>
      <c r="F112" t="inlineStr">
        <is>
          <t>Direct copy</t>
        </is>
      </c>
    </row>
    <row r="113">
      <c r="A113" t="inlineStr">
        <is>
          <t>B15</t>
        </is>
      </c>
      <c r="B113" s="854" t="inlineStr">
        <is>
          <t>First Out</t>
        </is>
      </c>
      <c r="C113" t="inlineStr">
        <is>
          <t>SM Support I</t>
        </is>
      </c>
      <c r="F113" t="inlineStr">
        <is>
          <t>Direct copy</t>
        </is>
      </c>
    </row>
    <row r="114">
      <c r="A114" t="inlineStr">
        <is>
          <t>B16</t>
        </is>
      </c>
      <c r="B114" s="854" t="inlineStr">
        <is>
          <t>Pari Passu</t>
        </is>
      </c>
      <c r="C114" t="inlineStr">
        <is>
          <t>SM Support J</t>
        </is>
      </c>
      <c r="F114" t="inlineStr">
        <is>
          <t>Direct copy</t>
        </is>
      </c>
    </row>
    <row r="115">
      <c r="A115" t="inlineStr">
        <is>
          <t>B17</t>
        </is>
      </c>
      <c r="B115" s="854" t="inlineStr">
        <is>
          <t>BDC Balance ⚠️</t>
        </is>
      </c>
      <c r="C115" t="inlineStr">
        <is>
          <t>SM Support D</t>
        </is>
      </c>
      <c r="D115" t="inlineStr">
        <is>
          <t>SM Support E</t>
        </is>
      </c>
      <c r="E115" t="inlineStr">
        <is>
          <t>SM Support S</t>
        </is>
      </c>
      <c r="F115" t="inlineStr">
        <is>
          <t>D=E=S for par investments (Fair Value = Debt)</t>
        </is>
      </c>
    </row>
    <row r="116">
      <c r="A116" t="inlineStr">
        <is>
          <t>B18</t>
        </is>
      </c>
      <c r="B116" s="854" t="inlineStr">
        <is>
          <t>Total SM</t>
        </is>
      </c>
      <c r="C116" t="inlineStr">
        <is>
          <t>SM Support K</t>
        </is>
      </c>
      <c r="F116" t="inlineStr">
        <is>
          <t>Direct copy (can be &gt; BDC)</t>
        </is>
      </c>
    </row>
    <row r="117">
      <c r="A117" t="inlineStr">
        <is>
          <t>B19</t>
        </is>
      </c>
      <c r="B117" s="854" t="inlineStr">
        <is>
          <t>Cash</t>
        </is>
      </c>
      <c r="C117" t="inlineStr">
        <is>
          <t>SM Support L</t>
        </is>
      </c>
      <c r="F117" t="inlineStr">
        <is>
          <t>Direct copy</t>
        </is>
      </c>
    </row>
    <row r="118">
      <c r="A118" t="inlineStr">
        <is>
          <t>B20</t>
        </is>
      </c>
      <c r="B118" s="854" t="inlineStr">
        <is>
          <t>Interest Cov</t>
        </is>
      </c>
      <c r="C118" t="inlineStr">
        <is>
          <t>SM Support O</t>
        </is>
      </c>
      <c r="F118" t="inlineStr">
        <is>
          <t>Direct copy</t>
        </is>
      </c>
    </row>
    <row r="119">
      <c r="A119" t="inlineStr">
        <is>
          <t>B26</t>
        </is>
      </c>
      <c r="B119" s="854" t="inlineStr">
        <is>
          <t>Denomination</t>
        </is>
      </c>
      <c r="C119" t="inlineStr">
        <is>
          <t>Loan Tape L</t>
        </is>
      </c>
      <c r="F119" t="inlineStr">
        <is>
          <t>USD or CAD</t>
        </is>
      </c>
    </row>
    <row r="120">
      <c r="A120" t="inlineStr">
        <is>
          <t>B27</t>
        </is>
      </c>
      <c r="B120" s="854" t="inlineStr">
        <is>
          <t>Purchase Price</t>
        </is>
      </c>
      <c r="C120" t="inlineStr">
        <is>
          <t>Loan Tape Q</t>
        </is>
      </c>
      <c r="F120" t="inlineStr">
        <is>
          <t>Convert % to decimal (100%=1.00)</t>
        </is>
      </c>
    </row>
    <row r="121">
      <c r="A121" t="inlineStr">
        <is>
          <t>B28</t>
        </is>
      </c>
      <c r="B121" s="854" t="inlineStr">
        <is>
          <t>Country</t>
        </is>
      </c>
      <c r="C121" t="inlineStr">
        <is>
          <t>Loan Tape T</t>
        </is>
      </c>
      <c r="F121" t="inlineStr">
        <is>
          <t>Direct copy</t>
        </is>
      </c>
    </row>
    <row r="122">
      <c r="A122" s="843" t="inlineStr">
        <is>
          <t>B29</t>
        </is>
      </c>
      <c r="B122" s="857" t="inlineStr">
        <is>
          <t>Investment Date ⚠️</t>
        </is>
      </c>
      <c r="C122" s="843" t="inlineStr">
        <is>
          <t>Loan Tape U</t>
        </is>
      </c>
      <c r="D122" s="843" t="inlineStr">
        <is>
          <t>Loan Tape AO ⚠️</t>
        </is>
      </c>
      <c r="F122" s="843" t="inlineStr">
        <is>
          <t>CRITICAL: Must write SAME date to both U and AO</t>
        </is>
      </c>
    </row>
    <row r="123">
      <c r="A123" t="inlineStr">
        <is>
          <t>B30</t>
        </is>
      </c>
      <c r="B123" s="854" t="inlineStr">
        <is>
          <t>Maturity Date</t>
        </is>
      </c>
      <c r="C123" t="inlineStr">
        <is>
          <t>Loan Tape V</t>
        </is>
      </c>
      <c r="F123" t="inlineStr">
        <is>
          <t>Excel serial date</t>
        </is>
      </c>
    </row>
    <row r="124">
      <c r="A124" t="inlineStr">
        <is>
          <t>B31</t>
        </is>
      </c>
      <c r="B124" s="854" t="inlineStr">
        <is>
          <t>Floating/Fixed</t>
        </is>
      </c>
      <c r="C124" t="inlineStr">
        <is>
          <t>Loan Tape W</t>
        </is>
      </c>
      <c r="F124" t="inlineStr">
        <is>
          <t>Direct copy</t>
        </is>
      </c>
    </row>
    <row r="125">
      <c r="A125" s="843" t="inlineStr">
        <is>
          <t>B32</t>
        </is>
      </c>
      <c r="B125" s="857" t="inlineStr">
        <is>
          <t>Industry ⚠️</t>
        </is>
      </c>
      <c r="C125" s="843" t="inlineStr">
        <is>
          <t>Loan Tape X</t>
        </is>
      </c>
      <c r="F125" s="843" t="inlineStr">
        <is>
          <t>VALIDATE against Concentration Limits E81:E153 list</t>
        </is>
      </c>
    </row>
    <row r="126">
      <c r="A126" t="inlineStr">
        <is>
          <t>B33</t>
        </is>
      </c>
      <c r="B126" s="854" t="inlineStr">
        <is>
          <t>Payment Freq</t>
        </is>
      </c>
      <c r="C126" t="inlineStr">
        <is>
          <t>Loan Tape Y</t>
        </is>
      </c>
      <c r="F126" t="inlineStr">
        <is>
          <t>M or Q</t>
        </is>
      </c>
    </row>
    <row r="127">
      <c r="A127" t="inlineStr">
        <is>
          <t>B34</t>
        </is>
      </c>
      <c r="B127" s="854" t="inlineStr">
        <is>
          <t>PIK %</t>
        </is>
      </c>
      <c r="C127" t="inlineStr">
        <is>
          <t>Loan Tape AD</t>
        </is>
      </c>
      <c r="F127" t="inlineStr">
        <is>
          <t>Convert % to decimal</t>
        </is>
      </c>
    </row>
    <row r="128">
      <c r="A128" t="inlineStr">
        <is>
          <t>B35</t>
        </is>
      </c>
      <c r="B128" s="854" t="inlineStr">
        <is>
          <t>Spread</t>
        </is>
      </c>
      <c r="C128" t="inlineStr">
        <is>
          <t>Loan Tape AE</t>
        </is>
      </c>
      <c r="F128" t="inlineStr">
        <is>
          <t>Convert % to decimal</t>
        </is>
      </c>
    </row>
    <row r="129">
      <c r="A129" t="inlineStr">
        <is>
          <t>B36</t>
        </is>
      </c>
      <c r="B129" s="854" t="inlineStr">
        <is>
          <t>SOFR Floor</t>
        </is>
      </c>
      <c r="C129" t="inlineStr">
        <is>
          <t>Loan Tape AF</t>
        </is>
      </c>
      <c r="F129" t="inlineStr">
        <is>
          <t>Convert % to decimal</t>
        </is>
      </c>
    </row>
    <row r="130">
      <c r="A130" t="inlineStr">
        <is>
          <t>B37</t>
        </is>
      </c>
      <c r="B130" s="854" t="inlineStr">
        <is>
          <t>Attach Point</t>
        </is>
      </c>
      <c r="C130" t="inlineStr">
        <is>
          <t>Loan Tape AX</t>
        </is>
      </c>
      <c r="F130" t="inlineStr">
        <is>
          <t>Direct copy (leverage ratio)</t>
        </is>
      </c>
    </row>
    <row r="132">
      <c r="A132" s="844" t="inlineStr">
        <is>
          <t>AGENTIC DECISION TREE - EXECUTION WORKFLOW</t>
        </is>
      </c>
    </row>
    <row r="134">
      <c r="A134" s="778" t="inlineStr">
        <is>
          <t>When user says 'Run the pro forma', Claude executes:</t>
        </is>
      </c>
    </row>
    <row r="136">
      <c r="A136" s="777" t="inlineStr">
        <is>
          <t>STEP 1: Read &amp; Validate</t>
        </is>
      </c>
    </row>
    <row r="137">
      <c r="A137" s="721" t="inlineStr">
        <is>
          <t>Action:</t>
        </is>
      </c>
      <c r="B137" s="854" t="inlineStr">
        <is>
          <t>Read Deal Team Input B2 (status indicator)</t>
        </is>
      </c>
    </row>
    <row r="138">
      <c r="A138" s="721" t="inlineStr">
        <is>
          <t>Decision:</t>
        </is>
      </c>
      <c r="B138" s="854" t="inlineStr">
        <is>
          <t>If '⚠ Fill Required Fields' → STOP, alert user which fields missing</t>
        </is>
      </c>
    </row>
    <row r="139">
      <c r="A139" s="721" t="inlineStr">
        <is>
          <t>Decision:</t>
        </is>
      </c>
      <c r="B139" s="854" t="inlineStr">
        <is>
          <t>If '✓ READY TO RUN' → Proceed to Step 2</t>
        </is>
      </c>
    </row>
    <row r="140">
      <c r="A140" s="721" t="inlineStr">
        <is>
          <t>Validation:</t>
        </is>
      </c>
      <c r="B140" s="854" t="inlineStr">
        <is>
          <t>Check B32 (Industry) against Concentration Limits E81:E153</t>
        </is>
      </c>
    </row>
    <row r="141">
      <c r="A141" s="721" t="inlineStr">
        <is>
          <t>Decision:</t>
        </is>
      </c>
      <c r="B141" s="854" t="inlineStr">
        <is>
          <t>If invalid industry → STOP, show user valid list</t>
        </is>
      </c>
    </row>
    <row r="143">
      <c r="A143" s="777" t="inlineStr">
        <is>
          <t>STEP 2: Capture Before</t>
        </is>
      </c>
    </row>
    <row r="144">
      <c r="A144" s="721" t="inlineStr">
        <is>
          <t>Action:</t>
        </is>
      </c>
      <c r="B144" s="854" t="inlineStr">
        <is>
          <t>Read Availability!L26 (current availability)</t>
        </is>
      </c>
    </row>
    <row r="145">
      <c r="A145" s="721" t="inlineStr">
        <is>
          <t>Action:</t>
        </is>
      </c>
      <c r="B145" s="854" t="inlineStr">
        <is>
          <t>Write value to Deal Team Input B48</t>
        </is>
      </c>
    </row>
    <row r="146">
      <c r="A146" s="721" t="inlineStr">
        <is>
          <t>Why:</t>
        </is>
      </c>
      <c r="B146" s="854" t="inlineStr">
        <is>
          <t>B48=manual (snapshot), B49=formula (live link)</t>
        </is>
      </c>
    </row>
    <row r="148">
      <c r="A148" s="777" t="inlineStr">
        <is>
          <t>STEP 3: Write SM Support</t>
        </is>
      </c>
    </row>
    <row r="149">
      <c r="A149" s="721" t="inlineStr">
        <is>
          <t>Action:</t>
        </is>
      </c>
      <c r="B149" s="854" t="inlineStr">
        <is>
          <t>Find next empty row</t>
        </is>
      </c>
    </row>
    <row r="150">
      <c r="A150" s="721" t="inlineStr">
        <is>
          <t>Action:</t>
        </is>
      </c>
      <c r="B150" s="854" t="inlineStr">
        <is>
          <t>Write: B=Company, C=Security, D=E=BDC Balance, F-L=financials, O=Coverage</t>
        </is>
      </c>
    </row>
    <row r="151">
      <c r="A151" s="836" t="inlineStr">
        <is>
          <t>Critical:</t>
        </is>
      </c>
      <c r="B151" s="857" t="inlineStr">
        <is>
          <t>D (Debt) MUST EQUAL E (Fair Value) for par</t>
        </is>
      </c>
    </row>
    <row r="153">
      <c r="A153" s="777" t="inlineStr">
        <is>
          <t>STEP 4: Write Loan Tape</t>
        </is>
      </c>
    </row>
    <row r="154">
      <c r="A154" s="721" t="inlineStr">
        <is>
          <t>Action:</t>
        </is>
      </c>
      <c r="B154" s="854" t="inlineStr">
        <is>
          <t>Find next empty row in Loan Tape - Settled</t>
        </is>
      </c>
    </row>
    <row r="155">
      <c r="A155" s="721" t="inlineStr">
        <is>
          <t>Action:</t>
        </is>
      </c>
      <c r="B155" s="854" t="inlineStr">
        <is>
          <t>Write all 21 fields per mapping table</t>
        </is>
      </c>
    </row>
    <row r="156">
      <c r="A156" s="836" t="inlineStr">
        <is>
          <t>CRITICAL:</t>
        </is>
      </c>
      <c r="B156" s="857" t="inlineStr">
        <is>
          <t>AO (Inclusion Date) MUST EQUAL U (Investment Date)</t>
        </is>
      </c>
    </row>
    <row r="157">
      <c r="A157" s="721" t="inlineStr">
        <is>
          <t>Why:</t>
        </is>
      </c>
      <c r="B157" s="854" t="inlineStr">
        <is>
          <t>Maturity test uses (V-AO)/365. If AO≠U, test fails</t>
        </is>
      </c>
    </row>
    <row r="159">
      <c r="A159" s="777" t="inlineStr">
        <is>
          <t>STEP 5: Write Portfolio</t>
        </is>
      </c>
    </row>
    <row r="160">
      <c r="A160" s="721" t="inlineStr">
        <is>
          <t>Action:</t>
        </is>
      </c>
      <c r="B160" s="854" t="inlineStr">
        <is>
          <t>Find next CCM ID (increment from last)</t>
        </is>
      </c>
    </row>
    <row r="161">
      <c r="A161" s="721" t="inlineStr">
        <is>
          <t>Action:</t>
        </is>
      </c>
      <c r="B161" s="854" t="inlineStr">
        <is>
          <t>Write CCM ID to column A</t>
        </is>
      </c>
    </row>
    <row r="162">
      <c r="A162" s="721" t="inlineStr">
        <is>
          <t>Action:</t>
        </is>
      </c>
      <c r="B162" s="854" t="inlineStr">
        <is>
          <t>copy_to entire row from row above (B:HN) - ~280 formulas</t>
        </is>
      </c>
    </row>
    <row r="163">
      <c r="A163" s="721" t="inlineStr">
        <is>
          <t>Action:</t>
        </is>
      </c>
      <c r="B163" s="854" t="inlineStr">
        <is>
          <t>Set BZ='no', CA='no', DX='Yes' if default</t>
        </is>
      </c>
    </row>
    <row r="165">
      <c r="A165" s="777" t="inlineStr">
        <is>
          <t>STEP 6: Verify Eligibility</t>
        </is>
      </c>
    </row>
    <row r="166">
      <c r="A166" s="721" t="inlineStr">
        <is>
          <t>Action:</t>
        </is>
      </c>
      <c r="B166" s="854" t="inlineStr">
        <is>
          <t>Read Portfolio Column P for new row</t>
        </is>
      </c>
    </row>
    <row r="167">
      <c r="A167" s="839" t="inlineStr">
        <is>
          <t>If 'Yes':</t>
        </is>
      </c>
      <c r="B167" s="854" t="inlineStr">
        <is>
          <t>Loan is ELIGIBLE → proceed to Step 7</t>
        </is>
      </c>
    </row>
    <row r="168">
      <c r="A168" s="845" t="inlineStr">
        <is>
          <t>If 'No':</t>
        </is>
      </c>
      <c r="B168" s="854" t="inlineStr">
        <is>
          <t>Read columns E-N to identify failed tests → report to user</t>
        </is>
      </c>
    </row>
    <row r="170">
      <c r="A170" s="777" t="inlineStr">
        <is>
          <t>STEP 7: Calculate Impact</t>
        </is>
      </c>
    </row>
    <row r="171">
      <c r="A171" s="721" t="inlineStr">
        <is>
          <t>Action:</t>
        </is>
      </c>
      <c r="B171" s="854" t="inlineStr">
        <is>
          <t>Read new Availability!L26 (auto-updates)</t>
        </is>
      </c>
    </row>
    <row r="172">
      <c r="A172" s="721" t="inlineStr">
        <is>
          <t>Action:</t>
        </is>
      </c>
      <c r="B172" s="854" t="inlineStr">
        <is>
          <t>B49 auto-updates (formula link to Availability)</t>
        </is>
      </c>
    </row>
    <row r="173">
      <c r="A173" s="721" t="inlineStr">
        <is>
          <t>Calculate:</t>
        </is>
      </c>
      <c r="B173" s="854" t="inlineStr">
        <is>
          <t>B50 = B49 - B48 (Change)</t>
        </is>
      </c>
    </row>
    <row r="174">
      <c r="A174" s="721" t="inlineStr">
        <is>
          <t>Calculate:</t>
        </is>
      </c>
      <c r="B174" s="854" t="inlineStr">
        <is>
          <t>B51 = B50 / B17 (Impact ratio: $ availability per $1 invested)</t>
        </is>
      </c>
    </row>
    <row r="176">
      <c r="A176" s="777" t="inlineStr">
        <is>
          <t>STEP 8: Report &amp; Log</t>
        </is>
      </c>
    </row>
    <row r="177">
      <c r="A177" s="721" t="inlineStr">
        <is>
          <t>Report:</t>
        </is>
      </c>
      <c r="B177" s="854" t="inlineStr">
        <is>
          <t>Show company, amount, eligibility, before/after, change, impact</t>
        </is>
      </c>
    </row>
    <row r="178">
      <c r="A178" s="721" t="inlineStr">
        <is>
          <t>Log:</t>
        </is>
      </c>
      <c r="B178" s="854" t="inlineStr">
        <is>
          <t>Update Memory tab with Date, Action, Description, Impact</t>
        </is>
      </c>
    </row>
    <row r="179">
      <c r="A179" s="721" t="inlineStr">
        <is>
          <t>Purpose:</t>
        </is>
      </c>
      <c r="B179" s="854" t="inlineStr">
        <is>
          <t>Audit trail + context for future sessions</t>
        </is>
      </c>
    </row>
    <row r="182" ht="15.75" customHeight="1">
      <c r="A182" s="837" t="inlineStr">
        <is>
          <t>VISUAL FLOWCHART: DATA JOURNEY</t>
        </is>
      </c>
    </row>
    <row r="184">
      <c r="A184" s="846" t="inlineStr">
        <is>
          <t>USER INPUT</t>
        </is>
      </c>
    </row>
    <row r="185">
      <c r="A185" s="847" t="inlineStr">
        <is>
          <t>Deal Team fills 21 fields in Deal Team Input (B5-B37)</t>
        </is>
      </c>
    </row>
    <row r="186" ht="21" customHeight="1">
      <c r="A186" s="848" t="inlineStr">
        <is>
          <t>↓</t>
        </is>
      </c>
    </row>
    <row r="188">
      <c r="A188" s="849" t="inlineStr">
        <is>
          <t>AGENTIC LAYER (CLAUDE)</t>
        </is>
      </c>
    </row>
    <row r="189">
      <c r="A189" s="850" t="inlineStr">
        <is>
          <t>Validates, orchestrates, writes, verifies</t>
        </is>
      </c>
    </row>
    <row r="190" ht="21" customHeight="1">
      <c r="A190" s="848" t="inlineStr">
        <is>
          <t>↓</t>
        </is>
      </c>
    </row>
    <row r="192">
      <c r="A192" s="849" t="inlineStr">
        <is>
          <t>3-TAB WRITE SEQUENCE</t>
        </is>
      </c>
    </row>
    <row r="194">
      <c r="A194" s="780" t="inlineStr">
        <is>
          <t>1. SM SUPPORT</t>
        </is>
      </c>
      <c r="B194" s="858" t="inlineStr">
        <is>
          <t>→</t>
        </is>
      </c>
      <c r="C194" s="834" t="inlineStr">
        <is>
          <t>Writes 9 financial inputs (B-O)</t>
        </is>
      </c>
      <c r="D194" s="851" t="inlineStr">
        <is>
          <t>→</t>
        </is>
      </c>
      <c r="E194" s="834" t="inlineStr">
        <is>
          <t>Creates lookup data for Portfolio</t>
        </is>
      </c>
    </row>
    <row r="195" ht="21" customHeight="1">
      <c r="A195" s="848" t="inlineStr">
        <is>
          <t>↓</t>
        </is>
      </c>
    </row>
    <row r="196">
      <c r="A196" s="780" t="inlineStr">
        <is>
          <t>2. LOAN TAPE</t>
        </is>
      </c>
      <c r="B196" s="858" t="inlineStr">
        <is>
          <t>→</t>
        </is>
      </c>
      <c r="C196" s="834" t="inlineStr">
        <is>
          <t>Writes 12 loan term inputs (L-AX)</t>
        </is>
      </c>
      <c r="D196" s="851" t="inlineStr">
        <is>
          <t>→</t>
        </is>
      </c>
      <c r="E196" s="834" t="inlineStr">
        <is>
          <t>Creates detailed loan record ⚠️ AO=U</t>
        </is>
      </c>
    </row>
    <row r="197" ht="21" customHeight="1">
      <c r="A197" s="848" t="inlineStr">
        <is>
          <t>↓</t>
        </is>
      </c>
    </row>
    <row r="198">
      <c r="A198" s="780" t="inlineStr">
        <is>
          <t>3. PORTFOLIO</t>
        </is>
      </c>
      <c r="B198" s="858" t="inlineStr">
        <is>
          <t>→</t>
        </is>
      </c>
      <c r="C198" s="834" t="inlineStr">
        <is>
          <t>Adds CCM ID + copy_to formulas</t>
        </is>
      </c>
      <c r="D198" s="851" t="inlineStr">
        <is>
          <t>→</t>
        </is>
      </c>
      <c r="E198" s="834" t="inlineStr">
        <is>
          <t>Runs 10 eligibility tests</t>
        </is>
      </c>
    </row>
  </sheetData>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U210"/>
  <sheetViews>
    <sheetView tabSelected="1" workbookViewId="0">
      <pane ySplit="2" topLeftCell="A3" activePane="bottomLeft" state="frozen"/>
      <selection pane="bottomLeft" activeCell="A192" sqref="A192:C192"/>
    </sheetView>
  </sheetViews>
  <sheetFormatPr baseColWidth="8" defaultRowHeight="15"/>
  <cols>
    <col width="10.42578125" customWidth="1" min="1" max="1"/>
    <col width="26.7109375" customWidth="1" min="2" max="2"/>
    <col width="34.28515625" customWidth="1" min="3" max="3"/>
    <col width="41.85546875" customWidth="1" style="854" min="4" max="4"/>
    <col width="11.42578125" customWidth="1" min="5" max="5"/>
    <col width="10.42578125" customWidth="1" min="6" max="6"/>
    <col width="32.42578125" customWidth="1" style="854" min="7" max="7"/>
    <col width="19" customWidth="1" min="8" max="8"/>
    <col width="30.42578125" customWidth="1" style="854" min="9" max="9"/>
    <col width="36.140625" bestFit="1" customWidth="1" min="10" max="10"/>
    <col width="35.28515625" bestFit="1" customWidth="1" min="11" max="11"/>
    <col width="12.42578125" customWidth="1" min="12" max="13"/>
    <col width="13.28515625" customWidth="1" min="14" max="14"/>
    <col width="14.28515625" customWidth="1" min="15" max="15"/>
    <col width="16.140625" customWidth="1" min="16" max="16"/>
    <col width="14.28515625" customWidth="1" min="17" max="17"/>
    <col width="11.42578125" customWidth="1" min="18" max="18"/>
    <col width="47.5703125" customWidth="1" style="854" min="19" max="19"/>
    <col width="13.28515625" customWidth="1" min="20" max="20"/>
    <col width="22.85546875" customWidth="1" min="21" max="21"/>
  </cols>
  <sheetData>
    <row r="1" ht="21.95" customHeight="1">
      <c r="A1" s="945" t="inlineStr">
        <is>
          <t>MAPPING LAYER — AI PRO FORMA ORCHESTRATION CONTROL SHEET</t>
        </is>
      </c>
    </row>
    <row r="2">
      <c r="A2" s="947" t="inlineStr">
        <is>
          <t>Version: 1.1  |  Workbook: Star Mountain BDC Borrowing Base  |  Last Updated: 2026-03-09  |  Author: Deal Team + Claude + ChatGPT  |  Status: ACTIVE</t>
        </is>
      </c>
    </row>
    <row r="4" ht="15.75" customHeight="1">
      <c r="A4" s="972" t="inlineStr">
        <is>
          <t>PART 1 — OBJECTIVE</t>
        </is>
      </c>
    </row>
    <row r="5">
      <c r="A5" s="816" t="inlineStr">
        <is>
          <t>This tab is the single authoritative reference that an AI agent (ChatGPT, Claude, or any LLM-based orchestrator) must consult before executing any write operation on this borrowing base model.</t>
        </is>
      </c>
    </row>
    <row r="6">
      <c r="A6" s="816" t="inlineStr">
        <is>
          <t>It serves three purposes: (1) INPUT MAPPING - defines exactly which fields the deal team provides, how to validate them, and where each value is written across SM Support, Loan Tape - Settled, and Portfolio tabs; (2) OUTPUT MAPPING - defines which cells to read for before/after comparison and what to report back; (3) CONTROLS - defines what the AI may and may not touch, when to stop for human review, and how to log every action.</t>
        </is>
      </c>
    </row>
    <row r="7">
      <c r="A7" s="816" t="inlineStr">
        <is>
          <t>Why it matters: The borrowing base is a governed credit document. A single misplaced value can misstate availability by millions. This Mapping Layer enforces deterministic, auditable, repeatable AI behavior. No AI agent should infer destinations, guess validation rules, or write to cells not explicitly listed here.</t>
        </is>
      </c>
    </row>
    <row r="9">
      <c r="A9" s="948" t="inlineStr">
        <is>
          <t>SECTION INDEX</t>
        </is>
      </c>
    </row>
    <row r="10">
      <c r="A10" s="949" t="inlineStr">
        <is>
          <t>Section A: Input Mapping (Row 17)  |  Section B: Output Mapping (Row 63)  |  Section C: Validation Rules (Row 98)  |  Section D: Write Policy (Row 142)  |  Section E: Exceptions (Row 165)  |  Section F: Run Metadata (Row 185)  |  Section G: AI Execution Protocol (Row 195)</t>
        </is>
      </c>
    </row>
    <row r="12">
      <c r="A12" s="950" t="inlineStr">
        <is>
          <t>═══════════════════════════════════════════════════════════════════════════════════════════════════════════════</t>
        </is>
      </c>
    </row>
    <row r="13" ht="21.95" customHeight="1">
      <c r="A13" s="972" t="inlineStr">
        <is>
          <t>SECTION A — INPUT MAPPING TABLE</t>
        </is>
      </c>
    </row>
    <row r="14">
      <c r="A14" s="951" t="inlineStr">
        <is>
          <t>Purpose: Maps every deal-team input to its workbook destination. The AI agent reads this table to know what to collect, how to validate it, and exactly where to write it.</t>
        </is>
      </c>
    </row>
    <row r="15">
      <c r="A15" s="946" t="inlineStr">
        <is>
          <t>Run Type Applicability:  N = New Origination  |  A = Add-On  |  R = Repayment  |  M = Amendment  (column R)</t>
        </is>
      </c>
    </row>
    <row r="17" ht="15.75" customHeight="1" thickBot="1">
      <c r="A17" s="962" t="inlineStr">
        <is>
          <t>Input_ID</t>
        </is>
      </c>
      <c r="B17" s="962" t="inlineStr">
        <is>
          <t>Input Field Name</t>
        </is>
      </c>
      <c r="C17" s="962" t="inlineStr">
        <is>
          <t>User-Friendly Prompt</t>
        </is>
      </c>
      <c r="D17" s="964" t="inlineStr">
        <is>
          <t>Description</t>
        </is>
      </c>
      <c r="E17" s="962" t="inlineStr">
        <is>
          <t>Data Type</t>
        </is>
      </c>
      <c r="F17" s="962" t="inlineStr">
        <is>
          <t>Required?</t>
        </is>
      </c>
      <c r="G17" s="964" t="inlineStr">
        <is>
          <t>Allowed Values / Picklist</t>
        </is>
      </c>
      <c r="H17" s="962" t="inlineStr">
        <is>
          <t>Default Rule</t>
        </is>
      </c>
      <c r="I17" s="964" t="inlineStr">
        <is>
          <t>Validation Rule</t>
        </is>
      </c>
      <c r="J17" s="962" t="inlineStr">
        <is>
          <t>Dest. Sheet</t>
        </is>
      </c>
      <c r="K17" s="962" t="inlineStr">
        <is>
          <t>Dest. Cell / Column</t>
        </is>
      </c>
      <c r="L17" s="962" t="inlineStr">
        <is>
          <t>Write Method</t>
        </is>
      </c>
      <c r="M17" s="962" t="inlineStr">
        <is>
          <t>AI May Infer?</t>
        </is>
      </c>
      <c r="N17" s="962" t="inlineStr">
        <is>
          <t>Human Confirm?</t>
        </is>
      </c>
      <c r="O17" s="962" t="inlineStr">
        <is>
          <t>Affects Eligibility?</t>
        </is>
      </c>
      <c r="P17" s="962" t="inlineStr">
        <is>
          <t>Affects Concentration?</t>
        </is>
      </c>
      <c r="Q17" s="962" t="inlineStr">
        <is>
          <t>Affects Availability?</t>
        </is>
      </c>
      <c r="R17" s="962" t="inlineStr">
        <is>
          <t>Run Types</t>
        </is>
      </c>
      <c r="S17" s="964" t="inlineStr">
        <is>
          <t>Notes / Examples</t>
        </is>
      </c>
    </row>
    <row r="18">
      <c r="A18" s="952" t="inlineStr">
        <is>
          <t>—</t>
        </is>
      </c>
      <c r="B18" s="952" t="inlineStr">
        <is>
          <t>IDENTITY &amp; CLASSIFICATION</t>
        </is>
      </c>
      <c r="C18" s="953" t="n"/>
      <c r="D18" s="965" t="n"/>
      <c r="E18" s="953" t="n"/>
      <c r="F18" s="953" t="n"/>
      <c r="G18" s="965" t="n"/>
      <c r="H18" s="953" t="n"/>
      <c r="I18" s="965" t="n"/>
      <c r="J18" s="953" t="n"/>
      <c r="K18" s="953" t="n"/>
      <c r="L18" s="953" t="n"/>
      <c r="M18" s="953" t="n"/>
      <c r="N18" s="953" t="n"/>
      <c r="O18" s="953" t="n"/>
      <c r="P18" s="953" t="n"/>
      <c r="Q18" s="953" t="n"/>
      <c r="R18" s="953" t="n"/>
      <c r="S18" s="965" t="n"/>
    </row>
    <row r="19" ht="30" customHeight="1">
      <c r="A19" t="inlineStr">
        <is>
          <t>IN-01</t>
        </is>
      </c>
      <c r="B19" t="inlineStr">
        <is>
          <t>Company Name</t>
        </is>
      </c>
      <c r="C19" t="inlineStr">
        <is>
          <t>What is the company / obligor name?</t>
        </is>
      </c>
      <c r="D19" s="854" t="inlineStr">
        <is>
          <t>Legal obligor name as it will appear in the portfolio</t>
        </is>
      </c>
      <c r="E19" t="inlineStr">
        <is>
          <t>Text</t>
        </is>
      </c>
      <c r="F19" t="inlineStr">
        <is>
          <t>Y</t>
        </is>
      </c>
      <c r="G19" s="854" t="inlineStr">
        <is>
          <t>Free text</t>
        </is>
      </c>
      <c r="H19" t="inlineStr">
        <is>
          <t>None</t>
        </is>
      </c>
      <c r="I19" s="854" t="inlineStr">
        <is>
          <t>Non-empty; no special chars that break formulas</t>
        </is>
      </c>
      <c r="J19" t="inlineStr">
        <is>
          <t>SM Support</t>
        </is>
      </c>
      <c r="K19" t="inlineStr">
        <is>
          <t>Col B (new row)</t>
        </is>
      </c>
      <c r="L19" t="inlineStr">
        <is>
          <t>Append</t>
        </is>
      </c>
      <c r="M19" t="inlineStr">
        <is>
          <t>N</t>
        </is>
      </c>
      <c r="N19" t="inlineStr">
        <is>
          <t>N</t>
        </is>
      </c>
      <c r="O19" t="inlineStr">
        <is>
          <t>N</t>
        </is>
      </c>
      <c r="P19" t="inlineStr">
        <is>
          <t>N</t>
        </is>
      </c>
      <c r="Q19" t="inlineStr">
        <is>
          <t>N</t>
        </is>
      </c>
      <c r="R19" t="inlineStr">
        <is>
          <t>N,A,R,M</t>
        </is>
      </c>
      <c r="S19" s="854" t="inlineStr">
        <is>
          <t>Also written to Loan Tape Col G, Deal Team Input B7. Must match exactly across all 3 tabs.</t>
        </is>
      </c>
    </row>
    <row r="20" ht="30" customHeight="1">
      <c r="A20" t="inlineStr">
        <is>
          <t>IN-02</t>
        </is>
      </c>
      <c r="B20" t="inlineStr">
        <is>
          <t>Security Description</t>
        </is>
      </c>
      <c r="C20" t="inlineStr">
        <is>
          <t>What is the security name?</t>
        </is>
      </c>
      <c r="D20" s="854" t="inlineStr">
        <is>
          <t>Security description (e.g., 'Term Loan', 'Revolver')</t>
        </is>
      </c>
      <c r="E20" t="inlineStr">
        <is>
          <t>Text</t>
        </is>
      </c>
      <c r="F20" t="inlineStr">
        <is>
          <t>Y</t>
        </is>
      </c>
      <c r="G20" s="854" t="inlineStr">
        <is>
          <t>Free text</t>
        </is>
      </c>
      <c r="H20" t="inlineStr">
        <is>
          <t>None</t>
        </is>
      </c>
      <c r="I20" s="854" t="inlineStr">
        <is>
          <t>Non-empty</t>
        </is>
      </c>
      <c r="J20" t="inlineStr">
        <is>
          <t>SM Support</t>
        </is>
      </c>
      <c r="K20" t="inlineStr">
        <is>
          <t>Col C (new row)</t>
        </is>
      </c>
      <c r="L20" t="inlineStr">
        <is>
          <t>Append</t>
        </is>
      </c>
      <c r="M20" t="inlineStr">
        <is>
          <t>N</t>
        </is>
      </c>
      <c r="N20" t="inlineStr">
        <is>
          <t>N</t>
        </is>
      </c>
      <c r="O20" t="inlineStr">
        <is>
          <t>N</t>
        </is>
      </c>
      <c r="P20" t="inlineStr">
        <is>
          <t>N</t>
        </is>
      </c>
      <c r="Q20" t="inlineStr">
        <is>
          <t>N</t>
        </is>
      </c>
      <c r="R20" t="inlineStr">
        <is>
          <t>N,A,R,M</t>
        </is>
      </c>
      <c r="S20" s="854" t="inlineStr">
        <is>
          <t>Also written to Loan Tape Col H, Deal Team Input B8.</t>
        </is>
      </c>
    </row>
    <row r="21" ht="30" customHeight="1">
      <c r="A21" t="inlineStr">
        <is>
          <t>IN-03</t>
        </is>
      </c>
      <c r="B21" t="inlineStr">
        <is>
          <t>Security Type</t>
        </is>
      </c>
      <c r="C21" t="inlineStr">
        <is>
          <t>What is the security type? (First Lien, Last Out, Second Lien)</t>
        </is>
      </c>
      <c r="D21" s="854" t="inlineStr">
        <is>
          <t>Determines advance rate bucket and eligibility test 1</t>
        </is>
      </c>
      <c r="E21" t="inlineStr">
        <is>
          <t>Picklist</t>
        </is>
      </c>
      <c r="F21" t="inlineStr">
        <is>
          <t>Y</t>
        </is>
      </c>
      <c r="G21" s="854" t="inlineStr">
        <is>
          <t>First Lien | Last Out | Second Lien | FILO | DDTL | Revolver</t>
        </is>
      </c>
      <c r="H21" t="inlineStr">
        <is>
          <t>First Lien</t>
        </is>
      </c>
      <c r="I21" s="854" t="inlineStr">
        <is>
          <t>Must be in picklist; AGENT!A4:A10</t>
        </is>
      </c>
      <c r="J21" t="inlineStr">
        <is>
          <t>Loan Tape - Settled</t>
        </is>
      </c>
      <c r="K21" t="inlineStr">
        <is>
          <t>Col K (new row)</t>
        </is>
      </c>
      <c r="L21" t="inlineStr">
        <is>
          <t>Append</t>
        </is>
      </c>
      <c r="M21" t="inlineStr">
        <is>
          <t>N</t>
        </is>
      </c>
      <c r="N21" t="inlineStr">
        <is>
          <t>N</t>
        </is>
      </c>
      <c r="O21" t="inlineStr">
        <is>
          <t>Y (Test 1)</t>
        </is>
      </c>
      <c r="P21" t="inlineStr">
        <is>
          <t>Y</t>
        </is>
      </c>
      <c r="Q21" t="inlineStr">
        <is>
          <t>Y</t>
        </is>
      </c>
      <c r="R21" t="inlineStr">
        <is>
          <t>N,A,M</t>
        </is>
      </c>
      <c r="S21" s="971" t="inlineStr">
        <is>
          <t>Exact tab name is Loan Tape - Settled. Column K is Security Type. Drives Test 1 and advance-rate bucket.</t>
        </is>
      </c>
    </row>
    <row r="22" ht="30" customHeight="1">
      <c r="A22" t="inlineStr">
        <is>
          <t>IN-04</t>
        </is>
      </c>
      <c r="B22" t="inlineStr">
        <is>
          <t>Loan Type</t>
        </is>
      </c>
      <c r="C22" t="inlineStr">
        <is>
          <t>Term Loan, Revolver, or DDTL?</t>
        </is>
      </c>
      <c r="D22" s="854" t="inlineStr">
        <is>
          <t>Loan structure classification</t>
        </is>
      </c>
      <c r="E22" t="inlineStr">
        <is>
          <t>Picklist</t>
        </is>
      </c>
      <c r="F22" t="inlineStr">
        <is>
          <t>Y</t>
        </is>
      </c>
      <c r="G22" s="854" t="inlineStr">
        <is>
          <t>Term Loan | Revolver | DDTL</t>
        </is>
      </c>
      <c r="H22" t="inlineStr">
        <is>
          <t>Term Loan</t>
        </is>
      </c>
      <c r="I22" s="854" t="inlineStr">
        <is>
          <t>Must be in picklist</t>
        </is>
      </c>
      <c r="J22" t="inlineStr">
        <is>
          <t>Loan Tape - Settled</t>
        </is>
      </c>
      <c r="K22" t="inlineStr">
        <is>
          <t>Col J (new row)</t>
        </is>
      </c>
      <c r="L22" t="inlineStr">
        <is>
          <t>Append</t>
        </is>
      </c>
      <c r="M22" t="inlineStr">
        <is>
          <t>Y</t>
        </is>
      </c>
      <c r="N22" t="inlineStr">
        <is>
          <t>N</t>
        </is>
      </c>
      <c r="O22" t="inlineStr">
        <is>
          <t>N</t>
        </is>
      </c>
      <c r="P22" t="inlineStr">
        <is>
          <t>Y (DDTL/Rev limit)</t>
        </is>
      </c>
      <c r="Q22" t="inlineStr">
        <is>
          <t>N</t>
        </is>
      </c>
      <c r="R22" t="inlineStr">
        <is>
          <t>N,A,M</t>
        </is>
      </c>
      <c r="S22" s="854" t="inlineStr">
        <is>
          <t>Exact tab name is Loan Tape - Settled. Column J is Loan Type. AI may infer from Security Type when consistent.</t>
        </is>
      </c>
    </row>
    <row r="23" ht="30" customHeight="1">
      <c r="A23" t="inlineStr">
        <is>
          <t>IN-05</t>
        </is>
      </c>
      <c r="B23" t="inlineStr">
        <is>
          <t>Industry Classification</t>
        </is>
      </c>
      <c r="C23" t="inlineStr">
        <is>
          <t>What is the S&amp;P industry classification?</t>
        </is>
      </c>
      <c r="D23" s="854" t="inlineStr">
        <is>
          <t>Must match approved taxonomy exactly — drives industry concentration</t>
        </is>
      </c>
      <c r="E23" t="inlineStr">
        <is>
          <t>Picklist</t>
        </is>
      </c>
      <c r="F23" t="inlineStr">
        <is>
          <t>Y</t>
        </is>
      </c>
      <c r="G23" s="854" t="inlineStr">
        <is>
          <t>See 'Concentration Limits'!E81:E153 (73 industries)</t>
        </is>
      </c>
      <c r="H23" t="inlineStr">
        <is>
          <t>None</t>
        </is>
      </c>
      <c r="I23" s="854" t="inlineStr">
        <is>
          <t>EXACT match to CL!E81:E153; case-sensitive</t>
        </is>
      </c>
      <c r="J23" t="inlineStr">
        <is>
          <t>Loan Tape - Settled</t>
        </is>
      </c>
      <c r="K23" t="inlineStr">
        <is>
          <t>Col X (new row)</t>
        </is>
      </c>
      <c r="L23" t="inlineStr">
        <is>
          <t>Append</t>
        </is>
      </c>
      <c r="M23" t="inlineStr">
        <is>
          <t>N</t>
        </is>
      </c>
      <c r="N23" t="inlineStr">
        <is>
          <t>Y if ambiguous</t>
        </is>
      </c>
      <c r="O23" t="inlineStr">
        <is>
          <t>N</t>
        </is>
      </c>
      <c r="P23" t="inlineStr">
        <is>
          <t>Y (Industry limits)</t>
        </is>
      </c>
      <c r="Q23" t="inlineStr">
        <is>
          <t>Y</t>
        </is>
      </c>
      <c r="R23" t="inlineStr">
        <is>
          <t>N,A,M</t>
        </is>
      </c>
      <c r="S23" s="854" t="inlineStr">
        <is>
          <t>#N/A cascades to availability if mismatch. Escalate if user gives non-standard name.</t>
        </is>
      </c>
    </row>
    <row r="24" ht="30" customHeight="1">
      <c r="A24" t="inlineStr">
        <is>
          <t>IN-06</t>
        </is>
      </c>
      <c r="B24" t="inlineStr">
        <is>
          <t>Run Type</t>
        </is>
      </c>
      <c r="C24" t="inlineStr">
        <is>
          <t>Is this a New Origination, Add-On, Repayment, or Amendment?</t>
        </is>
      </c>
      <c r="D24" s="854" t="inlineStr">
        <is>
          <t>Controls which fields are required and write behavior</t>
        </is>
      </c>
      <c r="E24" t="inlineStr">
        <is>
          <t>Picklist</t>
        </is>
      </c>
      <c r="F24" t="inlineStr">
        <is>
          <t>Y</t>
        </is>
      </c>
      <c r="G24" s="854" t="inlineStr">
        <is>
          <t>N (New) | A (Add-On) | R (Repayment) | M (Amendment)</t>
        </is>
      </c>
      <c r="H24" t="inlineStr">
        <is>
          <t>N</t>
        </is>
      </c>
      <c r="I24" s="854" t="inlineStr">
        <is>
          <t>Must be in picklist</t>
        </is>
      </c>
      <c r="J24" t="inlineStr">
        <is>
          <t>No write</t>
        </is>
      </c>
      <c r="K24" t="inlineStr">
        <is>
          <t>N/A</t>
        </is>
      </c>
      <c r="L24" t="inlineStr">
        <is>
          <t>No-write</t>
        </is>
      </c>
      <c r="M24" t="inlineStr">
        <is>
          <t>Y</t>
        </is>
      </c>
      <c r="N24" t="inlineStr">
        <is>
          <t>Y if R or M</t>
        </is>
      </c>
      <c r="O24" t="inlineStr">
        <is>
          <t>N</t>
        </is>
      </c>
      <c r="P24" t="inlineStr">
        <is>
          <t>N</t>
        </is>
      </c>
      <c r="Q24" t="inlineStr">
        <is>
          <t>N</t>
        </is>
      </c>
      <c r="R24" t="inlineStr">
        <is>
          <t>N,A,R,M</t>
        </is>
      </c>
      <c r="S24" s="854" t="inlineStr">
        <is>
          <t>Controls entire workflow logic. Repayment reverses; Amendment modifies existing row.</t>
        </is>
      </c>
    </row>
    <row r="25" ht="30" customHeight="1">
      <c r="A25" t="inlineStr">
        <is>
          <t>IN-07</t>
        </is>
      </c>
      <c r="B25" t="inlineStr">
        <is>
          <t>Sponsor / Ownership</t>
        </is>
      </c>
      <c r="C25" t="inlineStr">
        <is>
          <t>Is this a sponsor-backed or family office deal?</t>
        </is>
      </c>
      <c r="D25" s="854" t="inlineStr">
        <is>
          <t>Affects Non-Sponsor concentration limit (CL row 69)</t>
        </is>
      </c>
      <c r="E25" t="inlineStr">
        <is>
          <t>Picklist</t>
        </is>
      </c>
      <c r="F25" t="inlineStr">
        <is>
          <t>N</t>
        </is>
      </c>
      <c r="G25" s="854" t="inlineStr">
        <is>
          <t>Sponsor | Family Office | Non-Sponsor</t>
        </is>
      </c>
      <c r="H25" t="inlineStr">
        <is>
          <t>Sponsor</t>
        </is>
      </c>
      <c r="I25" s="854" t="inlineStr">
        <is>
          <t>Must be in picklist</t>
        </is>
      </c>
      <c r="J25" t="inlineStr">
        <is>
          <t>No write</t>
        </is>
      </c>
      <c r="K25" t="inlineStr">
        <is>
          <t>N/A (used for CL check)</t>
        </is>
      </c>
      <c r="L25" t="inlineStr">
        <is>
          <t>No-write</t>
        </is>
      </c>
      <c r="M25" t="inlineStr">
        <is>
          <t>Y</t>
        </is>
      </c>
      <c r="N25" t="inlineStr">
        <is>
          <t>N</t>
        </is>
      </c>
      <c r="O25" t="inlineStr">
        <is>
          <t>N</t>
        </is>
      </c>
      <c r="P25" t="inlineStr">
        <is>
          <t>Y (9a/9b limits)</t>
        </is>
      </c>
      <c r="Q25" t="inlineStr">
        <is>
          <t>Y</t>
        </is>
      </c>
      <c r="R25" t="inlineStr">
        <is>
          <t>N,A</t>
        </is>
      </c>
      <c r="S25" s="854" t="inlineStr">
        <is>
          <t>If Non-Sponsor, CL rows 69-70 apply. AI may infer from deal context.</t>
        </is>
      </c>
    </row>
    <row r="26">
      <c r="A26" s="952" t="inlineStr">
        <is>
          <t>—</t>
        </is>
      </c>
      <c r="B26" s="952" t="inlineStr">
        <is>
          <t>FINANCIAL METRICS (SM Support)</t>
        </is>
      </c>
      <c r="C26" s="953" t="n"/>
      <c r="D26" s="965" t="n"/>
      <c r="E26" s="953" t="n"/>
      <c r="F26" s="953" t="n"/>
      <c r="G26" s="965" t="n"/>
      <c r="H26" s="953" t="n"/>
      <c r="I26" s="965" t="n"/>
      <c r="J26" s="953" t="n"/>
      <c r="K26" s="953" t="n"/>
      <c r="L26" s="953" t="n"/>
      <c r="M26" s="953" t="n"/>
      <c r="N26" s="953" t="n"/>
      <c r="O26" s="953" t="n"/>
      <c r="P26" s="953" t="n"/>
      <c r="Q26" s="953" t="n"/>
      <c r="R26" s="953" t="n"/>
      <c r="S26" s="965" t="n"/>
    </row>
    <row r="27" ht="30" customHeight="1">
      <c r="A27" t="inlineStr">
        <is>
          <t>IN-08</t>
        </is>
      </c>
      <c r="B27" t="inlineStr">
        <is>
          <t>LTM Revenue</t>
        </is>
      </c>
      <c r="C27" t="inlineStr">
        <is>
          <t>What is the company's LTM Revenue? ($)</t>
        </is>
      </c>
      <c r="D27" s="854" t="inlineStr">
        <is>
          <t>Last twelve months revenue in dollars</t>
        </is>
      </c>
      <c r="E27" t="inlineStr">
        <is>
          <t>Currency</t>
        </is>
      </c>
      <c r="F27" t="inlineStr">
        <is>
          <t>Y</t>
        </is>
      </c>
      <c r="G27" s="854" t="inlineStr">
        <is>
          <t>&gt; 0</t>
        </is>
      </c>
      <c r="H27" t="inlineStr">
        <is>
          <t>None</t>
        </is>
      </c>
      <c r="I27" s="854" t="inlineStr">
        <is>
          <t>Positive number; &gt; $1M typically</t>
        </is>
      </c>
      <c r="J27" t="inlineStr">
        <is>
          <t>SM Support</t>
        </is>
      </c>
      <c r="K27" t="inlineStr">
        <is>
          <t>Col F (new row)</t>
        </is>
      </c>
      <c r="L27" t="inlineStr">
        <is>
          <t>Append</t>
        </is>
      </c>
      <c r="M27" t="inlineStr">
        <is>
          <t>N</t>
        </is>
      </c>
      <c r="N27" t="inlineStr">
        <is>
          <t>N</t>
        </is>
      </c>
      <c r="O27" t="inlineStr">
        <is>
          <t>N</t>
        </is>
      </c>
      <c r="P27" t="inlineStr">
        <is>
          <t>N</t>
        </is>
      </c>
      <c r="Q27" t="inlineStr">
        <is>
          <t>N</t>
        </is>
      </c>
      <c r="R27" t="inlineStr">
        <is>
          <t>N,A</t>
        </is>
      </c>
      <c r="S27" s="854" t="inlineStr">
        <is>
          <t>Written to Deal Team Input B14. Feeds Loan Tape AV via INDEX/MATCH (scaled to $MM).</t>
        </is>
      </c>
    </row>
    <row r="28" ht="45" customHeight="1">
      <c r="A28" t="inlineStr">
        <is>
          <t>IN-09</t>
        </is>
      </c>
      <c r="B28" t="inlineStr">
        <is>
          <t>LTM Adj. EBITDA</t>
        </is>
      </c>
      <c r="C28" t="inlineStr">
        <is>
          <t>What is the company's LTM Adjusted EBITDA? ($)</t>
        </is>
      </c>
      <c r="D28" s="854" t="inlineStr">
        <is>
          <t>Last twelve months adjusted EBITDA in dollars — core to leverage calc</t>
        </is>
      </c>
      <c r="E28" t="inlineStr">
        <is>
          <t>Currency</t>
        </is>
      </c>
      <c r="F28" t="inlineStr">
        <is>
          <t>Y</t>
        </is>
      </c>
      <c r="G28" s="854" t="inlineStr">
        <is>
          <t>&gt; 0</t>
        </is>
      </c>
      <c r="H28" t="inlineStr">
        <is>
          <t>None</t>
        </is>
      </c>
      <c r="I28" s="854" t="inlineStr">
        <is>
          <t>Positive number; used in leverage; EBITDA test (Test 3) for 2L requires &gt;= $10MM</t>
        </is>
      </c>
      <c r="J28" t="inlineStr">
        <is>
          <t>SM Support</t>
        </is>
      </c>
      <c r="K28" t="inlineStr">
        <is>
          <t>Col G (new row)</t>
        </is>
      </c>
      <c r="L28" t="inlineStr">
        <is>
          <t>Append</t>
        </is>
      </c>
      <c r="M28" t="inlineStr">
        <is>
          <t>N</t>
        </is>
      </c>
      <c r="N28" t="inlineStr">
        <is>
          <t>N</t>
        </is>
      </c>
      <c r="O28" t="inlineStr">
        <is>
          <t>Y (Test 3 if 2L)</t>
        </is>
      </c>
      <c r="P28" t="inlineStr">
        <is>
          <t>N</t>
        </is>
      </c>
      <c r="Q28" t="inlineStr">
        <is>
          <t>Y</t>
        </is>
      </c>
      <c r="R28" t="inlineStr">
        <is>
          <t>N,A</t>
        </is>
      </c>
      <c r="S28" s="854" t="inlineStr">
        <is>
          <t>Written to Deal Team Input B15. For 2L: must be &gt;= $10MM per AGENT!B4.</t>
        </is>
      </c>
    </row>
    <row r="29" ht="30" customHeight="1">
      <c r="A29" t="inlineStr">
        <is>
          <t>IN-10</t>
        </is>
      </c>
      <c r="B29" t="inlineStr">
        <is>
          <t>Drawn Revolver</t>
        </is>
      </c>
      <c r="C29" t="inlineStr">
        <is>
          <t>What is the drawn revolver balance? ($, enter 0 if none)</t>
        </is>
      </c>
      <c r="D29" s="854" t="inlineStr">
        <is>
          <t>Outstanding revolver amount at close — feeds leverage numerator</t>
        </is>
      </c>
      <c r="E29" t="inlineStr">
        <is>
          <t>Currency</t>
        </is>
      </c>
      <c r="F29" t="inlineStr">
        <is>
          <t>Y</t>
        </is>
      </c>
      <c r="G29" s="854" t="inlineStr">
        <is>
          <t>&gt;= 0</t>
        </is>
      </c>
      <c r="H29" t="n">
        <v>0</v>
      </c>
      <c r="I29" s="854" t="inlineStr">
        <is>
          <t>&gt;= 0</t>
        </is>
      </c>
      <c r="J29" t="inlineStr">
        <is>
          <t>SM Support</t>
        </is>
      </c>
      <c r="K29" t="inlineStr">
        <is>
          <t>Col H (new row)</t>
        </is>
      </c>
      <c r="L29" t="inlineStr">
        <is>
          <t>Append</t>
        </is>
      </c>
      <c r="M29" t="inlineStr">
        <is>
          <t>N</t>
        </is>
      </c>
      <c r="N29" t="inlineStr">
        <is>
          <t>N</t>
        </is>
      </c>
      <c r="O29" t="inlineStr">
        <is>
          <t>N</t>
        </is>
      </c>
      <c r="P29" t="inlineStr">
        <is>
          <t>N</t>
        </is>
      </c>
      <c r="Q29" t="inlineStr">
        <is>
          <t>Y</t>
        </is>
      </c>
      <c r="R29" t="inlineStr">
        <is>
          <t>N,A</t>
        </is>
      </c>
      <c r="S29" s="854" t="inlineStr">
        <is>
          <t>Written to Deal Team Input B16.</t>
        </is>
      </c>
    </row>
    <row r="30" ht="30" customHeight="1">
      <c r="A30" t="inlineStr">
        <is>
          <t>IN-11</t>
        </is>
      </c>
      <c r="B30" t="inlineStr">
        <is>
          <t>First Out Balance</t>
        </is>
      </c>
      <c r="C30" t="inlineStr">
        <is>
          <t>What is the drawn first out balance? ($, enter 0 if none)</t>
        </is>
      </c>
      <c r="D30" s="854" t="inlineStr">
        <is>
          <t>Senior tranche ahead of BDC position</t>
        </is>
      </c>
      <c r="E30" t="inlineStr">
        <is>
          <t>Currency</t>
        </is>
      </c>
      <c r="F30" t="inlineStr">
        <is>
          <t>Y</t>
        </is>
      </c>
      <c r="G30" s="854" t="inlineStr">
        <is>
          <t>&gt;= 0</t>
        </is>
      </c>
      <c r="H30" t="n">
        <v>0</v>
      </c>
      <c r="I30" s="854" t="inlineStr">
        <is>
          <t>&gt;= 0; contributes to attach point</t>
        </is>
      </c>
      <c r="J30" t="inlineStr">
        <is>
          <t>SM Support</t>
        </is>
      </c>
      <c r="K30" t="inlineStr">
        <is>
          <t>Col I (new row)</t>
        </is>
      </c>
      <c r="L30" t="inlineStr">
        <is>
          <t>Append</t>
        </is>
      </c>
      <c r="M30" t="inlineStr">
        <is>
          <t>N</t>
        </is>
      </c>
      <c r="N30" t="inlineStr">
        <is>
          <t>N</t>
        </is>
      </c>
      <c r="O30" t="inlineStr">
        <is>
          <t>N</t>
        </is>
      </c>
      <c r="P30" t="inlineStr">
        <is>
          <t>N</t>
        </is>
      </c>
      <c r="Q30" t="inlineStr">
        <is>
          <t>Y</t>
        </is>
      </c>
      <c r="R30" t="inlineStr">
        <is>
          <t>N,A</t>
        </is>
      </c>
      <c r="S30" s="854" t="inlineStr">
        <is>
          <t>Written to Deal Team Input B17. Affects FILO advance rate bucket.</t>
        </is>
      </c>
    </row>
    <row r="31" ht="30" customHeight="1">
      <c r="A31" t="inlineStr">
        <is>
          <t>IN-12</t>
        </is>
      </c>
      <c r="B31" t="inlineStr">
        <is>
          <t>Pari Passu</t>
        </is>
      </c>
      <c r="C31" t="inlineStr">
        <is>
          <t>What is the pari passu balance? ($)</t>
        </is>
      </c>
      <c r="D31" s="854" t="inlineStr">
        <is>
          <t>Debt ranking equally with BDC position</t>
        </is>
      </c>
      <c r="E31" t="inlineStr">
        <is>
          <t>Currency</t>
        </is>
      </c>
      <c r="F31" t="inlineStr">
        <is>
          <t>Y</t>
        </is>
      </c>
      <c r="G31" s="854" t="inlineStr">
        <is>
          <t>&gt;= 0</t>
        </is>
      </c>
      <c r="H31" t="n">
        <v>0</v>
      </c>
      <c r="I31" s="854" t="inlineStr">
        <is>
          <t>&gt;= 0</t>
        </is>
      </c>
      <c r="J31" t="inlineStr">
        <is>
          <t>SM Support</t>
        </is>
      </c>
      <c r="K31" t="inlineStr">
        <is>
          <t>Col J (new row)</t>
        </is>
      </c>
      <c r="L31" t="inlineStr">
        <is>
          <t>Append</t>
        </is>
      </c>
      <c r="M31" t="inlineStr">
        <is>
          <t>N</t>
        </is>
      </c>
      <c r="N31" t="inlineStr">
        <is>
          <t>N</t>
        </is>
      </c>
      <c r="O31" t="inlineStr">
        <is>
          <t>N</t>
        </is>
      </c>
      <c r="P31" t="inlineStr">
        <is>
          <t>N</t>
        </is>
      </c>
      <c r="Q31" t="inlineStr">
        <is>
          <t>Y</t>
        </is>
      </c>
      <c r="R31" t="inlineStr">
        <is>
          <t>N,A</t>
        </is>
      </c>
      <c r="S31" s="854" t="inlineStr">
        <is>
          <t>Written to Deal Team Input B18. Contributes to leverage/detachment.</t>
        </is>
      </c>
    </row>
    <row r="32" ht="45" customHeight="1">
      <c r="A32" t="inlineStr">
        <is>
          <t>IN-13</t>
        </is>
      </c>
      <c r="B32" t="inlineStr">
        <is>
          <t>BDC Balance</t>
        </is>
      </c>
      <c r="C32" t="inlineStr">
        <is>
          <t>What is the BDC’s investment amount? ($) — THIS is the hold size.</t>
        </is>
      </c>
      <c r="D32" s="854" t="inlineStr">
        <is>
          <t>BDC-specific debt balance. CRITICAL: this is NOT total SM balance.</t>
        </is>
      </c>
      <c r="E32" t="inlineStr">
        <is>
          <t>Currency</t>
        </is>
      </c>
      <c r="F32" t="inlineStr">
        <is>
          <t>Y</t>
        </is>
      </c>
      <c r="G32" s="854" t="inlineStr">
        <is>
          <t>&gt; 0</t>
        </is>
      </c>
      <c r="H32" t="inlineStr">
        <is>
          <t>None</t>
        </is>
      </c>
      <c r="I32" s="854" t="inlineStr">
        <is>
          <t>Positive; &lt;= Total SM Balance</t>
        </is>
      </c>
      <c r="J32" t="inlineStr">
        <is>
          <t>SM Support</t>
        </is>
      </c>
      <c r="K32" t="inlineStr">
        <is>
          <t>Col D AND Col E (new row)</t>
        </is>
      </c>
      <c r="L32" t="inlineStr">
        <is>
          <t>Append</t>
        </is>
      </c>
      <c r="M32" t="inlineStr">
        <is>
          <t>N</t>
        </is>
      </c>
      <c r="N32" t="inlineStr">
        <is>
          <t>N</t>
        </is>
      </c>
      <c r="O32" t="inlineStr">
        <is>
          <t>N</t>
        </is>
      </c>
      <c r="P32" t="inlineStr">
        <is>
          <t>Y</t>
        </is>
      </c>
      <c r="Q32" t="inlineStr">
        <is>
          <t>Y</t>
        </is>
      </c>
      <c r="R32" t="inlineStr">
        <is>
          <t>N,A,R</t>
        </is>
      </c>
      <c r="S32" s="854" t="inlineStr">
        <is>
          <t>KEY: D=E for par. Also written to Loan Tape Col S (FMV). Deal Team Input B19. If S=0, zero contribution.</t>
        </is>
      </c>
    </row>
    <row r="33" ht="30" customHeight="1">
      <c r="A33" t="inlineStr">
        <is>
          <t>IN-14</t>
        </is>
      </c>
      <c r="B33" t="inlineStr">
        <is>
          <t>Total SM Balance</t>
        </is>
      </c>
      <c r="C33" t="inlineStr">
        <is>
          <t>What is the total Star Mountain balance across all funds? ($)</t>
        </is>
      </c>
      <c r="D33" s="854" t="inlineStr">
        <is>
          <t>Total SM exposure across all vehicles (can exceed BDC balance)</t>
        </is>
      </c>
      <c r="E33" t="inlineStr">
        <is>
          <t>Currency</t>
        </is>
      </c>
      <c r="F33" t="inlineStr">
        <is>
          <t>Y</t>
        </is>
      </c>
      <c r="G33" s="854" t="inlineStr">
        <is>
          <t>&gt; 0</t>
        </is>
      </c>
      <c r="H33" t="inlineStr">
        <is>
          <t>None</t>
        </is>
      </c>
      <c r="I33" s="854" t="inlineStr">
        <is>
          <t>Positive; &gt;= BDC Balance</t>
        </is>
      </c>
      <c r="J33" t="inlineStr">
        <is>
          <t>SM Support</t>
        </is>
      </c>
      <c r="K33" t="inlineStr">
        <is>
          <t>Col K (new row)</t>
        </is>
      </c>
      <c r="L33" t="inlineStr">
        <is>
          <t>Append</t>
        </is>
      </c>
      <c r="M33" t="inlineStr">
        <is>
          <t>N</t>
        </is>
      </c>
      <c r="N33" t="inlineStr">
        <is>
          <t>N</t>
        </is>
      </c>
      <c r="O33" t="inlineStr">
        <is>
          <t>N</t>
        </is>
      </c>
      <c r="P33" t="inlineStr">
        <is>
          <t>N</t>
        </is>
      </c>
      <c r="Q33" t="inlineStr">
        <is>
          <t>N</t>
        </is>
      </c>
      <c r="R33" t="inlineStr">
        <is>
          <t>N,A</t>
        </is>
      </c>
      <c r="S33" s="854" t="inlineStr">
        <is>
          <t>Written to Deal Team Input B20. Drives detachment/attachment calculations.</t>
        </is>
      </c>
    </row>
    <row r="34">
      <c r="A34" t="inlineStr">
        <is>
          <t>IN-15</t>
        </is>
      </c>
      <c r="B34" t="inlineStr">
        <is>
          <t>Cash Balance</t>
        </is>
      </c>
      <c r="C34" t="inlineStr">
        <is>
          <t>What is the company's cash balance at close? ($, enter 0 if none)</t>
        </is>
      </c>
      <c r="D34" s="854" t="inlineStr">
        <is>
          <t>Used in net leverage calculation</t>
        </is>
      </c>
      <c r="E34" t="inlineStr">
        <is>
          <t>Currency</t>
        </is>
      </c>
      <c r="F34" t="inlineStr">
        <is>
          <t>Y</t>
        </is>
      </c>
      <c r="G34" s="854" t="inlineStr">
        <is>
          <t>&gt;= 0</t>
        </is>
      </c>
      <c r="H34" t="n">
        <v>0</v>
      </c>
      <c r="I34" s="854" t="inlineStr">
        <is>
          <t>&gt;= 0</t>
        </is>
      </c>
      <c r="J34" t="inlineStr">
        <is>
          <t>SM Support</t>
        </is>
      </c>
      <c r="K34" t="inlineStr">
        <is>
          <t>Col L (new row)</t>
        </is>
      </c>
      <c r="L34" t="inlineStr">
        <is>
          <t>Append</t>
        </is>
      </c>
      <c r="M34" t="inlineStr">
        <is>
          <t>N</t>
        </is>
      </c>
      <c r="N34" t="inlineStr">
        <is>
          <t>N</t>
        </is>
      </c>
      <c r="O34" t="inlineStr">
        <is>
          <t>N</t>
        </is>
      </c>
      <c r="P34" t="inlineStr">
        <is>
          <t>N</t>
        </is>
      </c>
      <c r="Q34" t="inlineStr">
        <is>
          <t>Y</t>
        </is>
      </c>
      <c r="R34" t="inlineStr">
        <is>
          <t>N,A</t>
        </is>
      </c>
      <c r="S34" s="854" t="inlineStr">
        <is>
          <t>Written to Deal Team Input B21.</t>
        </is>
      </c>
    </row>
    <row r="35">
      <c r="A35" t="inlineStr">
        <is>
          <t>IN-16</t>
        </is>
      </c>
      <c r="B35" t="inlineStr">
        <is>
          <t>Interest Coverage</t>
        </is>
      </c>
      <c r="C35" t="inlineStr">
        <is>
          <t>What is the current interest coverage ratio?</t>
        </is>
      </c>
      <c r="D35" s="854" t="inlineStr">
        <is>
          <t>Interest coverage ratio (e.g., 2.9 for 2.9x)</t>
        </is>
      </c>
      <c r="E35" t="inlineStr">
        <is>
          <t>Number</t>
        </is>
      </c>
      <c r="F35" t="inlineStr">
        <is>
          <t>N</t>
        </is>
      </c>
      <c r="G35" s="854" t="inlineStr">
        <is>
          <t>&gt; 0</t>
        </is>
      </c>
      <c r="H35" t="inlineStr">
        <is>
          <t>None</t>
        </is>
      </c>
      <c r="I35" s="854" t="inlineStr">
        <is>
          <t>&gt; 0 if provided</t>
        </is>
      </c>
      <c r="J35" t="inlineStr">
        <is>
          <t>SM Support</t>
        </is>
      </c>
      <c r="K35" t="inlineStr">
        <is>
          <t>Col O (new row)</t>
        </is>
      </c>
      <c r="L35" t="inlineStr">
        <is>
          <t>Append</t>
        </is>
      </c>
      <c r="M35" t="inlineStr">
        <is>
          <t>Y</t>
        </is>
      </c>
      <c r="N35" t="inlineStr">
        <is>
          <t>N</t>
        </is>
      </c>
      <c r="O35" t="inlineStr">
        <is>
          <t>N</t>
        </is>
      </c>
      <c r="P35" t="inlineStr">
        <is>
          <t>N</t>
        </is>
      </c>
      <c r="Q35" t="inlineStr">
        <is>
          <t>N</t>
        </is>
      </c>
      <c r="R35" t="inlineStr">
        <is>
          <t>N,A</t>
        </is>
      </c>
      <c r="S35" s="854" t="inlineStr">
        <is>
          <t>Written to Deal Team Input B22.</t>
        </is>
      </c>
    </row>
    <row r="36">
      <c r="A36" s="952" t="inlineStr">
        <is>
          <t>—</t>
        </is>
      </c>
      <c r="B36" s="952" t="inlineStr">
        <is>
          <t>LOAN TERMS (Loan Tape)</t>
        </is>
      </c>
      <c r="C36" s="953" t="n"/>
      <c r="D36" s="965" t="n"/>
      <c r="E36" s="953" t="n"/>
      <c r="F36" s="953" t="n"/>
      <c r="G36" s="965" t="n"/>
      <c r="H36" s="953" t="n"/>
      <c r="I36" s="965" t="n"/>
      <c r="J36" s="953" t="n"/>
      <c r="K36" s="953" t="n"/>
      <c r="L36" s="953" t="n"/>
      <c r="M36" s="953" t="n"/>
      <c r="N36" s="953" t="n"/>
      <c r="O36" s="953" t="n"/>
      <c r="P36" s="953" t="n"/>
      <c r="Q36" s="953" t="n"/>
      <c r="R36" s="953" t="n"/>
      <c r="S36" s="965" t="n"/>
    </row>
    <row r="37" ht="30" customHeight="1">
      <c r="A37" t="inlineStr">
        <is>
          <t>IN-17</t>
        </is>
      </c>
      <c r="B37" t="inlineStr">
        <is>
          <t>Loan Denomination</t>
        </is>
      </c>
      <c r="C37" t="inlineStr">
        <is>
          <t>What currency is the loan denominated in?</t>
        </is>
      </c>
      <c r="D37" s="854" t="inlineStr">
        <is>
          <t>Loan currency — drives eligibility test 6</t>
        </is>
      </c>
      <c r="E37" t="inlineStr">
        <is>
          <t>Picklist</t>
        </is>
      </c>
      <c r="F37" t="inlineStr">
        <is>
          <t>Y</t>
        </is>
      </c>
      <c r="G37" s="854" t="inlineStr">
        <is>
          <t>USD | CAD</t>
        </is>
      </c>
      <c r="H37" t="inlineStr">
        <is>
          <t>USD</t>
        </is>
      </c>
      <c r="I37" s="854" t="inlineStr">
        <is>
          <t>Must be USD or CAD; USD required for eligibility</t>
        </is>
      </c>
      <c r="J37" t="inlineStr">
        <is>
          <t>Loan Tape - Settled</t>
        </is>
      </c>
      <c r="K37" t="inlineStr">
        <is>
          <t>Col L (new row)</t>
        </is>
      </c>
      <c r="L37" t="inlineStr">
        <is>
          <t>Append</t>
        </is>
      </c>
      <c r="M37" t="inlineStr">
        <is>
          <t>Y</t>
        </is>
      </c>
      <c r="N37" t="inlineStr">
        <is>
          <t>N</t>
        </is>
      </c>
      <c r="O37" t="inlineStr">
        <is>
          <t>Y (Test 6)</t>
        </is>
      </c>
      <c r="P37" t="inlineStr">
        <is>
          <t>N</t>
        </is>
      </c>
      <c r="Q37" t="inlineStr">
        <is>
          <t>Y</t>
        </is>
      </c>
      <c r="R37" t="inlineStr">
        <is>
          <t>N,A,M</t>
        </is>
      </c>
      <c r="S37" s="854" t="inlineStr">
        <is>
          <t>Default USD. Non-USD = ineligible per AGENT criteria.</t>
        </is>
      </c>
    </row>
    <row r="38" ht="30" customHeight="1">
      <c r="A38" t="inlineStr">
        <is>
          <t>IN-18</t>
        </is>
      </c>
      <c r="B38" t="inlineStr">
        <is>
          <t>Purchase Price</t>
        </is>
      </c>
      <c r="C38" t="inlineStr">
        <is>
          <t>At what % of par was the loan acquired? (e.g., 1.00 = 100%)</t>
        </is>
      </c>
      <c r="D38" s="854" t="inlineStr">
        <is>
          <t>Acquisition price as decimal — drives eligibility test 5</t>
        </is>
      </c>
      <c r="E38" t="inlineStr">
        <is>
          <t>Decimal</t>
        </is>
      </c>
      <c r="F38" t="inlineStr">
        <is>
          <t>Y</t>
        </is>
      </c>
      <c r="G38" s="854" t="inlineStr">
        <is>
          <t>0.00 to 1.50</t>
        </is>
      </c>
      <c r="H38" t="n">
        <v>1</v>
      </c>
      <c r="I38" s="854" t="inlineStr">
        <is>
          <t>&gt;= 0.90 for eligibility (AGENT!E4); range 0.01-1.50</t>
        </is>
      </c>
      <c r="J38" t="inlineStr">
        <is>
          <t>Loan Tape - Settled</t>
        </is>
      </c>
      <c r="K38" t="inlineStr">
        <is>
          <t>Col Q (new row)</t>
        </is>
      </c>
      <c r="L38" t="inlineStr">
        <is>
          <t>Append</t>
        </is>
      </c>
      <c r="M38" t="inlineStr">
        <is>
          <t>N</t>
        </is>
      </c>
      <c r="N38" t="inlineStr">
        <is>
          <t>N</t>
        </is>
      </c>
      <c r="O38" t="inlineStr">
        <is>
          <t>Y (Test 5)</t>
        </is>
      </c>
      <c r="P38" t="inlineStr">
        <is>
          <t>N</t>
        </is>
      </c>
      <c r="Q38" t="inlineStr">
        <is>
          <t>Y</t>
        </is>
      </c>
      <c r="R38" t="inlineStr">
        <is>
          <t>N,A</t>
        </is>
      </c>
      <c r="S38" s="854" t="inlineStr">
        <is>
          <t>&lt; 0.92 fails eligibility. Written to Deal Team Input B29.</t>
        </is>
      </c>
    </row>
    <row r="39" ht="30" customHeight="1">
      <c r="A39" t="inlineStr">
        <is>
          <t>IN-19</t>
        </is>
      </c>
      <c r="B39" t="inlineStr">
        <is>
          <t>Country</t>
        </is>
      </c>
      <c r="C39" t="inlineStr">
        <is>
          <t>What country is the obligor domiciled in?</t>
        </is>
      </c>
      <c r="D39" s="854" t="inlineStr">
        <is>
          <t>Obligor domicile — drives eligibility test 7</t>
        </is>
      </c>
      <c r="E39" t="inlineStr">
        <is>
          <t>Picklist</t>
        </is>
      </c>
      <c r="F39" t="inlineStr">
        <is>
          <t>Y</t>
        </is>
      </c>
      <c r="G39" s="854" t="inlineStr">
        <is>
          <t>United States | Canada | Other</t>
        </is>
      </c>
      <c r="H39" t="inlineStr">
        <is>
          <t>United States</t>
        </is>
      </c>
      <c r="I39" s="854" t="inlineStr">
        <is>
          <t>Must be 'United States' for eligibility</t>
        </is>
      </c>
      <c r="J39" t="inlineStr">
        <is>
          <t>Loan Tape - Settled</t>
        </is>
      </c>
      <c r="K39" t="inlineStr">
        <is>
          <t>Col T (new row)</t>
        </is>
      </c>
      <c r="L39" t="inlineStr">
        <is>
          <t>Append</t>
        </is>
      </c>
      <c r="M39" t="inlineStr">
        <is>
          <t>Y</t>
        </is>
      </c>
      <c r="N39" t="inlineStr">
        <is>
          <t>N</t>
        </is>
      </c>
      <c r="O39" t="inlineStr">
        <is>
          <t>Y (Test 7)</t>
        </is>
      </c>
      <c r="P39" t="inlineStr">
        <is>
          <t>N</t>
        </is>
      </c>
      <c r="Q39" t="inlineStr">
        <is>
          <t>Y</t>
        </is>
      </c>
      <c r="R39" t="inlineStr">
        <is>
          <t>N,A,M</t>
        </is>
      </c>
      <c r="S39" s="854" t="inlineStr">
        <is>
          <t>Non-US = ineligible. Written to Deal Team Input B30.</t>
        </is>
      </c>
    </row>
    <row r="40" ht="45" customHeight="1">
      <c r="A40" t="inlineStr">
        <is>
          <t>IN-20</t>
        </is>
      </c>
      <c r="B40" t="inlineStr">
        <is>
          <t>Investment Date</t>
        </is>
      </c>
      <c r="C40" t="inlineStr">
        <is>
          <t>What is the investment / close date?</t>
        </is>
      </c>
      <c r="D40" s="854" t="inlineStr">
        <is>
          <t>Date the investment was made — CRITICAL: also sets Inclusion Date</t>
        </is>
      </c>
      <c r="E40" t="inlineStr">
        <is>
          <t>Date</t>
        </is>
      </c>
      <c r="F40" t="inlineStr">
        <is>
          <t>Y</t>
        </is>
      </c>
      <c r="G40" s="854" t="inlineStr">
        <is>
          <t>Valid date</t>
        </is>
      </c>
      <c r="H40" t="inlineStr">
        <is>
          <t>None</t>
        </is>
      </c>
      <c r="I40" s="854" t="inlineStr">
        <is>
          <t>Valid date; not in future by &gt;30 days; &lt;= Maturity Date</t>
        </is>
      </c>
      <c r="J40" t="inlineStr">
        <is>
          <t>Loan Tape - Settled</t>
        </is>
      </c>
      <c r="K40" t="inlineStr">
        <is>
          <t>Col U AND Col AO (new row)</t>
        </is>
      </c>
      <c r="L40" t="inlineStr">
        <is>
          <t>Append</t>
        </is>
      </c>
      <c r="M40" t="inlineStr">
        <is>
          <t>N</t>
        </is>
      </c>
      <c r="N40" t="inlineStr">
        <is>
          <t>N</t>
        </is>
      </c>
      <c r="O40" t="inlineStr">
        <is>
          <t>Y (Test 9 via AO)</t>
        </is>
      </c>
      <c r="P40" t="inlineStr">
        <is>
          <t>N</t>
        </is>
      </c>
      <c r="Q40" t="inlineStr">
        <is>
          <t>N</t>
        </is>
      </c>
      <c r="R40" t="inlineStr">
        <is>
          <t>N,A</t>
        </is>
      </c>
      <c r="S40" s="854" t="inlineStr">
        <is>
          <t>CRITICAL LESSON: AO (Inclusion Date) MUST = U (Investment Date) for pro forma. If AO ≠ U, maturity test fails.</t>
        </is>
      </c>
    </row>
    <row r="41" ht="30" customHeight="1">
      <c r="A41" t="inlineStr">
        <is>
          <t>IN-21</t>
        </is>
      </c>
      <c r="B41" t="inlineStr">
        <is>
          <t>Maturity Date</t>
        </is>
      </c>
      <c r="C41" t="inlineStr">
        <is>
          <t>What is the loan maturity date?</t>
        </is>
      </c>
      <c r="D41" s="854" t="inlineStr">
        <is>
          <t>Final maturity — drives eligibility test 9 (max 7yr original term from AGENT!F4)</t>
        </is>
      </c>
      <c r="E41" t="inlineStr">
        <is>
          <t>Date</t>
        </is>
      </c>
      <c r="F41" t="inlineStr">
        <is>
          <t>Y</t>
        </is>
      </c>
      <c r="G41" s="854" t="inlineStr">
        <is>
          <t>Valid date</t>
        </is>
      </c>
      <c r="H41" t="inlineStr">
        <is>
          <t>None</t>
        </is>
      </c>
      <c r="I41" s="854" t="inlineStr">
        <is>
          <t>Valid date; &gt; Investment Date; original term &lt;= 7 years</t>
        </is>
      </c>
      <c r="J41" t="inlineStr">
        <is>
          <t>Loan Tape - Settled</t>
        </is>
      </c>
      <c r="K41" t="inlineStr">
        <is>
          <t>Col V (new row)</t>
        </is>
      </c>
      <c r="L41" t="inlineStr">
        <is>
          <t>Append</t>
        </is>
      </c>
      <c r="M41" t="inlineStr">
        <is>
          <t>N</t>
        </is>
      </c>
      <c r="N41" t="inlineStr">
        <is>
          <t>N</t>
        </is>
      </c>
      <c r="O41" t="inlineStr">
        <is>
          <t>Y (Test 9)</t>
        </is>
      </c>
      <c r="P41" t="inlineStr">
        <is>
          <t>N</t>
        </is>
      </c>
      <c r="Q41" t="inlineStr">
        <is>
          <t>N</t>
        </is>
      </c>
      <c r="R41" t="inlineStr">
        <is>
          <t>N,A,M</t>
        </is>
      </c>
      <c r="S41" s="854" t="inlineStr">
        <is>
          <t>Max term = 7 years per AGENT!F4. Maturity - Inclusion Date checked.</t>
        </is>
      </c>
    </row>
    <row r="42" ht="30" customHeight="1">
      <c r="A42" t="inlineStr">
        <is>
          <t>IN-22</t>
        </is>
      </c>
      <c r="B42" t="inlineStr">
        <is>
          <t>Fixed / Floating</t>
        </is>
      </c>
      <c r="C42" t="inlineStr">
        <is>
          <t>Is the rate floating or fixed?</t>
        </is>
      </c>
      <c r="D42" s="854" t="inlineStr">
        <is>
          <t>Interest rate structure — affects fixed rate concentration limit</t>
        </is>
      </c>
      <c r="E42" t="inlineStr">
        <is>
          <t>Picklist</t>
        </is>
      </c>
      <c r="F42" t="inlineStr">
        <is>
          <t>Y</t>
        </is>
      </c>
      <c r="G42" s="854" t="inlineStr">
        <is>
          <t>Floating | Fixed</t>
        </is>
      </c>
      <c r="H42" t="inlineStr">
        <is>
          <t>Floating</t>
        </is>
      </c>
      <c r="I42" s="854" t="inlineStr">
        <is>
          <t>Must be Floating or Fixed</t>
        </is>
      </c>
      <c r="J42" t="inlineStr">
        <is>
          <t>Loan Tape - Settled</t>
        </is>
      </c>
      <c r="K42" t="inlineStr">
        <is>
          <t>Col W (new row)</t>
        </is>
      </c>
      <c r="L42" t="inlineStr">
        <is>
          <t>Append</t>
        </is>
      </c>
      <c r="M42" t="inlineStr">
        <is>
          <t>Y</t>
        </is>
      </c>
      <c r="N42" t="inlineStr">
        <is>
          <t>N</t>
        </is>
      </c>
      <c r="O42" t="inlineStr">
        <is>
          <t>N</t>
        </is>
      </c>
      <c r="P42" t="inlineStr">
        <is>
          <t>Y (Fixed rate limit)</t>
        </is>
      </c>
      <c r="Q42" t="inlineStr">
        <is>
          <t>Y</t>
        </is>
      </c>
      <c r="R42" t="inlineStr">
        <is>
          <t>N,A,M</t>
        </is>
      </c>
      <c r="S42" s="854" t="inlineStr">
        <is>
          <t>Fixed triggers CL row 64 (10% limit). Written to Deal Team Input B33.</t>
        </is>
      </c>
    </row>
    <row r="43" ht="30" customHeight="1">
      <c r="A43" t="inlineStr">
        <is>
          <t>IN-23</t>
        </is>
      </c>
      <c r="B43" t="inlineStr">
        <is>
          <t>Payment Frequency</t>
        </is>
      </c>
      <c r="C43" t="inlineStr">
        <is>
          <t>Monthly (M) or Quarterly (Q)?</t>
        </is>
      </c>
      <c r="D43" s="854" t="inlineStr">
        <is>
          <t>Interest payment frequency</t>
        </is>
      </c>
      <c r="E43" t="inlineStr">
        <is>
          <t>Picklist</t>
        </is>
      </c>
      <c r="F43" t="inlineStr">
        <is>
          <t>Y</t>
        </is>
      </c>
      <c r="G43" s="854" t="inlineStr">
        <is>
          <t>M | Q</t>
        </is>
      </c>
      <c r="H43" t="inlineStr">
        <is>
          <t>M</t>
        </is>
      </c>
      <c r="I43" s="854" t="inlineStr">
        <is>
          <t>Must be M or Q</t>
        </is>
      </c>
      <c r="J43" t="inlineStr">
        <is>
          <t>Loan Tape - Settled</t>
        </is>
      </c>
      <c r="K43" t="inlineStr">
        <is>
          <t>Col Y (new row)</t>
        </is>
      </c>
      <c r="L43" t="inlineStr">
        <is>
          <t>Append</t>
        </is>
      </c>
      <c r="M43" t="inlineStr">
        <is>
          <t>Y</t>
        </is>
      </c>
      <c r="N43" t="inlineStr">
        <is>
          <t>N</t>
        </is>
      </c>
      <c r="O43" t="inlineStr">
        <is>
          <t>N</t>
        </is>
      </c>
      <c r="P43" t="inlineStr">
        <is>
          <t>N</t>
        </is>
      </c>
      <c r="Q43" t="inlineStr">
        <is>
          <t>N</t>
        </is>
      </c>
      <c r="R43" t="inlineStr">
        <is>
          <t>N,A,M</t>
        </is>
      </c>
      <c r="S43" s="854" t="inlineStr">
        <is>
          <t>Written to Deal Team Input B35. Default M (Monthly).</t>
        </is>
      </c>
    </row>
    <row r="44" ht="30" customHeight="1">
      <c r="A44" t="inlineStr">
        <is>
          <t>IN-24</t>
        </is>
      </c>
      <c r="B44" t="inlineStr">
        <is>
          <t>PIK %</t>
        </is>
      </c>
      <c r="C44" t="inlineStr">
        <is>
          <t>What % of interest is PIK? (enter 0 if none)</t>
        </is>
      </c>
      <c r="D44" s="854" t="inlineStr">
        <is>
          <t>Payment-in-kind percentage — drives eligibility test 2</t>
        </is>
      </c>
      <c r="E44" t="inlineStr">
        <is>
          <t>Percent</t>
        </is>
      </c>
      <c r="F44" t="inlineStr">
        <is>
          <t>Y</t>
        </is>
      </c>
      <c r="G44" s="854" t="inlineStr">
        <is>
          <t>&gt;= 0</t>
        </is>
      </c>
      <c r="H44" t="n">
        <v>0</v>
      </c>
      <c r="I44" s="854" t="inlineStr">
        <is>
          <t>&gt;= 0; if &gt; 0, may trigger PIK ineligibility</t>
        </is>
      </c>
      <c r="J44" t="inlineStr">
        <is>
          <t>Loan Tape - Settled</t>
        </is>
      </c>
      <c r="K44" t="inlineStr">
        <is>
          <t>Col AD (new row)</t>
        </is>
      </c>
      <c r="L44" t="inlineStr">
        <is>
          <t>Append</t>
        </is>
      </c>
      <c r="M44" t="inlineStr">
        <is>
          <t>N</t>
        </is>
      </c>
      <c r="N44" t="inlineStr">
        <is>
          <t>Y if &gt; 0</t>
        </is>
      </c>
      <c r="O44" t="inlineStr">
        <is>
          <t>Y (Test 2)</t>
        </is>
      </c>
      <c r="P44" t="inlineStr">
        <is>
          <t>N</t>
        </is>
      </c>
      <c r="Q44" t="inlineStr">
        <is>
          <t>Y</t>
        </is>
      </c>
      <c r="R44" t="inlineStr">
        <is>
          <t>N,A,M</t>
        </is>
      </c>
      <c r="S44" s="854" t="inlineStr">
        <is>
          <t>PIK &gt; 0 may make loan ineligible (BZ/CA check). Written to Deal Team Input B36.</t>
        </is>
      </c>
    </row>
    <row r="45">
      <c r="A45" t="inlineStr">
        <is>
          <t>IN-25</t>
        </is>
      </c>
      <c r="B45" t="inlineStr">
        <is>
          <t>Spread</t>
        </is>
      </c>
      <c r="C45" t="inlineStr">
        <is>
          <t>What is the interest spread? (e.g., 0.0875 for 8.75%)</t>
        </is>
      </c>
      <c r="D45" s="854" t="inlineStr">
        <is>
          <t>Credit spread over SOFR</t>
        </is>
      </c>
      <c r="E45" t="inlineStr">
        <is>
          <t>Decimal</t>
        </is>
      </c>
      <c r="F45" t="inlineStr">
        <is>
          <t>Y</t>
        </is>
      </c>
      <c r="G45" s="854" t="inlineStr">
        <is>
          <t>0.00 to 0.30</t>
        </is>
      </c>
      <c r="H45" t="inlineStr">
        <is>
          <t>None</t>
        </is>
      </c>
      <c r="I45" s="854" t="inlineStr">
        <is>
          <t>&gt; 0; reasonable range 0.01-0.25</t>
        </is>
      </c>
      <c r="J45" t="inlineStr">
        <is>
          <t>Loan Tape - Settled</t>
        </is>
      </c>
      <c r="K45" t="inlineStr">
        <is>
          <t>Col AE (new row)</t>
        </is>
      </c>
      <c r="L45" t="inlineStr">
        <is>
          <t>Append</t>
        </is>
      </c>
      <c r="M45" t="inlineStr">
        <is>
          <t>N</t>
        </is>
      </c>
      <c r="N45" t="inlineStr">
        <is>
          <t>N</t>
        </is>
      </c>
      <c r="O45" t="inlineStr">
        <is>
          <t>N</t>
        </is>
      </c>
      <c r="P45" t="inlineStr">
        <is>
          <t>N</t>
        </is>
      </c>
      <c r="Q45" t="inlineStr">
        <is>
          <t>N</t>
        </is>
      </c>
      <c r="R45" t="inlineStr">
        <is>
          <t>N,A,M</t>
        </is>
      </c>
      <c r="S45" s="854" t="inlineStr">
        <is>
          <t>Written to Deal Team Input B37.</t>
        </is>
      </c>
    </row>
    <row r="46" ht="30" customHeight="1">
      <c r="A46" t="inlineStr">
        <is>
          <t>IN-26</t>
        </is>
      </c>
      <c r="B46" t="inlineStr">
        <is>
          <t>SOFR Floor</t>
        </is>
      </c>
      <c r="C46" t="inlineStr">
        <is>
          <t>What is the SOFR floor, if applicable? (e.g., 0.02 for 2%)</t>
        </is>
      </c>
      <c r="D46" s="854" t="inlineStr">
        <is>
          <t>Minimum base rate</t>
        </is>
      </c>
      <c r="E46" t="inlineStr">
        <is>
          <t>Decimal</t>
        </is>
      </c>
      <c r="F46" t="inlineStr">
        <is>
          <t>N</t>
        </is>
      </c>
      <c r="G46" s="854" t="inlineStr">
        <is>
          <t>&gt;= 0</t>
        </is>
      </c>
      <c r="H46" t="n">
        <v>0</v>
      </c>
      <c r="I46" s="854" t="inlineStr">
        <is>
          <t>&gt;= 0</t>
        </is>
      </c>
      <c r="J46" t="inlineStr">
        <is>
          <t>Loan Tape - Settled</t>
        </is>
      </c>
      <c r="K46" t="inlineStr">
        <is>
          <t>Col AF (new row)</t>
        </is>
      </c>
      <c r="L46" t="inlineStr">
        <is>
          <t>Append</t>
        </is>
      </c>
      <c r="M46" t="inlineStr">
        <is>
          <t>Y</t>
        </is>
      </c>
      <c r="N46" t="inlineStr">
        <is>
          <t>N</t>
        </is>
      </c>
      <c r="O46" t="inlineStr">
        <is>
          <t>N</t>
        </is>
      </c>
      <c r="P46" t="inlineStr">
        <is>
          <t>N</t>
        </is>
      </c>
      <c r="Q46" t="inlineStr">
        <is>
          <t>N</t>
        </is>
      </c>
      <c r="R46" t="inlineStr">
        <is>
          <t>N,A,M</t>
        </is>
      </c>
      <c r="S46" s="854" t="inlineStr">
        <is>
          <t>Written to Deal Team Input B38. Default 0 if not provided.</t>
        </is>
      </c>
    </row>
    <row r="47" ht="30" customHeight="1">
      <c r="A47" t="inlineStr">
        <is>
          <t>IN-27</t>
        </is>
      </c>
      <c r="B47" t="inlineStr">
        <is>
          <t>Attach Point</t>
        </is>
      </c>
      <c r="C47" t="inlineStr">
        <is>
          <t>What is the net attach point? (leverage ratio, e.g., 0.81 for 0.81x)</t>
        </is>
      </c>
      <c r="D47" s="854" t="inlineStr">
        <is>
          <t>SM debt attach point — determines FILO advance rate bucket</t>
        </is>
      </c>
      <c r="E47" t="inlineStr">
        <is>
          <t>Decimal</t>
        </is>
      </c>
      <c r="F47" t="inlineStr">
        <is>
          <t>Y</t>
        </is>
      </c>
      <c r="G47" s="854" t="inlineStr">
        <is>
          <t>&gt;= 0</t>
        </is>
      </c>
      <c r="H47" t="inlineStr">
        <is>
          <t>None</t>
        </is>
      </c>
      <c r="I47" s="854" t="inlineStr">
        <is>
          <t>&gt;= 0; critical for FILO rate: &lt;0.75x, &lt;=1.25x, &gt;1.25x</t>
        </is>
      </c>
      <c r="J47" t="inlineStr">
        <is>
          <t>Loan Tape - Settled</t>
        </is>
      </c>
      <c r="K47" t="inlineStr">
        <is>
          <t>Col AX (new row)</t>
        </is>
      </c>
      <c r="L47" t="inlineStr">
        <is>
          <t>Append</t>
        </is>
      </c>
      <c r="M47" t="inlineStr">
        <is>
          <t>N</t>
        </is>
      </c>
      <c r="N47" t="inlineStr">
        <is>
          <t>N</t>
        </is>
      </c>
      <c r="O47" t="inlineStr">
        <is>
          <t>N</t>
        </is>
      </c>
      <c r="P47" t="inlineStr">
        <is>
          <t>Y (FILO rate)</t>
        </is>
      </c>
      <c r="Q47" t="inlineStr">
        <is>
          <t>Y</t>
        </is>
      </c>
      <c r="R47" t="inlineStr">
        <is>
          <t>N,A</t>
        </is>
      </c>
      <c r="S47" s="854" t="inlineStr">
        <is>
          <t>Written to Deal Team Input B39. FILO advance rates: &lt;0.75x=62.5%, &lt;=1.25x=57.5%, &gt;1.25x=45%.</t>
        </is>
      </c>
    </row>
    <row r="48" ht="30" customHeight="1">
      <c r="A48" t="inlineStr">
        <is>
          <t>IN-28</t>
        </is>
      </c>
      <c r="B48" t="inlineStr">
        <is>
          <t>Default Status</t>
        </is>
      </c>
      <c r="C48" t="inlineStr">
        <is>
          <t>Is this loan in payment default?</t>
        </is>
      </c>
      <c r="D48" s="854" t="inlineStr">
        <is>
          <t>Payment default status - validation / exception flag only. Do not auto-run if Yes.</t>
        </is>
      </c>
      <c r="E48" t="inlineStr">
        <is>
          <t>Picklist</t>
        </is>
      </c>
      <c r="F48" t="inlineStr">
        <is>
          <t>Y</t>
        </is>
      </c>
      <c r="G48" s="854" t="inlineStr">
        <is>
          <t>No | Yes</t>
        </is>
      </c>
      <c r="H48" t="inlineStr">
        <is>
          <t>No</t>
        </is>
      </c>
      <c r="I48" s="854" t="inlineStr">
        <is>
          <t>Must be No or Yes; Yes = ineligible</t>
        </is>
      </c>
      <c r="J48" t="inlineStr">
        <is>
          <t>No write</t>
        </is>
      </c>
      <c r="K48" t="inlineStr">
        <is>
          <t>N/A (exception-only)</t>
        </is>
      </c>
      <c r="L48" t="inlineStr">
        <is>
          <t>No-write</t>
        </is>
      </c>
      <c r="M48" t="inlineStr">
        <is>
          <t>Y</t>
        </is>
      </c>
      <c r="N48" t="inlineStr">
        <is>
          <t>Y if Yes</t>
        </is>
      </c>
      <c r="O48" t="inlineStr">
        <is>
          <t>Y (Test 10)</t>
        </is>
      </c>
      <c r="P48" t="inlineStr">
        <is>
          <t>N</t>
        </is>
      </c>
      <c r="Q48" t="inlineStr">
        <is>
          <t>Y</t>
        </is>
      </c>
      <c r="R48" t="inlineStr">
        <is>
          <t>N,A,R,M</t>
        </is>
      </c>
      <c r="S48" s="854" t="inlineStr">
        <is>
          <t>Do not auto-write Default Status. If user says 'Yes', STOP under EX-03 and escalate for human review.</t>
        </is>
      </c>
    </row>
    <row r="49">
      <c r="A49" s="952" t="inlineStr">
        <is>
          <t>—</t>
        </is>
      </c>
      <c r="B49" s="952" t="inlineStr">
        <is>
          <t>DERIVED / AUTO-SET FIELDS (AI sets these — not collected from user)</t>
        </is>
      </c>
      <c r="C49" s="953" t="n"/>
      <c r="D49" s="965" t="n"/>
      <c r="E49" s="953" t="n"/>
      <c r="F49" s="953" t="n"/>
      <c r="G49" s="965" t="n"/>
      <c r="H49" s="953" t="n"/>
      <c r="I49" s="965" t="n"/>
      <c r="J49" s="953" t="n"/>
      <c r="K49" s="953" t="n"/>
      <c r="L49" s="953" t="n"/>
      <c r="M49" s="953" t="n"/>
      <c r="N49" s="953" t="n"/>
      <c r="O49" s="953" t="n"/>
      <c r="P49" s="953" t="n"/>
      <c r="Q49" s="953" t="n"/>
      <c r="R49" s="953" t="n"/>
      <c r="S49" s="965" t="n"/>
    </row>
    <row r="50" ht="30" customHeight="1">
      <c r="A50" t="inlineStr">
        <is>
          <t>IN-29</t>
        </is>
      </c>
      <c r="B50" t="inlineStr">
        <is>
          <t>Inclusion Date</t>
        </is>
      </c>
      <c r="C50" t="inlineStr">
        <is>
          <t>(auto-set)</t>
        </is>
      </c>
      <c r="D50" s="854" t="inlineStr">
        <is>
          <t>MUST equal Investment Date (U). Drives maturity test.</t>
        </is>
      </c>
      <c r="E50" t="inlineStr">
        <is>
          <t>Date</t>
        </is>
      </c>
      <c r="F50" t="inlineStr">
        <is>
          <t>AUTO</t>
        </is>
      </c>
      <c r="G50" s="854" t="inlineStr">
        <is>
          <t>Same as Investment Date</t>
        </is>
      </c>
      <c r="H50" t="inlineStr">
        <is>
          <t>Same as IN-20</t>
        </is>
      </c>
      <c r="I50" s="854" t="inlineStr">
        <is>
          <t>Must equal IN-20 exactly</t>
        </is>
      </c>
      <c r="J50" t="inlineStr">
        <is>
          <t>Loan Tape - Settled</t>
        </is>
      </c>
      <c r="K50" t="inlineStr">
        <is>
          <t>Col AO (new row)</t>
        </is>
      </c>
      <c r="L50" t="inlineStr">
        <is>
          <t>Derive</t>
        </is>
      </c>
      <c r="M50" t="inlineStr">
        <is>
          <t>Y</t>
        </is>
      </c>
      <c r="N50" t="inlineStr">
        <is>
          <t>N</t>
        </is>
      </c>
      <c r="O50" t="inlineStr">
        <is>
          <t>Y (Test 9)</t>
        </is>
      </c>
      <c r="P50" t="inlineStr">
        <is>
          <t>N</t>
        </is>
      </c>
      <c r="Q50" t="inlineStr">
        <is>
          <t>Y</t>
        </is>
      </c>
      <c r="R50" t="inlineStr">
        <is>
          <t>N,A</t>
        </is>
      </c>
      <c r="S50" s="854" t="inlineStr">
        <is>
          <t>CRITICAL: AO must equal U or maturity test fails.</t>
        </is>
      </c>
    </row>
    <row r="51" ht="30" customHeight="1">
      <c r="A51" t="inlineStr">
        <is>
          <t>IN-30</t>
        </is>
      </c>
      <c r="B51" t="inlineStr">
        <is>
          <t>Fair Market Value</t>
        </is>
      </c>
      <c r="C51" t="inlineStr">
        <is>
          <t>(auto-set)</t>
        </is>
      </c>
      <c r="D51" s="854" t="inlineStr">
        <is>
          <t>Loan Tape Col S must equal BDC Balance for par</t>
        </is>
      </c>
      <c r="E51" t="inlineStr">
        <is>
          <t>Currency</t>
        </is>
      </c>
      <c r="F51" t="inlineStr">
        <is>
          <t>AUTO</t>
        </is>
      </c>
      <c r="G51" s="854" t="inlineStr">
        <is>
          <t>Same as BDC Balance</t>
        </is>
      </c>
      <c r="H51" t="inlineStr">
        <is>
          <t>Same as IN-13</t>
        </is>
      </c>
      <c r="I51" s="854" t="inlineStr">
        <is>
          <t>Must equal IN-13 for par</t>
        </is>
      </c>
      <c r="J51" t="inlineStr">
        <is>
          <t>Loan Tape - Settled</t>
        </is>
      </c>
      <c r="K51" t="inlineStr">
        <is>
          <t>Col S (new row)</t>
        </is>
      </c>
      <c r="L51" t="inlineStr">
        <is>
          <t>Derive</t>
        </is>
      </c>
      <c r="M51" t="inlineStr">
        <is>
          <t>Y</t>
        </is>
      </c>
      <c r="N51" t="inlineStr">
        <is>
          <t>N</t>
        </is>
      </c>
      <c r="O51" t="inlineStr">
        <is>
          <t>N</t>
        </is>
      </c>
      <c r="P51" t="inlineStr">
        <is>
          <t>N</t>
        </is>
      </c>
      <c r="Q51" t="inlineStr">
        <is>
          <t>Y</t>
        </is>
      </c>
      <c r="R51" t="inlineStr">
        <is>
          <t>N,A</t>
        </is>
      </c>
      <c r="S51" s="854" t="inlineStr">
        <is>
          <t>If S is 0, borrowing base contribution is 0.</t>
        </is>
      </c>
    </row>
    <row r="52" ht="30" customHeight="1">
      <c r="A52" t="inlineStr">
        <is>
          <t>IN-31</t>
        </is>
      </c>
      <c r="B52" t="inlineStr">
        <is>
          <t>SM Fair Value</t>
        </is>
      </c>
      <c r="C52" t="inlineStr">
        <is>
          <t>(auto-set)</t>
        </is>
      </c>
      <c r="D52" s="854" t="inlineStr">
        <is>
          <t>SM Support Col E must equal BDC Balance for par</t>
        </is>
      </c>
      <c r="E52" t="inlineStr">
        <is>
          <t>Currency</t>
        </is>
      </c>
      <c r="F52" t="inlineStr">
        <is>
          <t>AUTO</t>
        </is>
      </c>
      <c r="G52" s="854" t="inlineStr">
        <is>
          <t>Same as BDC Balance</t>
        </is>
      </c>
      <c r="H52" t="inlineStr">
        <is>
          <t>Same as IN-13</t>
        </is>
      </c>
      <c r="I52" s="854" t="inlineStr">
        <is>
          <t>Must equal Col D at par</t>
        </is>
      </c>
      <c r="J52" t="inlineStr">
        <is>
          <t>SM Support</t>
        </is>
      </c>
      <c r="K52" t="inlineStr">
        <is>
          <t>Col E (new row)</t>
        </is>
      </c>
      <c r="L52" t="inlineStr">
        <is>
          <t>Derive</t>
        </is>
      </c>
      <c r="M52" t="inlineStr">
        <is>
          <t>Y</t>
        </is>
      </c>
      <c r="N52" t="inlineStr">
        <is>
          <t>N</t>
        </is>
      </c>
      <c r="O52" t="inlineStr">
        <is>
          <t>N</t>
        </is>
      </c>
      <c r="P52" t="inlineStr">
        <is>
          <t>N</t>
        </is>
      </c>
      <c r="Q52" t="inlineStr">
        <is>
          <t>N</t>
        </is>
      </c>
      <c r="R52" t="inlineStr">
        <is>
          <t>N,A</t>
        </is>
      </c>
      <c r="S52" s="854" t="inlineStr">
        <is>
          <t>D equals E equals S for par investments.</t>
        </is>
      </c>
    </row>
    <row r="53">
      <c r="A53" t="inlineStr">
        <is>
          <t>IN-32</t>
        </is>
      </c>
      <c r="B53" t="inlineStr">
        <is>
          <t>CCM ID</t>
        </is>
      </c>
      <c r="C53" t="inlineStr">
        <is>
          <t>(auto-set)</t>
        </is>
      </c>
      <c r="D53" s="854" t="inlineStr">
        <is>
          <t>Portfolio primary key - next sequential ID</t>
        </is>
      </c>
      <c r="E53" t="inlineStr">
        <is>
          <t>Text</t>
        </is>
      </c>
      <c r="F53" t="inlineStr">
        <is>
          <t>AUTO</t>
        </is>
      </c>
      <c r="G53" s="854" t="inlineStr">
        <is>
          <t>Next smc## ID</t>
        </is>
      </c>
      <c r="H53" t="inlineStr">
        <is>
          <t>From Portfolio Col A</t>
        </is>
      </c>
      <c r="I53" s="854" t="inlineStr">
        <is>
          <t>Unique; sequential; smc##</t>
        </is>
      </c>
      <c r="J53" t="inlineStr">
        <is>
          <t>Portfolio</t>
        </is>
      </c>
      <c r="K53" t="inlineStr">
        <is>
          <t>Col A (new row)</t>
        </is>
      </c>
      <c r="L53" t="inlineStr">
        <is>
          <t>Derive</t>
        </is>
      </c>
      <c r="M53" t="inlineStr">
        <is>
          <t>Y</t>
        </is>
      </c>
      <c r="N53" t="inlineStr">
        <is>
          <t>N</t>
        </is>
      </c>
      <c r="O53" t="inlineStr">
        <is>
          <t>N</t>
        </is>
      </c>
      <c r="P53" t="inlineStr">
        <is>
          <t>N</t>
        </is>
      </c>
      <c r="Q53" t="inlineStr">
        <is>
          <t>N</t>
        </is>
      </c>
      <c r="R53" t="inlineStr">
        <is>
          <t>N,A</t>
        </is>
      </c>
      <c r="S53" s="854" t="inlineStr">
        <is>
          <t>Also written to Loan Tape Col A.</t>
        </is>
      </c>
    </row>
    <row r="54">
      <c r="A54" t="inlineStr">
        <is>
          <t>IN-33</t>
        </is>
      </c>
      <c r="B54" t="inlineStr">
        <is>
          <t>PIK or Partial PIK Flag</t>
        </is>
      </c>
      <c r="C54" t="inlineStr">
        <is>
          <t>(auto-set)</t>
        </is>
      </c>
      <c r="D54" s="854" t="inlineStr">
        <is>
          <t>Portfolio Col BZ flag after row copy. Standard new loans = No unless exception-approved.</t>
        </is>
      </c>
      <c r="E54" t="inlineStr">
        <is>
          <t>Text</t>
        </is>
      </c>
      <c r="F54" t="inlineStr">
        <is>
          <t>AUTO</t>
        </is>
      </c>
      <c r="G54" s="854" t="inlineStr">
        <is>
          <t>No | Yes</t>
        </is>
      </c>
      <c r="H54" t="inlineStr">
        <is>
          <t>No</t>
        </is>
      </c>
      <c r="I54" s="854" t="inlineStr">
        <is>
          <t>If PIK pct is 0 then No; if &gt; 0 then Yes only with human confirmation</t>
        </is>
      </c>
      <c r="J54" t="inlineStr">
        <is>
          <t>Portfolio</t>
        </is>
      </c>
      <c r="K54" t="inlineStr">
        <is>
          <t>Col BZ (new row after copy)</t>
        </is>
      </c>
      <c r="L54" t="inlineStr">
        <is>
          <t>Derive/Overwrite</t>
        </is>
      </c>
      <c r="M54" t="inlineStr">
        <is>
          <t>Y</t>
        </is>
      </c>
      <c r="N54" t="inlineStr">
        <is>
          <t>N</t>
        </is>
      </c>
      <c r="O54" t="inlineStr">
        <is>
          <t>Y (Test 2)</t>
        </is>
      </c>
      <c r="P54" t="inlineStr">
        <is>
          <t>N</t>
        </is>
      </c>
      <c r="Q54" t="inlineStr">
        <is>
          <t>N</t>
        </is>
      </c>
      <c r="R54" t="inlineStr">
        <is>
          <t>N,A</t>
        </is>
      </c>
      <c r="S54" s="854" t="inlineStr">
        <is>
          <t>Portfolio BZ exists; Loan Tape - Settled does not have BZ. Standard pure pro forma = No. If PIK &gt; 0, stop under EX-04 unless human confirms.</t>
        </is>
      </c>
    </row>
    <row r="55">
      <c r="A55" t="inlineStr">
        <is>
          <t>IN-34</t>
        </is>
      </c>
      <c r="B55" t="inlineStr">
        <is>
          <t>DIP Loans Flag</t>
        </is>
      </c>
      <c r="C55" t="inlineStr">
        <is>
          <t>(auto-set)</t>
        </is>
      </c>
      <c r="D55" s="854" t="inlineStr">
        <is>
          <t>Portfolio Col CA flag after row copy. Standard new loans = No unless exception-approved.</t>
        </is>
      </c>
      <c r="E55" t="inlineStr">
        <is>
          <t>Text</t>
        </is>
      </c>
      <c r="F55" t="inlineStr">
        <is>
          <t>AUTO</t>
        </is>
      </c>
      <c r="G55" s="854" t="inlineStr">
        <is>
          <t>No | Yes</t>
        </is>
      </c>
      <c r="H55" t="inlineStr">
        <is>
          <t>No</t>
        </is>
      </c>
      <c r="I55" s="854" t="inlineStr">
        <is>
          <t>Always No for standard new originations; Yes only with human confirmation</t>
        </is>
      </c>
      <c r="J55" t="inlineStr">
        <is>
          <t>Portfolio</t>
        </is>
      </c>
      <c r="K55" t="inlineStr">
        <is>
          <t>Col CA (new row after copy)</t>
        </is>
      </c>
      <c r="L55" t="inlineStr">
        <is>
          <t>Derive/Overwrite</t>
        </is>
      </c>
      <c r="M55" t="inlineStr">
        <is>
          <t>Y</t>
        </is>
      </c>
      <c r="N55" t="inlineStr">
        <is>
          <t>Y if DIP</t>
        </is>
      </c>
      <c r="O55" t="inlineStr">
        <is>
          <t>Y (Test 2)</t>
        </is>
      </c>
      <c r="P55" t="inlineStr">
        <is>
          <t>N</t>
        </is>
      </c>
      <c r="Q55" t="inlineStr">
        <is>
          <t>N</t>
        </is>
      </c>
      <c r="R55" t="inlineStr">
        <is>
          <t>N,A</t>
        </is>
      </c>
      <c r="S55" s="854" t="inlineStr">
        <is>
          <t>Portfolio CA exists; Loan Tape - Settled does not have CA. If DIP is implicated, stop and escalate to human.</t>
        </is>
      </c>
    </row>
    <row r="56">
      <c r="A56" t="inlineStr">
        <is>
          <t>IN-35</t>
        </is>
      </c>
      <c r="B56" t="inlineStr">
        <is>
          <t>Fund ID</t>
        </is>
      </c>
      <c r="C56" t="inlineStr">
        <is>
          <t>(auto-set)</t>
        </is>
      </c>
      <c r="D56" s="854" t="inlineStr">
        <is>
          <t>Loan Tape Col C fund identifier</t>
        </is>
      </c>
      <c r="E56" t="inlineStr">
        <is>
          <t>Text</t>
        </is>
      </c>
      <c r="F56" t="inlineStr">
        <is>
          <t>AUTO</t>
        </is>
      </c>
      <c r="G56" s="854" t="inlineStr">
        <is>
          <t>SM BDC code</t>
        </is>
      </c>
      <c r="H56" t="inlineStr">
        <is>
          <t>From existing rows</t>
        </is>
      </c>
      <c r="I56" s="854" t="inlineStr">
        <is>
          <t>Match existing convention</t>
        </is>
      </c>
      <c r="J56" t="inlineStr">
        <is>
          <t>Loan Tape - Settled</t>
        </is>
      </c>
      <c r="K56" t="inlineStr">
        <is>
          <t>Col C + Col D</t>
        </is>
      </c>
      <c r="L56" t="inlineStr">
        <is>
          <t>Derive</t>
        </is>
      </c>
      <c r="M56" t="inlineStr">
        <is>
          <t>Y</t>
        </is>
      </c>
      <c r="N56" t="inlineStr">
        <is>
          <t>N</t>
        </is>
      </c>
      <c r="O56" t="inlineStr">
        <is>
          <t>N</t>
        </is>
      </c>
      <c r="P56" t="inlineStr">
        <is>
          <t>N</t>
        </is>
      </c>
      <c r="Q56" t="inlineStr">
        <is>
          <t>N</t>
        </is>
      </c>
      <c r="R56" t="inlineStr">
        <is>
          <t>N,A</t>
        </is>
      </c>
      <c r="S56" s="854" t="inlineStr">
        <is>
          <t>Copy from existing row pattern.</t>
        </is>
      </c>
    </row>
    <row r="57">
      <c r="A57" t="inlineStr">
        <is>
          <t>IN-36</t>
        </is>
      </c>
      <c r="B57" t="inlineStr">
        <is>
          <t>Covenant Lite Flag</t>
        </is>
      </c>
      <c r="C57" t="inlineStr">
        <is>
          <t>(auto-set)</t>
        </is>
      </c>
      <c r="D57" s="854" t="inlineStr">
        <is>
          <t>Loan Tape Col AC - eligibility test 8</t>
        </is>
      </c>
      <c r="E57" t="inlineStr">
        <is>
          <t>Picklist</t>
        </is>
      </c>
      <c r="F57" t="inlineStr">
        <is>
          <t>AUTO</t>
        </is>
      </c>
      <c r="G57" s="854" t="inlineStr">
        <is>
          <t>Yes | No</t>
        </is>
      </c>
      <c r="H57" t="inlineStr">
        <is>
          <t>No</t>
        </is>
      </c>
      <c r="I57" s="854" t="inlineStr">
        <is>
          <t>LMM typically not cov-lite so No</t>
        </is>
      </c>
      <c r="J57" t="inlineStr">
        <is>
          <t>Loan Tape - Settled</t>
        </is>
      </c>
      <c r="K57" t="inlineStr">
        <is>
          <t>Col AC (new row)</t>
        </is>
      </c>
      <c r="L57" t="inlineStr">
        <is>
          <t>Derive</t>
        </is>
      </c>
      <c r="M57" t="inlineStr">
        <is>
          <t>Y</t>
        </is>
      </c>
      <c r="N57" t="inlineStr">
        <is>
          <t>Y if cov-lite</t>
        </is>
      </c>
      <c r="O57" t="inlineStr">
        <is>
          <t>Y (Test 8)</t>
        </is>
      </c>
      <c r="P57" t="inlineStr">
        <is>
          <t>N</t>
        </is>
      </c>
      <c r="Q57" t="inlineStr">
        <is>
          <t>N</t>
        </is>
      </c>
      <c r="R57" t="inlineStr">
        <is>
          <t>N,A</t>
        </is>
      </c>
      <c r="S57" s="854" t="inlineStr">
        <is>
          <t>Cov-lite Yes means no covenants so ineligible.</t>
        </is>
      </c>
    </row>
    <row r="59">
      <c r="A59" s="950" t="inlineStr">
        <is>
          <t>═══════════════════════════════════════════════════════════════════════════════════════════════════════════════</t>
        </is>
      </c>
    </row>
    <row r="60" ht="21.95" customHeight="1">
      <c r="A60" s="972" t="inlineStr">
        <is>
          <t>SECTION B — OUTPUT MAPPING TABLE</t>
        </is>
      </c>
    </row>
    <row r="61">
      <c r="A61" s="951" t="inlineStr">
        <is>
          <t>Purpose: Defines every output the AI must read after a pro forma run. Includes before/after comparison rules, formatting, and whether each output is required in the response.</t>
        </is>
      </c>
    </row>
    <row r="63" ht="15.75" customHeight="1" thickBot="1">
      <c r="A63" s="962" t="inlineStr">
        <is>
          <t>OUT_ID</t>
        </is>
      </c>
      <c r="B63" s="962" t="inlineStr">
        <is>
          <t>Output Name</t>
        </is>
      </c>
      <c r="C63" s="962" t="inlineStr">
        <is>
          <t>Business Meaning</t>
        </is>
      </c>
      <c r="D63" s="964" t="inlineStr">
        <is>
          <t>Source Sheet</t>
        </is>
      </c>
      <c r="E63" s="962" t="inlineStr">
        <is>
          <t>Source Cell / Range</t>
        </is>
      </c>
      <c r="F63" s="962" t="inlineStr">
        <is>
          <t>Output Type</t>
        </is>
      </c>
      <c r="G63" s="964" t="inlineStr">
        <is>
          <t>Required in Response?</t>
        </is>
      </c>
      <c r="H63" s="962" t="inlineStr">
        <is>
          <t>Before/After Compare?</t>
        </is>
      </c>
      <c r="I63" s="964" t="inlineStr">
        <is>
          <t>Format Rule</t>
        </is>
      </c>
      <c r="J63" s="962" t="inlineStr">
        <is>
          <t>Capture Method</t>
        </is>
      </c>
      <c r="K63" s="962" t="inlineStr">
        <is>
          <t>Notes</t>
        </is>
      </c>
    </row>
    <row r="64">
      <c r="A64" s="954" t="inlineStr">
        <is>
          <t>--</t>
        </is>
      </c>
      <c r="B64" s="954" t="inlineStr">
        <is>
          <t>AVAILABILITY OUTPUTS</t>
        </is>
      </c>
      <c r="C64" s="954" t="n"/>
      <c r="D64" s="966" t="n"/>
      <c r="E64" s="954" t="n"/>
      <c r="F64" s="954" t="n"/>
      <c r="G64" s="966" t="n"/>
      <c r="H64" s="954" t="n"/>
      <c r="I64" s="966" t="n"/>
      <c r="J64" s="954" t="n"/>
      <c r="K64" s="954" t="n"/>
    </row>
    <row r="65">
      <c r="A65" t="inlineStr">
        <is>
          <t>OUT-01</t>
        </is>
      </c>
      <c r="B65" t="inlineStr">
        <is>
          <t>Current Availability (BEFORE)</t>
        </is>
      </c>
      <c r="C65" t="inlineStr">
        <is>
          <t>Borrowing capacity before pro forma addition</t>
        </is>
      </c>
      <c r="D65" s="854" t="inlineStr">
        <is>
          <t>Availability</t>
        </is>
      </c>
      <c r="E65" t="inlineStr">
        <is>
          <t>L26</t>
        </is>
      </c>
      <c r="F65" t="inlineStr">
        <is>
          <t>Currency</t>
        </is>
      </c>
      <c r="G65" s="854" t="inlineStr">
        <is>
          <t>Y</t>
        </is>
      </c>
      <c r="H65" t="inlineStr">
        <is>
          <t>Y (snapshot)</t>
        </is>
      </c>
      <c r="I65" s="854" t="inlineStr">
        <is>
          <t>$#,##0</t>
        </is>
      </c>
      <c r="J65" t="inlineStr">
        <is>
          <t>Hardcode to DTI B53 BEFORE any writes</t>
        </is>
      </c>
      <c r="K65" t="inlineStr">
        <is>
          <t>Read first, write to B53, then proceed.</t>
        </is>
      </c>
    </row>
    <row r="66">
      <c r="A66" t="inlineStr">
        <is>
          <t>OUT-02</t>
        </is>
      </c>
      <c r="B66" t="inlineStr">
        <is>
          <t>Pro Forma Availability (AFTER)</t>
        </is>
      </c>
      <c r="C66" t="inlineStr">
        <is>
          <t>Borrowing capacity after pro forma addition</t>
        </is>
      </c>
      <c r="D66" s="854" t="inlineStr">
        <is>
          <t>Availability</t>
        </is>
      </c>
      <c r="E66" t="inlineStr">
        <is>
          <t>L26</t>
        </is>
      </c>
      <c r="F66" t="inlineStr">
        <is>
          <t>Currency</t>
        </is>
      </c>
      <c r="G66" s="854" t="inlineStr">
        <is>
          <t>Y</t>
        </is>
      </c>
      <c r="H66" t="inlineStr">
        <is>
          <t>Y (live link)</t>
        </is>
      </c>
      <c r="I66" s="854" t="inlineStr">
        <is>
          <t>$#,##0</t>
        </is>
      </c>
      <c r="J66" t="inlineStr">
        <is>
          <t>Live formula link in DTI B54</t>
        </is>
      </c>
      <c r="K66" t="inlineStr">
        <is>
          <t>B54 auto-updates after writes.</t>
        </is>
      </c>
    </row>
    <row r="67">
      <c r="A67" t="inlineStr">
        <is>
          <t>OUT-03</t>
        </is>
      </c>
      <c r="B67" t="inlineStr">
        <is>
          <t>Availability Delta</t>
        </is>
      </c>
      <c r="C67" t="inlineStr">
        <is>
          <t>Dollar change in availability</t>
        </is>
      </c>
      <c r="D67" s="854" t="inlineStr">
        <is>
          <t>Deal Team Input</t>
        </is>
      </c>
      <c r="E67" t="inlineStr">
        <is>
          <t>B56</t>
        </is>
      </c>
      <c r="F67" t="inlineStr">
        <is>
          <t>Currency</t>
        </is>
      </c>
      <c r="G67" s="854" t="inlineStr">
        <is>
          <t>Y</t>
        </is>
      </c>
      <c r="H67" t="inlineStr">
        <is>
          <t>N (auto-calc)</t>
        </is>
      </c>
      <c r="I67" s="854" t="inlineStr">
        <is>
          <t>$#,##0</t>
        </is>
      </c>
      <c r="J67" t="inlineStr">
        <is>
          <t>Formula: B54-B53</t>
        </is>
      </c>
      <c r="K67" t="inlineStr">
        <is>
          <t>Net borrowing capacity impact.</t>
        </is>
      </c>
    </row>
    <row r="68">
      <c r="A68" t="inlineStr">
        <is>
          <t>OUT-04</t>
        </is>
      </c>
      <c r="B68" t="inlineStr">
        <is>
          <t>Impact Ratio</t>
        </is>
      </c>
      <c r="C68" t="inlineStr">
        <is>
          <t>Availability change per $1 invested</t>
        </is>
      </c>
      <c r="D68" s="854" t="inlineStr">
        <is>
          <t>Deal Team Input</t>
        </is>
      </c>
      <c r="E68" t="inlineStr">
        <is>
          <t>B57</t>
        </is>
      </c>
      <c r="F68" t="inlineStr">
        <is>
          <t>Percent</t>
        </is>
      </c>
      <c r="G68" s="854" t="inlineStr">
        <is>
          <t>Y</t>
        </is>
      </c>
      <c r="H68" t="inlineStr">
        <is>
          <t>N (auto-calc)</t>
        </is>
      </c>
      <c r="I68" s="970" t="n">
        <v>0</v>
      </c>
      <c r="J68" t="inlineStr">
        <is>
          <t>Formula: B56/B51</t>
        </is>
      </c>
      <c r="K68" t="inlineStr">
        <is>
          <t>Higher is better.</t>
        </is>
      </c>
    </row>
    <row r="69">
      <c r="A69" t="inlineStr">
        <is>
          <t>OUT-05</t>
        </is>
      </c>
      <c r="B69" t="inlineStr">
        <is>
          <t>Facility Amount</t>
        </is>
      </c>
      <c r="C69" t="inlineStr">
        <is>
          <t>Total facility commitment</t>
        </is>
      </c>
      <c r="D69" s="854" t="inlineStr">
        <is>
          <t>Availability</t>
        </is>
      </c>
      <c r="E69" t="inlineStr">
        <is>
          <t>L16</t>
        </is>
      </c>
      <c r="F69" t="inlineStr">
        <is>
          <t>Currency</t>
        </is>
      </c>
      <c r="G69" s="854" t="inlineStr">
        <is>
          <t>N</t>
        </is>
      </c>
      <c r="H69" t="inlineStr">
        <is>
          <t>N</t>
        </is>
      </c>
      <c r="I69" s="854" t="inlineStr">
        <is>
          <t>$#,##0</t>
        </is>
      </c>
      <c r="J69" t="inlineStr">
        <is>
          <t>Read only</t>
        </is>
      </c>
      <c r="K69" t="inlineStr">
        <is>
          <t>Should be $200M. Verify unchanged.</t>
        </is>
      </c>
    </row>
    <row r="70">
      <c r="A70" t="inlineStr">
        <is>
          <t>OUT-06</t>
        </is>
      </c>
      <c r="B70" t="inlineStr">
        <is>
          <t>Facility Utilization</t>
        </is>
      </c>
      <c r="C70" t="inlineStr">
        <is>
          <t>Outstanding / Availability</t>
        </is>
      </c>
      <c r="D70" s="854" t="inlineStr">
        <is>
          <t>Availability</t>
        </is>
      </c>
      <c r="E70" t="inlineStr">
        <is>
          <t>L58</t>
        </is>
      </c>
      <c r="F70" t="inlineStr">
        <is>
          <t>Percent</t>
        </is>
      </c>
      <c r="G70" s="854" t="inlineStr">
        <is>
          <t>Y</t>
        </is>
      </c>
      <c r="H70" t="inlineStr">
        <is>
          <t>Y</t>
        </is>
      </c>
      <c r="I70" s="970" t="n">
        <v>0</v>
      </c>
      <c r="J70" t="inlineStr">
        <is>
          <t>Read before and after</t>
        </is>
      </c>
      <c r="K70" t="inlineStr">
        <is>
          <t>Alert if &gt; 90%.</t>
        </is>
      </c>
    </row>
    <row r="71">
      <c r="A71" t="inlineStr">
        <is>
          <t>OUT-07</t>
        </is>
      </c>
      <c r="B71" t="inlineStr">
        <is>
          <t>Current Advances Base Amount</t>
        </is>
      </c>
      <c r="C71" t="inlineStr">
        <is>
          <t>Current drawn amount before pro forma repayment/request logic</t>
        </is>
      </c>
      <c r="D71" s="854" t="inlineStr">
        <is>
          <t>Availability</t>
        </is>
      </c>
      <c r="E71" t="inlineStr">
        <is>
          <t>L51</t>
        </is>
      </c>
      <c r="F71" t="inlineStr">
        <is>
          <t>Currency</t>
        </is>
      </c>
      <c r="G71" s="854" t="inlineStr">
        <is>
          <t>N</t>
        </is>
      </c>
      <c r="H71" t="inlineStr">
        <is>
          <t>N</t>
        </is>
      </c>
      <c r="I71" s="854" t="inlineStr">
        <is>
          <t>$#,##0</t>
        </is>
      </c>
      <c r="J71" t="inlineStr">
        <is>
          <t>Read only</t>
        </is>
      </c>
      <c r="K71" t="inlineStr">
        <is>
          <t>Canonical 'Current Advances' source used in AI_Instructions. L54 is Pro Forma Advances Outstanding.</t>
        </is>
      </c>
    </row>
    <row r="72">
      <c r="A72" s="954" t="inlineStr">
        <is>
          <t>--</t>
        </is>
      </c>
      <c r="B72" s="954" t="inlineStr">
        <is>
          <t>BORROWING BASE OUTPUTS</t>
        </is>
      </c>
      <c r="C72" s="954" t="n"/>
      <c r="D72" s="966" t="n"/>
      <c r="E72" s="954" t="n"/>
      <c r="F72" s="954" t="n"/>
      <c r="G72" s="966" t="n"/>
      <c r="H72" s="954" t="n"/>
      <c r="I72" s="966" t="n"/>
      <c r="J72" s="954" t="n"/>
      <c r="K72" s="954" t="n"/>
    </row>
    <row r="73">
      <c r="A73" t="inlineStr">
        <is>
          <t>OUT-08</t>
        </is>
      </c>
      <c r="B73" t="inlineStr">
        <is>
          <t>Total Portfolio Par</t>
        </is>
      </c>
      <c r="C73" t="inlineStr">
        <is>
          <t>Aggregate par value</t>
        </is>
      </c>
      <c r="D73" s="854" t="inlineStr">
        <is>
          <t>Availability</t>
        </is>
      </c>
      <c r="E73" t="inlineStr">
        <is>
          <t>L31</t>
        </is>
      </c>
      <c r="F73" t="inlineStr">
        <is>
          <t>Currency</t>
        </is>
      </c>
      <c r="G73" s="854" t="inlineStr">
        <is>
          <t>Y</t>
        </is>
      </c>
      <c r="H73" t="inlineStr">
        <is>
          <t>Y</t>
        </is>
      </c>
      <c r="I73" s="854" t="inlineStr">
        <is>
          <t>$#,##0</t>
        </is>
      </c>
      <c r="J73" t="inlineStr">
        <is>
          <t>Read before and after</t>
        </is>
      </c>
      <c r="K73" t="inlineStr">
        <is>
          <t>Drives CL denominators.</t>
        </is>
      </c>
    </row>
    <row r="74">
      <c r="A74" t="inlineStr">
        <is>
          <t>OUT-09</t>
        </is>
      </c>
      <c r="B74" t="inlineStr">
        <is>
          <t>Aggregate Adj. Borrowing Value</t>
        </is>
      </c>
      <c r="C74" t="inlineStr">
        <is>
          <t>Advance-rate-weighted eligible loans</t>
        </is>
      </c>
      <c r="D74" s="854" t="inlineStr">
        <is>
          <t>Availability</t>
        </is>
      </c>
      <c r="E74" t="inlineStr">
        <is>
          <t>L33</t>
        </is>
      </c>
      <c r="F74" t="inlineStr">
        <is>
          <t>Currency</t>
        </is>
      </c>
      <c r="G74" s="854" t="inlineStr">
        <is>
          <t>Y</t>
        </is>
      </c>
      <c r="H74" t="inlineStr">
        <is>
          <t>Y</t>
        </is>
      </c>
      <c r="I74" s="854" t="inlineStr">
        <is>
          <t>$#,##0</t>
        </is>
      </c>
      <c r="J74" t="inlineStr">
        <is>
          <t>Read before and after</t>
        </is>
      </c>
      <c r="K74" t="inlineStr">
        <is>
          <t>Key BB component.</t>
        </is>
      </c>
    </row>
    <row r="75">
      <c r="A75" t="inlineStr">
        <is>
          <t>OUT-10</t>
        </is>
      </c>
      <c r="B75" t="inlineStr">
        <is>
          <t>Excess Concentration Total</t>
        </is>
      </c>
      <c r="C75" t="inlineStr">
        <is>
          <t>Sum of all CL breaches</t>
        </is>
      </c>
      <c r="D75" s="854" t="inlineStr">
        <is>
          <t>Availability</t>
        </is>
      </c>
      <c r="E75" t="inlineStr">
        <is>
          <t>L34</t>
        </is>
      </c>
      <c r="F75" t="inlineStr">
        <is>
          <t>Currency</t>
        </is>
      </c>
      <c r="G75" s="854" t="inlineStr">
        <is>
          <t>Y</t>
        </is>
      </c>
      <c r="H75" t="inlineStr">
        <is>
          <t>Y</t>
        </is>
      </c>
      <c r="I75" s="854" t="inlineStr">
        <is>
          <t>$#,##0</t>
        </is>
      </c>
      <c r="J75" t="inlineStr">
        <is>
          <t>Read before and after</t>
        </is>
      </c>
      <c r="K75" t="inlineStr">
        <is>
          <t>Reduces BB. Flag if increased.</t>
        </is>
      </c>
    </row>
    <row r="76">
      <c r="A76" t="inlineStr">
        <is>
          <t>OUT-11</t>
        </is>
      </c>
      <c r="B76" t="inlineStr">
        <is>
          <t>Net Adjusted Borrowing Value</t>
        </is>
      </c>
      <c r="C76" t="inlineStr">
        <is>
          <t>Adj. BV minus excess concentrations</t>
        </is>
      </c>
      <c r="D76" s="854" t="inlineStr">
        <is>
          <t>Availability</t>
        </is>
      </c>
      <c r="E76" t="inlineStr">
        <is>
          <t>L35</t>
        </is>
      </c>
      <c r="F76" t="inlineStr">
        <is>
          <t>Currency</t>
        </is>
      </c>
      <c r="G76" s="854" t="inlineStr">
        <is>
          <t>Y</t>
        </is>
      </c>
      <c r="H76" t="inlineStr">
        <is>
          <t>Y</t>
        </is>
      </c>
      <c r="I76" s="854" t="inlineStr">
        <is>
          <t>$#,##0</t>
        </is>
      </c>
      <c r="J76" t="inlineStr">
        <is>
          <t>Read before and after</t>
        </is>
      </c>
      <c r="K76" t="inlineStr">
        <is>
          <t>L33 - L34. Core BB.</t>
        </is>
      </c>
    </row>
    <row r="77">
      <c r="A77" t="inlineStr">
        <is>
          <t>OUT-12</t>
        </is>
      </c>
      <c r="B77" t="inlineStr">
        <is>
          <t>Weighted Avg Advance Rate</t>
        </is>
      </c>
      <c r="C77" t="inlineStr">
        <is>
          <t>Effective blended advance rate</t>
        </is>
      </c>
      <c r="D77" s="854" t="inlineStr">
        <is>
          <t>Availability</t>
        </is>
      </c>
      <c r="E77" t="inlineStr">
        <is>
          <t>L48</t>
        </is>
      </c>
      <c r="F77" t="inlineStr">
        <is>
          <t>Percent</t>
        </is>
      </c>
      <c r="G77" s="854" t="inlineStr">
        <is>
          <t>Y</t>
        </is>
      </c>
      <c r="H77" t="inlineStr">
        <is>
          <t>Y</t>
        </is>
      </c>
      <c r="I77" s="970" t="n">
        <v>0</v>
      </c>
      <c r="J77" t="inlineStr">
        <is>
          <t>Read before and after</t>
        </is>
      </c>
      <c r="K77" t="inlineStr">
        <is>
          <t>55-70% range typically.</t>
        </is>
      </c>
    </row>
    <row r="78">
      <c r="A78" s="954" t="inlineStr">
        <is>
          <t>--</t>
        </is>
      </c>
      <c r="B78" s="954" t="inlineStr">
        <is>
          <t>ELIGIBILITY OUTPUTS</t>
        </is>
      </c>
      <c r="C78" s="954" t="n"/>
      <c r="D78" s="966" t="n"/>
      <c r="E78" s="954" t="n"/>
      <c r="F78" s="954" t="n"/>
      <c r="G78" s="966" t="n"/>
      <c r="H78" s="954" t="n"/>
      <c r="I78" s="966" t="n"/>
      <c r="J78" s="954" t="n"/>
      <c r="K78" s="954" t="n"/>
    </row>
    <row r="79">
      <c r="A79" t="inlineStr">
        <is>
          <t>OUT-13</t>
        </is>
      </c>
      <c r="B79" t="inlineStr">
        <is>
          <t>New Loan Eligible?</t>
        </is>
      </c>
      <c r="C79" t="inlineStr">
        <is>
          <t>Passes all 10 tests?</t>
        </is>
      </c>
      <c r="D79" s="854" t="inlineStr">
        <is>
          <t>Portfolio</t>
        </is>
      </c>
      <c r="E79" t="inlineStr">
        <is>
          <t>Col P (new row)</t>
        </is>
      </c>
      <c r="F79" t="inlineStr">
        <is>
          <t>Boolean</t>
        </is>
      </c>
      <c r="G79" s="854" t="inlineStr">
        <is>
          <t>Y</t>
        </is>
      </c>
      <c r="H79" t="inlineStr">
        <is>
          <t>N</t>
        </is>
      </c>
      <c r="I79" s="854" t="inlineStr">
        <is>
          <t>Yes/No</t>
        </is>
      </c>
      <c r="J79" t="inlineStr">
        <is>
          <t>Read after row added</t>
        </is>
      </c>
      <c r="K79" t="inlineStr">
        <is>
          <t>If No, read cols E-N for failures.</t>
        </is>
      </c>
    </row>
    <row r="80">
      <c r="A80" t="inlineStr">
        <is>
          <t>OUT-14</t>
        </is>
      </c>
      <c r="B80" t="inlineStr">
        <is>
          <t>Eligibility Test Details</t>
        </is>
      </c>
      <c r="C80" t="inlineStr">
        <is>
          <t>Which tests passed/failed</t>
        </is>
      </c>
      <c r="D80" s="854" t="inlineStr">
        <is>
          <t>Portfolio</t>
        </is>
      </c>
      <c r="E80" t="inlineStr">
        <is>
          <t>Cols E-N (new row)</t>
        </is>
      </c>
      <c r="F80" t="inlineStr">
        <is>
          <t>Boolean[]</t>
        </is>
      </c>
      <c r="G80" s="854" t="inlineStr">
        <is>
          <t>Y if OUT-13 is No</t>
        </is>
      </c>
      <c r="H80" t="inlineStr">
        <is>
          <t>N</t>
        </is>
      </c>
      <c r="I80" s="854" t="inlineStr">
        <is>
          <t>TRUE/FALSE</t>
        </is>
      </c>
      <c r="J80" t="inlineStr">
        <is>
          <t>Read if P is No</t>
        </is>
      </c>
      <c r="K80" t="inlineStr">
        <is>
          <t>Report specific failures.</t>
        </is>
      </c>
    </row>
    <row r="81">
      <c r="A81" t="inlineStr">
        <is>
          <t>OUT-15</t>
        </is>
      </c>
      <c r="B81" t="inlineStr">
        <is>
          <t>Total Ineligible Count</t>
        </is>
      </c>
      <c r="C81" t="inlineStr">
        <is>
          <t>Ineligible loans in portfolio</t>
        </is>
      </c>
      <c r="D81" s="854" t="inlineStr">
        <is>
          <t>AI_Instructions</t>
        </is>
      </c>
      <c r="E81" t="inlineStr">
        <is>
          <t>B14</t>
        </is>
      </c>
      <c r="F81" t="inlineStr">
        <is>
          <t>Integer</t>
        </is>
      </c>
      <c r="G81" s="854" t="inlineStr">
        <is>
          <t>N</t>
        </is>
      </c>
      <c r="H81" t="inlineStr">
        <is>
          <t>Y</t>
        </is>
      </c>
      <c r="I81" s="854" t="inlineStr">
        <is>
          <t>#,##0</t>
        </is>
      </c>
      <c r="J81" t="inlineStr">
        <is>
          <t>Compare before/after</t>
        </is>
      </c>
      <c r="K81" t="inlineStr">
        <is>
          <t>If increased, new loan ineligible.</t>
        </is>
      </c>
    </row>
    <row r="82">
      <c r="A82" s="954" t="inlineStr">
        <is>
          <t>--</t>
        </is>
      </c>
      <c r="B82" s="954" t="inlineStr">
        <is>
          <t>CONCENTRATION LIMIT OUTPUTS</t>
        </is>
      </c>
      <c r="C82" s="954" t="n"/>
      <c r="D82" s="966" t="n"/>
      <c r="E82" s="954" t="n"/>
      <c r="F82" s="954" t="n"/>
      <c r="G82" s="966" t="n"/>
      <c r="H82" s="954" t="n"/>
      <c r="I82" s="966" t="n"/>
      <c r="J82" s="954" t="n"/>
      <c r="K82" s="954" t="n"/>
    </row>
    <row r="83">
      <c r="A83" t="inlineStr">
        <is>
          <t>OUT-16</t>
        </is>
      </c>
      <c r="B83" t="inlineStr">
        <is>
          <t>CL: Prior Actuals</t>
        </is>
      </c>
      <c r="C83" t="inlineStr">
        <is>
          <t>Pre-run actuals for 13 limits</t>
        </is>
      </c>
      <c r="D83" s="854" t="inlineStr">
        <is>
          <t>Concentration Limits</t>
        </is>
      </c>
      <c r="E83" t="inlineStr">
        <is>
          <t>L49:L70</t>
        </is>
      </c>
      <c r="F83" t="inlineStr">
        <is>
          <t>Currency[]</t>
        </is>
      </c>
      <c r="G83" s="854" t="inlineStr">
        <is>
          <t>Y</t>
        </is>
      </c>
      <c r="H83" t="inlineStr">
        <is>
          <t>Y (snapshot)</t>
        </is>
      </c>
      <c r="I83" s="854" t="inlineStr">
        <is>
          <t>$#,##0</t>
        </is>
      </c>
      <c r="J83" t="inlineStr">
        <is>
          <t>Hardcode to DTI D74:D89</t>
        </is>
      </c>
      <c r="K83" t="inlineStr">
        <is>
          <t>Snapshot before writes.</t>
        </is>
      </c>
    </row>
    <row r="84">
      <c r="A84" t="inlineStr">
        <is>
          <t>OUT-17</t>
        </is>
      </c>
      <c r="B84" t="inlineStr">
        <is>
          <t>CL: Prior Excess</t>
        </is>
      </c>
      <c r="C84" t="inlineStr">
        <is>
          <t>Pre-run excess for 13 limits</t>
        </is>
      </c>
      <c r="D84" s="854" t="inlineStr">
        <is>
          <t>Concentration Limits</t>
        </is>
      </c>
      <c r="E84" t="inlineStr">
        <is>
          <t>K49:K70</t>
        </is>
      </c>
      <c r="F84" t="inlineStr">
        <is>
          <t>Currency[]</t>
        </is>
      </c>
      <c r="G84" s="854" t="inlineStr">
        <is>
          <t>Y</t>
        </is>
      </c>
      <c r="H84" t="inlineStr">
        <is>
          <t>Y (snapshot)</t>
        </is>
      </c>
      <c r="I84" s="854" t="inlineStr">
        <is>
          <t>$#,##0</t>
        </is>
      </c>
      <c r="J84" t="inlineStr">
        <is>
          <t>Hardcode to DTI E74:E89</t>
        </is>
      </c>
      <c r="K84" t="inlineStr">
        <is>
          <t>Zero is within limit.</t>
        </is>
      </c>
    </row>
    <row r="85">
      <c r="A85" t="inlineStr">
        <is>
          <t>OUT-18</t>
        </is>
      </c>
      <c r="B85" t="inlineStr">
        <is>
          <t>CL: Pro Forma Actuals</t>
        </is>
      </c>
      <c r="C85" t="inlineStr">
        <is>
          <t>Post-run actuals</t>
        </is>
      </c>
      <c r="D85" s="854" t="inlineStr">
        <is>
          <t>Concentration Limits</t>
        </is>
      </c>
      <c r="E85" t="inlineStr">
        <is>
          <t>L49:L70</t>
        </is>
      </c>
      <c r="F85" t="inlineStr">
        <is>
          <t>Currency[]</t>
        </is>
      </c>
      <c r="G85" s="854" t="inlineStr">
        <is>
          <t>Y</t>
        </is>
      </c>
      <c r="H85" t="inlineStr">
        <is>
          <t>Y (live link)</t>
        </is>
      </c>
      <c r="I85" s="854" t="inlineStr">
        <is>
          <t>$#,##0</t>
        </is>
      </c>
      <c r="J85" t="inlineStr">
        <is>
          <t>Live link to DTI F74:F89</t>
        </is>
      </c>
      <c r="K85" t="inlineStr">
        <is>
          <t>Compare F to D.</t>
        </is>
      </c>
    </row>
    <row r="86">
      <c r="A86" t="inlineStr">
        <is>
          <t>OUT-19</t>
        </is>
      </c>
      <c r="B86" t="inlineStr">
        <is>
          <t>CL: Pro Forma Excess</t>
        </is>
      </c>
      <c r="C86" t="inlineStr">
        <is>
          <t>Post-run excess</t>
        </is>
      </c>
      <c r="D86" s="854" t="inlineStr">
        <is>
          <t>Concentration Limits</t>
        </is>
      </c>
      <c r="E86" t="inlineStr">
        <is>
          <t>K49:K70</t>
        </is>
      </c>
      <c r="F86" t="inlineStr">
        <is>
          <t>Currency[]</t>
        </is>
      </c>
      <c r="G86" s="854" t="inlineStr">
        <is>
          <t>Y</t>
        </is>
      </c>
      <c r="H86" t="inlineStr">
        <is>
          <t>Y (live link)</t>
        </is>
      </c>
      <c r="I86" s="854" t="inlineStr">
        <is>
          <t>$#,##0</t>
        </is>
      </c>
      <c r="J86" t="inlineStr">
        <is>
          <t>Live link to DTI G74:G89</t>
        </is>
      </c>
      <c r="K86" t="inlineStr">
        <is>
          <t>New breach if non-zero.</t>
        </is>
      </c>
    </row>
    <row r="87">
      <c r="A87" t="inlineStr">
        <is>
          <t>OUT-20</t>
        </is>
      </c>
      <c r="B87" t="inlineStr">
        <is>
          <t>CL: Delta Actual</t>
        </is>
      </c>
      <c r="C87" t="inlineStr">
        <is>
          <t>Change in actuals per limit</t>
        </is>
      </c>
      <c r="D87" s="854" t="inlineStr">
        <is>
          <t>Deal Team Input</t>
        </is>
      </c>
      <c r="E87" t="inlineStr">
        <is>
          <t>H74:H89</t>
        </is>
      </c>
      <c r="F87" t="inlineStr">
        <is>
          <t>Currency[]</t>
        </is>
      </c>
      <c r="G87" s="854" t="inlineStr">
        <is>
          <t>Y</t>
        </is>
      </c>
      <c r="H87" t="inlineStr">
        <is>
          <t>N (formula)</t>
        </is>
      </c>
      <c r="I87" s="854" t="inlineStr">
        <is>
          <t>$#,##0</t>
        </is>
      </c>
      <c r="J87" t="inlineStr">
        <is>
          <t>Formula: F-D</t>
        </is>
      </c>
      <c r="K87" t="inlineStr">
        <is>
          <t>Auto-calculates.</t>
        </is>
      </c>
    </row>
    <row r="88">
      <c r="A88" t="inlineStr">
        <is>
          <t>OUT-21</t>
        </is>
      </c>
      <c r="B88" t="inlineStr">
        <is>
          <t>CL: Delta Excess</t>
        </is>
      </c>
      <c r="C88" t="inlineStr">
        <is>
          <t>Change in excess per limit</t>
        </is>
      </c>
      <c r="D88" s="854" t="inlineStr">
        <is>
          <t>Deal Team Input</t>
        </is>
      </c>
      <c r="E88" t="inlineStr">
        <is>
          <t>I74:I89</t>
        </is>
      </c>
      <c r="F88" t="inlineStr">
        <is>
          <t>Currency[]</t>
        </is>
      </c>
      <c r="G88" s="854" t="inlineStr">
        <is>
          <t>Y</t>
        </is>
      </c>
      <c r="H88" t="inlineStr">
        <is>
          <t>N (formula)</t>
        </is>
      </c>
      <c r="I88" s="854" t="inlineStr">
        <is>
          <t>$#,##0</t>
        </is>
      </c>
      <c r="J88" t="inlineStr">
        <is>
          <t>Formula: G-E</t>
        </is>
      </c>
      <c r="K88" t="inlineStr">
        <is>
          <t>Positive delta means breach.</t>
        </is>
      </c>
    </row>
    <row r="89">
      <c r="A89" s="954" t="inlineStr">
        <is>
          <t>--</t>
        </is>
      </c>
      <c r="B89" s="954" t="inlineStr">
        <is>
          <t>PORTFOLIO COMPOSITION OUTPUTS</t>
        </is>
      </c>
      <c r="C89" s="954" t="n"/>
      <c r="D89" s="966" t="n"/>
      <c r="E89" s="954" t="n"/>
      <c r="F89" s="954" t="n"/>
      <c r="G89" s="966" t="n"/>
      <c r="H89" s="954" t="n"/>
      <c r="I89" s="966" t="n"/>
      <c r="J89" s="954" t="n"/>
      <c r="K89" s="954" t="n"/>
    </row>
    <row r="90">
      <c r="A90" t="inlineStr">
        <is>
          <t>OUT-22</t>
        </is>
      </c>
      <c r="B90" t="inlineStr">
        <is>
          <t>BDC Share %</t>
        </is>
      </c>
      <c r="C90" t="inlineStr">
        <is>
          <t>BDC / Total SM balance</t>
        </is>
      </c>
      <c r="D90" s="854" t="inlineStr">
        <is>
          <t>Deal Team Input</t>
        </is>
      </c>
      <c r="E90" t="inlineStr">
        <is>
          <t>B65</t>
        </is>
      </c>
      <c r="F90" t="inlineStr">
        <is>
          <t>Percent</t>
        </is>
      </c>
      <c r="G90" s="854" t="inlineStr">
        <is>
          <t>N</t>
        </is>
      </c>
      <c r="H90" t="inlineStr">
        <is>
          <t>N (auto-calc)</t>
        </is>
      </c>
      <c r="I90" s="970" t="n">
        <v>0</v>
      </c>
      <c r="J90" t="inlineStr">
        <is>
          <t>Formula: B19/B20</t>
        </is>
      </c>
      <c r="K90" t="inlineStr">
        <is>
          <t>Ownership percentage.</t>
        </is>
      </c>
    </row>
    <row r="91">
      <c r="A91" t="inlineStr">
        <is>
          <t>OUT-23</t>
        </is>
      </c>
      <c r="B91" t="inlineStr">
        <is>
          <t>Total Net Leverage</t>
        </is>
      </c>
      <c r="C91" t="inlineStr">
        <is>
          <t>Calculated leverage</t>
        </is>
      </c>
      <c r="D91" s="854" t="inlineStr">
        <is>
          <t>Deal Team Input</t>
        </is>
      </c>
      <c r="E91" t="inlineStr">
        <is>
          <t>B66</t>
        </is>
      </c>
      <c r="F91" t="inlineStr">
        <is>
          <t>Multiple</t>
        </is>
      </c>
      <c r="G91" s="854" t="inlineStr">
        <is>
          <t>N</t>
        </is>
      </c>
      <c r="H91" t="inlineStr">
        <is>
          <t>N (auto-calc)</t>
        </is>
      </c>
      <c r="I91" s="854" t="inlineStr">
        <is>
          <t>0.0x</t>
        </is>
      </c>
      <c r="J91" t="inlineStr">
        <is>
          <t>Formula from inputs</t>
        </is>
      </c>
      <c r="K91" t="inlineStr">
        <is>
          <t>Cross-check vs attach point.</t>
        </is>
      </c>
    </row>
    <row r="92">
      <c r="A92" t="inlineStr">
        <is>
          <t>OUT-24</t>
        </is>
      </c>
      <c r="B92" t="inlineStr">
        <is>
          <t>Credit Enhancement Test</t>
        </is>
      </c>
      <c r="C92" t="inlineStr">
        <is>
          <t>Min equity cushion</t>
        </is>
      </c>
      <c r="D92" s="854" t="inlineStr">
        <is>
          <t>Availability</t>
        </is>
      </c>
      <c r="E92" t="inlineStr">
        <is>
          <t>L42</t>
        </is>
      </c>
      <c r="F92" t="inlineStr">
        <is>
          <t>Text</t>
        </is>
      </c>
      <c r="G92" s="854" t="inlineStr">
        <is>
          <t>Y</t>
        </is>
      </c>
      <c r="H92" t="inlineStr">
        <is>
          <t>Y</t>
        </is>
      </c>
      <c r="I92" s="854" t="inlineStr">
        <is>
          <t>Pass/Fail</t>
        </is>
      </c>
      <c r="J92" t="inlineStr">
        <is>
          <t>Read before and after</t>
        </is>
      </c>
      <c r="K92" t="inlineStr">
        <is>
          <t>Must show Pass.</t>
        </is>
      </c>
    </row>
    <row r="94">
      <c r="A94" s="950" t="inlineStr">
        <is>
          <t>═══════════════════════════════════════════════════════════════════════════════════════════════════════════════</t>
        </is>
      </c>
    </row>
    <row r="95" ht="21.95" customHeight="1">
      <c r="A95" s="972" t="inlineStr">
        <is>
          <t>SECTION C — VALIDATION RULES</t>
        </is>
      </c>
    </row>
    <row r="96">
      <c r="A96" s="951" t="inlineStr">
        <is>
          <t>Purpose: Pre-execution validation framework. AI must run ALL applicable rules before writing any data. Hard Stop = abort run. Warning = flag + proceed with confirmation. Info = log only.</t>
        </is>
      </c>
    </row>
    <row r="98" ht="15.75" customHeight="1" thickBot="1">
      <c r="A98" s="962" t="inlineStr">
        <is>
          <t>Rule_ID</t>
        </is>
      </c>
      <c r="B98" s="962" t="inlineStr">
        <is>
          <t>Input Field Ref</t>
        </is>
      </c>
      <c r="C98" s="962" t="inlineStr">
        <is>
          <t>Rule Type</t>
        </is>
      </c>
      <c r="D98" s="964" t="inlineStr">
        <is>
          <t>Rule Logic (plain English)</t>
        </is>
      </c>
      <c r="E98" s="962" t="inlineStr">
        <is>
          <t>Error Message</t>
        </is>
      </c>
      <c r="F98" s="962" t="inlineStr">
        <is>
          <t>Severity</t>
        </is>
      </c>
      <c r="G98" s="964" t="inlineStr">
        <is>
          <t>AI Auto-Correct?</t>
        </is>
      </c>
      <c r="H98" s="962" t="inlineStr">
        <is>
          <t>Escalate to Human?</t>
        </is>
      </c>
      <c r="I98" s="964" t="inlineStr">
        <is>
          <t>Notes</t>
        </is>
      </c>
    </row>
    <row r="99">
      <c r="A99" s="954" t="inlineStr">
        <is>
          <t>--</t>
        </is>
      </c>
      <c r="B99" s="954" t="inlineStr">
        <is>
          <t>REQUIRED FIELD CHECKS</t>
        </is>
      </c>
      <c r="C99" s="954" t="n"/>
      <c r="D99" s="966" t="n"/>
      <c r="E99" s="954" t="n"/>
      <c r="F99" s="954" t="n"/>
      <c r="G99" s="966" t="n"/>
      <c r="H99" s="954" t="n"/>
      <c r="I99" s="966" t="n"/>
    </row>
    <row r="100" ht="30" customHeight="1">
      <c r="A100" t="inlineStr">
        <is>
          <t>VR-01</t>
        </is>
      </c>
      <c r="B100" t="inlineStr">
        <is>
          <t>IN-01</t>
        </is>
      </c>
      <c r="C100" t="inlineStr">
        <is>
          <t>Required</t>
        </is>
      </c>
      <c r="D100" s="854" t="inlineStr">
        <is>
          <t>Company Name must not be empty</t>
        </is>
      </c>
      <c r="E100" t="inlineStr">
        <is>
          <t>ERROR: Company Name is required</t>
        </is>
      </c>
      <c r="F100" t="inlineStr">
        <is>
          <t>Hard Stop</t>
        </is>
      </c>
      <c r="G100" s="854" t="inlineStr">
        <is>
          <t>N</t>
        </is>
      </c>
      <c r="H100" t="inlineStr">
        <is>
          <t>N</t>
        </is>
      </c>
      <c r="I100" s="854" t="inlineStr">
        <is>
          <t>Cannot proceed without obligor name.</t>
        </is>
      </c>
    </row>
    <row r="101" ht="30" customHeight="1">
      <c r="A101" t="inlineStr">
        <is>
          <t>VR-02</t>
        </is>
      </c>
      <c r="B101" t="inlineStr">
        <is>
          <t>IN-03</t>
        </is>
      </c>
      <c r="C101" t="inlineStr">
        <is>
          <t>Required</t>
        </is>
      </c>
      <c r="D101" s="854" t="inlineStr">
        <is>
          <t>Security Type must not be empty</t>
        </is>
      </c>
      <c r="E101" t="inlineStr">
        <is>
          <t>ERROR: Security Type is required</t>
        </is>
      </c>
      <c r="F101" t="inlineStr">
        <is>
          <t>Hard Stop</t>
        </is>
      </c>
      <c r="G101" s="854" t="inlineStr">
        <is>
          <t>N</t>
        </is>
      </c>
      <c r="H101" t="inlineStr">
        <is>
          <t>N</t>
        </is>
      </c>
      <c r="I101" s="854" t="inlineStr">
        <is>
          <t>Determines advance rate and eligibility.</t>
        </is>
      </c>
    </row>
    <row r="102">
      <c r="A102" t="inlineStr">
        <is>
          <t>VR-03</t>
        </is>
      </c>
      <c r="B102" t="inlineStr">
        <is>
          <t>IN-05</t>
        </is>
      </c>
      <c r="C102" t="inlineStr">
        <is>
          <t>Required</t>
        </is>
      </c>
      <c r="D102" s="854" t="inlineStr">
        <is>
          <t>Industry must not be empty</t>
        </is>
      </c>
      <c r="E102" t="inlineStr">
        <is>
          <t>ERROR: Industry is required</t>
        </is>
      </c>
      <c r="F102" t="inlineStr">
        <is>
          <t>Hard Stop</t>
        </is>
      </c>
      <c r="G102" s="854" t="inlineStr">
        <is>
          <t>N</t>
        </is>
      </c>
      <c r="H102" t="inlineStr">
        <is>
          <t>N</t>
        </is>
      </c>
      <c r="I102" s="854" t="inlineStr">
        <is>
          <t>Drives concentration limits.</t>
        </is>
      </c>
    </row>
    <row r="103">
      <c r="A103" t="inlineStr">
        <is>
          <t>VR-04</t>
        </is>
      </c>
      <c r="B103" t="inlineStr">
        <is>
          <t>IN-09</t>
        </is>
      </c>
      <c r="C103" t="inlineStr">
        <is>
          <t>Required</t>
        </is>
      </c>
      <c r="D103" s="854" t="inlineStr">
        <is>
          <t>LTM Adj. EBITDA must not be empty</t>
        </is>
      </c>
      <c r="E103" t="inlineStr">
        <is>
          <t>ERROR: EBITDA is required</t>
        </is>
      </c>
      <c r="F103" t="inlineStr">
        <is>
          <t>Hard Stop</t>
        </is>
      </c>
      <c r="G103" s="854" t="inlineStr">
        <is>
          <t>N</t>
        </is>
      </c>
      <c r="H103" t="inlineStr">
        <is>
          <t>N</t>
        </is>
      </c>
      <c r="I103" s="854" t="inlineStr">
        <is>
          <t>Core to leverage and eligibility.</t>
        </is>
      </c>
    </row>
    <row r="104" ht="30" customHeight="1">
      <c r="A104" t="inlineStr">
        <is>
          <t>VR-05</t>
        </is>
      </c>
      <c r="B104" t="inlineStr">
        <is>
          <t>IN-13</t>
        </is>
      </c>
      <c r="C104" t="inlineStr">
        <is>
          <t>Required</t>
        </is>
      </c>
      <c r="D104" s="854" t="inlineStr">
        <is>
          <t>BDC Balance must not be empty</t>
        </is>
      </c>
      <c r="E104" t="inlineStr">
        <is>
          <t>ERROR: BDC Balance is required</t>
        </is>
      </c>
      <c r="F104" t="inlineStr">
        <is>
          <t>Hard Stop</t>
        </is>
      </c>
      <c r="G104" s="854" t="inlineStr">
        <is>
          <t>N</t>
        </is>
      </c>
      <c r="H104" t="inlineStr">
        <is>
          <t>N</t>
        </is>
      </c>
      <c r="I104" s="854" t="inlineStr">
        <is>
          <t>Drives borrowing base contribution.</t>
        </is>
      </c>
    </row>
    <row r="105">
      <c r="A105" t="inlineStr">
        <is>
          <t>VR-06</t>
        </is>
      </c>
      <c r="B105" t="inlineStr">
        <is>
          <t>IN-20</t>
        </is>
      </c>
      <c r="C105" t="inlineStr">
        <is>
          <t>Required</t>
        </is>
      </c>
      <c r="D105" s="854" t="inlineStr">
        <is>
          <t>Investment Date must not be empty</t>
        </is>
      </c>
      <c r="E105" t="inlineStr">
        <is>
          <t>ERROR: Investment Date is required</t>
        </is>
      </c>
      <c r="F105" t="inlineStr">
        <is>
          <t>Hard Stop</t>
        </is>
      </c>
      <c r="G105" s="854" t="inlineStr">
        <is>
          <t>N</t>
        </is>
      </c>
      <c r="H105" t="inlineStr">
        <is>
          <t>N</t>
        </is>
      </c>
      <c r="I105" s="854" t="inlineStr">
        <is>
          <t>Sets inclusion date.</t>
        </is>
      </c>
    </row>
    <row r="106">
      <c r="A106" t="inlineStr">
        <is>
          <t>VR-07</t>
        </is>
      </c>
      <c r="B106" t="inlineStr">
        <is>
          <t>IN-21</t>
        </is>
      </c>
      <c r="C106" t="inlineStr">
        <is>
          <t>Required</t>
        </is>
      </c>
      <c r="D106" s="854" t="inlineStr">
        <is>
          <t>Maturity Date must not be empty</t>
        </is>
      </c>
      <c r="E106" t="inlineStr">
        <is>
          <t>ERROR: Maturity Date is required</t>
        </is>
      </c>
      <c r="F106" t="inlineStr">
        <is>
          <t>Hard Stop</t>
        </is>
      </c>
      <c r="G106" s="854" t="inlineStr">
        <is>
          <t>N</t>
        </is>
      </c>
      <c r="H106" t="inlineStr">
        <is>
          <t>N</t>
        </is>
      </c>
      <c r="I106" s="854" t="inlineStr">
        <is>
          <t>Required for maturity test.</t>
        </is>
      </c>
    </row>
    <row r="107">
      <c r="A107" s="954" t="inlineStr">
        <is>
          <t>--</t>
        </is>
      </c>
      <c r="B107" s="954" t="inlineStr">
        <is>
          <t>DATA TYPE AND RANGE CHECKS</t>
        </is>
      </c>
      <c r="C107" s="954" t="n"/>
      <c r="D107" s="966" t="n"/>
      <c r="E107" s="954" t="n"/>
      <c r="F107" s="954" t="n"/>
      <c r="G107" s="966" t="n"/>
      <c r="H107" s="954" t="n"/>
      <c r="I107" s="966" t="n"/>
    </row>
    <row r="108">
      <c r="A108" t="inlineStr">
        <is>
          <t>VR-08</t>
        </is>
      </c>
      <c r="B108" t="inlineStr">
        <is>
          <t>IN-08</t>
        </is>
      </c>
      <c r="C108" t="inlineStr">
        <is>
          <t>Range</t>
        </is>
      </c>
      <c r="D108" s="854" t="inlineStr">
        <is>
          <t>LTM Revenue &gt; 0</t>
        </is>
      </c>
      <c r="E108" t="inlineStr">
        <is>
          <t>ERROR: Revenue must be positive</t>
        </is>
      </c>
      <c r="F108" t="inlineStr">
        <is>
          <t>Hard Stop</t>
        </is>
      </c>
      <c r="G108" s="854" t="inlineStr">
        <is>
          <t>N</t>
        </is>
      </c>
      <c r="H108" t="inlineStr">
        <is>
          <t>N</t>
        </is>
      </c>
      <c r="I108" s="854" t="inlineStr">
        <is>
          <t>Zero or negative invalid.</t>
        </is>
      </c>
    </row>
    <row r="109" ht="30" customHeight="1">
      <c r="A109" t="inlineStr">
        <is>
          <t>VR-09</t>
        </is>
      </c>
      <c r="B109" t="inlineStr">
        <is>
          <t>IN-09</t>
        </is>
      </c>
      <c r="C109" t="inlineStr">
        <is>
          <t>Range</t>
        </is>
      </c>
      <c r="D109" s="854" t="inlineStr">
        <is>
          <t>LTM EBITDA &gt; 0</t>
        </is>
      </c>
      <c r="E109" t="inlineStr">
        <is>
          <t>ERROR: EBITDA must be positive</t>
        </is>
      </c>
      <c r="F109" t="inlineStr">
        <is>
          <t>Hard Stop</t>
        </is>
      </c>
      <c r="G109" s="854" t="inlineStr">
        <is>
          <t>N</t>
        </is>
      </c>
      <c r="H109" t="inlineStr">
        <is>
          <t>N</t>
        </is>
      </c>
      <c r="I109" s="854" t="inlineStr">
        <is>
          <t>Negative EBITDA special handling.</t>
        </is>
      </c>
    </row>
    <row r="110">
      <c r="A110" t="inlineStr">
        <is>
          <t>VR-10</t>
        </is>
      </c>
      <c r="B110" t="inlineStr">
        <is>
          <t>IN-13</t>
        </is>
      </c>
      <c r="C110" t="inlineStr">
        <is>
          <t>Range</t>
        </is>
      </c>
      <c r="D110" s="854" t="inlineStr">
        <is>
          <t>BDC Balance &gt; 0</t>
        </is>
      </c>
      <c r="E110" t="inlineStr">
        <is>
          <t>ERROR: BDC Balance must be positive</t>
        </is>
      </c>
      <c r="F110" t="inlineStr">
        <is>
          <t>Hard Stop</t>
        </is>
      </c>
      <c r="G110" s="854" t="inlineStr">
        <is>
          <t>N</t>
        </is>
      </c>
      <c r="H110" t="inlineStr">
        <is>
          <t>N</t>
        </is>
      </c>
      <c r="I110" s="854" t="inlineStr">
        <is>
          <t>Zero is not valid.</t>
        </is>
      </c>
    </row>
    <row r="111">
      <c r="A111" t="inlineStr">
        <is>
          <t>VR-11</t>
        </is>
      </c>
      <c r="B111" t="inlineStr">
        <is>
          <t>IN-14</t>
        </is>
      </c>
      <c r="C111" t="inlineStr">
        <is>
          <t>Range</t>
        </is>
      </c>
      <c r="D111" s="854" t="inlineStr">
        <is>
          <t>Total SM &gt;= BDC Balance</t>
        </is>
      </c>
      <c r="E111" t="inlineStr">
        <is>
          <t>ERROR: SM &gt;= BDC Balance</t>
        </is>
      </c>
      <c r="F111" t="inlineStr">
        <is>
          <t>Hard Stop</t>
        </is>
      </c>
      <c r="G111" s="854" t="inlineStr">
        <is>
          <t>N</t>
        </is>
      </c>
      <c r="H111" t="inlineStr">
        <is>
          <t>Y</t>
        </is>
      </c>
      <c r="I111" s="854" t="inlineStr">
        <is>
          <t>BDC subset of total SM.</t>
        </is>
      </c>
    </row>
    <row r="112">
      <c r="A112" t="inlineStr">
        <is>
          <t>VR-12</t>
        </is>
      </c>
      <c r="B112" t="inlineStr">
        <is>
          <t>IN-18</t>
        </is>
      </c>
      <c r="C112" t="inlineStr">
        <is>
          <t>Range</t>
        </is>
      </c>
      <c r="D112" s="854" t="inlineStr">
        <is>
          <t>Purchase Price 0.01 to 1.50</t>
        </is>
      </c>
      <c r="E112" t="inlineStr">
        <is>
          <t>WARNING: Price outside range</t>
        </is>
      </c>
      <c r="F112" t="inlineStr">
        <is>
          <t>Warning</t>
        </is>
      </c>
      <c r="G112" s="854" t="inlineStr">
        <is>
          <t>N</t>
        </is>
      </c>
      <c r="H112" t="inlineStr">
        <is>
          <t>Y if &lt; 0.80</t>
        </is>
      </c>
      <c r="I112" s="854" t="inlineStr">
        <is>
          <t>Low price may be distress.</t>
        </is>
      </c>
    </row>
    <row r="113">
      <c r="A113" t="inlineStr">
        <is>
          <t>VR-13</t>
        </is>
      </c>
      <c r="B113" t="inlineStr">
        <is>
          <t>IN-25</t>
        </is>
      </c>
      <c r="C113" t="inlineStr">
        <is>
          <t>Range</t>
        </is>
      </c>
      <c r="D113" s="854" t="inlineStr">
        <is>
          <t>Spread 0.01 to 0.25</t>
        </is>
      </c>
      <c r="E113" t="inlineStr">
        <is>
          <t>WARNING: Spread outside range</t>
        </is>
      </c>
      <c r="F113" t="inlineStr">
        <is>
          <t>Warning</t>
        </is>
      </c>
      <c r="G113" s="854" t="inlineStr">
        <is>
          <t>N</t>
        </is>
      </c>
      <c r="H113" t="inlineStr">
        <is>
          <t>Y if &gt; 0.20</t>
        </is>
      </c>
      <c r="I113" s="854" t="inlineStr">
        <is>
          <t>High spread unusual.</t>
        </is>
      </c>
    </row>
    <row r="114">
      <c r="A114" s="954" t="inlineStr">
        <is>
          <t>--</t>
        </is>
      </c>
      <c r="B114" s="954" t="inlineStr">
        <is>
          <t>ELIGIBILITY PRE-CHECKS</t>
        </is>
      </c>
      <c r="C114" s="954" t="n"/>
      <c r="D114" s="966" t="n"/>
      <c r="E114" s="954" t="n"/>
      <c r="F114" s="954" t="n"/>
      <c r="G114" s="966" t="n"/>
      <c r="H114" s="954" t="n"/>
      <c r="I114" s="966" t="n"/>
    </row>
    <row r="115">
      <c r="A115" t="inlineStr">
        <is>
          <t>VR-14</t>
        </is>
      </c>
      <c r="B115" t="inlineStr">
        <is>
          <t>IN-03</t>
        </is>
      </c>
      <c r="C115" t="inlineStr">
        <is>
          <t>Picklist</t>
        </is>
      </c>
      <c r="D115" s="854" t="inlineStr">
        <is>
          <t>Type in AGENT!A4:A10</t>
        </is>
      </c>
      <c r="E115" t="inlineStr">
        <is>
          <t>ERROR: Invalid Security Type</t>
        </is>
      </c>
      <c r="F115" t="inlineStr">
        <is>
          <t>Hard Stop</t>
        </is>
      </c>
      <c r="G115" s="854" t="inlineStr">
        <is>
          <t>N</t>
        </is>
      </c>
      <c r="H115" t="inlineStr">
        <is>
          <t>N</t>
        </is>
      </c>
      <c r="I115" s="854" t="inlineStr">
        <is>
          <t>1L, FILO, 2L, DDTL, Rev.</t>
        </is>
      </c>
    </row>
    <row r="116">
      <c r="A116" t="inlineStr">
        <is>
          <t>VR-15</t>
        </is>
      </c>
      <c r="B116" t="inlineStr">
        <is>
          <t>IN-18</t>
        </is>
      </c>
      <c r="C116" t="inlineStr">
        <is>
          <t>Threshold</t>
        </is>
      </c>
      <c r="D116" s="854" t="inlineStr">
        <is>
          <t>Price &gt;= 0.90 (AGENT!E4)</t>
        </is>
      </c>
      <c r="E116" t="inlineStr">
        <is>
          <t>WARNING: Below min - INELIGIBLE</t>
        </is>
      </c>
      <c r="F116" t="inlineStr">
        <is>
          <t>Warning</t>
        </is>
      </c>
      <c r="G116" s="854" t="inlineStr">
        <is>
          <t>N</t>
        </is>
      </c>
      <c r="H116" t="inlineStr">
        <is>
          <t>Y</t>
        </is>
      </c>
      <c r="I116" s="854" t="inlineStr">
        <is>
          <t>Test 5 failure if &lt; 90%.</t>
        </is>
      </c>
    </row>
    <row r="117">
      <c r="A117" t="inlineStr">
        <is>
          <t>VR-16</t>
        </is>
      </c>
      <c r="B117" t="inlineStr">
        <is>
          <t>IN-17</t>
        </is>
      </c>
      <c r="C117" t="inlineStr">
        <is>
          <t>Value</t>
        </is>
      </c>
      <c r="D117" s="854" t="inlineStr">
        <is>
          <t>Denomination USD</t>
        </is>
      </c>
      <c r="E117" t="inlineStr">
        <is>
          <t>WARNING: Non-USD INELIGIBLE</t>
        </is>
      </c>
      <c r="F117" t="inlineStr">
        <is>
          <t>Warning</t>
        </is>
      </c>
      <c r="G117" s="854" t="inlineStr">
        <is>
          <t>N</t>
        </is>
      </c>
      <c r="H117" t="inlineStr">
        <is>
          <t>Y</t>
        </is>
      </c>
      <c r="I117" s="854" t="inlineStr">
        <is>
          <t>Test 6 requires USD.</t>
        </is>
      </c>
    </row>
    <row r="118">
      <c r="A118" t="inlineStr">
        <is>
          <t>VR-17</t>
        </is>
      </c>
      <c r="B118" t="inlineStr">
        <is>
          <t>IN-19</t>
        </is>
      </c>
      <c r="C118" t="inlineStr">
        <is>
          <t>Value</t>
        </is>
      </c>
      <c r="D118" s="854" t="inlineStr">
        <is>
          <t>Country United States</t>
        </is>
      </c>
      <c r="E118" t="inlineStr">
        <is>
          <t>WARNING: Non-US INELIGIBLE</t>
        </is>
      </c>
      <c r="F118" t="inlineStr">
        <is>
          <t>Warning</t>
        </is>
      </c>
      <c r="G118" s="854" t="inlineStr">
        <is>
          <t>N</t>
        </is>
      </c>
      <c r="H118" t="inlineStr">
        <is>
          <t>Y</t>
        </is>
      </c>
      <c r="I118" s="854" t="inlineStr">
        <is>
          <t>Test 7 requires US.</t>
        </is>
      </c>
    </row>
    <row r="119">
      <c r="A119" t="inlineStr">
        <is>
          <t>VR-18</t>
        </is>
      </c>
      <c r="B119" t="inlineStr">
        <is>
          <t>IN-09+IN-03</t>
        </is>
      </c>
      <c r="C119" t="inlineStr">
        <is>
          <t>Threshold</t>
        </is>
      </c>
      <c r="D119" s="854" t="inlineStr">
        <is>
          <t>If 2L: EBITDA &gt;= $10MM</t>
        </is>
      </c>
      <c r="E119" t="inlineStr">
        <is>
          <t>WARNING: 2L EBITDA below min</t>
        </is>
      </c>
      <c r="F119" t="inlineStr">
        <is>
          <t>Warning</t>
        </is>
      </c>
      <c r="G119" s="854" t="inlineStr">
        <is>
          <t>N</t>
        </is>
      </c>
      <c r="H119" t="inlineStr">
        <is>
          <t>Y</t>
        </is>
      </c>
      <c r="I119" s="854" t="inlineStr">
        <is>
          <t>AGENT!B4 threshold.</t>
        </is>
      </c>
    </row>
    <row r="120">
      <c r="A120" s="954" t="inlineStr">
        <is>
          <t>--</t>
        </is>
      </c>
      <c r="B120" s="954" t="inlineStr">
        <is>
          <t>CROSS-FIELD CONSISTENCY</t>
        </is>
      </c>
      <c r="C120" s="954" t="n"/>
      <c r="D120" s="966" t="n"/>
      <c r="E120" s="954" t="n"/>
      <c r="F120" s="954" t="n"/>
      <c r="G120" s="966" t="n"/>
      <c r="H120" s="954" t="n"/>
      <c r="I120" s="966" t="n"/>
    </row>
    <row r="121">
      <c r="A121" t="inlineStr">
        <is>
          <t>VR-19</t>
        </is>
      </c>
      <c r="B121" t="inlineStr">
        <is>
          <t>IN-20+IN-21</t>
        </is>
      </c>
      <c r="C121" t="inlineStr">
        <is>
          <t>Date Order</t>
        </is>
      </c>
      <c r="D121" s="854" t="inlineStr">
        <is>
          <t>Invest Date &lt; Maturity Date</t>
        </is>
      </c>
      <c r="E121" t="inlineStr">
        <is>
          <t>ERROR: Maturity after Invest</t>
        </is>
      </c>
      <c r="F121" t="inlineStr">
        <is>
          <t>Hard Stop</t>
        </is>
      </c>
      <c r="G121" s="854" t="inlineStr">
        <is>
          <t>N</t>
        </is>
      </c>
      <c r="H121" t="inlineStr">
        <is>
          <t>N</t>
        </is>
      </c>
      <c r="I121" s="854" t="inlineStr">
        <is>
          <t>Basic date ordering.</t>
        </is>
      </c>
    </row>
    <row r="122">
      <c r="A122" t="inlineStr">
        <is>
          <t>VR-20</t>
        </is>
      </c>
      <c r="B122" t="inlineStr">
        <is>
          <t>IN-20+IN-21</t>
        </is>
      </c>
      <c r="C122" t="inlineStr">
        <is>
          <t>Term</t>
        </is>
      </c>
      <c r="D122" s="854" t="inlineStr">
        <is>
          <t>Term &lt;= 7 years</t>
        </is>
      </c>
      <c r="E122" t="inlineStr">
        <is>
          <t>WARNING: Term &gt; 7yr INELIGIBLE</t>
        </is>
      </c>
      <c r="F122" t="inlineStr">
        <is>
          <t>Warning</t>
        </is>
      </c>
      <c r="G122" s="854" t="inlineStr">
        <is>
          <t>N</t>
        </is>
      </c>
      <c r="H122" t="inlineStr">
        <is>
          <t>Y</t>
        </is>
      </c>
      <c r="I122" s="854" t="inlineStr">
        <is>
          <t>AGENT!F4. Test 9.</t>
        </is>
      </c>
    </row>
    <row r="123">
      <c r="A123" t="inlineStr">
        <is>
          <t>VR-21</t>
        </is>
      </c>
      <c r="B123" t="inlineStr">
        <is>
          <t>IN-29+IN-20</t>
        </is>
      </c>
      <c r="C123" t="inlineStr">
        <is>
          <t>Equality</t>
        </is>
      </c>
      <c r="D123" s="854" t="inlineStr">
        <is>
          <t>Inclusion MUST equal Invest Date</t>
        </is>
      </c>
      <c r="E123" t="inlineStr">
        <is>
          <t>ERROR: AO must equal U</t>
        </is>
      </c>
      <c r="F123" t="inlineStr">
        <is>
          <t>Hard Stop</t>
        </is>
      </c>
      <c r="G123" s="854" t="inlineStr">
        <is>
          <t>Y (auto)</t>
        </is>
      </c>
      <c r="H123" t="inlineStr">
        <is>
          <t>N</t>
        </is>
      </c>
      <c r="I123" s="854" t="inlineStr">
        <is>
          <t>Session 3 lesson.</t>
        </is>
      </c>
    </row>
    <row r="124">
      <c r="A124" t="inlineStr">
        <is>
          <t>VR-22</t>
        </is>
      </c>
      <c r="B124" t="inlineStr">
        <is>
          <t>IN-30+IN-13</t>
        </is>
      </c>
      <c r="C124" t="inlineStr">
        <is>
          <t>Equality</t>
        </is>
      </c>
      <c r="D124" s="854" t="inlineStr">
        <is>
          <t>FMV MUST equal BDC Balance</t>
        </is>
      </c>
      <c r="E124" t="inlineStr">
        <is>
          <t>ERROR: S must equal BDC Bal</t>
        </is>
      </c>
      <c r="F124" t="inlineStr">
        <is>
          <t>Hard Stop</t>
        </is>
      </c>
      <c r="G124" s="854" t="inlineStr">
        <is>
          <t>Y (auto)</t>
        </is>
      </c>
      <c r="H124" t="inlineStr">
        <is>
          <t>N</t>
        </is>
      </c>
      <c r="I124" s="854" t="inlineStr">
        <is>
          <t>Session 7 lesson.</t>
        </is>
      </c>
    </row>
    <row r="125">
      <c r="A125" t="inlineStr">
        <is>
          <t>VR-23</t>
        </is>
      </c>
      <c r="B125" t="inlineStr">
        <is>
          <t>IN-31+IN-13</t>
        </is>
      </c>
      <c r="C125" t="inlineStr">
        <is>
          <t>Equality</t>
        </is>
      </c>
      <c r="D125" s="854" t="inlineStr">
        <is>
          <t>SM FV (E) MUST equal D</t>
        </is>
      </c>
      <c r="E125" t="inlineStr">
        <is>
          <t>ERROR: E must equal D</t>
        </is>
      </c>
      <c r="F125" t="inlineStr">
        <is>
          <t>Hard Stop</t>
        </is>
      </c>
      <c r="G125" s="854" t="inlineStr">
        <is>
          <t>Y (auto)</t>
        </is>
      </c>
      <c r="H125" t="inlineStr">
        <is>
          <t>N</t>
        </is>
      </c>
      <c r="I125" s="854" t="inlineStr">
        <is>
          <t>D equals E equals S at par.</t>
        </is>
      </c>
    </row>
    <row r="126">
      <c r="A126" t="inlineStr">
        <is>
          <t>--</t>
        </is>
      </c>
      <c r="B126" t="inlineStr">
        <is>
          <t>TAXONOMY CHECKS</t>
        </is>
      </c>
    </row>
    <row r="127">
      <c r="A127" s="954" t="inlineStr">
        <is>
          <t>VR-24</t>
        </is>
      </c>
      <c r="B127" s="954" t="inlineStr">
        <is>
          <t>IN-05</t>
        </is>
      </c>
      <c r="C127" s="954" t="inlineStr">
        <is>
          <t>Exact Match</t>
        </is>
      </c>
      <c r="D127" s="966" t="inlineStr">
        <is>
          <t>Industry in CL!E81:E153</t>
        </is>
      </c>
      <c r="E127" s="954" t="inlineStr">
        <is>
          <t>ERROR: Industry not in list</t>
        </is>
      </c>
      <c r="F127" s="954" t="inlineStr">
        <is>
          <t>Hard Stop</t>
        </is>
      </c>
      <c r="G127" s="966" t="inlineStr">
        <is>
          <t>N</t>
        </is>
      </c>
      <c r="H127" s="954" t="inlineStr">
        <is>
          <t>Y</t>
        </is>
      </c>
      <c r="I127" s="966" t="inlineStr">
        <is>
          <t>Case-sensitive exact match.</t>
        </is>
      </c>
    </row>
    <row r="128">
      <c r="A128" t="inlineStr">
        <is>
          <t>VR-25</t>
        </is>
      </c>
      <c r="B128" t="inlineStr">
        <is>
          <t>IN-22</t>
        </is>
      </c>
      <c r="C128" t="inlineStr">
        <is>
          <t>Picklist</t>
        </is>
      </c>
      <c r="D128" s="854" t="inlineStr">
        <is>
          <t>Floating or Fixed</t>
        </is>
      </c>
      <c r="E128" t="inlineStr">
        <is>
          <t>ERROR: Invalid rate type</t>
        </is>
      </c>
      <c r="F128" t="inlineStr">
        <is>
          <t>Hard Stop</t>
        </is>
      </c>
      <c r="G128" s="854" t="inlineStr">
        <is>
          <t>Y (Floating)</t>
        </is>
      </c>
      <c r="H128" t="inlineStr">
        <is>
          <t>N</t>
        </is>
      </c>
      <c r="I128" s="854" t="inlineStr">
        <is>
          <t>Default Floating.</t>
        </is>
      </c>
    </row>
    <row r="129">
      <c r="A129" t="inlineStr">
        <is>
          <t>VR-26</t>
        </is>
      </c>
      <c r="B129" t="inlineStr">
        <is>
          <t>IN-23</t>
        </is>
      </c>
      <c r="C129" t="inlineStr">
        <is>
          <t>Picklist</t>
        </is>
      </c>
      <c r="D129" s="854" t="inlineStr">
        <is>
          <t>M or Q</t>
        </is>
      </c>
      <c r="E129" t="inlineStr">
        <is>
          <t>ERROR: Invalid frequency</t>
        </is>
      </c>
      <c r="F129" t="inlineStr">
        <is>
          <t>Hard Stop</t>
        </is>
      </c>
      <c r="G129" s="854" t="inlineStr">
        <is>
          <t>Y (M)</t>
        </is>
      </c>
      <c r="H129" t="inlineStr">
        <is>
          <t>N</t>
        </is>
      </c>
      <c r="I129" s="854" t="inlineStr">
        <is>
          <t>Default Monthly.</t>
        </is>
      </c>
    </row>
    <row r="130">
      <c r="A130" s="954" t="inlineStr">
        <is>
          <t>--</t>
        </is>
      </c>
      <c r="B130" s="954" t="inlineStr">
        <is>
          <t>BUSINESS LOGIC</t>
        </is>
      </c>
      <c r="C130" s="954" t="n"/>
      <c r="D130" s="966" t="n"/>
      <c r="E130" s="954" t="n"/>
      <c r="F130" s="954" t="n"/>
      <c r="G130" s="966" t="n"/>
      <c r="H130" s="954" t="n"/>
      <c r="I130" s="966" t="n"/>
    </row>
    <row r="131">
      <c r="A131" t="inlineStr">
        <is>
          <t>VR-27</t>
        </is>
      </c>
      <c r="B131" t="inlineStr">
        <is>
          <t>IN-24</t>
        </is>
      </c>
      <c r="C131" t="inlineStr">
        <is>
          <t>Logic</t>
        </is>
      </c>
      <c r="D131" s="854" t="inlineStr">
        <is>
          <t>If PIK% &gt; 0 flag review</t>
        </is>
      </c>
      <c r="E131" t="inlineStr">
        <is>
          <t>WARNING: PIK may fail Test 2</t>
        </is>
      </c>
      <c r="F131" t="inlineStr">
        <is>
          <t>Warning</t>
        </is>
      </c>
      <c r="G131" s="854" t="inlineStr">
        <is>
          <t>N</t>
        </is>
      </c>
      <c r="H131" t="inlineStr">
        <is>
          <t>Y</t>
        </is>
      </c>
      <c r="I131" s="854" t="inlineStr">
        <is>
          <t>PIK triggers BZ/CA check.</t>
        </is>
      </c>
    </row>
    <row r="132">
      <c r="A132" t="inlineStr">
        <is>
          <t>VR-28</t>
        </is>
      </c>
      <c r="B132" t="inlineStr">
        <is>
          <t>IN-28</t>
        </is>
      </c>
      <c r="C132" t="inlineStr">
        <is>
          <t>Logic</t>
        </is>
      </c>
      <c r="D132" s="854" t="inlineStr">
        <is>
          <t>If Default Yes flag</t>
        </is>
      </c>
      <c r="E132" t="inlineStr">
        <is>
          <t>WARNING: DEFAULTED LOAN</t>
        </is>
      </c>
      <c r="F132" t="inlineStr">
        <is>
          <t>Warning</t>
        </is>
      </c>
      <c r="G132" s="854" t="inlineStr">
        <is>
          <t>N</t>
        </is>
      </c>
      <c r="H132" t="inlineStr">
        <is>
          <t>Y</t>
        </is>
      </c>
      <c r="I132" s="854" t="inlineStr">
        <is>
          <t>Test 10. Rare for new orig.</t>
        </is>
      </c>
    </row>
    <row r="133">
      <c r="A133" t="inlineStr">
        <is>
          <t>VR-29</t>
        </is>
      </c>
      <c r="B133" t="inlineStr">
        <is>
          <t>IN-06</t>
        </is>
      </c>
      <c r="C133" t="inlineStr">
        <is>
          <t>Logic</t>
        </is>
      </c>
      <c r="D133" s="854" t="inlineStr">
        <is>
          <t>Repayment: company must exist</t>
        </is>
      </c>
      <c r="E133" t="inlineStr">
        <is>
          <t>ERROR: Not in portfolio</t>
        </is>
      </c>
      <c r="F133" t="inlineStr">
        <is>
          <t>Hard Stop</t>
        </is>
      </c>
      <c r="G133" s="854" t="inlineStr">
        <is>
          <t>N</t>
        </is>
      </c>
      <c r="H133" t="inlineStr">
        <is>
          <t>Y</t>
        </is>
      </c>
      <c r="I133" s="854" t="inlineStr">
        <is>
          <t>Requires existing loan.</t>
        </is>
      </c>
    </row>
    <row r="134">
      <c r="A134" t="inlineStr">
        <is>
          <t>VR-30</t>
        </is>
      </c>
      <c r="B134" t="inlineStr">
        <is>
          <t>IN-06</t>
        </is>
      </c>
      <c r="C134" t="inlineStr">
        <is>
          <t>Logic</t>
        </is>
      </c>
      <c r="D134" s="854" t="inlineStr">
        <is>
          <t>Amendment: company must exist</t>
        </is>
      </c>
      <c r="E134" t="inlineStr">
        <is>
          <t>ERROR: Not found</t>
        </is>
      </c>
      <c r="F134" t="inlineStr">
        <is>
          <t>Hard Stop</t>
        </is>
      </c>
      <c r="G134" s="854" t="inlineStr">
        <is>
          <t>N</t>
        </is>
      </c>
      <c r="H134" t="inlineStr">
        <is>
          <t>Y</t>
        </is>
      </c>
      <c r="I134" s="854" t="inlineStr">
        <is>
          <t>Modifies existing row.</t>
        </is>
      </c>
    </row>
    <row r="135">
      <c r="A135" t="inlineStr">
        <is>
          <t>VR-31</t>
        </is>
      </c>
      <c r="B135" t="inlineStr">
        <is>
          <t>IN-09+IN-13</t>
        </is>
      </c>
      <c r="C135" t="inlineStr">
        <is>
          <t>Reasonability</t>
        </is>
      </c>
      <c r="D135" s="854" t="inlineStr">
        <is>
          <t>If leverage &gt; 6.5x warn</t>
        </is>
      </c>
      <c r="E135" t="inlineStr">
        <is>
          <t>WARNING: Leverage &gt; threshold</t>
        </is>
      </c>
      <c r="F135" t="inlineStr">
        <is>
          <t>Warning</t>
        </is>
      </c>
      <c r="G135" s="854" t="inlineStr">
        <is>
          <t>N</t>
        </is>
      </c>
      <c r="H135" t="inlineStr">
        <is>
          <t>Y</t>
        </is>
      </c>
      <c r="I135" s="854" t="inlineStr">
        <is>
          <t>May fail Test 4.</t>
        </is>
      </c>
    </row>
    <row r="136">
      <c r="A136" t="inlineStr">
        <is>
          <t>VR-32</t>
        </is>
      </c>
      <c r="B136" t="inlineStr">
        <is>
          <t>ALL</t>
        </is>
      </c>
      <c r="C136" t="inlineStr">
        <is>
          <t>Pre-flight</t>
        </is>
      </c>
      <c r="D136" s="854" t="inlineStr">
        <is>
          <t>Old data in DTI B7/B8/B53?</t>
        </is>
      </c>
      <c r="E136" t="inlineStr">
        <is>
          <t>INFO: Previous data detected</t>
        </is>
      </c>
      <c r="F136" t="inlineStr">
        <is>
          <t>Info</t>
        </is>
      </c>
      <c r="G136" s="854" t="inlineStr">
        <is>
          <t>N</t>
        </is>
      </c>
      <c r="H136" t="inlineStr">
        <is>
          <t>Y (ask clear)</t>
        </is>
      </c>
      <c r="I136" s="854" t="inlineStr">
        <is>
          <t>Session 8 safeguard.</t>
        </is>
      </c>
    </row>
    <row r="138">
      <c r="A138" s="950" t="inlineStr">
        <is>
          <t>═══════════════════════════════════════════════════════════════════════════════════════════════════════════════</t>
        </is>
      </c>
    </row>
    <row r="139" ht="21.95" customHeight="1">
      <c r="A139" s="972" t="inlineStr">
        <is>
          <t>SECTION D — CONTROLLED WRITE POLICY</t>
        </is>
      </c>
    </row>
    <row r="140">
      <c r="A140" s="951" t="inlineStr">
        <is>
          <t>Purpose: Explicit permission matrix. AI must ONLY write to cells/tabs listed as Allowed. Everything else is Read Only or Never Touch. Conservative by default.</t>
        </is>
      </c>
    </row>
    <row r="142" ht="15.75" customHeight="1" thickBot="1">
      <c r="A142" s="962" t="inlineStr">
        <is>
          <t>Sheet Name</t>
        </is>
      </c>
      <c r="B142" s="962" t="inlineStr">
        <is>
          <t>Write Permission</t>
        </is>
      </c>
      <c r="C142" s="962" t="inlineStr">
        <is>
          <t>Allowed Range</t>
        </is>
      </c>
      <c r="D142" s="964" t="inlineStr">
        <is>
          <t>Purpose</t>
        </is>
      </c>
      <c r="E142" s="962" t="inlineStr">
        <is>
          <t>Conditions</t>
        </is>
      </c>
      <c r="F142" s="962" t="inlineStr">
        <is>
          <t>Risk Level</t>
        </is>
      </c>
      <c r="G142" s="964" t="inlineStr">
        <is>
          <t>Notes</t>
        </is>
      </c>
    </row>
    <row r="143" ht="30" customHeight="1">
      <c r="A143" t="inlineStr">
        <is>
          <t>SM Support</t>
        </is>
      </c>
      <c r="B143" s="839" t="inlineStr">
        <is>
          <t>ALLOWED</t>
        </is>
      </c>
      <c r="C143" t="inlineStr">
        <is>
          <t>Next empty row (cols B-O)</t>
        </is>
      </c>
      <c r="D143" s="854" t="inlineStr">
        <is>
          <t>Append new investment financial data</t>
        </is>
      </c>
      <c r="E143" t="inlineStr">
        <is>
          <t>Only during pro forma run; append only; never modify existing rows</t>
        </is>
      </c>
      <c r="F143" t="inlineStr">
        <is>
          <t>Medium</t>
        </is>
      </c>
      <c r="G143" s="854" t="inlineStr">
        <is>
          <t>Col D must equal E. Col K &gt;= D. Match IN-01 name exactly.</t>
        </is>
      </c>
    </row>
    <row r="144" ht="30" customHeight="1">
      <c r="A144" t="inlineStr">
        <is>
          <t>Loan Tape - Settled</t>
        </is>
      </c>
      <c r="B144" s="839" t="inlineStr">
        <is>
          <t>ALLOWED</t>
        </is>
      </c>
      <c r="C144" t="inlineStr">
        <is>
          <t>Next empty row (all cols A-BJ)</t>
        </is>
      </c>
      <c r="D144" s="854" t="inlineStr">
        <is>
          <t>Append new loan with all terms</t>
        </is>
      </c>
      <c r="E144" t="inlineStr">
        <is>
          <t>Only during pro forma run; append only; never modify existing rows</t>
        </is>
      </c>
      <c r="F144" t="inlineStr">
        <is>
          <t>High</t>
        </is>
      </c>
      <c r="G144" s="854" t="inlineStr">
        <is>
          <t>AO must equal U. S must equal BDC Balance. BZ/CA set.</t>
        </is>
      </c>
    </row>
    <row r="145" ht="30" customHeight="1">
      <c r="A145" t="inlineStr">
        <is>
          <t>Portfolio</t>
        </is>
      </c>
      <c r="B145" s="839" t="inlineStr">
        <is>
          <t>ALLOWED</t>
        </is>
      </c>
      <c r="C145" t="inlineStr">
        <is>
          <t>Next empty row (Col A + copy prior row B:HN; limited overrides in BZ, CA, DX only if exception-approved)</t>
        </is>
      </c>
      <c r="D145" s="854" t="inlineStr">
        <is>
          <t>Add CCM ID, copy prior row logic, then only permitted manual flags if exception-approved</t>
        </is>
      </c>
      <c r="E145" t="inlineStr">
        <is>
          <t>Copy prior row for B:HN; never hand-build formulas; only override BZ/CA/DX when Section E permits</t>
        </is>
      </c>
      <c r="F145" t="inlineStr">
        <is>
          <t>High</t>
        </is>
      </c>
      <c r="G145" s="854" t="inlineStr">
        <is>
          <t>Existing Portfolio formulas use fixed source ranges in Loan Tape - Settled. If append exceeds current modeled range coverage, extend those ranges before relying on outputs.</t>
        </is>
      </c>
    </row>
    <row r="146" ht="30" customHeight="1">
      <c r="A146" t="inlineStr">
        <is>
          <t>Deal Team Input</t>
        </is>
      </c>
      <c r="B146" s="839" t="inlineStr">
        <is>
          <t>ALLOWED</t>
        </is>
      </c>
      <c r="C146" t="inlineStr">
        <is>
          <t>B7-B39 (inputs), B53 (before), D74:E89 (prior CL), F74:G89 (pro forma CL links)</t>
        </is>
      </c>
      <c r="D146" s="854" t="inlineStr">
        <is>
          <t>User inputs + pro forma capture cells</t>
        </is>
      </c>
      <c r="E146" t="inlineStr">
        <is>
          <t>During pro forma run only</t>
        </is>
      </c>
      <c r="F146" t="inlineStr">
        <is>
          <t>Low</t>
        </is>
      </c>
      <c r="G146" s="854" t="inlineStr">
        <is>
          <t>B54/B56/B57 are formulas - NEVER overwrite.</t>
        </is>
      </c>
    </row>
    <row r="147" ht="30" customHeight="1">
      <c r="A147" t="inlineStr">
        <is>
          <t>Memory</t>
        </is>
      </c>
      <c r="B147" s="839" t="inlineStr">
        <is>
          <t>ALLOWED</t>
        </is>
      </c>
      <c r="C147" t="inlineStr">
        <is>
          <t>Next empty row (cols A-F)</t>
        </is>
      </c>
      <c r="D147" s="854" t="inlineStr">
        <is>
          <t>Append audit log entry</t>
        </is>
      </c>
      <c r="E147" t="inlineStr">
        <is>
          <t>After every completed pro forma run</t>
        </is>
      </c>
      <c r="F147" t="inlineStr">
        <is>
          <t>Low</t>
        </is>
      </c>
      <c r="G147" s="854" t="inlineStr">
        <is>
          <t>Always log: date, session, action, description, impact.</t>
        </is>
      </c>
    </row>
    <row r="148">
      <c r="A148" t="inlineStr">
        <is>
          <t>MAPPING_LAYER</t>
        </is>
      </c>
      <c r="B148" s="839" t="inlineStr">
        <is>
          <t>ALLOWED</t>
        </is>
      </c>
      <c r="C148" t="inlineStr">
        <is>
          <t>Run Metadata section only (Section F)</t>
        </is>
      </c>
      <c r="D148" s="854" t="inlineStr">
        <is>
          <t>Log run metadata</t>
        </is>
      </c>
      <c r="E148" t="inlineStr">
        <is>
          <t>After run completion only</t>
        </is>
      </c>
      <c r="F148" t="inlineStr">
        <is>
          <t>Low</t>
        </is>
      </c>
      <c r="G148" s="854" t="inlineStr">
        <is>
          <t>Never modify Sections A-E.</t>
        </is>
      </c>
    </row>
    <row r="149" ht="30" customHeight="1">
      <c r="A149" t="inlineStr">
        <is>
          <t>Availability</t>
        </is>
      </c>
      <c r="B149" s="955" t="inlineStr">
        <is>
          <t>READ ONLY</t>
        </is>
      </c>
      <c r="C149" t="inlineStr">
        <is>
          <t>N/A</t>
        </is>
      </c>
      <c r="D149" s="854" t="inlineStr">
        <is>
          <t>Read outputs only (L26, L31, L33-L35, L42, L48, L54, L58)</t>
        </is>
      </c>
      <c r="E149" t="inlineStr">
        <is>
          <t>Never write - all cells are formulas</t>
        </is>
      </c>
      <c r="F149" t="inlineStr">
        <is>
          <t>Critical</t>
        </is>
      </c>
      <c r="G149" s="854" t="inlineStr">
        <is>
          <t>Any write here would destroy the BB calculation engine.</t>
        </is>
      </c>
    </row>
    <row r="150" ht="30" customHeight="1">
      <c r="A150" t="inlineStr">
        <is>
          <t>Concentration Limits</t>
        </is>
      </c>
      <c r="B150" s="955" t="inlineStr">
        <is>
          <t>READ ONLY</t>
        </is>
      </c>
      <c r="C150" t="inlineStr">
        <is>
          <t>N/A</t>
        </is>
      </c>
      <c r="D150" s="854" t="inlineStr">
        <is>
          <t>Read CL outputs (J49:J70, K49:K70, L49:L70, M44)</t>
        </is>
      </c>
      <c r="E150" t="inlineStr">
        <is>
          <t>Never write - all cells are formulas or AGENT references</t>
        </is>
      </c>
      <c r="F150" t="inlineStr">
        <is>
          <t>Critical</t>
        </is>
      </c>
      <c r="G150" s="854" t="inlineStr">
        <is>
          <t>CL auto-updates from Portfolio. Writing here would break model.</t>
        </is>
      </c>
    </row>
    <row r="151" ht="30" customHeight="1">
      <c r="A151" t="inlineStr">
        <is>
          <t>Portfolio (formulas)</t>
        </is>
      </c>
      <c r="B151" s="956" t="inlineStr">
        <is>
          <t>NEVER TOUCH</t>
        </is>
      </c>
      <c r="C151" t="inlineStr">
        <is>
          <t>Cols B through HN (existing rows)</t>
        </is>
      </c>
      <c r="D151" s="854" t="inlineStr">
        <is>
          <t>All formulas pull from Loan Tape via INDEX/MATCH</t>
        </is>
      </c>
      <c r="E151" t="inlineStr">
        <is>
          <t>Never modify existing rows; only append new row via copy</t>
        </is>
      </c>
      <c r="F151" t="inlineStr">
        <is>
          <t>Critical</t>
        </is>
      </c>
      <c r="G151" s="854" t="inlineStr">
        <is>
          <t>Modifying formulas would corrupt eligibility and advance rate calcs.</t>
        </is>
      </c>
    </row>
    <row r="152" ht="30" customHeight="1">
      <c r="A152" t="inlineStr">
        <is>
          <t>AGENT</t>
        </is>
      </c>
      <c r="B152" s="956" t="inlineStr">
        <is>
          <t>NEVER TOUCH</t>
        </is>
      </c>
      <c r="C152" t="inlineStr">
        <is>
          <t>Entire sheet</t>
        </is>
      </c>
      <c r="D152" s="854" t="inlineStr">
        <is>
          <t>Eligibility thresholds set by credit agreement</t>
        </is>
      </c>
      <c r="E152" t="inlineStr">
        <is>
          <t>Only credit team / legal can modify</t>
        </is>
      </c>
      <c r="F152" t="inlineStr">
        <is>
          <t>Critical</t>
        </is>
      </c>
      <c r="G152" s="854" t="inlineStr">
        <is>
          <t>Changes here affect ALL loans. Facility-level parameter.</t>
        </is>
      </c>
    </row>
    <row r="153" ht="30" customHeight="1">
      <c r="A153" t="inlineStr">
        <is>
          <t>Availability (structure)</t>
        </is>
      </c>
      <c r="B153" s="956" t="inlineStr">
        <is>
          <t>NEVER TOUCH</t>
        </is>
      </c>
      <c r="C153" t="inlineStr">
        <is>
          <t>All cells except L13 area</t>
        </is>
      </c>
      <c r="D153" s="854" t="inlineStr">
        <is>
          <t>Core BB formulas, MIN tests, facility structure</t>
        </is>
      </c>
      <c r="E153" t="inlineStr">
        <is>
          <t>No AI writes under any circumstance</t>
        </is>
      </c>
      <c r="F153" t="inlineStr">
        <is>
          <t>Critical</t>
        </is>
      </c>
      <c r="G153" s="854" t="inlineStr">
        <is>
          <t>Governed by credit agreement.</t>
        </is>
      </c>
    </row>
    <row r="154" ht="30" customHeight="1">
      <c r="A154" t="inlineStr">
        <is>
          <t>AI_Instructions</t>
        </is>
      </c>
      <c r="B154" s="955" t="inlineStr">
        <is>
          <t>READ ONLY</t>
        </is>
      </c>
      <c r="C154" t="inlineStr">
        <is>
          <t>N/A</t>
        </is>
      </c>
      <c r="D154" s="854" t="inlineStr">
        <is>
          <t>Reference documentation</t>
        </is>
      </c>
      <c r="E154" t="inlineStr">
        <is>
          <t>AI reads but never writes</t>
        </is>
      </c>
      <c r="F154" t="inlineStr">
        <is>
          <t>Low</t>
        </is>
      </c>
      <c r="G154" s="854" t="inlineStr">
        <is>
          <t>Human-maintained documentation.</t>
        </is>
      </c>
    </row>
    <row r="155" ht="30" customHeight="1">
      <c r="A155" t="inlineStr">
        <is>
          <t>Agentic Layer Workflow</t>
        </is>
      </c>
      <c r="B155" s="955" t="inlineStr">
        <is>
          <t>READ ONLY</t>
        </is>
      </c>
      <c r="C155" t="inlineStr">
        <is>
          <t>N/A</t>
        </is>
      </c>
      <c r="D155" s="854" t="inlineStr">
        <is>
          <t>Reference documentation</t>
        </is>
      </c>
      <c r="E155" t="inlineStr">
        <is>
          <t>AI reads but never writes</t>
        </is>
      </c>
      <c r="F155" t="inlineStr">
        <is>
          <t>Low</t>
        </is>
      </c>
      <c r="G155" s="854" t="inlineStr">
        <is>
          <t>Human-maintained documentation.</t>
        </is>
      </c>
    </row>
    <row r="156">
      <c r="A156" t="inlineStr">
        <is>
          <t>VAE</t>
        </is>
      </c>
      <c r="B156" s="956" t="inlineStr">
        <is>
          <t>NEVER TOUCH</t>
        </is>
      </c>
      <c r="C156" t="inlineStr">
        <is>
          <t>Entire sheet</t>
        </is>
      </c>
      <c r="D156" s="854" t="inlineStr">
        <is>
          <t>Valuation and appraisal engine</t>
        </is>
      </c>
      <c r="E156" t="inlineStr">
        <is>
          <t>No AI access</t>
        </is>
      </c>
      <c r="F156" t="inlineStr">
        <is>
          <t>Critical</t>
        </is>
      </c>
      <c r="G156" s="854" t="inlineStr">
        <is>
          <t>Separate audit process.</t>
        </is>
      </c>
    </row>
    <row r="157">
      <c r="A157" t="inlineStr">
        <is>
          <t>VAE Reset</t>
        </is>
      </c>
      <c r="B157" s="956" t="inlineStr">
        <is>
          <t>NEVER TOUCH</t>
        </is>
      </c>
      <c r="C157" t="inlineStr">
        <is>
          <t>Entire sheet</t>
        </is>
      </c>
      <c r="D157" s="854" t="inlineStr">
        <is>
          <t>Valuation reset calculations</t>
        </is>
      </c>
      <c r="E157" t="inlineStr">
        <is>
          <t>No AI access</t>
        </is>
      </c>
      <c r="F157" t="inlineStr">
        <is>
          <t>Critical</t>
        </is>
      </c>
      <c r="G157" s="854" t="inlineStr">
        <is>
          <t>Separate audit process.</t>
        </is>
      </c>
    </row>
    <row r="158">
      <c r="A158" t="inlineStr">
        <is>
          <t>Quarterly Reporting</t>
        </is>
      </c>
      <c r="B158" s="956" t="inlineStr">
        <is>
          <t>NEVER TOUCH</t>
        </is>
      </c>
      <c r="C158" t="inlineStr">
        <is>
          <t>Entire sheet</t>
        </is>
      </c>
      <c r="D158" s="854" t="inlineStr">
        <is>
          <t>Regulatory reporting</t>
        </is>
      </c>
      <c r="E158" t="inlineStr">
        <is>
          <t>No AI access</t>
        </is>
      </c>
      <c r="F158" t="inlineStr">
        <is>
          <t>Critical</t>
        </is>
      </c>
      <c r="G158" s="854" t="inlineStr">
        <is>
          <t>Compliance output.</t>
        </is>
      </c>
    </row>
    <row r="159">
      <c r="A159" t="inlineStr">
        <is>
          <t>ownership</t>
        </is>
      </c>
      <c r="B159" s="956" t="inlineStr">
        <is>
          <t>NEVER TOUCH</t>
        </is>
      </c>
      <c r="C159" t="inlineStr">
        <is>
          <t>Entire sheet</t>
        </is>
      </c>
      <c r="D159" s="854" t="inlineStr">
        <is>
          <t>Ownership structure</t>
        </is>
      </c>
      <c r="E159" t="inlineStr">
        <is>
          <t>No AI access</t>
        </is>
      </c>
      <c r="F159" t="inlineStr">
        <is>
          <t>Critical</t>
        </is>
      </c>
      <c r="G159" s="854" t="inlineStr">
        <is>
          <t>Legal/compliance data.</t>
        </is>
      </c>
    </row>
    <row r="160">
      <c r="A160" t="inlineStr">
        <is>
          <t>RANGE DEPENDENCY WARNING</t>
        </is>
      </c>
      <c r="B160" t="inlineStr">
        <is>
          <t>READ ONLY NOTE</t>
        </is>
      </c>
      <c r="C160" t="inlineStr">
        <is>
          <t>N/A</t>
        </is>
      </c>
      <c r="D160" t="inlineStr">
        <is>
          <t>Workbook structural limitation</t>
        </is>
      </c>
      <c r="E160" t="inlineStr">
        <is>
          <t>Before any append run, confirm Portfolio lookup ranges still cover the new Loan Tape - Settled row.</t>
        </is>
      </c>
      <c r="F160" t="inlineStr">
        <is>
          <t>Critical</t>
        </is>
      </c>
      <c r="G160" t="inlineStr">
        <is>
          <t>Do not rely on appended-loan outputs if source ranges stop above the new row; extend workbook ranges first.</t>
        </is>
      </c>
    </row>
    <row r="161">
      <c r="A161" s="950" t="inlineStr">
        <is>
          <t>═══════════════════════════════════════════════════════════════════════════════════════════════════════════════</t>
        </is>
      </c>
    </row>
    <row r="162" ht="21.95" customHeight="1">
      <c r="A162" s="972" t="inlineStr">
        <is>
          <t>SECTION E — EXCEPTION / MANUAL REVIEW RULES</t>
        </is>
      </c>
    </row>
    <row r="163">
      <c r="A163" s="951" t="inlineStr">
        <is>
          <t>Purpose: Situations where AI must STOP execution and request human review. AI should never proceed past these gates without explicit human confirmation.</t>
        </is>
      </c>
    </row>
    <row r="165" ht="15.75" customHeight="1" thickBot="1">
      <c r="A165" s="962" t="inlineStr">
        <is>
          <t>Exception_ID</t>
        </is>
      </c>
      <c r="B165" s="962" t="inlineStr">
        <is>
          <t>Trigger Condition</t>
        </is>
      </c>
      <c r="C165" s="962" t="inlineStr">
        <is>
          <t>Category</t>
        </is>
      </c>
      <c r="D165" s="964" t="inlineStr">
        <is>
          <t>AI Action</t>
        </is>
      </c>
      <c r="E165" s="962" t="inlineStr">
        <is>
          <t>Human Action Required</t>
        </is>
      </c>
      <c r="F165" s="962" t="inlineStr">
        <is>
          <t>Risk if Bypassed</t>
        </is>
      </c>
      <c r="G165" s="964" t="inlineStr">
        <is>
          <t>Example Scenario</t>
        </is>
      </c>
    </row>
    <row r="166" ht="30" customHeight="1">
      <c r="A166" t="inlineStr">
        <is>
          <t>EX-01</t>
        </is>
      </c>
      <c r="B166" t="inlineStr">
        <is>
          <t>Industry name from user does not exactly match CL!E81:E153</t>
        </is>
      </c>
      <c r="C166" t="inlineStr">
        <is>
          <t>Taxonomy</t>
        </is>
      </c>
      <c r="D166" s="854" t="inlineStr">
        <is>
          <t>STOP. Present closest matches from approved list. Ask user to confirm.</t>
        </is>
      </c>
      <c r="E166" t="inlineStr">
        <is>
          <t>Select correct industry from approved list</t>
        </is>
      </c>
      <c r="F166" t="inlineStr">
        <is>
          <t>#N/A cascades to availability; model breaks</t>
        </is>
      </c>
      <c r="G166" s="854" t="inlineStr">
        <is>
          <t>User says 'Tech' but list has 'Software' and 'IT Services'</t>
        </is>
      </c>
    </row>
    <row r="167" ht="30" customHeight="1">
      <c r="A167" t="inlineStr">
        <is>
          <t>EX-02</t>
        </is>
      </c>
      <c r="B167" t="inlineStr">
        <is>
          <t>Required field missing and no permissible default exists</t>
        </is>
      </c>
      <c r="C167" t="inlineStr">
        <is>
          <t>Missing Data</t>
        </is>
      </c>
      <c r="D167" s="854" t="inlineStr">
        <is>
          <t>STOP. List all missing fields with their Input_IDs.</t>
        </is>
      </c>
      <c r="E167" t="inlineStr">
        <is>
          <t>Provide missing data or authorize skip</t>
        </is>
      </c>
      <c r="F167" t="inlineStr">
        <is>
          <t>Incomplete loan record; eligibility indeterminate</t>
        </is>
      </c>
      <c r="G167" s="854" t="inlineStr">
        <is>
          <t>EBITDA not provided for new origination</t>
        </is>
      </c>
    </row>
    <row r="168" ht="30" customHeight="1">
      <c r="A168" t="inlineStr">
        <is>
          <t>EX-03</t>
        </is>
      </c>
      <c r="B168" t="inlineStr">
        <is>
          <t>Default Status reported as Yes or implied defaulted</t>
        </is>
      </c>
      <c r="C168" t="inlineStr">
        <is>
          <t>Credit Event</t>
        </is>
      </c>
      <c r="D168" s="854" t="inlineStr">
        <is>
          <t>STOP. Flag as defaulted loan. Confirm intent and economics.</t>
        </is>
      </c>
      <c r="E168" t="inlineStr">
        <is>
          <t>Confirm default status; provide recovery assumptions</t>
        </is>
      </c>
      <c r="F168" t="inlineStr">
        <is>
          <t>Ineligible loan added; availability overstated</t>
        </is>
      </c>
      <c r="G168" s="854" t="inlineStr">
        <is>
          <t>User mentions workout or restructuring</t>
        </is>
      </c>
    </row>
    <row r="169" ht="30" customHeight="1">
      <c r="A169" t="inlineStr">
        <is>
          <t>EX-04</t>
        </is>
      </c>
      <c r="B169" t="inlineStr">
        <is>
          <t>PIK% &gt; 0</t>
        </is>
      </c>
      <c r="C169" t="inlineStr">
        <is>
          <t>Structure</t>
        </is>
      </c>
      <c r="D169" s="854" t="inlineStr">
        <is>
          <t>STOP. Warn that PIK may trigger ineligibility (Test 2). Confirm intent.</t>
        </is>
      </c>
      <c r="E169" t="inlineStr">
        <is>
          <t>Confirm PIK structure; verify BZ/CA handling</t>
        </is>
      </c>
      <c r="F169" t="inlineStr">
        <is>
          <t>May be ineligible; false positive in BB</t>
        </is>
      </c>
      <c r="G169" s="854" t="inlineStr">
        <is>
          <t>Loan has 2% PIK component</t>
        </is>
      </c>
    </row>
    <row r="170" ht="30" customHeight="1">
      <c r="A170" t="inlineStr">
        <is>
          <t>EX-05</t>
        </is>
      </c>
      <c r="B170" t="inlineStr">
        <is>
          <t>Run Type is Amendment and economics change materially</t>
        </is>
      </c>
      <c r="C170" t="inlineStr">
        <is>
          <t>Amendment</t>
        </is>
      </c>
      <c r="D170" s="854" t="inlineStr">
        <is>
          <t>STOP. Clarify what is changing (spread, maturity, balance, type).</t>
        </is>
      </c>
      <c r="E170" t="inlineStr">
        <is>
          <t>Specify exact fields being amended</t>
        </is>
      </c>
      <c r="F170" t="inlineStr">
        <is>
          <t>Wrong fields modified; model integrity risk</t>
        </is>
      </c>
      <c r="G170" s="854" t="inlineStr">
        <is>
          <t>Repricing or maturity extension on existing deal</t>
        </is>
      </c>
    </row>
    <row r="171" ht="30" customHeight="1">
      <c r="A171" t="inlineStr">
        <is>
          <t>EX-06</t>
        </is>
      </c>
      <c r="B171" t="inlineStr">
        <is>
          <t>Run Type is Repayment and amount exceeds current hold</t>
        </is>
      </c>
      <c r="C171" t="inlineStr">
        <is>
          <t>Repayment</t>
        </is>
      </c>
      <c r="D171" s="854" t="inlineStr">
        <is>
          <t>STOP. Repayment cannot exceed existing balance.</t>
        </is>
      </c>
      <c r="E171" t="inlineStr">
        <is>
          <t>Verify repayment amount; partial vs full paydown</t>
        </is>
      </c>
      <c r="F171" t="inlineStr">
        <is>
          <t>Negative balance; model error</t>
        </is>
      </c>
      <c r="G171" s="854" t="inlineStr">
        <is>
          <t>User requests $10M paydown but hold is $5M</t>
        </is>
      </c>
    </row>
    <row r="172" ht="30" customHeight="1">
      <c r="A172" t="inlineStr">
        <is>
          <t>EX-07</t>
        </is>
      </c>
      <c r="B172" t="inlineStr">
        <is>
          <t>Leverage calculated &gt; 6.5x (AGENT!D4 threshold)</t>
        </is>
      </c>
      <c r="C172" t="inlineStr">
        <is>
          <t>Eligibility</t>
        </is>
      </c>
      <c r="D172" s="854" t="inlineStr">
        <is>
          <t>WARN. Show leverage calc and AGENT threshold. Confirm proceed.</t>
        </is>
      </c>
      <c r="E172" t="inlineStr">
        <is>
          <t>Acknowledge leverage breach; deal may be ineligible</t>
        </is>
      </c>
      <c r="F172" t="inlineStr">
        <is>
          <t>Loan fails Test 4; zero BB contribution</t>
        </is>
      </c>
      <c r="G172" s="854" t="inlineStr">
        <is>
          <t>EV-implied leverage at 7.2x</t>
        </is>
      </c>
    </row>
    <row r="173" ht="30" customHeight="1">
      <c r="A173" t="inlineStr">
        <is>
          <t>EX-08</t>
        </is>
      </c>
      <c r="B173" t="inlineStr">
        <is>
          <t>Maturity term &gt; 7 years from inclusion date</t>
        </is>
      </c>
      <c r="C173" t="inlineStr">
        <is>
          <t>Eligibility</t>
        </is>
      </c>
      <c r="D173" s="854" t="inlineStr">
        <is>
          <t>WARN. Show term calc and AGENT!F4 max. Confirm proceed.</t>
        </is>
      </c>
      <c r="E173" t="inlineStr">
        <is>
          <t>Acknowledge term breach; deal may be ineligible</t>
        </is>
      </c>
      <c r="F173" t="inlineStr">
        <is>
          <t>Loan fails Test 9</t>
        </is>
      </c>
      <c r="G173" s="854" t="inlineStr">
        <is>
          <t>8-year maturity on new deal</t>
        </is>
      </c>
    </row>
    <row r="174" ht="30" customHeight="1">
      <c r="A174" t="inlineStr">
        <is>
          <t>EX-09</t>
        </is>
      </c>
      <c r="B174" t="inlineStr">
        <is>
          <t>Post-run: new concentration limit breach (excess went from 0 to &gt;0)</t>
        </is>
      </c>
      <c r="C174" t="inlineStr">
        <is>
          <t>Concentration</t>
        </is>
      </c>
      <c r="D174" s="854" t="inlineStr">
        <is>
          <t>REPORT. Flag newly breached limits with dollar amounts.</t>
        </is>
      </c>
      <c r="E174" t="inlineStr">
        <is>
          <t>Review breach and decide whether to proceed with deal</t>
        </is>
      </c>
      <c r="F174" t="inlineStr">
        <is>
          <t>Excess reduces BB; availability may drop</t>
        </is>
      </c>
      <c r="G174" s="854" t="inlineStr">
        <is>
          <t>Adding large industry deal tips over 20% limit</t>
        </is>
      </c>
    </row>
    <row r="175" ht="30" customHeight="1">
      <c r="A175" t="inlineStr">
        <is>
          <t>EX-10</t>
        </is>
      </c>
      <c r="B175" t="inlineStr">
        <is>
          <t>Post-run: Credit Enhancement Test shows Fail</t>
        </is>
      </c>
      <c r="C175" t="inlineStr">
        <is>
          <t>Compliance</t>
        </is>
      </c>
      <c r="D175" s="854" t="inlineStr">
        <is>
          <t>STOP. This is a facility compliance breach.</t>
        </is>
      </c>
      <c r="E175" t="inlineStr">
        <is>
          <t>Must not proceed - deal breaks credit agreement</t>
        </is>
      </c>
      <c r="F175" t="inlineStr">
        <is>
          <t>Facility default risk</t>
        </is>
      </c>
      <c r="G175" s="854" t="inlineStr">
        <is>
          <t>Addition causes equity cushion to fall below minimum</t>
        </is>
      </c>
    </row>
    <row r="176" ht="30" customHeight="1">
      <c r="A176" t="inlineStr">
        <is>
          <t>EX-11</t>
        </is>
      </c>
      <c r="B176" t="inlineStr">
        <is>
          <t>Post-run: Portfolio Col P shows No for new loan</t>
        </is>
      </c>
      <c r="C176" t="inlineStr">
        <is>
          <t>Eligibility</t>
        </is>
      </c>
      <c r="D176" s="854" t="inlineStr">
        <is>
          <t>REPORT. Read cols E-N, list which tests failed. Show impact.</t>
        </is>
      </c>
      <c r="E176" t="inlineStr">
        <is>
          <t>Review failures; decide if deal structure can change</t>
        </is>
      </c>
      <c r="F176" t="inlineStr">
        <is>
          <t>Ineligible loan has zero BB contribution</t>
        </is>
      </c>
      <c r="G176" s="854" t="inlineStr">
        <is>
          <t>New loan fails maturity and leverage tests</t>
        </is>
      </c>
    </row>
    <row r="177" ht="30" customHeight="1">
      <c r="A177" t="inlineStr">
        <is>
          <t>EX-12</t>
        </is>
      </c>
      <c r="B177" t="inlineStr">
        <is>
          <t>User provides non-standard or ambiguous sponsor classification</t>
        </is>
      </c>
      <c r="C177" t="inlineStr">
        <is>
          <t>Classification</t>
        </is>
      </c>
      <c r="D177" s="854" t="inlineStr">
        <is>
          <t>STOP. Clarify sponsor vs family office vs non-sponsor.</t>
        </is>
      </c>
      <c r="E177" t="inlineStr">
        <is>
          <t>Confirm classification</t>
        </is>
      </c>
      <c r="F177" t="inlineStr">
        <is>
          <t>Wrong concentration bucket; CL rows 69-70</t>
        </is>
      </c>
      <c r="G177" s="854" t="inlineStr">
        <is>
          <t>User says 'independent sponsor'</t>
        </is>
      </c>
    </row>
    <row r="178">
      <c r="A178" t="inlineStr">
        <is>
          <t>EX-13</t>
        </is>
      </c>
      <c r="B178" t="inlineStr">
        <is>
          <t>BDC Balance &gt; $20MM (large single-name exposure)</t>
        </is>
      </c>
      <c r="C178" t="inlineStr">
        <is>
          <t>Concentration</t>
        </is>
      </c>
      <c r="D178" s="854" t="inlineStr">
        <is>
          <t>WARN. Flag as significant single-name risk.</t>
        </is>
      </c>
      <c r="E178" t="inlineStr">
        <is>
          <t>Acknowledge size; verify obligor limits</t>
        </is>
      </c>
      <c r="F178" t="inlineStr">
        <is>
          <t>May trigger max obligor concentration</t>
        </is>
      </c>
      <c r="G178" s="854" t="inlineStr">
        <is>
          <t>$25M hold in single name</t>
        </is>
      </c>
    </row>
    <row r="179" ht="30" customHeight="1">
      <c r="A179" t="inlineStr">
        <is>
          <t>EX-14</t>
        </is>
      </c>
      <c r="B179" t="inlineStr">
        <is>
          <t>Multiple loans to same obligor (add-on creates 2nd row)</t>
        </is>
      </c>
      <c r="C179" t="inlineStr">
        <is>
          <t>Duplicate</t>
        </is>
      </c>
      <c r="D179" s="854" t="inlineStr">
        <is>
          <t>STOP. Verify this is add-on vs new facility to same company.</t>
        </is>
      </c>
      <c r="E179" t="inlineStr">
        <is>
          <t>Clarify if add-on to existing or new separate loan</t>
        </is>
      </c>
      <c r="F179" t="inlineStr">
        <is>
          <t>Duplicate rows; double-counted in portfolio</t>
        </is>
      </c>
      <c r="G179" s="854" t="inlineStr">
        <is>
          <t>Second term loan to existing borrower</t>
        </is>
      </c>
    </row>
    <row r="181">
      <c r="A181" s="950" t="inlineStr">
        <is>
          <t>═══════════════════════════════════════════════════════════════════════════════════════════════════════════════</t>
        </is>
      </c>
    </row>
    <row r="182" ht="21.95" customHeight="1">
      <c r="A182" s="972" t="inlineStr">
        <is>
          <t>SECTION F — RUN METADATA / AUDIT TRAIL</t>
        </is>
      </c>
    </row>
    <row r="183">
      <c r="A183" s="951" t="inlineStr">
        <is>
          <t>Purpose: Structured log of every pro forma run. AI writes one row per execution. Provides full audit trail for compliance and troubleshooting.</t>
        </is>
      </c>
    </row>
    <row r="185" ht="15.75" customHeight="1" thickBot="1">
      <c r="A185" s="962" t="inlineStr">
        <is>
          <t>Run_ID</t>
        </is>
      </c>
      <c r="B185" s="962" t="inlineStr">
        <is>
          <t>Timestamp</t>
        </is>
      </c>
      <c r="C185" s="962" t="inlineStr">
        <is>
          <t>Requested By</t>
        </is>
      </c>
      <c r="D185" s="964" t="inlineStr">
        <is>
          <t>Run Type</t>
        </is>
      </c>
      <c r="E185" s="962" t="inlineStr">
        <is>
          <t>Company</t>
        </is>
      </c>
      <c r="F185" s="962" t="inlineStr">
        <is>
          <t>BDC Amount</t>
        </is>
      </c>
      <c r="G185" s="964" t="inlineStr">
        <is>
          <t>Workbook Version</t>
        </is>
      </c>
      <c r="H185" s="962" t="inlineStr">
        <is>
          <t>Mapping Layer Ver.</t>
        </is>
      </c>
      <c r="I185" s="964" t="inlineStr">
        <is>
          <t>Pure Pro Forma?</t>
        </is>
      </c>
      <c r="J185" s="962" t="inlineStr">
        <is>
          <t>Pre-Flight Cleared?</t>
        </is>
      </c>
      <c r="K185" s="962" t="inlineStr">
        <is>
          <t>Validation Passed?</t>
        </is>
      </c>
      <c r="L185" s="962" t="inlineStr">
        <is>
          <t>Warnings Raised</t>
        </is>
      </c>
      <c r="M185" s="962" t="inlineStr">
        <is>
          <t>Manual Review Triggered?</t>
        </is>
      </c>
      <c r="N185" s="962" t="inlineStr">
        <is>
          <t>Exception IDs</t>
        </is>
      </c>
      <c r="O185" s="962" t="inlineStr">
        <is>
          <t>Avail. BEFORE</t>
        </is>
      </c>
      <c r="P185" s="962" t="inlineStr">
        <is>
          <t>Avail. AFTER</t>
        </is>
      </c>
      <c r="Q185" s="962" t="inlineStr">
        <is>
          <t>Avail. DELTA</t>
        </is>
      </c>
      <c r="R185" s="962" t="inlineStr">
        <is>
          <t>Eligible?</t>
        </is>
      </c>
      <c r="S185" s="964" t="inlineStr">
        <is>
          <t>New CL Breaches?</t>
        </is>
      </c>
      <c r="T185" s="962" t="inlineStr">
        <is>
          <t>Status</t>
        </is>
      </c>
      <c r="U185" s="962" t="inlineStr">
        <is>
          <t>Notes</t>
        </is>
      </c>
    </row>
    <row r="186">
      <c r="A186" s="957" t="inlineStr">
        <is>
          <t>RUN-001</t>
        </is>
      </c>
      <c r="B186" s="958" t="n">
        <v>46090.41666666666</v>
      </c>
      <c r="C186" s="957" t="inlineStr">
        <is>
          <t>Deal Team</t>
        </is>
      </c>
      <c r="D186" s="967" t="inlineStr">
        <is>
          <t>New Origination</t>
        </is>
      </c>
      <c r="E186" s="957" t="inlineStr">
        <is>
          <t>[Example Corp]</t>
        </is>
      </c>
      <c r="F186" s="1239" t="n">
        <v>5000000</v>
      </c>
      <c r="G186" s="967" t="inlineStr">
        <is>
          <t>v2.1</t>
        </is>
      </c>
      <c r="H186" s="957" t="n">
        <v>1</v>
      </c>
      <c r="I186" s="967" t="inlineStr">
        <is>
          <t>Y</t>
        </is>
      </c>
      <c r="J186" s="957" t="inlineStr">
        <is>
          <t>Y</t>
        </is>
      </c>
      <c r="K186" s="957" t="inlineStr">
        <is>
          <t>Y</t>
        </is>
      </c>
      <c r="L186" s="957" t="inlineStr">
        <is>
          <t>VR-12 (price 0.95)</t>
        </is>
      </c>
      <c r="M186" s="957" t="inlineStr">
        <is>
          <t>N</t>
        </is>
      </c>
      <c r="N186" s="957" t="inlineStr">
        <is>
          <t>None</t>
        </is>
      </c>
      <c r="O186" s="1239" t="n">
        <v>147088763</v>
      </c>
      <c r="P186" s="1239" t="n">
        <v>150500000</v>
      </c>
      <c r="Q186" s="1239" t="n">
        <v>3411237</v>
      </c>
      <c r="R186" s="957" t="inlineStr">
        <is>
          <t>Y</t>
        </is>
      </c>
      <c r="S186" s="967" t="inlineStr">
        <is>
          <t>N</t>
        </is>
      </c>
      <c r="T186" s="957" t="inlineStr">
        <is>
          <t>COMPLETE</t>
        </is>
      </c>
      <c r="U186" s="957" t="inlineStr">
        <is>
          <t>Example row - delete after first real run</t>
        </is>
      </c>
    </row>
    <row r="188">
      <c r="A188" s="961" t="inlineStr">
        <is>
          <t>FIELD DEFINITIONS:</t>
        </is>
      </c>
      <c r="B188" s="960" t="n"/>
      <c r="C188" s="960" t="n"/>
      <c r="D188" s="968" t="n"/>
      <c r="E188" s="960" t="n"/>
      <c r="F188" s="960" t="n"/>
      <c r="G188" s="968" t="n"/>
      <c r="H188" s="960" t="n"/>
      <c r="I188" s="968" t="n"/>
      <c r="J188" s="960" t="n"/>
      <c r="K188" s="960" t="n"/>
      <c r="L188" s="960" t="n"/>
      <c r="M188" s="960" t="n"/>
      <c r="N188" s="960" t="n"/>
      <c r="O188" s="960" t="n"/>
      <c r="P188" s="960" t="n"/>
      <c r="Q188" s="960" t="n"/>
      <c r="R188" s="960" t="n"/>
      <c r="S188" s="968" t="n"/>
      <c r="T188" s="960" t="n"/>
      <c r="U188" s="960" t="n"/>
    </row>
    <row r="189">
      <c r="A189" s="960" t="inlineStr">
        <is>
          <t>Run_ID: Sequential RUN-###</t>
        </is>
      </c>
      <c r="B189" s="960" t="inlineStr">
        <is>
          <t>Timestamp: ISO format</t>
        </is>
      </c>
      <c r="C189" s="960" t="inlineStr">
        <is>
          <t>Requested By: who asked</t>
        </is>
      </c>
      <c r="D189" s="968" t="inlineStr">
        <is>
          <t>Run Type: N/A/R/M</t>
        </is>
      </c>
      <c r="E189" s="960" t="inlineStr">
        <is>
          <t>Company: obligor name</t>
        </is>
      </c>
      <c r="F189" s="960" t="inlineStr">
        <is>
          <t>BDC Amount: hold size</t>
        </is>
      </c>
      <c r="G189" s="968" t="inlineStr">
        <is>
          <t>WB Ver: from AI_Instructions</t>
        </is>
      </c>
      <c r="H189" s="960" t="inlineStr">
        <is>
          <t>ML Ver: this tab version</t>
        </is>
      </c>
      <c r="I189" s="968" t="inlineStr">
        <is>
          <t>Pure PF: Y if no actual settlement</t>
        </is>
      </c>
      <c r="J189" s="960" t="inlineStr">
        <is>
          <t>Pre-Flight: Y if B7/B8 cleared</t>
        </is>
      </c>
      <c r="K189" s="960" t="inlineStr">
        <is>
          <t>Validation: Y if all Hard Stops passed</t>
        </is>
      </c>
      <c r="L189" s="960" t="inlineStr">
        <is>
          <t>Warnings: list VR-## codes</t>
        </is>
      </c>
      <c r="M189" s="960" t="inlineStr">
        <is>
          <t>Manual Rev: Y if any EX triggered</t>
        </is>
      </c>
      <c r="N189" s="960" t="inlineStr">
        <is>
          <t>Exception IDs: list EX-## codes</t>
        </is>
      </c>
      <c r="O189" s="960" t="inlineStr">
        <is>
          <t>Before: Availability!L26 pre-run</t>
        </is>
      </c>
      <c r="P189" s="960" t="inlineStr">
        <is>
          <t>After: Availability!L26 post-run</t>
        </is>
      </c>
      <c r="Q189" s="960" t="inlineStr">
        <is>
          <t>Delta: After minus Before</t>
        </is>
      </c>
      <c r="R189" s="960" t="inlineStr">
        <is>
          <t>Eligible: Portfolio Col P</t>
        </is>
      </c>
      <c r="S189" s="968" t="inlineStr">
        <is>
          <t>CL Breach: Y if new excess &gt; 0</t>
        </is>
      </c>
      <c r="T189" s="960" t="inlineStr">
        <is>
          <t>Status: COMPLETE/FAILED/REVERTED</t>
        </is>
      </c>
      <c r="U189" s="960" t="inlineStr">
        <is>
          <t>Free text notes</t>
        </is>
      </c>
    </row>
    <row r="191">
      <c r="A191" s="950" t="inlineStr">
        <is>
          <t>═══════════════════════════════════════════════════════════════════════════════════════════════════════════════</t>
        </is>
      </c>
    </row>
    <row r="192" ht="21.95" customHeight="1">
      <c r="A192" s="972" t="inlineStr">
        <is>
          <t>SECTION G — OPERATIONAL INSTRUCTIONS FOR AI AGENT</t>
        </is>
      </c>
    </row>
    <row r="193">
      <c r="A193" s="951" t="inlineStr">
        <is>
          <t>Purpose: Step-by-step execution protocol. Any AI agent operating on this workbook MUST follow this sequence exactly.</t>
        </is>
      </c>
    </row>
    <row r="195" ht="15.75" customHeight="1" thickBot="1">
      <c r="A195" s="963" t="inlineStr">
        <is>
          <t>STEP</t>
        </is>
      </c>
      <c r="B195" s="963" t="inlineStr">
        <is>
          <t>ACTION</t>
        </is>
      </c>
      <c r="C195" s="963" t="inlineStr">
        <is>
          <t>DETAILS</t>
        </is>
      </c>
      <c r="D195" s="969" t="inlineStr">
        <is>
          <t>MAPPING_LAYER REFERENCE</t>
        </is>
      </c>
    </row>
    <row r="196">
      <c r="A196" s="721" t="n">
        <v>0</v>
      </c>
      <c r="B196" t="inlineStr">
        <is>
          <t>READ MAPPING_LAYER</t>
        </is>
      </c>
      <c r="C196" t="inlineStr">
        <is>
          <t>Read this entire tab at session start. This is the single source of truth for all write operations.</t>
        </is>
      </c>
      <c r="D196" s="854" t="inlineStr">
        <is>
          <t>All sections</t>
        </is>
      </c>
    </row>
    <row r="197">
      <c r="A197" s="721" t="n">
        <v>1</v>
      </c>
      <c r="B197" t="inlineStr">
        <is>
          <t>PRE-FLIGHT CHECK</t>
        </is>
      </c>
      <c r="C197" t="inlineStr">
        <is>
          <t>Check Deal Team Input B7, B8, B53 for old data (VR-32). Ask user to clear if present.</t>
        </is>
      </c>
      <c r="D197" s="854" t="inlineStr">
        <is>
          <t>Section C: VR-32</t>
        </is>
      </c>
    </row>
    <row r="198">
      <c r="A198" s="721" t="n">
        <v>2</v>
      </c>
      <c r="B198" t="inlineStr">
        <is>
          <t>COLLECT INPUTS</t>
        </is>
      </c>
      <c r="C198" t="inlineStr">
        <is>
          <t>Prompt user for all Required (Y) fields from Section A. Use User-Friendly Prompt column as the question text. Apply defaults for AUTO fields.</t>
        </is>
      </c>
      <c r="D198" s="854" t="inlineStr">
        <is>
          <t>Section A: Rows 19-48</t>
        </is>
      </c>
    </row>
    <row r="199">
      <c r="A199" s="721" t="n">
        <v>3</v>
      </c>
      <c r="B199" t="inlineStr">
        <is>
          <t>VALIDATE ALL INPUTS</t>
        </is>
      </c>
      <c r="C199" t="inlineStr">
        <is>
          <t>Run every rule in Section C sequentially. If any Hard Stop fails, ABORT and report. If Warnings, report and ask to proceed.</t>
        </is>
      </c>
      <c r="D199" s="854" t="inlineStr">
        <is>
          <t>Section C: VR-01 to VR-32</t>
        </is>
      </c>
    </row>
    <row r="200">
      <c r="A200" s="721" t="n">
        <v>4</v>
      </c>
      <c r="B200" t="inlineStr">
        <is>
          <t>CHECK EXCEPTIONS</t>
        </is>
      </c>
      <c r="C200" t="inlineStr">
        <is>
          <t>Scan Section E triggers. If any match, STOP and follow prescribed AI Action.</t>
        </is>
      </c>
      <c r="D200" s="854" t="inlineStr">
        <is>
          <t>Section E: EX-01 to EX-14</t>
        </is>
      </c>
    </row>
    <row r="201">
      <c r="A201" s="721" t="n">
        <v>5</v>
      </c>
      <c r="B201" t="inlineStr">
        <is>
          <t>CAPTURE BEFORE STATE</t>
        </is>
      </c>
      <c r="C201" t="inlineStr">
        <is>
          <t>Read all Before/After Compare outputs from Section B. Hardcode snapshots to Deal Team Input (B53, D74:E89).</t>
        </is>
      </c>
      <c r="D201" s="854" t="inlineStr">
        <is>
          <t>Section B: OUT-01, OUT-16, OUT-17</t>
        </is>
      </c>
    </row>
    <row r="202" ht="30" customHeight="1">
      <c r="A202" s="721" t="n">
        <v>6</v>
      </c>
      <c r="B202" t="inlineStr">
        <is>
          <t>EXECUTE WRITES</t>
        </is>
      </c>
      <c r="C202" t="inlineStr">
        <is>
          <t>Write to ONLY the tabs/ranges listed in Section D as ALLOWED. Follow exact column mappings from Section A and exact tab names.</t>
        </is>
      </c>
      <c r="D202" s="854" t="inlineStr">
        <is>
          <t>Section A (destinations), Section D (permissions)</t>
        </is>
      </c>
    </row>
    <row r="203">
      <c r="A203" s="721" t="inlineStr">
        <is>
          <t>6a</t>
        </is>
      </c>
      <c r="B203" t="inlineStr">
        <is>
          <t xml:space="preserve">  SM Support</t>
        </is>
      </c>
      <c r="C203" t="inlineStr">
        <is>
          <t>Append new row: B=Company, C=Security, D=E=BDC Bal, F=Rev, G=EBITDA, H-L=structure, O=Int Cov</t>
        </is>
      </c>
      <c r="D203" s="854" t="inlineStr">
        <is>
          <t>Section A: IN-01 to IN-16</t>
        </is>
      </c>
    </row>
    <row r="204">
      <c r="A204" s="721" t="inlineStr">
        <is>
          <t>6b</t>
        </is>
      </c>
      <c r="B204" t="inlineStr">
        <is>
          <t xml:space="preserve">  Loan Tape - Settled</t>
        </is>
      </c>
      <c r="C204" t="inlineStr">
        <is>
          <t>Append new row: G=Company, H=Security, J=Loan Type, K=Security Type, L=Denomination, Q=Purchase Price, S=BDC Balance (par), T=Country, U=Invest Date, V=Maturity, W=Fixed/Floating, X=Industry, Y=Frequency, AD=PIK%, AE=Spread, AF=SOFR floor, AO=U, C:D=Fund ID pattern.</t>
        </is>
      </c>
      <c r="D204" s="854" t="inlineStr">
        <is>
          <t>Section A: IN-17 to IN-36</t>
        </is>
      </c>
    </row>
    <row r="205">
      <c r="A205" s="721" t="inlineStr">
        <is>
          <t>6c</t>
        </is>
      </c>
      <c r="B205" t="inlineStr">
        <is>
          <t xml:space="preserve">  Portfolio</t>
        </is>
      </c>
      <c r="C205" t="inlineStr">
        <is>
          <t>Add next CCM ID to Col A. Copy prior row structure for B:HN. Only if exception-approved, override BZ/CA/DX on the new row. Before relying on outputs, confirm Portfolio lookup ranges still include the appended Loan Tape - Settled row.</t>
        </is>
      </c>
      <c r="D205" s="854" t="inlineStr">
        <is>
          <t>Section A: IN-32</t>
        </is>
      </c>
    </row>
    <row r="206">
      <c r="A206" s="721" t="inlineStr">
        <is>
          <t>6d</t>
        </is>
      </c>
      <c r="B206" t="inlineStr">
        <is>
          <t xml:space="preserve">  Deal Team Input</t>
        </is>
      </c>
      <c r="C206" t="inlineStr">
        <is>
          <t>Hardcode BEFORE snapshots to B53 and D74:E89. Keep B54/B56/B57 formula-driven. Link pro forma concentration columns F74:G89 to live CL values.</t>
        </is>
      </c>
      <c r="D206" s="854" t="inlineStr">
        <is>
          <t>Section B: OUT-18, OUT-19</t>
        </is>
      </c>
    </row>
    <row r="207">
      <c r="A207" s="721" t="n">
        <v>7</v>
      </c>
      <c r="B207" t="inlineStr">
        <is>
          <t>VERIFY OUTPUTS</t>
        </is>
      </c>
      <c r="C207" t="inlineStr">
        <is>
          <t>Read all Required outputs from Section B. Check Portfolio Col P (OUT-13). If No, read E-N (OUT-14).</t>
        </is>
      </c>
      <c r="D207" s="854" t="inlineStr">
        <is>
          <t>Section B: OUT-13, OUT-14</t>
        </is>
      </c>
    </row>
    <row r="208">
      <c r="A208" s="721" t="n">
        <v>8</v>
      </c>
      <c r="B208" t="inlineStr">
        <is>
          <t>CHECK POST-RUN EXCEPTIONS</t>
        </is>
      </c>
      <c r="C208" t="inlineStr">
        <is>
          <t>Check Credit Enhancement (OUT-24). Check for new CL breaches (OUT-21 delta &gt; 0). Flag per Section E.</t>
        </is>
      </c>
      <c r="D208" s="854" t="inlineStr">
        <is>
          <t>Section E: EX-09, EX-10, EX-11</t>
        </is>
      </c>
    </row>
    <row r="209">
      <c r="A209" s="721" t="n">
        <v>9</v>
      </c>
      <c r="B209" t="inlineStr">
        <is>
          <t>LOG RUN</t>
        </is>
      </c>
      <c r="C209" t="inlineStr">
        <is>
          <t>Write one row to Section F (Run Metadata). Write one row to Memory tab.</t>
        </is>
      </c>
      <c r="D209" s="854" t="inlineStr">
        <is>
          <t>Section F, Memory tab</t>
        </is>
      </c>
    </row>
    <row r="210">
      <c r="A210" s="721" t="n">
        <v>10</v>
      </c>
      <c r="B210" t="inlineStr">
        <is>
          <t>REPORT TO USER</t>
        </is>
      </c>
      <c r="C210" t="inlineStr">
        <is>
          <t>Present: Before/After Availability, Delta, Impact Ratio, Eligibility status, any CL breaches, any warnings raised.</t>
        </is>
      </c>
      <c r="D210" s="854" t="inlineStr">
        <is>
          <t>Section B: OUT-01 to OUT-24</t>
        </is>
      </c>
    </row>
  </sheetData>
  <mergeCells count="9">
    <mergeCell ref="A60:C60"/>
    <mergeCell ref="A13:C13"/>
    <mergeCell ref="A162:C162"/>
    <mergeCell ref="A139:C139"/>
    <mergeCell ref="A192:C192"/>
    <mergeCell ref="A4:C4"/>
    <mergeCell ref="A95:C95"/>
    <mergeCell ref="A1:Q1"/>
    <mergeCell ref="A182:C182"/>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Matthew Guitard</dc:creator>
  <dcterms:created xsi:type="dcterms:W3CDTF">2020-04-23T17:56:40Z</dcterms:created>
  <dcterms:modified xsi:type="dcterms:W3CDTF">2026-03-10T00:34:47Z</dcterms:modified>
  <cp:lastModifiedBy>Andres Carrillo</cp:lastModifiedBy>
  <cp:lastPrinted>2023-04-14T14:38:53Z</cp:lastPrinted>
</cp:coreProperties>
</file>

<file path=docProps/custom.xml><?xml version="1.0" encoding="utf-8"?>
<Properties xmlns:vt="http://schemas.openxmlformats.org/officeDocument/2006/docPropsVTypes" xmlns="http://schemas.openxmlformats.org/officeDocument/2006/custom-properties">
  <property name="TitusGUID" fmtid="{D5CDD505-2E9C-101B-9397-08002B2CF9AE}" pid="2">
    <vt:lpwstr>8a4f2945-80a4-43d0-8aa0-ec0f3f91ecbe</vt:lpwstr>
  </property>
  <property name="AllyClassification" fmtid="{D5CDD505-2E9C-101B-9397-08002B2CF9AE}" pid="3">
    <vt:lpwstr>C</vt:lpwstr>
  </property>
  <property name="MSIP_Label_f2cf77db-5e18-4f62-b122-c745f86f302a_Enabled" fmtid="{D5CDD505-2E9C-101B-9397-08002B2CF9AE}" pid="4">
    <vt:lpwstr>true</vt:lpwstr>
  </property>
  <property name="MSIP_Label_f2cf77db-5e18-4f62-b122-c745f86f302a_SetDate" fmtid="{D5CDD505-2E9C-101B-9397-08002B2CF9AE}" pid="5">
    <vt:lpwstr>2023-01-03T15:48:06Z</vt:lpwstr>
  </property>
  <property name="MSIP_Label_f2cf77db-5e18-4f62-b122-c745f86f302a_Method" fmtid="{D5CDD505-2E9C-101B-9397-08002B2CF9AE}" pid="6">
    <vt:lpwstr>Standard</vt:lpwstr>
  </property>
  <property name="MSIP_Label_f2cf77db-5e18-4f62-b122-c745f86f302a_Name" fmtid="{D5CDD505-2E9C-101B-9397-08002B2CF9AE}" pid="7">
    <vt:lpwstr>defa4170-0d19-0005-0004-bc88714345d2</vt:lpwstr>
  </property>
  <property name="MSIP_Label_f2cf77db-5e18-4f62-b122-c745f86f302a_SiteId" fmtid="{D5CDD505-2E9C-101B-9397-08002B2CF9AE}" pid="8">
    <vt:lpwstr>cd42ad31-bf24-4569-91e9-e4e961d2a99c</vt:lpwstr>
  </property>
  <property name="MSIP_Label_f2cf77db-5e18-4f62-b122-c745f86f302a_ActionId" fmtid="{D5CDD505-2E9C-101B-9397-08002B2CF9AE}" pid="9">
    <vt:lpwstr>70d73d7f-a055-43d5-b77b-58e7e5016555</vt:lpwstr>
  </property>
  <property name="MSIP_Label_f2cf77db-5e18-4f62-b122-c745f86f302a_ContentBits" fmtid="{D5CDD505-2E9C-101B-9397-08002B2CF9AE}" pid="10">
    <vt:lpwstr>0</vt:lpwstr>
  </property>
  <property name="MSIP_Label_7b9ffd17-fb5a-4e08-aa13-e209e660a50e_Enabled" fmtid="{D5CDD505-2E9C-101B-9397-08002B2CF9AE}" pid="11">
    <vt:lpwstr>true</vt:lpwstr>
  </property>
  <property name="MSIP_Label_7b9ffd17-fb5a-4e08-aa13-e209e660a50e_SetDate" fmtid="{D5CDD505-2E9C-101B-9397-08002B2CF9AE}" pid="12">
    <vt:lpwstr>2024-07-26T16:21:20Z</vt:lpwstr>
  </property>
  <property name="MSIP_Label_7b9ffd17-fb5a-4e08-aa13-e209e660a50e_Method" fmtid="{D5CDD505-2E9C-101B-9397-08002B2CF9AE}" pid="13">
    <vt:lpwstr>Standard</vt:lpwstr>
  </property>
  <property name="MSIP_Label_7b9ffd17-fb5a-4e08-aa13-e209e660a50e_Name" fmtid="{D5CDD505-2E9C-101B-9397-08002B2CF9AE}" pid="14">
    <vt:lpwstr>Public</vt:lpwstr>
  </property>
  <property name="MSIP_Label_7b9ffd17-fb5a-4e08-aa13-e209e660a50e_SiteId" fmtid="{D5CDD505-2E9C-101B-9397-08002B2CF9AE}" pid="15">
    <vt:lpwstr>45ee1ffd-72de-4bf9-9014-44739bd1cfac</vt:lpwstr>
  </property>
  <property name="MSIP_Label_7b9ffd17-fb5a-4e08-aa13-e209e660a50e_ActionId" fmtid="{D5CDD505-2E9C-101B-9397-08002B2CF9AE}" pid="16">
    <vt:lpwstr>984440fe-32e0-42b4-a946-aa1678e0bc6d</vt:lpwstr>
  </property>
  <property name="MSIP_Label_7b9ffd17-fb5a-4e08-aa13-e209e660a50e_ContentBits" fmtid="{D5CDD505-2E9C-101B-9397-08002B2CF9AE}" pid="17">
    <vt:lpwstr>0</vt:lpwstr>
  </property>
</Properties>
</file>