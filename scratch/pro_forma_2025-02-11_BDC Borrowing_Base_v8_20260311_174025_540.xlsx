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starmountaincapital-my.sharepoint.com/personal/andres_carrillo_starmountaincapital_com/Documents/Apps/BorrowingBaseWorkbench/scratch/"/>
    </mc:Choice>
  </mc:AlternateContent>
  <xr:revisionPtr revIDLastSave="57" documentId="8_{728216CD-0535-40AE-BBA3-1EE4D34659AC}" xr6:coauthVersionLast="47" xr6:coauthVersionMax="47" xr10:uidLastSave="{0EAB5389-5128-459E-AB60-6E87EE4F0E77}"/>
  <bookViews>
    <workbookView xWindow="-51720" yWindow="5265" windowWidth="51840" windowHeight="21120" tabRatio="872" firstSheet="5" activeTab="13" xr2:uid="{00000000-000D-0000-FFFF-FFFF00000000}"/>
  </bookViews>
  <sheets>
    <sheet name="Availability" sheetId="1" r:id="rId1"/>
    <sheet name="Portfolio" sheetId="2" r:id="rId2"/>
    <sheet name="Concentration Limits" sheetId="3" r:id="rId3"/>
    <sheet name="Loan Tape 4.26 _SMC" sheetId="4" state="hidden" r:id="rId4"/>
    <sheet name="AGENT" sheetId="5" r:id="rId5"/>
    <sheet name="VAE" sheetId="6" r:id="rId6"/>
    <sheet name="VAE Reset" sheetId="7" r:id="rId7"/>
    <sheet name="Loan Tape - Settled" sheetId="8" r:id="rId8"/>
    <sheet name="SM Support" sheetId="9" r:id="rId9"/>
    <sheet name="Quarterly Reporting" sheetId="10" r:id="rId10"/>
    <sheet name="ownership" sheetId="11" state="hidden" r:id="rId11"/>
    <sheet name="Memory" sheetId="12" r:id="rId12"/>
    <sheet name="AI_Instructions" sheetId="13" r:id="rId13"/>
    <sheet name="Deal Team Input" sheetId="14" r:id="rId14"/>
    <sheet name="Agentic Layer Workflow" sheetId="15" r:id="rId15"/>
    <sheet name="MAPPING_LAYER" sheetId="16" r:id="rId16"/>
  </sheets>
  <definedNames>
    <definedName name="\P">#REF!</definedName>
    <definedName name="__123Graph_A" localSheetId="9" hidden="1">#REF!</definedName>
    <definedName name="__123Graph_A" hidden="1">#REF!</definedName>
    <definedName name="__123Graph_B" localSheetId="9" hidden="1">#REF!</definedName>
    <definedName name="__123Graph_B" hidden="1">#REF!</definedName>
    <definedName name="__123Graph_C" localSheetId="9"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localSheetId="9" hidden="1">#REF!</definedName>
    <definedName name="_Fill" hidden="1">#REF!</definedName>
    <definedName name="_Key1" localSheetId="9" hidden="1">#REF!</definedName>
    <definedName name="_Key1" hidden="1">#REF!</definedName>
    <definedName name="_Order1" hidden="1">255</definedName>
    <definedName name="_Order2" hidden="1">255</definedName>
    <definedName name="_Principal">#REF!</definedName>
    <definedName name="_Regression_Int" hidden="1">1</definedName>
    <definedName name="_Sort" localSheetId="9" hidden="1">#REF!</definedName>
    <definedName name="_Sort" hidden="1">#REF!</definedName>
    <definedName name="_Sr2">"Sr2"</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 localSheetId="9">#REF!</definedName>
    <definedName name="Add_Backs_10_50MM">'Concentration Limits'!#REF!</definedName>
    <definedName name="Add_Backs_10MM" localSheetId="9">#REF!</definedName>
    <definedName name="Add_Backs_10MM">'Concentration Limits'!#REF!</definedName>
    <definedName name="Add_Backs_50MM" localSheetId="9">#REF!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localSheetId="8" hidden="1">"Portfolio 11.30.11.xlsx"</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localSheetId="2" hidden="1">{"LIBOR",#N/A,TRUE,"Model";"Caps",#N/A,TRUE,"Model";"Assets",#N/A,TRUE,"Model";"Liabilities",#N/A,TRUE,"Model";"Tests",#N/A,TRUE,"Model";"Results",#N/A,TRUE,"Model"}</definedName>
    <definedName name="DAYAN" localSheetId="9" hidden="1">{"LIBOR",#N/A,TRUE,"Model";"Caps",#N/A,TRUE,"Model";"Assets",#N/A,TRUE,"Model";"Liabilities",#N/A,TRUE,"Model";"Tests",#N/A,TRUE,"Model";"Results",#N/A,TRUE,"Model"}</definedName>
    <definedName name="DAYAN" localSheetId="5"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 localSheetId="3">#REF!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 localSheetId="9">#REF!</definedName>
    <definedName name="EBITDA_Addback_1">'Concentration Limits'!#REF!</definedName>
    <definedName name="EBITDA_Addback_2" localSheetId="9">#REF!</definedName>
    <definedName name="EBITDA_Addback_2">'Concentration Limits'!#REF!</definedName>
    <definedName name="EBITDA_Addback_3" localSheetId="9">#REF!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 localSheetId="9">#REF!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localSheetId="8" hidden="1">43363.8609375</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 localSheetId="3">'Loan Tape 4.26 _SMC'!#REF!</definedName>
    <definedName name="libor" localSheetId="8">#REF!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cro1">#N/A</definedName>
    <definedName name="MacroStart">#REF!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localSheetId="2" hidden="1">{"LIBOR",#N/A,TRUE,"Model";"Caps",#N/A,TRUE,"Model";"Assets",#N/A,TRUE,"Model";"Liabilities",#N/A,TRUE,"Model";"Tests",#N/A,TRUE,"Model";"Results",#N/A,TRUE,"Model"}</definedName>
    <definedName name="nnnnnnnnnnnnnnnnnnn" localSheetId="9"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 localSheetId="3">#REF!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localSheetId="3" publishToServer="1">#REF!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_xlnm.Print_Area" localSheetId="0">Availability!$A$1:$L$60</definedName>
    <definedName name="_xlnm.Print_Area" localSheetId="13">'Deal Team Input'!$A$1:$E$41,'Deal Team Input'!$A$45:$J$108,'Deal Team Input'!$J$1:$Q$35</definedName>
    <definedName name="_xlnm.Print_Area" localSheetId="3">'Loan Tape 4.26 _SMC'!$B$1:$AJ$35</definedName>
    <definedName name="_xlnm.Print_Area" localSheetId="10">ownership!$B$1:$M$20</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 localSheetId="9">#REF!</definedName>
    <definedName name="Tier_1_1L">'Concentration Limits'!$E$163</definedName>
    <definedName name="Tier_1_2L" localSheetId="9">#REF!</definedName>
    <definedName name="Tier_1_2L">'Concentration Limits'!$F$163</definedName>
    <definedName name="Tier_1_ApplicableValue" localSheetId="9">#REF!</definedName>
    <definedName name="Tier_1_ApplicableValue">'Concentration Limits'!$G$163</definedName>
    <definedName name="Tier_2_1L" localSheetId="9">#REF!</definedName>
    <definedName name="Tier_2_1L">'Concentration Limits'!$E$164</definedName>
    <definedName name="Tier_2_2L" localSheetId="9">#REF!</definedName>
    <definedName name="Tier_2_2L">'Concentration Limits'!$F$164</definedName>
    <definedName name="Tier_2_ApplicableValue" localSheetId="9">#REF!</definedName>
    <definedName name="Tier_2_ApplicableValue">'Concentration Limits'!$G$164</definedName>
    <definedName name="Tier_3_1L" localSheetId="9">#REF!</definedName>
    <definedName name="Tier_3_1L">'Concentration Limits'!$E$165</definedName>
    <definedName name="Tier_3_2L" localSheetId="9">#REF!</definedName>
    <definedName name="Tier_3_2L">'Concentration Limits'!$F$165</definedName>
    <definedName name="Tier_3_ApplicableValue" localSheetId="9">#REF!</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 localSheetId="9">#REF!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localSheetId="2" hidden="1">{"Assumptions",#N/A,FALSE,"Model"}</definedName>
    <definedName name="wrn.Assumptions." localSheetId="9" hidden="1">{"Assumptions",#N/A,FALSE,"Model"}</definedName>
    <definedName name="wrn.Assumptions." localSheetId="5" hidden="1">{"Assumptions",#N/A,FALSE,"Model"}</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localSheetId="2" hidden="1">{"LIBOR",#N/A,TRUE,"Model";"Caps",#N/A,TRUE,"Model";"Assets",#N/A,TRUE,"Model";"Liabilities",#N/A,TRUE,"Model";"Tests",#N/A,TRUE,"Model";"Results",#N/A,TRUE,"Model"}</definedName>
    <definedName name="wrn.Main._.CBO._.Report." localSheetId="9" hidden="1">{"LIBOR",#N/A,TRUE,"Model";"Caps",#N/A,TRUE,"Model";"Assets",#N/A,TRUE,"Model";"Liabilities",#N/A,TRUE,"Model";"Tests",#N/A,TRUE,"Model";"Results",#N/A,TRUE,"Model"}</definedName>
    <definedName name="wrn.Main._.CBO._.Report." localSheetId="5"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w" localSheetId="2" hidden="1">{"Assumptions",#N/A,FALSE,"Model"}</definedName>
    <definedName name="ww" localSheetId="9" hidden="1">{"Assumptions",#N/A,FALSE,"Model"}</definedName>
    <definedName name="ww" localSheetId="5" hidden="1">{"Assumptions",#N/A,FALSE,"Model"}</definedName>
    <definedName name="ww" hidden="1">{"Assumptions",#N/A,FALSE,"Model"}</definedName>
    <definedName name="xg">#REF!</definedName>
    <definedName name="ytdmonthshort">#REF!</definedName>
    <definedName name="y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L50" i="2" l="1"/>
  <c r="HK50" i="2"/>
  <c r="HJ50" i="2"/>
  <c r="HI50" i="2"/>
  <c r="HH50" i="2"/>
  <c r="HF50" i="2"/>
  <c r="HA50" i="2"/>
  <c r="HB50" i="2" s="1"/>
  <c r="GW50" i="2"/>
  <c r="GV50" i="2"/>
  <c r="EF50" i="2"/>
  <c r="N50" i="2"/>
  <c r="F50" i="2"/>
  <c r="BI46" i="8"/>
  <c r="BF46" i="8"/>
  <c r="AZ46" i="8"/>
  <c r="BA46" i="8" s="1"/>
  <c r="AY46" i="8"/>
  <c r="AW46" i="8"/>
  <c r="S46" i="8"/>
  <c r="M46" i="8"/>
  <c r="AQ46" i="8" s="1"/>
  <c r="N43" i="9"/>
  <c r="BJ46" i="8" s="1"/>
  <c r="M43" i="9"/>
  <c r="BC46" i="8" s="1"/>
  <c r="BD46" i="8" s="1"/>
  <c r="I89" i="14"/>
  <c r="H89" i="14"/>
  <c r="I88" i="14"/>
  <c r="H88" i="14"/>
  <c r="I87" i="14"/>
  <c r="H87" i="14"/>
  <c r="I86" i="14"/>
  <c r="H86" i="14"/>
  <c r="I85" i="14"/>
  <c r="H85" i="14"/>
  <c r="I84" i="14"/>
  <c r="H84" i="14"/>
  <c r="I83" i="14"/>
  <c r="H83" i="14"/>
  <c r="I82" i="14"/>
  <c r="H82" i="14"/>
  <c r="I81" i="14"/>
  <c r="H81" i="14"/>
  <c r="I80" i="14"/>
  <c r="H80" i="14"/>
  <c r="I79" i="14"/>
  <c r="H79" i="14"/>
  <c r="I78" i="14"/>
  <c r="H78" i="14"/>
  <c r="I76" i="14"/>
  <c r="H76" i="14"/>
  <c r="I75" i="14"/>
  <c r="H75" i="14"/>
  <c r="I74" i="14"/>
  <c r="H74" i="14"/>
  <c r="B68" i="14"/>
  <c r="B67" i="14"/>
  <c r="B66" i="14"/>
  <c r="B65" i="14"/>
  <c r="B64" i="14"/>
  <c r="D56" i="14" a="1"/>
  <c r="D56" i="14" s="1"/>
  <c r="B56" i="14"/>
  <c r="B51" i="14"/>
  <c r="B57" i="14" s="1"/>
  <c r="B4" i="14"/>
  <c r="B92" i="13"/>
  <c r="B11" i="13"/>
  <c r="B10" i="13"/>
  <c r="B7" i="13"/>
  <c r="C20" i="11"/>
  <c r="M15" i="11"/>
  <c r="K15" i="11"/>
  <c r="M10" i="11"/>
  <c r="K10" i="11"/>
  <c r="M5" i="11"/>
  <c r="K5" i="11"/>
  <c r="I24" i="10"/>
  <c r="I26" i="10" s="1"/>
  <c r="I15" i="10"/>
  <c r="L149" i="9"/>
  <c r="K149" i="9"/>
  <c r="J149" i="9"/>
  <c r="I149" i="9"/>
  <c r="H149" i="9"/>
  <c r="G149" i="9"/>
  <c r="F149" i="9"/>
  <c r="L148" i="9"/>
  <c r="K148" i="9"/>
  <c r="J148" i="9"/>
  <c r="I148" i="9"/>
  <c r="H148" i="9"/>
  <c r="G148" i="9"/>
  <c r="F148" i="9"/>
  <c r="L147" i="9"/>
  <c r="K147" i="9"/>
  <c r="J147" i="9"/>
  <c r="I147" i="9"/>
  <c r="H147" i="9"/>
  <c r="G147" i="9"/>
  <c r="F147" i="9"/>
  <c r="L146" i="9"/>
  <c r="K146" i="9"/>
  <c r="J146" i="9"/>
  <c r="I146" i="9"/>
  <c r="H146" i="9"/>
  <c r="G146" i="9"/>
  <c r="F146" i="9"/>
  <c r="L145" i="9"/>
  <c r="K145" i="9"/>
  <c r="J145" i="9"/>
  <c r="I145" i="9"/>
  <c r="H145" i="9"/>
  <c r="G145" i="9"/>
  <c r="F145" i="9"/>
  <c r="L144" i="9"/>
  <c r="K144" i="9"/>
  <c r="J144" i="9"/>
  <c r="I144" i="9"/>
  <c r="H144" i="9"/>
  <c r="G144" i="9"/>
  <c r="F144" i="9"/>
  <c r="L143" i="9"/>
  <c r="K143" i="9"/>
  <c r="J143" i="9"/>
  <c r="I143" i="9"/>
  <c r="H143" i="9"/>
  <c r="G143" i="9"/>
  <c r="F143" i="9"/>
  <c r="L142" i="9"/>
  <c r="K142" i="9"/>
  <c r="J142" i="9"/>
  <c r="I142" i="9"/>
  <c r="H142" i="9"/>
  <c r="G142" i="9"/>
  <c r="F142" i="9"/>
  <c r="L141" i="9"/>
  <c r="K141" i="9"/>
  <c r="J141" i="9"/>
  <c r="I141" i="9"/>
  <c r="H141" i="9"/>
  <c r="G141" i="9"/>
  <c r="F141" i="9"/>
  <c r="L140" i="9"/>
  <c r="K140" i="9"/>
  <c r="J140" i="9"/>
  <c r="I140" i="9"/>
  <c r="H140" i="9"/>
  <c r="G140" i="9"/>
  <c r="F140" i="9"/>
  <c r="L139" i="9"/>
  <c r="K139" i="9"/>
  <c r="J139" i="9"/>
  <c r="I139" i="9"/>
  <c r="H139" i="9"/>
  <c r="G139" i="9"/>
  <c r="F139" i="9"/>
  <c r="L138" i="9"/>
  <c r="K138" i="9"/>
  <c r="J138" i="9"/>
  <c r="I138" i="9"/>
  <c r="H138" i="9"/>
  <c r="G138" i="9"/>
  <c r="F138" i="9"/>
  <c r="L137" i="9"/>
  <c r="K137" i="9"/>
  <c r="J137" i="9"/>
  <c r="I137" i="9"/>
  <c r="H137" i="9"/>
  <c r="G137" i="9"/>
  <c r="F137" i="9"/>
  <c r="L136" i="9"/>
  <c r="K136" i="9"/>
  <c r="J136" i="9"/>
  <c r="I136" i="9"/>
  <c r="H136" i="9"/>
  <c r="G136" i="9"/>
  <c r="F136" i="9"/>
  <c r="L135" i="9"/>
  <c r="K135" i="9"/>
  <c r="J135" i="9"/>
  <c r="I135" i="9"/>
  <c r="H135" i="9"/>
  <c r="G135" i="9"/>
  <c r="F135" i="9"/>
  <c r="L134" i="9"/>
  <c r="K134" i="9"/>
  <c r="J134" i="9"/>
  <c r="I134" i="9"/>
  <c r="H134" i="9"/>
  <c r="G134" i="9"/>
  <c r="F134" i="9"/>
  <c r="L133" i="9"/>
  <c r="K133" i="9"/>
  <c r="J133" i="9"/>
  <c r="I133" i="9"/>
  <c r="H133" i="9"/>
  <c r="G133" i="9"/>
  <c r="F133" i="9"/>
  <c r="L132" i="9"/>
  <c r="K132" i="9"/>
  <c r="J132" i="9"/>
  <c r="I132" i="9"/>
  <c r="H132" i="9"/>
  <c r="G132" i="9"/>
  <c r="F132" i="9"/>
  <c r="L131" i="9"/>
  <c r="K131" i="9"/>
  <c r="J131" i="9"/>
  <c r="I131" i="9"/>
  <c r="H131" i="9"/>
  <c r="G131" i="9"/>
  <c r="F131" i="9"/>
  <c r="L130" i="9"/>
  <c r="K130" i="9"/>
  <c r="J130" i="9"/>
  <c r="I130" i="9"/>
  <c r="H130" i="9"/>
  <c r="G130" i="9"/>
  <c r="F130" i="9"/>
  <c r="L129" i="9"/>
  <c r="K129" i="9"/>
  <c r="J129" i="9"/>
  <c r="I129" i="9"/>
  <c r="H129" i="9"/>
  <c r="G129" i="9"/>
  <c r="F129" i="9"/>
  <c r="L128" i="9"/>
  <c r="K128" i="9"/>
  <c r="J128" i="9"/>
  <c r="I128" i="9"/>
  <c r="H128" i="9"/>
  <c r="G128" i="9"/>
  <c r="F128" i="9"/>
  <c r="L127" i="9"/>
  <c r="K127" i="9"/>
  <c r="J127" i="9"/>
  <c r="I127" i="9"/>
  <c r="H127" i="9"/>
  <c r="G127" i="9"/>
  <c r="F127" i="9"/>
  <c r="L126" i="9"/>
  <c r="K126" i="9"/>
  <c r="J126" i="9"/>
  <c r="I126" i="9"/>
  <c r="H126" i="9"/>
  <c r="G126" i="9"/>
  <c r="F126" i="9"/>
  <c r="L125" i="9"/>
  <c r="K125" i="9"/>
  <c r="J125" i="9"/>
  <c r="I125" i="9"/>
  <c r="H125" i="9"/>
  <c r="G125" i="9"/>
  <c r="F125" i="9"/>
  <c r="L124" i="9"/>
  <c r="K124" i="9"/>
  <c r="J124" i="9"/>
  <c r="I124" i="9"/>
  <c r="H124" i="9"/>
  <c r="G124" i="9"/>
  <c r="F124" i="9"/>
  <c r="L123" i="9"/>
  <c r="K123" i="9"/>
  <c r="J123" i="9"/>
  <c r="I123" i="9"/>
  <c r="H123" i="9"/>
  <c r="G123" i="9"/>
  <c r="F123" i="9"/>
  <c r="L122" i="9"/>
  <c r="K122" i="9"/>
  <c r="J122" i="9"/>
  <c r="I122" i="9"/>
  <c r="H122" i="9"/>
  <c r="G122" i="9"/>
  <c r="F122" i="9"/>
  <c r="L121" i="9"/>
  <c r="K121" i="9"/>
  <c r="J121" i="9"/>
  <c r="I121" i="9"/>
  <c r="H121" i="9"/>
  <c r="G121" i="9"/>
  <c r="F121" i="9"/>
  <c r="L120" i="9"/>
  <c r="K120" i="9"/>
  <c r="J120" i="9"/>
  <c r="I120" i="9"/>
  <c r="H120" i="9"/>
  <c r="G120" i="9"/>
  <c r="F120" i="9"/>
  <c r="L119" i="9"/>
  <c r="K119" i="9"/>
  <c r="J119" i="9"/>
  <c r="I119" i="9"/>
  <c r="H119" i="9"/>
  <c r="G119" i="9"/>
  <c r="F119" i="9"/>
  <c r="L118" i="9"/>
  <c r="K118" i="9"/>
  <c r="J118" i="9"/>
  <c r="I118" i="9"/>
  <c r="H118" i="9"/>
  <c r="G118" i="9"/>
  <c r="F118" i="9"/>
  <c r="L117" i="9"/>
  <c r="K117" i="9"/>
  <c r="J117" i="9"/>
  <c r="I117" i="9"/>
  <c r="H117" i="9"/>
  <c r="G117" i="9"/>
  <c r="F117" i="9"/>
  <c r="L116" i="9"/>
  <c r="J116" i="9"/>
  <c r="I116" i="9"/>
  <c r="H116" i="9"/>
  <c r="G116" i="9"/>
  <c r="F116" i="9"/>
  <c r="L115" i="9"/>
  <c r="K115" i="9"/>
  <c r="J115" i="9"/>
  <c r="I115" i="9"/>
  <c r="H115" i="9"/>
  <c r="G115" i="9"/>
  <c r="F115" i="9"/>
  <c r="L114" i="9"/>
  <c r="K114" i="9"/>
  <c r="J114" i="9"/>
  <c r="I114" i="9"/>
  <c r="H114" i="9"/>
  <c r="G114" i="9"/>
  <c r="F114" i="9"/>
  <c r="L113" i="9"/>
  <c r="K113" i="9"/>
  <c r="J113" i="9"/>
  <c r="I113" i="9"/>
  <c r="H113" i="9"/>
  <c r="G113" i="9"/>
  <c r="F113" i="9"/>
  <c r="L112" i="9"/>
  <c r="K112" i="9"/>
  <c r="J112" i="9"/>
  <c r="I112" i="9"/>
  <c r="H112" i="9"/>
  <c r="G112" i="9"/>
  <c r="F112" i="9"/>
  <c r="L111" i="9"/>
  <c r="K111" i="9"/>
  <c r="J111" i="9"/>
  <c r="I111" i="9"/>
  <c r="H111" i="9"/>
  <c r="G111" i="9"/>
  <c r="F111" i="9"/>
  <c r="L110" i="9"/>
  <c r="K110" i="9"/>
  <c r="J110" i="9"/>
  <c r="I110" i="9"/>
  <c r="H110" i="9"/>
  <c r="G110" i="9"/>
  <c r="F110" i="9"/>
  <c r="M107" i="9"/>
  <c r="M106" i="9"/>
  <c r="M105" i="9"/>
  <c r="M104" i="9"/>
  <c r="M103" i="9"/>
  <c r="M102" i="9"/>
  <c r="M101" i="9"/>
  <c r="M100" i="9"/>
  <c r="M99" i="9"/>
  <c r="M98" i="9"/>
  <c r="M97" i="9"/>
  <c r="M96" i="9"/>
  <c r="M95" i="9"/>
  <c r="M94" i="9"/>
  <c r="M93" i="9"/>
  <c r="M92" i="9"/>
  <c r="M91" i="9"/>
  <c r="M90" i="9"/>
  <c r="M89" i="9"/>
  <c r="M88" i="9"/>
  <c r="M131" i="9" s="1"/>
  <c r="M87" i="9"/>
  <c r="M86" i="9"/>
  <c r="M85" i="9"/>
  <c r="M84" i="9"/>
  <c r="M83" i="9"/>
  <c r="M82" i="9"/>
  <c r="M81" i="9"/>
  <c r="M80" i="9"/>
  <c r="M79" i="9"/>
  <c r="M78" i="9"/>
  <c r="M77" i="9"/>
  <c r="M76" i="9"/>
  <c r="M75" i="9"/>
  <c r="M74" i="9"/>
  <c r="K73" i="9"/>
  <c r="M72" i="9"/>
  <c r="M115" i="9" s="1"/>
  <c r="M71" i="9"/>
  <c r="M70" i="9"/>
  <c r="M69" i="9"/>
  <c r="C69" i="9"/>
  <c r="M68" i="9"/>
  <c r="M67" i="9"/>
  <c r="T64" i="9"/>
  <c r="S64" i="9"/>
  <c r="AA50" i="9"/>
  <c r="V50" i="9"/>
  <c r="N50" i="9"/>
  <c r="BJ44" i="8" s="1"/>
  <c r="M50" i="9"/>
  <c r="BI44" i="8" s="1"/>
  <c r="D50" i="9"/>
  <c r="V49" i="9"/>
  <c r="V48" i="9"/>
  <c r="V47" i="9"/>
  <c r="V46" i="9"/>
  <c r="V45" i="9"/>
  <c r="V44" i="9"/>
  <c r="V43" i="9"/>
  <c r="AA42" i="9"/>
  <c r="V42" i="9"/>
  <c r="D42" i="9" s="1"/>
  <c r="E42" i="9" s="1"/>
  <c r="S45" i="8" s="1"/>
  <c r="N42" i="9"/>
  <c r="BJ45" i="8" s="1"/>
  <c r="M42" i="9"/>
  <c r="M149" i="9" s="1"/>
  <c r="AA41" i="9"/>
  <c r="V41" i="9"/>
  <c r="D41" i="9" s="1"/>
  <c r="N41" i="9"/>
  <c r="BJ38" i="8" s="1"/>
  <c r="M41" i="9"/>
  <c r="AA40" i="9"/>
  <c r="V40" i="9"/>
  <c r="D40" i="9" s="1"/>
  <c r="N40" i="9"/>
  <c r="BJ43" i="8" s="1"/>
  <c r="M40" i="9"/>
  <c r="BC43" i="8" s="1"/>
  <c r="BD43" i="8" s="1"/>
  <c r="AA39" i="9"/>
  <c r="V39" i="9"/>
  <c r="D39" i="9" s="1"/>
  <c r="N39" i="9"/>
  <c r="M39" i="9"/>
  <c r="AA38" i="9"/>
  <c r="V38" i="9"/>
  <c r="D38" i="9" s="1"/>
  <c r="M26" i="8" s="1"/>
  <c r="N38" i="9"/>
  <c r="BJ26" i="8" s="1"/>
  <c r="M38" i="9"/>
  <c r="M145" i="9" s="1"/>
  <c r="AA37" i="9"/>
  <c r="V37" i="9"/>
  <c r="D37" i="9" s="1"/>
  <c r="N37" i="9"/>
  <c r="M37" i="9"/>
  <c r="AA36" i="9"/>
  <c r="V36" i="9"/>
  <c r="D36" i="9" s="1"/>
  <c r="N36" i="9"/>
  <c r="M36" i="9"/>
  <c r="AA35" i="9"/>
  <c r="V35" i="9"/>
  <c r="N35" i="9"/>
  <c r="M35" i="9"/>
  <c r="BC21" i="8" s="1"/>
  <c r="BD21" i="8" s="1"/>
  <c r="D35" i="9"/>
  <c r="AA34" i="9"/>
  <c r="V34" i="9"/>
  <c r="D34" i="9" s="1"/>
  <c r="E34" i="9" s="1"/>
  <c r="S13" i="8" s="1"/>
  <c r="N34" i="9"/>
  <c r="M34" i="9"/>
  <c r="M141" i="9" s="1"/>
  <c r="AA33" i="9"/>
  <c r="V33" i="9"/>
  <c r="D33" i="9" s="1"/>
  <c r="N33" i="9"/>
  <c r="BJ27" i="8" s="1"/>
  <c r="M33" i="9"/>
  <c r="M140" i="9" s="1"/>
  <c r="AA32" i="9"/>
  <c r="V32" i="9"/>
  <c r="D32" i="9" s="1"/>
  <c r="N32" i="9"/>
  <c r="BJ25" i="8" s="1"/>
  <c r="M32" i="9"/>
  <c r="AA31" i="9"/>
  <c r="V31" i="9"/>
  <c r="D31" i="9" s="1"/>
  <c r="N31" i="9"/>
  <c r="M31" i="9"/>
  <c r="BI18" i="8" s="1"/>
  <c r="AA30" i="9"/>
  <c r="V30" i="9"/>
  <c r="N30" i="9"/>
  <c r="BJ23" i="8" s="1"/>
  <c r="M30" i="9"/>
  <c r="M137" i="9" s="1"/>
  <c r="D30" i="9"/>
  <c r="AA29" i="9"/>
  <c r="V29" i="9"/>
  <c r="D29" i="9" s="1"/>
  <c r="N29" i="9"/>
  <c r="BJ6" i="8" s="1"/>
  <c r="M29" i="9"/>
  <c r="AA28" i="9"/>
  <c r="V28" i="9"/>
  <c r="D28" i="9" s="1"/>
  <c r="M28" i="9"/>
  <c r="BC41" i="8" s="1"/>
  <c r="BD41" i="8" s="1"/>
  <c r="AA27" i="9"/>
  <c r="V27" i="9"/>
  <c r="D27" i="9" s="1"/>
  <c r="N27" i="9"/>
  <c r="BJ37" i="8" s="1"/>
  <c r="M27" i="9"/>
  <c r="BI37" i="8" s="1"/>
  <c r="AA26" i="9"/>
  <c r="V26" i="9"/>
  <c r="D26" i="9" s="1"/>
  <c r="N26" i="9"/>
  <c r="M26" i="9"/>
  <c r="AA25" i="9"/>
  <c r="V25" i="9"/>
  <c r="D25" i="9" s="1"/>
  <c r="M31" i="8" s="1"/>
  <c r="N25" i="9"/>
  <c r="M25" i="9"/>
  <c r="M132" i="9" s="1"/>
  <c r="AA24" i="9"/>
  <c r="V24" i="9"/>
  <c r="D24" i="9" s="1"/>
  <c r="E24" i="9" s="1"/>
  <c r="S17" i="8" s="1"/>
  <c r="N24" i="9"/>
  <c r="BJ17" i="8" s="1"/>
  <c r="AA23" i="9"/>
  <c r="V23" i="9"/>
  <c r="D23" i="9" s="1"/>
  <c r="N23" i="9"/>
  <c r="BJ7" i="8" s="1"/>
  <c r="M23" i="9"/>
  <c r="BC7" i="8" s="1"/>
  <c r="BD7" i="8" s="1"/>
  <c r="AA22" i="9"/>
  <c r="V22" i="9"/>
  <c r="D22" i="9" s="1"/>
  <c r="N22" i="9"/>
  <c r="BJ14" i="8" s="1"/>
  <c r="M22" i="9"/>
  <c r="M129" i="9" s="1"/>
  <c r="AA21" i="9"/>
  <c r="V21" i="9"/>
  <c r="D21" i="9" s="1"/>
  <c r="N21" i="9"/>
  <c r="BJ33" i="8" s="1"/>
  <c r="M21" i="9"/>
  <c r="BC33" i="8" s="1"/>
  <c r="BD33" i="8" s="1"/>
  <c r="AA20" i="9"/>
  <c r="V20" i="9"/>
  <c r="D20" i="9" s="1"/>
  <c r="M8" i="8" s="1"/>
  <c r="N20" i="9"/>
  <c r="M20" i="9"/>
  <c r="M127" i="9" s="1"/>
  <c r="AA19" i="9"/>
  <c r="V19" i="9"/>
  <c r="D19" i="9" s="1"/>
  <c r="N19" i="9"/>
  <c r="M19" i="9"/>
  <c r="AA18" i="9"/>
  <c r="V18" i="9"/>
  <c r="D18" i="9" s="1"/>
  <c r="N18" i="9"/>
  <c r="M18" i="9"/>
  <c r="M125" i="9" s="1"/>
  <c r="AA17" i="9"/>
  <c r="V17" i="9"/>
  <c r="D17" i="9" s="1"/>
  <c r="M17" i="9"/>
  <c r="AA16" i="9"/>
  <c r="V16" i="9"/>
  <c r="D16" i="9" s="1"/>
  <c r="N16" i="9"/>
  <c r="M16" i="9"/>
  <c r="AA15" i="9"/>
  <c r="V15" i="9"/>
  <c r="D15" i="9" s="1"/>
  <c r="M35" i="8" s="1"/>
  <c r="N15" i="9"/>
  <c r="BJ35" i="8" s="1"/>
  <c r="M15" i="9"/>
  <c r="M122" i="9" s="1"/>
  <c r="AA14" i="9"/>
  <c r="V14" i="9"/>
  <c r="D14" i="9" s="1"/>
  <c r="N14" i="9"/>
  <c r="M14" i="9"/>
  <c r="M121" i="9" s="1"/>
  <c r="AA13" i="9"/>
  <c r="V13" i="9"/>
  <c r="D13" i="9" s="1"/>
  <c r="N13" i="9"/>
  <c r="M13" i="9"/>
  <c r="AA12" i="9"/>
  <c r="V12" i="9"/>
  <c r="N12" i="9"/>
  <c r="M12" i="9"/>
  <c r="BC28" i="8" s="1"/>
  <c r="BD28" i="8" s="1"/>
  <c r="D12" i="9"/>
  <c r="AA11" i="9"/>
  <c r="V11" i="9"/>
  <c r="D11" i="9" s="1"/>
  <c r="E11" i="9" s="1"/>
  <c r="S39" i="8" s="1"/>
  <c r="N11" i="9"/>
  <c r="M11" i="9"/>
  <c r="BI39" i="8" s="1"/>
  <c r="AA10" i="9"/>
  <c r="V10" i="9"/>
  <c r="D10" i="9" s="1"/>
  <c r="N10" i="9"/>
  <c r="BJ11" i="8" s="1"/>
  <c r="M10" i="9"/>
  <c r="M117" i="9" s="1"/>
  <c r="AA9" i="9"/>
  <c r="U9" i="9"/>
  <c r="N9" i="9"/>
  <c r="BJ12" i="8" s="1"/>
  <c r="M9" i="9"/>
  <c r="AA8" i="9"/>
  <c r="V8" i="9"/>
  <c r="D8" i="9" s="1"/>
  <c r="N8" i="9"/>
  <c r="AA7" i="9"/>
  <c r="V7" i="9"/>
  <c r="D7" i="9" s="1"/>
  <c r="N7" i="9"/>
  <c r="BJ30" i="8" s="1"/>
  <c r="M7" i="9"/>
  <c r="BI30" i="8" s="1"/>
  <c r="AA6" i="9"/>
  <c r="V6" i="9"/>
  <c r="D6" i="9" s="1"/>
  <c r="N6" i="9"/>
  <c r="M6" i="9"/>
  <c r="M113" i="9" s="1"/>
  <c r="AA5" i="9"/>
  <c r="V5" i="9"/>
  <c r="D5" i="9" s="1"/>
  <c r="M19" i="8" s="1"/>
  <c r="N5" i="9"/>
  <c r="M5" i="9"/>
  <c r="M112" i="9" s="1"/>
  <c r="AA4" i="9"/>
  <c r="V4" i="9"/>
  <c r="D4" i="9" s="1"/>
  <c r="N4" i="9"/>
  <c r="M4" i="9"/>
  <c r="M111" i="9" s="1"/>
  <c r="AA3" i="9"/>
  <c r="V3" i="9"/>
  <c r="D3" i="9" s="1"/>
  <c r="M29" i="8" s="1"/>
  <c r="N3" i="9"/>
  <c r="M3" i="9"/>
  <c r="BF45" i="8"/>
  <c r="BC45" i="8"/>
  <c r="BD45" i="8" s="1"/>
  <c r="AZ45" i="8"/>
  <c r="BA45" i="8" s="1"/>
  <c r="AY45" i="8"/>
  <c r="AW45" i="8"/>
  <c r="BF44" i="8"/>
  <c r="BC44" i="8"/>
  <c r="BD44" i="8" s="1"/>
  <c r="AZ44" i="8"/>
  <c r="BA44" i="8" s="1"/>
  <c r="AY44" i="8"/>
  <c r="AW44" i="8"/>
  <c r="M44" i="8"/>
  <c r="BI43" i="8"/>
  <c r="BF43" i="8"/>
  <c r="AZ43" i="8"/>
  <c r="BA43" i="8" s="1"/>
  <c r="AY43" i="8"/>
  <c r="AW43" i="8"/>
  <c r="BJ42" i="8"/>
  <c r="BI42" i="8"/>
  <c r="BF42" i="8"/>
  <c r="BC42" i="8"/>
  <c r="BD42" i="8" s="1"/>
  <c r="AZ42" i="8"/>
  <c r="BA42" i="8" s="1"/>
  <c r="AY42" i="8"/>
  <c r="AW42" i="8"/>
  <c r="BJ41" i="8"/>
  <c r="BI41" i="8"/>
  <c r="BF41" i="8"/>
  <c r="AZ41" i="8"/>
  <c r="BA41" i="8" s="1"/>
  <c r="AY41" i="8"/>
  <c r="AW41" i="8"/>
  <c r="BJ40" i="8"/>
  <c r="BI40" i="8"/>
  <c r="BF40" i="8"/>
  <c r="BC40" i="8"/>
  <c r="BD40" i="8" s="1"/>
  <c r="AZ40" i="8"/>
  <c r="BA40" i="8" s="1"/>
  <c r="AY40" i="8"/>
  <c r="AW40" i="8"/>
  <c r="BJ39" i="8"/>
  <c r="BF39" i="8"/>
  <c r="BC39" i="8"/>
  <c r="BD39" i="8" s="1"/>
  <c r="AZ39" i="8"/>
  <c r="BA39" i="8" s="1"/>
  <c r="AY39" i="8"/>
  <c r="AW39" i="8"/>
  <c r="BI38" i="8"/>
  <c r="BF38" i="8"/>
  <c r="BC38" i="8"/>
  <c r="BD38" i="8" s="1"/>
  <c r="AZ38" i="8"/>
  <c r="BA38" i="8" s="1"/>
  <c r="AY38" i="8"/>
  <c r="AW38" i="8"/>
  <c r="BF37" i="8"/>
  <c r="AZ37" i="8"/>
  <c r="BA37" i="8" s="1"/>
  <c r="AY37" i="8"/>
  <c r="AW37" i="8"/>
  <c r="BJ36" i="8"/>
  <c r="BF36" i="8"/>
  <c r="AZ36" i="8"/>
  <c r="BA36" i="8" s="1"/>
  <c r="AY36" i="8"/>
  <c r="AW36" i="8"/>
  <c r="BF35" i="8"/>
  <c r="AZ35" i="8"/>
  <c r="BA35" i="8" s="1"/>
  <c r="AY35" i="8"/>
  <c r="AW35" i="8"/>
  <c r="BJ34" i="8"/>
  <c r="BF34" i="8"/>
  <c r="P6" i="7" s="1"/>
  <c r="AZ34" i="8"/>
  <c r="BA34" i="8" s="1"/>
  <c r="AY34" i="8"/>
  <c r="AW34" i="8"/>
  <c r="BI33" i="8"/>
  <c r="BF33" i="8"/>
  <c r="AZ33" i="8"/>
  <c r="BA33" i="8" s="1"/>
  <c r="AY33" i="8"/>
  <c r="AW33" i="8"/>
  <c r="BJ32" i="8"/>
  <c r="BI32" i="8"/>
  <c r="BF32" i="8"/>
  <c r="BC32" i="8"/>
  <c r="BD32" i="8" s="1"/>
  <c r="AZ32" i="8"/>
  <c r="BA32" i="8" s="1"/>
  <c r="AY32" i="8"/>
  <c r="AW32" i="8"/>
  <c r="BJ31" i="8"/>
  <c r="BF31" i="8"/>
  <c r="AZ31" i="8"/>
  <c r="BA31" i="8" s="1"/>
  <c r="AY31" i="8"/>
  <c r="AW31" i="8"/>
  <c r="BF30" i="8"/>
  <c r="AZ30" i="8"/>
  <c r="BA30" i="8" s="1"/>
  <c r="AY30" i="8"/>
  <c r="AW30" i="8"/>
  <c r="BJ29" i="8"/>
  <c r="BI29" i="8"/>
  <c r="BF29" i="8"/>
  <c r="BC29" i="8"/>
  <c r="BD29" i="8" s="1"/>
  <c r="AZ29" i="8"/>
  <c r="BA29" i="8" s="1"/>
  <c r="AY29" i="8"/>
  <c r="AW29" i="8"/>
  <c r="BJ28" i="8"/>
  <c r="BI28" i="8"/>
  <c r="BF28" i="8"/>
  <c r="P5" i="7" s="1"/>
  <c r="AZ28" i="8"/>
  <c r="BA28" i="8" s="1"/>
  <c r="I5" i="7" s="1"/>
  <c r="K5" i="7" s="1"/>
  <c r="AY28" i="8"/>
  <c r="AW28" i="8"/>
  <c r="BF27" i="8"/>
  <c r="AZ27" i="8"/>
  <c r="BA27" i="8" s="1"/>
  <c r="AY27" i="8"/>
  <c r="AW27" i="8"/>
  <c r="BF26" i="8"/>
  <c r="AZ26" i="8"/>
  <c r="BA26" i="8" s="1"/>
  <c r="AY26" i="8"/>
  <c r="AW26" i="8"/>
  <c r="BI25" i="8"/>
  <c r="BF25" i="8"/>
  <c r="BC25" i="8"/>
  <c r="BD25" i="8" s="1"/>
  <c r="AZ25" i="8"/>
  <c r="BA25" i="8" s="1"/>
  <c r="AY25" i="8"/>
  <c r="AW25" i="8"/>
  <c r="BJ24" i="8"/>
  <c r="BF24" i="8"/>
  <c r="BC24" i="8"/>
  <c r="BD24" i="8" s="1"/>
  <c r="AZ24" i="8"/>
  <c r="BA24" i="8" s="1"/>
  <c r="AY24" i="8"/>
  <c r="AW24" i="8"/>
  <c r="BF23" i="8"/>
  <c r="AZ23" i="8"/>
  <c r="BA23" i="8" s="1"/>
  <c r="AY23" i="8"/>
  <c r="AW23" i="8"/>
  <c r="M23" i="8"/>
  <c r="BJ22" i="8"/>
  <c r="BI22" i="8"/>
  <c r="BF22" i="8"/>
  <c r="BC22" i="8"/>
  <c r="BD22" i="8" s="1"/>
  <c r="AZ22" i="8"/>
  <c r="BA22" i="8" s="1"/>
  <c r="AY22" i="8"/>
  <c r="AW22" i="8"/>
  <c r="BJ21" i="8"/>
  <c r="BI21" i="8"/>
  <c r="BF21" i="8"/>
  <c r="AZ21" i="8"/>
  <c r="BA21" i="8" s="1"/>
  <c r="AY21" i="8"/>
  <c r="AW21" i="8"/>
  <c r="BJ20" i="8"/>
  <c r="BI20" i="8"/>
  <c r="BF20" i="8"/>
  <c r="AZ20" i="8"/>
  <c r="BA20" i="8" s="1"/>
  <c r="AY20" i="8"/>
  <c r="AW20" i="8"/>
  <c r="BJ19" i="8"/>
  <c r="BF19" i="8"/>
  <c r="AZ19" i="8"/>
  <c r="BA19" i="8" s="1"/>
  <c r="AY19" i="8"/>
  <c r="AW19" i="8"/>
  <c r="BJ18" i="8"/>
  <c r="BF18" i="8"/>
  <c r="AZ18" i="8"/>
  <c r="BA18" i="8" s="1"/>
  <c r="AY18" i="8"/>
  <c r="AW18" i="8"/>
  <c r="BI17" i="8"/>
  <c r="BF17" i="8"/>
  <c r="BC17" i="8"/>
  <c r="BD17" i="8" s="1"/>
  <c r="AZ17" i="8"/>
  <c r="BA17" i="8" s="1"/>
  <c r="AY17" i="8"/>
  <c r="AW17" i="8"/>
  <c r="BJ16" i="8"/>
  <c r="BI16" i="8"/>
  <c r="BF16" i="8"/>
  <c r="BC16" i="8"/>
  <c r="BD16" i="8" s="1"/>
  <c r="AZ16" i="8"/>
  <c r="BA16" i="8" s="1"/>
  <c r="AY16" i="8"/>
  <c r="AW16" i="8"/>
  <c r="BJ15" i="8"/>
  <c r="BI15" i="8"/>
  <c r="BF15" i="8"/>
  <c r="BC15" i="8"/>
  <c r="BD15" i="8" s="1"/>
  <c r="AZ15" i="8"/>
  <c r="BA15" i="8" s="1"/>
  <c r="AY15" i="8"/>
  <c r="AW15" i="8"/>
  <c r="BI14" i="8"/>
  <c r="BF14" i="8"/>
  <c r="BC14" i="8"/>
  <c r="BD14" i="8" s="1"/>
  <c r="AZ14" i="8"/>
  <c r="BA14" i="8" s="1"/>
  <c r="AY14" i="8"/>
  <c r="AW14" i="8"/>
  <c r="BJ13" i="8"/>
  <c r="BF13" i="8"/>
  <c r="BC13" i="8"/>
  <c r="BD13" i="8" s="1"/>
  <c r="AZ13" i="8"/>
  <c r="BA13" i="8" s="1"/>
  <c r="AY13" i="8"/>
  <c r="AW13" i="8"/>
  <c r="BI12" i="8"/>
  <c r="BF12" i="8"/>
  <c r="BC12" i="8"/>
  <c r="BD12" i="8" s="1"/>
  <c r="AZ12" i="8"/>
  <c r="BA12" i="8" s="1"/>
  <c r="AY12" i="8"/>
  <c r="AW12" i="8"/>
  <c r="BF11" i="8"/>
  <c r="AZ11" i="8"/>
  <c r="BA11" i="8" s="1"/>
  <c r="AY11" i="8"/>
  <c r="AW11" i="8"/>
  <c r="BJ10" i="8"/>
  <c r="BF10" i="8"/>
  <c r="AZ10" i="8"/>
  <c r="BA10" i="8" s="1"/>
  <c r="AY10" i="8"/>
  <c r="AW10" i="8"/>
  <c r="BJ9" i="8"/>
  <c r="BI9" i="8"/>
  <c r="BF9" i="8"/>
  <c r="BC9" i="8"/>
  <c r="BD9" i="8" s="1"/>
  <c r="AZ9" i="8"/>
  <c r="BA9" i="8" s="1"/>
  <c r="AY9" i="8"/>
  <c r="AW9" i="8"/>
  <c r="BJ8" i="8"/>
  <c r="BF8" i="8"/>
  <c r="AZ8" i="8"/>
  <c r="BA8" i="8" s="1"/>
  <c r="AY8" i="8"/>
  <c r="AW8" i="8"/>
  <c r="BI7" i="8"/>
  <c r="BF7" i="8"/>
  <c r="AZ7" i="8"/>
  <c r="BA7" i="8" s="1"/>
  <c r="AY7" i="8"/>
  <c r="AW7" i="8"/>
  <c r="BF6" i="8"/>
  <c r="AZ6" i="8"/>
  <c r="BA6" i="8" s="1"/>
  <c r="AY6" i="8"/>
  <c r="AW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F46" i="8" s="1"/>
  <c r="E6" i="8"/>
  <c r="E7" i="8" s="1"/>
  <c r="A6" i="8"/>
  <c r="BJ5" i="8"/>
  <c r="DI9" i="2" s="1"/>
  <c r="BI5" i="8"/>
  <c r="BF5" i="8"/>
  <c r="DQ9" i="2" s="1"/>
  <c r="BC5" i="8"/>
  <c r="BD5" i="8" s="1"/>
  <c r="AZ5" i="8"/>
  <c r="BA5" i="8" s="1"/>
  <c r="CU9" i="2" s="1"/>
  <c r="AY5" i="8"/>
  <c r="DE9" i="2" s="1"/>
  <c r="H9" i="2" s="1"/>
  <c r="AW5" i="8"/>
  <c r="AU5" i="8"/>
  <c r="AU6" i="8" s="1"/>
  <c r="AU7" i="8" s="1"/>
  <c r="AU8" i="8" s="1"/>
  <c r="AU9" i="8" s="1"/>
  <c r="AU10" i="8" s="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U46" i="8" s="1"/>
  <c r="A5" i="8"/>
  <c r="I9" i="2" s="1"/>
  <c r="A2" i="8"/>
  <c r="B46" i="8" s="1"/>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L6" i="7"/>
  <c r="L5" i="7"/>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N32" i="6" s="1"/>
  <c r="J31" i="6"/>
  <c r="N31" i="6" s="1"/>
  <c r="O30" i="6"/>
  <c r="K30" i="6"/>
  <c r="J29" i="6"/>
  <c r="J28" i="6"/>
  <c r="N28" i="6" s="1"/>
  <c r="J27" i="6"/>
  <c r="J26" i="6"/>
  <c r="L25" i="6"/>
  <c r="K25" i="6"/>
  <c r="J25" i="6"/>
  <c r="L24" i="6"/>
  <c r="J24" i="6"/>
  <c r="M24" i="6" s="1"/>
  <c r="K23" i="6"/>
  <c r="J23" i="6"/>
  <c r="L22" i="6"/>
  <c r="J22" i="6"/>
  <c r="M22" i="6" s="1"/>
  <c r="L21" i="6"/>
  <c r="J21" i="6"/>
  <c r="M21" i="6" s="1"/>
  <c r="K20" i="6"/>
  <c r="J20" i="6"/>
  <c r="K19" i="6"/>
  <c r="J19" i="6"/>
  <c r="L18" i="6"/>
  <c r="J18" i="6"/>
  <c r="M18" i="6" s="1"/>
  <c r="L17" i="6"/>
  <c r="J17" i="6"/>
  <c r="M17" i="6" s="1"/>
  <c r="J16" i="6"/>
  <c r="K15" i="6"/>
  <c r="J15" i="6"/>
  <c r="K14" i="6"/>
  <c r="J14" i="6"/>
  <c r="J13" i="6"/>
  <c r="K12" i="6"/>
  <c r="J12" i="6"/>
  <c r="K11" i="6"/>
  <c r="J11" i="6"/>
  <c r="K10" i="6"/>
  <c r="J10" i="6"/>
  <c r="K9" i="6"/>
  <c r="J9" i="6"/>
  <c r="K8" i="6"/>
  <c r="J8" i="6"/>
  <c r="K7" i="6"/>
  <c r="J7" i="6"/>
  <c r="K6" i="6"/>
  <c r="J6" i="6"/>
  <c r="J5" i="6"/>
  <c r="O27" i="4"/>
  <c r="N27" i="4"/>
  <c r="U26" i="4"/>
  <c r="P26" i="4"/>
  <c r="F26" i="4" s="1"/>
  <c r="F27" i="4" s="1"/>
  <c r="O24" i="4"/>
  <c r="N24" i="4"/>
  <c r="AB23" i="4"/>
  <c r="U23" i="4"/>
  <c r="P23" i="4"/>
  <c r="F23" i="4" s="1"/>
  <c r="AB22" i="4"/>
  <c r="U22" i="4"/>
  <c r="P22" i="4"/>
  <c r="F22" i="4" s="1"/>
  <c r="AB21" i="4"/>
  <c r="U21" i="4"/>
  <c r="P21" i="4"/>
  <c r="F21" i="4" s="1"/>
  <c r="AB20" i="4"/>
  <c r="U20" i="4"/>
  <c r="P20" i="4"/>
  <c r="K20" i="4"/>
  <c r="F20" i="4"/>
  <c r="AB19" i="4"/>
  <c r="U19" i="4"/>
  <c r="P19" i="4"/>
  <c r="F19" i="4" s="1"/>
  <c r="AB18" i="4"/>
  <c r="U18" i="4"/>
  <c r="P18" i="4"/>
  <c r="F18" i="4"/>
  <c r="AB17" i="4"/>
  <c r="U17" i="4"/>
  <c r="P17" i="4"/>
  <c r="F17" i="4" s="1"/>
  <c r="AB16" i="4"/>
  <c r="U16" i="4"/>
  <c r="P16" i="4"/>
  <c r="F16" i="4" s="1"/>
  <c r="AB15" i="4"/>
  <c r="U15" i="4"/>
  <c r="P15" i="4"/>
  <c r="F15" i="4" s="1"/>
  <c r="AB14" i="4"/>
  <c r="U14" i="4"/>
  <c r="P14" i="4"/>
  <c r="F14" i="4" s="1"/>
  <c r="AB13" i="4"/>
  <c r="U13" i="4"/>
  <c r="P13" i="4"/>
  <c r="F13" i="4" s="1"/>
  <c r="AB12" i="4"/>
  <c r="U12" i="4"/>
  <c r="P12" i="4"/>
  <c r="F12" i="4"/>
  <c r="AB11" i="4"/>
  <c r="U11" i="4"/>
  <c r="P11" i="4"/>
  <c r="F11" i="4" s="1"/>
  <c r="AB10" i="4"/>
  <c r="U10" i="4"/>
  <c r="P10" i="4"/>
  <c r="F10" i="4" s="1"/>
  <c r="AB9" i="4"/>
  <c r="U9" i="4"/>
  <c r="P9" i="4"/>
  <c r="F9" i="4" s="1"/>
  <c r="C9" i="4"/>
  <c r="C10" i="4" s="1"/>
  <c r="C11" i="4" s="1"/>
  <c r="C12" i="4" s="1"/>
  <c r="C13" i="4" s="1"/>
  <c r="C14" i="4" s="1"/>
  <c r="C15" i="4" s="1"/>
  <c r="C16" i="4" s="1"/>
  <c r="C17" i="4" s="1"/>
  <c r="C18" i="4" s="1"/>
  <c r="C19" i="4" s="1"/>
  <c r="C20" i="4" s="1"/>
  <c r="C21" i="4" s="1"/>
  <c r="C22" i="4" s="1"/>
  <c r="C23" i="4" s="1"/>
  <c r="C26" i="4" s="1"/>
  <c r="AB8" i="4"/>
  <c r="U8" i="4"/>
  <c r="P8" i="4"/>
  <c r="F8" i="4" s="1"/>
  <c r="G165" i="3"/>
  <c r="F165" i="3"/>
  <c r="E165" i="3"/>
  <c r="G164" i="3"/>
  <c r="F164" i="3"/>
  <c r="E164" i="3"/>
  <c r="G163" i="3"/>
  <c r="F163" i="3"/>
  <c r="E163" i="3"/>
  <c r="D82" i="3"/>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121" i="3" s="1"/>
  <c r="D122" i="3" s="1"/>
  <c r="D123" i="3" s="1"/>
  <c r="D124" i="3" s="1"/>
  <c r="D125" i="3" s="1"/>
  <c r="D126" i="3" s="1"/>
  <c r="D127" i="3" s="1"/>
  <c r="D128" i="3" s="1"/>
  <c r="D129" i="3" s="1"/>
  <c r="D130" i="3" s="1"/>
  <c r="D131" i="3" s="1"/>
  <c r="D132" i="3" s="1"/>
  <c r="D133" i="3" s="1"/>
  <c r="D134" i="3" s="1"/>
  <c r="D135" i="3" s="1"/>
  <c r="D136" i="3" s="1"/>
  <c r="D137" i="3" s="1"/>
  <c r="D138" i="3" s="1"/>
  <c r="D139" i="3" s="1"/>
  <c r="D140" i="3" s="1"/>
  <c r="D141" i="3" s="1"/>
  <c r="D142" i="3" s="1"/>
  <c r="D143" i="3" s="1"/>
  <c r="D144" i="3" s="1"/>
  <c r="D145" i="3" s="1"/>
  <c r="D146" i="3" s="1"/>
  <c r="D147" i="3" s="1"/>
  <c r="D148" i="3" s="1"/>
  <c r="D149" i="3" s="1"/>
  <c r="D150" i="3" s="1"/>
  <c r="D151" i="3" s="1"/>
  <c r="D152" i="3" s="1"/>
  <c r="D153" i="3" s="1"/>
  <c r="H70" i="3"/>
  <c r="H69" i="3"/>
  <c r="H68" i="3"/>
  <c r="H67" i="3"/>
  <c r="H64" i="3"/>
  <c r="K63" i="3"/>
  <c r="K62" i="3"/>
  <c r="H61" i="3"/>
  <c r="H59" i="3"/>
  <c r="H58" i="3"/>
  <c r="H57" i="3"/>
  <c r="H52" i="3"/>
  <c r="E52" i="3"/>
  <c r="H51" i="3"/>
  <c r="H50" i="3"/>
  <c r="H49" i="3"/>
  <c r="G37" i="3"/>
  <c r="F37" i="3"/>
  <c r="G36" i="3"/>
  <c r="F36" i="3"/>
  <c r="G35" i="3"/>
  <c r="F35" i="3"/>
  <c r="G29" i="3"/>
  <c r="G25" i="3"/>
  <c r="G21" i="3"/>
  <c r="G17" i="3"/>
  <c r="G13" i="3"/>
  <c r="G9" i="3"/>
  <c r="G5" i="3"/>
  <c r="DU62" i="2"/>
  <c r="BH61" i="2"/>
  <c r="BG61" i="2"/>
  <c r="BF61" i="2"/>
  <c r="BE61" i="2"/>
  <c r="BC61" i="2"/>
  <c r="BB61" i="2"/>
  <c r="AZ61" i="2"/>
  <c r="AY61" i="2"/>
  <c r="AX61" i="2"/>
  <c r="AT61" i="2"/>
  <c r="AS61" i="2"/>
  <c r="AR61" i="2"/>
  <c r="AN61" i="2"/>
  <c r="AM61" i="2"/>
  <c r="HL49" i="2"/>
  <c r="HK49" i="2"/>
  <c r="HJ49" i="2"/>
  <c r="HI49" i="2"/>
  <c r="HH49" i="2"/>
  <c r="HF49" i="2"/>
  <c r="HA49" i="2"/>
  <c r="HB49" i="2" s="1"/>
  <c r="GV49" i="2"/>
  <c r="GW49" i="2" s="1"/>
  <c r="EF49" i="2"/>
  <c r="N49" i="2"/>
  <c r="F49" i="2"/>
  <c r="HL48" i="2"/>
  <c r="HK48" i="2"/>
  <c r="HJ48" i="2"/>
  <c r="HI48" i="2"/>
  <c r="HH48" i="2"/>
  <c r="HF48" i="2"/>
  <c r="HA48" i="2"/>
  <c r="HB48" i="2" s="1"/>
  <c r="GV48" i="2"/>
  <c r="GW48" i="2" s="1"/>
  <c r="EF48" i="2"/>
  <c r="N48" i="2"/>
  <c r="F48" i="2"/>
  <c r="HL47" i="2"/>
  <c r="HK47" i="2"/>
  <c r="HJ47" i="2"/>
  <c r="HI47" i="2"/>
  <c r="HH47" i="2"/>
  <c r="HF47" i="2"/>
  <c r="HA47" i="2"/>
  <c r="HB47" i="2" s="1"/>
  <c r="GV47" i="2"/>
  <c r="GW47" i="2" s="1"/>
  <c r="EF47" i="2"/>
  <c r="N47" i="2"/>
  <c r="F47" i="2"/>
  <c r="HL46" i="2"/>
  <c r="HK46" i="2"/>
  <c r="HJ46" i="2"/>
  <c r="HI46" i="2"/>
  <c r="HH46" i="2"/>
  <c r="HF46" i="2"/>
  <c r="HA46" i="2"/>
  <c r="HB46" i="2" s="1"/>
  <c r="GV46" i="2"/>
  <c r="GW46" i="2" s="1"/>
  <c r="EF46" i="2"/>
  <c r="N46" i="2"/>
  <c r="F46" i="2"/>
  <c r="HL45" i="2"/>
  <c r="HK45" i="2"/>
  <c r="HJ45" i="2"/>
  <c r="HI45" i="2"/>
  <c r="HH45" i="2"/>
  <c r="HF45" i="2"/>
  <c r="HA45" i="2"/>
  <c r="HB45" i="2" s="1"/>
  <c r="GV45" i="2"/>
  <c r="GW45" i="2" s="1"/>
  <c r="EF45" i="2"/>
  <c r="N45" i="2"/>
  <c r="F45" i="2"/>
  <c r="HL44" i="2"/>
  <c r="HK44" i="2"/>
  <c r="HJ44" i="2"/>
  <c r="HI44" i="2"/>
  <c r="HH44" i="2"/>
  <c r="HF44" i="2"/>
  <c r="HA44" i="2"/>
  <c r="HB44" i="2" s="1"/>
  <c r="GV44" i="2"/>
  <c r="GW44" i="2" s="1"/>
  <c r="EF44" i="2"/>
  <c r="N44" i="2"/>
  <c r="F44" i="2"/>
  <c r="HL43" i="2"/>
  <c r="HK43" i="2"/>
  <c r="HJ43" i="2"/>
  <c r="HI43" i="2"/>
  <c r="HH43" i="2"/>
  <c r="HF43" i="2"/>
  <c r="HA43" i="2"/>
  <c r="HB43" i="2" s="1"/>
  <c r="GV43" i="2"/>
  <c r="GW43" i="2" s="1"/>
  <c r="EF43" i="2"/>
  <c r="N43" i="2"/>
  <c r="F43" i="2"/>
  <c r="HL42" i="2"/>
  <c r="HK42" i="2"/>
  <c r="HJ42" i="2"/>
  <c r="HI42" i="2"/>
  <c r="HH42" i="2"/>
  <c r="HF42" i="2"/>
  <c r="HA42" i="2"/>
  <c r="HB42" i="2" s="1"/>
  <c r="GV42" i="2"/>
  <c r="GW42" i="2" s="1"/>
  <c r="EF42" i="2"/>
  <c r="N42" i="2"/>
  <c r="F42" i="2"/>
  <c r="HL41" i="2"/>
  <c r="HK41" i="2"/>
  <c r="HJ41" i="2"/>
  <c r="HI41" i="2"/>
  <c r="HH41" i="2"/>
  <c r="HF41" i="2"/>
  <c r="HA41" i="2"/>
  <c r="HB41" i="2" s="1"/>
  <c r="GV41" i="2"/>
  <c r="GW41" i="2" s="1"/>
  <c r="EF41" i="2"/>
  <c r="N41" i="2"/>
  <c r="F41" i="2"/>
  <c r="HL40" i="2"/>
  <c r="HK40" i="2"/>
  <c r="HJ40" i="2"/>
  <c r="HI40" i="2"/>
  <c r="HH40" i="2"/>
  <c r="HF40" i="2"/>
  <c r="HA40" i="2"/>
  <c r="HB40" i="2" s="1"/>
  <c r="GV40" i="2"/>
  <c r="GW40" i="2" s="1"/>
  <c r="EF40" i="2"/>
  <c r="N40" i="2"/>
  <c r="F40" i="2"/>
  <c r="HL39" i="2"/>
  <c r="HK39" i="2"/>
  <c r="HJ39" i="2"/>
  <c r="HI39" i="2"/>
  <c r="HH39" i="2"/>
  <c r="HF39" i="2"/>
  <c r="HA39" i="2"/>
  <c r="HB39" i="2" s="1"/>
  <c r="GV39" i="2"/>
  <c r="GW39" i="2" s="1"/>
  <c r="EF39" i="2"/>
  <c r="N39" i="2"/>
  <c r="F39" i="2"/>
  <c r="HL38" i="2"/>
  <c r="HK38" i="2"/>
  <c r="HJ38" i="2"/>
  <c r="HI38" i="2"/>
  <c r="HH38" i="2"/>
  <c r="HF38" i="2"/>
  <c r="HA38" i="2"/>
  <c r="HB38" i="2" s="1"/>
  <c r="GV38" i="2"/>
  <c r="GW38" i="2" s="1"/>
  <c r="EF38" i="2"/>
  <c r="N38" i="2"/>
  <c r="F38" i="2"/>
  <c r="HL37" i="2"/>
  <c r="HK37" i="2"/>
  <c r="HJ37" i="2"/>
  <c r="HI37" i="2"/>
  <c r="HH37" i="2"/>
  <c r="HF37" i="2"/>
  <c r="HA37" i="2"/>
  <c r="HB37" i="2" s="1"/>
  <c r="GV37" i="2"/>
  <c r="GW37" i="2" s="1"/>
  <c r="EF37" i="2"/>
  <c r="N37" i="2"/>
  <c r="F37" i="2"/>
  <c r="HL36" i="2"/>
  <c r="HK36" i="2"/>
  <c r="HJ36" i="2"/>
  <c r="HI36" i="2"/>
  <c r="HH36" i="2"/>
  <c r="HF36" i="2"/>
  <c r="HA36" i="2"/>
  <c r="HB36" i="2" s="1"/>
  <c r="GV36" i="2"/>
  <c r="EF36" i="2"/>
  <c r="N36" i="2"/>
  <c r="F36" i="2"/>
  <c r="HL35" i="2"/>
  <c r="HK35" i="2"/>
  <c r="HJ35" i="2"/>
  <c r="HI35" i="2"/>
  <c r="HH35" i="2"/>
  <c r="HF35" i="2"/>
  <c r="HA35" i="2"/>
  <c r="HB35" i="2" s="1"/>
  <c r="GV35" i="2"/>
  <c r="GW35" i="2" s="1"/>
  <c r="EF35" i="2"/>
  <c r="N35" i="2"/>
  <c r="F35" i="2"/>
  <c r="HL34" i="2"/>
  <c r="HK34" i="2"/>
  <c r="HJ34" i="2"/>
  <c r="HI34" i="2"/>
  <c r="HH34" i="2"/>
  <c r="HF34" i="2"/>
  <c r="HA34" i="2"/>
  <c r="HB34" i="2" s="1"/>
  <c r="GV34" i="2"/>
  <c r="GW34" i="2" s="1"/>
  <c r="EF34" i="2"/>
  <c r="N34" i="2"/>
  <c r="F34" i="2"/>
  <c r="HL33" i="2"/>
  <c r="HK33" i="2"/>
  <c r="HJ33" i="2"/>
  <c r="HI33" i="2"/>
  <c r="HH33" i="2"/>
  <c r="HF33" i="2"/>
  <c r="HA33" i="2"/>
  <c r="HB33" i="2" s="1"/>
  <c r="GV33" i="2"/>
  <c r="GW33" i="2" s="1"/>
  <c r="EF33" i="2"/>
  <c r="N33" i="2"/>
  <c r="F33" i="2"/>
  <c r="HL32" i="2"/>
  <c r="HK32" i="2"/>
  <c r="HJ32" i="2"/>
  <c r="HI32" i="2"/>
  <c r="HH32" i="2"/>
  <c r="HF32" i="2"/>
  <c r="HA32" i="2"/>
  <c r="HB32" i="2" s="1"/>
  <c r="GV32" i="2"/>
  <c r="GW32" i="2" s="1"/>
  <c r="EF32" i="2"/>
  <c r="N32" i="2"/>
  <c r="F32" i="2"/>
  <c r="HL31" i="2"/>
  <c r="HK31" i="2"/>
  <c r="HJ31" i="2"/>
  <c r="HI31" i="2"/>
  <c r="HH31" i="2"/>
  <c r="HF31" i="2"/>
  <c r="HA31" i="2"/>
  <c r="HB31" i="2" s="1"/>
  <c r="GV31" i="2"/>
  <c r="GW31" i="2" s="1"/>
  <c r="EF31" i="2"/>
  <c r="N31" i="2"/>
  <c r="F31" i="2"/>
  <c r="HL30" i="2"/>
  <c r="HK30" i="2"/>
  <c r="HJ30" i="2"/>
  <c r="HI30" i="2"/>
  <c r="HH30" i="2"/>
  <c r="HF30" i="2"/>
  <c r="HA30" i="2"/>
  <c r="HB30" i="2" s="1"/>
  <c r="GV30" i="2"/>
  <c r="GW30" i="2" s="1"/>
  <c r="EF30" i="2"/>
  <c r="N30" i="2"/>
  <c r="F30" i="2"/>
  <c r="HL29" i="2"/>
  <c r="HK29" i="2"/>
  <c r="HJ29" i="2"/>
  <c r="HI29" i="2"/>
  <c r="HH29" i="2"/>
  <c r="HF29" i="2"/>
  <c r="HA29" i="2"/>
  <c r="HB29" i="2" s="1"/>
  <c r="GV29" i="2"/>
  <c r="GW29" i="2" s="1"/>
  <c r="EF29" i="2"/>
  <c r="N29" i="2"/>
  <c r="F29" i="2"/>
  <c r="HL28" i="2"/>
  <c r="HK28" i="2"/>
  <c r="HJ28" i="2"/>
  <c r="HI28" i="2"/>
  <c r="HH28" i="2"/>
  <c r="HF28" i="2"/>
  <c r="HA28" i="2"/>
  <c r="HB28" i="2" s="1"/>
  <c r="GV28" i="2"/>
  <c r="GW28" i="2" s="1"/>
  <c r="EF28" i="2"/>
  <c r="N28" i="2"/>
  <c r="F28" i="2"/>
  <c r="HL27" i="2"/>
  <c r="HK27" i="2"/>
  <c r="HJ27" i="2"/>
  <c r="HI27" i="2"/>
  <c r="HH27" i="2"/>
  <c r="HF27" i="2"/>
  <c r="HA27" i="2"/>
  <c r="HB27" i="2" s="1"/>
  <c r="GV27" i="2"/>
  <c r="EF27" i="2"/>
  <c r="N27" i="2"/>
  <c r="F27" i="2"/>
  <c r="HL26" i="2"/>
  <c r="HK26" i="2"/>
  <c r="HJ26" i="2"/>
  <c r="HI26" i="2"/>
  <c r="HH26" i="2"/>
  <c r="HF26" i="2"/>
  <c r="HA26" i="2"/>
  <c r="HB26" i="2" s="1"/>
  <c r="GV26" i="2"/>
  <c r="GW26" i="2" s="1"/>
  <c r="EF26" i="2"/>
  <c r="N26" i="2"/>
  <c r="F26" i="2"/>
  <c r="HL25" i="2"/>
  <c r="HK25" i="2"/>
  <c r="HJ25" i="2"/>
  <c r="HI25" i="2"/>
  <c r="HH25" i="2"/>
  <c r="HF25" i="2"/>
  <c r="HA25" i="2"/>
  <c r="HB25" i="2" s="1"/>
  <c r="GV25" i="2"/>
  <c r="GW25" i="2" s="1"/>
  <c r="EF25" i="2"/>
  <c r="N25" i="2"/>
  <c r="F25" i="2"/>
  <c r="HL24" i="2"/>
  <c r="HK24" i="2"/>
  <c r="HJ24" i="2"/>
  <c r="HI24" i="2"/>
  <c r="HH24" i="2"/>
  <c r="HF24" i="2"/>
  <c r="HA24" i="2"/>
  <c r="HB24" i="2" s="1"/>
  <c r="GV24" i="2"/>
  <c r="GW24" i="2" s="1"/>
  <c r="EF24" i="2"/>
  <c r="N24" i="2"/>
  <c r="F24" i="2"/>
  <c r="HL23" i="2"/>
  <c r="HK23" i="2"/>
  <c r="HJ23" i="2"/>
  <c r="HI23" i="2"/>
  <c r="HH23" i="2"/>
  <c r="HF23" i="2"/>
  <c r="HA23" i="2"/>
  <c r="HB23" i="2" s="1"/>
  <c r="GV23" i="2"/>
  <c r="GW23" i="2" s="1"/>
  <c r="EF23" i="2"/>
  <c r="N23" i="2"/>
  <c r="F23" i="2"/>
  <c r="HL22" i="2"/>
  <c r="HK22" i="2"/>
  <c r="HJ22" i="2"/>
  <c r="HI22" i="2"/>
  <c r="HH22" i="2"/>
  <c r="HF22" i="2"/>
  <c r="HA22" i="2"/>
  <c r="HB22" i="2" s="1"/>
  <c r="GV22" i="2"/>
  <c r="GW22" i="2" s="1"/>
  <c r="EF22" i="2"/>
  <c r="N22" i="2"/>
  <c r="F22" i="2"/>
  <c r="HL21" i="2"/>
  <c r="HK21" i="2"/>
  <c r="HJ21" i="2"/>
  <c r="HI21" i="2"/>
  <c r="HH21" i="2"/>
  <c r="HF21" i="2"/>
  <c r="HA21" i="2"/>
  <c r="HB21" i="2" s="1"/>
  <c r="GV21" i="2"/>
  <c r="GW21" i="2" s="1"/>
  <c r="EF21" i="2"/>
  <c r="N21" i="2"/>
  <c r="F21" i="2"/>
  <c r="HL20" i="2"/>
  <c r="HK20" i="2"/>
  <c r="HJ20" i="2"/>
  <c r="HI20" i="2"/>
  <c r="HH20" i="2"/>
  <c r="HF20" i="2"/>
  <c r="HA20" i="2"/>
  <c r="HB20" i="2" s="1"/>
  <c r="GV20" i="2"/>
  <c r="GW20" i="2" s="1"/>
  <c r="EF20" i="2"/>
  <c r="N20" i="2"/>
  <c r="F20" i="2"/>
  <c r="HL19" i="2"/>
  <c r="HK19" i="2"/>
  <c r="HJ19" i="2"/>
  <c r="HI19" i="2"/>
  <c r="HH19" i="2"/>
  <c r="HF19" i="2"/>
  <c r="HA19" i="2"/>
  <c r="HB19" i="2" s="1"/>
  <c r="GV19" i="2"/>
  <c r="GW19" i="2" s="1"/>
  <c r="EF19" i="2"/>
  <c r="N19" i="2"/>
  <c r="F19" i="2"/>
  <c r="HL18" i="2"/>
  <c r="HK18" i="2"/>
  <c r="HJ18" i="2"/>
  <c r="HI18" i="2"/>
  <c r="HH18" i="2"/>
  <c r="HF18" i="2"/>
  <c r="HA18" i="2"/>
  <c r="HB18" i="2" s="1"/>
  <c r="GV18" i="2"/>
  <c r="GW18" i="2" s="1"/>
  <c r="EF18" i="2"/>
  <c r="N18" i="2"/>
  <c r="F18" i="2"/>
  <c r="HL17" i="2"/>
  <c r="HK17" i="2"/>
  <c r="HJ17" i="2"/>
  <c r="HI17" i="2"/>
  <c r="HH17" i="2"/>
  <c r="HF17" i="2"/>
  <c r="HA17" i="2"/>
  <c r="HB17" i="2" s="1"/>
  <c r="GV17" i="2"/>
  <c r="GW17" i="2" s="1"/>
  <c r="EF17" i="2"/>
  <c r="N17" i="2"/>
  <c r="F17" i="2"/>
  <c r="HL16" i="2"/>
  <c r="HK16" i="2"/>
  <c r="HJ16" i="2"/>
  <c r="HI16" i="2"/>
  <c r="HH16" i="2"/>
  <c r="HF16" i="2"/>
  <c r="HA16" i="2"/>
  <c r="HB16" i="2" s="1"/>
  <c r="GV16" i="2"/>
  <c r="EF16" i="2"/>
  <c r="N16" i="2"/>
  <c r="F16" i="2"/>
  <c r="HL15" i="2"/>
  <c r="HK15" i="2"/>
  <c r="HJ15" i="2"/>
  <c r="HI15" i="2"/>
  <c r="HH15" i="2"/>
  <c r="HF15" i="2"/>
  <c r="HA15" i="2"/>
  <c r="HB15" i="2" s="1"/>
  <c r="GV15" i="2"/>
  <c r="GW15" i="2" s="1"/>
  <c r="EF15" i="2"/>
  <c r="N15" i="2"/>
  <c r="F15" i="2"/>
  <c r="HL14" i="2"/>
  <c r="HK14" i="2"/>
  <c r="HJ14" i="2"/>
  <c r="HI14" i="2"/>
  <c r="HH14" i="2"/>
  <c r="HF14" i="2"/>
  <c r="HA14" i="2"/>
  <c r="HB14" i="2" s="1"/>
  <c r="GV14" i="2"/>
  <c r="GW14" i="2" s="1"/>
  <c r="EF14" i="2"/>
  <c r="N14" i="2"/>
  <c r="F14" i="2"/>
  <c r="HL13" i="2"/>
  <c r="HK13" i="2"/>
  <c r="HJ13" i="2"/>
  <c r="HI13" i="2"/>
  <c r="HH13" i="2"/>
  <c r="HF13" i="2"/>
  <c r="HA13" i="2"/>
  <c r="HB13" i="2" s="1"/>
  <c r="GV13" i="2"/>
  <c r="GW13" i="2" s="1"/>
  <c r="EF13" i="2"/>
  <c r="N13" i="2"/>
  <c r="F13" i="2"/>
  <c r="HL12" i="2"/>
  <c r="HK12" i="2"/>
  <c r="HJ12" i="2"/>
  <c r="HI12" i="2"/>
  <c r="HH12" i="2"/>
  <c r="HF12" i="2"/>
  <c r="HA12" i="2"/>
  <c r="HB12" i="2" s="1"/>
  <c r="GV12" i="2"/>
  <c r="GW12" i="2" s="1"/>
  <c r="EF12" i="2"/>
  <c r="N12" i="2"/>
  <c r="F12" i="2"/>
  <c r="HL11" i="2"/>
  <c r="HK11" i="2"/>
  <c r="HJ11" i="2"/>
  <c r="HI11" i="2"/>
  <c r="HH11" i="2"/>
  <c r="HF11" i="2"/>
  <c r="HA11" i="2"/>
  <c r="HB11" i="2" s="1"/>
  <c r="GV11" i="2"/>
  <c r="GW11" i="2" s="1"/>
  <c r="EF11" i="2"/>
  <c r="N11" i="2"/>
  <c r="F11" i="2"/>
  <c r="HL10" i="2"/>
  <c r="HK10" i="2"/>
  <c r="HJ10" i="2"/>
  <c r="HI10" i="2"/>
  <c r="HH10" i="2"/>
  <c r="HF10" i="2"/>
  <c r="HA10" i="2"/>
  <c r="HB10" i="2" s="1"/>
  <c r="GV10" i="2"/>
  <c r="EF10" i="2"/>
  <c r="N10" i="2"/>
  <c r="F10" i="2"/>
  <c r="A10" i="2"/>
  <c r="HL9" i="2"/>
  <c r="HK9" i="2"/>
  <c r="HJ9" i="2"/>
  <c r="HI9" i="2"/>
  <c r="HH9" i="2"/>
  <c r="HF9" i="2"/>
  <c r="HA9" i="2"/>
  <c r="HB9" i="2" s="1"/>
  <c r="GV9" i="2"/>
  <c r="GW9" i="2" s="1"/>
  <c r="EF9" i="2"/>
  <c r="DO9" i="2"/>
  <c r="DM9" i="2"/>
  <c r="DD9" i="2"/>
  <c r="CL9" i="2"/>
  <c r="CK9" i="2"/>
  <c r="CS9" i="2" s="1"/>
  <c r="CT9" i="2" s="1"/>
  <c r="CV9" i="2" s="1"/>
  <c r="CJ9" i="2"/>
  <c r="CF9" i="2"/>
  <c r="CE9" i="2"/>
  <c r="CC9" i="2"/>
  <c r="CB9" i="2"/>
  <c r="BY9" i="2"/>
  <c r="GH9" i="2" s="1"/>
  <c r="BU9" i="2"/>
  <c r="BT9" i="2"/>
  <c r="BS9" i="2"/>
  <c r="L9" i="2" s="1"/>
  <c r="BR9" i="2"/>
  <c r="BM9" i="2"/>
  <c r="BL9" i="2"/>
  <c r="BK9" i="2"/>
  <c r="AC9" i="2"/>
  <c r="N9" i="2"/>
  <c r="K9" i="2"/>
  <c r="J9" i="2"/>
  <c r="F9" i="2"/>
  <c r="D9" i="2"/>
  <c r="C9" i="2"/>
  <c r="B9" i="2"/>
  <c r="L54" i="1"/>
  <c r="Q40" i="1"/>
  <c r="P38" i="1" s="1"/>
  <c r="P32" i="1"/>
  <c r="L22" i="1"/>
  <c r="P33" i="1" l="1"/>
  <c r="R33" i="1" s="1"/>
  <c r="BC30" i="8"/>
  <c r="BD30" i="8" s="1"/>
  <c r="E12" i="9"/>
  <c r="S28" i="8" s="1"/>
  <c r="E35" i="9"/>
  <c r="S21" i="8" s="1"/>
  <c r="BI13" i="8"/>
  <c r="BC18" i="8"/>
  <c r="BD18" i="8" s="1"/>
  <c r="BC19" i="8"/>
  <c r="BD19" i="8" s="1"/>
  <c r="BI45" i="8"/>
  <c r="M144" i="9"/>
  <c r="P39" i="1"/>
  <c r="P34" i="1"/>
  <c r="R34" i="1" s="1"/>
  <c r="L30" i="6"/>
  <c r="N30" i="6" s="1"/>
  <c r="BI34" i="8"/>
  <c r="M123" i="9"/>
  <c r="M148" i="9"/>
  <c r="P35" i="1"/>
  <c r="R35" i="1" s="1"/>
  <c r="P36" i="1"/>
  <c r="R36" i="1" s="1"/>
  <c r="BC11" i="8"/>
  <c r="BD11" i="8" s="1"/>
  <c r="BI24" i="8"/>
  <c r="BC37" i="8"/>
  <c r="BD37" i="8" s="1"/>
  <c r="M133" i="9"/>
  <c r="P37" i="1"/>
  <c r="R37" i="1" s="1"/>
  <c r="BC27" i="8"/>
  <c r="BD27" i="8" s="1"/>
  <c r="BI11" i="8"/>
  <c r="BC36" i="8"/>
  <c r="BD36" i="8" s="1"/>
  <c r="M126" i="9"/>
  <c r="BI10" i="8"/>
  <c r="BI27" i="8"/>
  <c r="M128" i="9"/>
  <c r="M136" i="9"/>
  <c r="M9" i="2"/>
  <c r="N46" i="8"/>
  <c r="AR46" i="8" s="1"/>
  <c r="I6" i="7"/>
  <c r="K6" i="7" s="1"/>
  <c r="DL9" i="2"/>
  <c r="AF9" i="2" s="1" a="1"/>
  <c r="AF9" i="2" s="1"/>
  <c r="E13" i="9"/>
  <c r="S9" i="8" s="1"/>
  <c r="M9" i="8"/>
  <c r="N9" i="8" s="1"/>
  <c r="AR9" i="8" s="1"/>
  <c r="E17" i="9"/>
  <c r="S40" i="8" s="1"/>
  <c r="M40" i="8"/>
  <c r="N40" i="8" s="1"/>
  <c r="AR40" i="8" s="1"/>
  <c r="E19" i="9"/>
  <c r="S20" i="8" s="1"/>
  <c r="M20" i="8"/>
  <c r="E21" i="9"/>
  <c r="S33" i="8" s="1"/>
  <c r="M33" i="8"/>
  <c r="AQ33" i="8" s="1"/>
  <c r="E23" i="9"/>
  <c r="S7" i="8" s="1"/>
  <c r="M7" i="8"/>
  <c r="N7" i="8" s="1"/>
  <c r="AR7" i="8" s="1"/>
  <c r="E29" i="9"/>
  <c r="S6" i="8" s="1"/>
  <c r="AE10" i="2" s="1"/>
  <c r="M6" i="8"/>
  <c r="N6" i="8" s="1"/>
  <c r="AR6" i="8" s="1"/>
  <c r="E40" i="9"/>
  <c r="S43" i="8" s="1"/>
  <c r="M43" i="8"/>
  <c r="AQ43" i="8" s="1"/>
  <c r="E6" i="9"/>
  <c r="S15" i="8" s="1"/>
  <c r="M15" i="8"/>
  <c r="AQ15" i="8" s="1"/>
  <c r="E18" i="9"/>
  <c r="S24" i="8" s="1"/>
  <c r="M24" i="8"/>
  <c r="AQ24" i="8" s="1"/>
  <c r="E37" i="9"/>
  <c r="S36" i="8" s="1"/>
  <c r="M36" i="8"/>
  <c r="AQ36" i="8" s="1"/>
  <c r="E8" i="9"/>
  <c r="S5" i="8" s="1"/>
  <c r="AE9" i="2" s="1"/>
  <c r="M5" i="8"/>
  <c r="AQ5" i="8" s="1"/>
  <c r="E31" i="9"/>
  <c r="S18" i="8" s="1"/>
  <c r="M18" i="8"/>
  <c r="AQ18" i="8" s="1"/>
  <c r="F24" i="4"/>
  <c r="F29" i="4" s="1"/>
  <c r="E16" i="9"/>
  <c r="S16" i="8" s="1"/>
  <c r="M16" i="8"/>
  <c r="N16" i="8" s="1"/>
  <c r="AR16" i="8" s="1"/>
  <c r="E22" i="9"/>
  <c r="S14" i="8" s="1"/>
  <c r="M14" i="8"/>
  <c r="AQ14" i="8" s="1"/>
  <c r="E28" i="9"/>
  <c r="S41" i="8" s="1"/>
  <c r="M41" i="8"/>
  <c r="N41" i="8" s="1"/>
  <c r="AR41" i="8" s="1"/>
  <c r="E39" i="9"/>
  <c r="S42" i="8" s="1"/>
  <c r="M42" i="8"/>
  <c r="AQ42" i="8" s="1"/>
  <c r="E41" i="9"/>
  <c r="S38" i="8" s="1"/>
  <c r="M38" i="8"/>
  <c r="N38" i="8" s="1"/>
  <c r="AR38" i="8" s="1"/>
  <c r="E7" i="9"/>
  <c r="S30" i="8" s="1"/>
  <c r="M30" i="8"/>
  <c r="N30" i="8" s="1"/>
  <c r="AR30" i="8" s="1"/>
  <c r="E36" i="9"/>
  <c r="S32" i="8" s="1"/>
  <c r="M32" i="8"/>
  <c r="AQ32" i="8" s="1"/>
  <c r="E4" i="9"/>
  <c r="S10" i="8" s="1"/>
  <c r="M10" i="8"/>
  <c r="AQ10" i="8" s="1"/>
  <c r="E10" i="9"/>
  <c r="S11" i="8" s="1"/>
  <c r="M11" i="8"/>
  <c r="N11" i="8" s="1"/>
  <c r="AR11" i="8" s="1"/>
  <c r="E27" i="9"/>
  <c r="S37" i="8" s="1"/>
  <c r="M37" i="8"/>
  <c r="N37" i="8" s="1"/>
  <c r="AR37" i="8" s="1"/>
  <c r="E33" i="9"/>
  <c r="S27" i="8" s="1"/>
  <c r="M27" i="8"/>
  <c r="AQ27" i="8" s="1"/>
  <c r="E14" i="9"/>
  <c r="S34" i="8" s="1"/>
  <c r="M34" i="8"/>
  <c r="N34" i="8" s="1"/>
  <c r="AR34" i="8" s="1"/>
  <c r="E26" i="9"/>
  <c r="S22" i="8" s="1"/>
  <c r="M22" i="8"/>
  <c r="N22" i="8" s="1"/>
  <c r="AR22" i="8" s="1"/>
  <c r="E32" i="9"/>
  <c r="S25" i="8" s="1"/>
  <c r="M25" i="8"/>
  <c r="AQ25" i="8" s="1"/>
  <c r="HK61" i="2"/>
  <c r="BC31" i="8"/>
  <c r="BD31" i="8" s="1"/>
  <c r="R38" i="1"/>
  <c r="HL61" i="2"/>
  <c r="BC23" i="8"/>
  <c r="BD23" i="8" s="1"/>
  <c r="M28" i="8"/>
  <c r="M45" i="8"/>
  <c r="AQ45" i="8" s="1"/>
  <c r="M118" i="9"/>
  <c r="R39" i="1"/>
  <c r="P24" i="4"/>
  <c r="BC6" i="8"/>
  <c r="BD6" i="8" s="1"/>
  <c r="DM10" i="2" s="1"/>
  <c r="M13" i="8"/>
  <c r="AQ13" i="8" s="1"/>
  <c r="M21" i="8"/>
  <c r="AQ21" i="8" s="1"/>
  <c r="BI31" i="8"/>
  <c r="M138" i="9"/>
  <c r="M146" i="9"/>
  <c r="BI23" i="8"/>
  <c r="BC34" i="8"/>
  <c r="BD34" i="8" s="1"/>
  <c r="M39" i="8"/>
  <c r="AQ39" i="8" s="1"/>
  <c r="M120" i="9"/>
  <c r="M143" i="9"/>
  <c r="BI6" i="8"/>
  <c r="BC8" i="8"/>
  <c r="BD8" i="8" s="1"/>
  <c r="BC26" i="8"/>
  <c r="BD26" i="8" s="1"/>
  <c r="BC35" i="8"/>
  <c r="BD35" i="8" s="1"/>
  <c r="E5" i="9"/>
  <c r="S19" i="8" s="1"/>
  <c r="E15" i="9"/>
  <c r="S35" i="8" s="1"/>
  <c r="E20" i="9"/>
  <c r="S8" i="8" s="1"/>
  <c r="M130" i="9"/>
  <c r="E25" i="9"/>
  <c r="S31" i="8" s="1"/>
  <c r="M135" i="9"/>
  <c r="E30" i="9"/>
  <c r="S23" i="8" s="1"/>
  <c r="E38" i="9"/>
  <c r="S26" i="8" s="1"/>
  <c r="E50" i="9"/>
  <c r="S44" i="8" s="1"/>
  <c r="HI61" i="2"/>
  <c r="BI8" i="8"/>
  <c r="BC10" i="8"/>
  <c r="BD10" i="8" s="1"/>
  <c r="M17" i="8"/>
  <c r="AQ17" i="8" s="1"/>
  <c r="BC20" i="8"/>
  <c r="BD20" i="8" s="1"/>
  <c r="BI26" i="8"/>
  <c r="BI35" i="8"/>
  <c r="M119" i="9"/>
  <c r="M142" i="9"/>
  <c r="CY9" i="2"/>
  <c r="FA9" i="2" s="1"/>
  <c r="HJ61" i="2"/>
  <c r="BI19" i="8"/>
  <c r="BI36" i="8"/>
  <c r="M114" i="9"/>
  <c r="M124" i="9"/>
  <c r="M134" i="9"/>
  <c r="M139" i="9"/>
  <c r="M147" i="9"/>
  <c r="P40" i="1"/>
  <c r="R32" i="1"/>
  <c r="L59" i="1"/>
  <c r="AG9" i="2"/>
  <c r="HM9" i="2"/>
  <c r="EV9" i="2"/>
  <c r="EW9" i="2" s="1"/>
  <c r="ER9" i="2"/>
  <c r="EM9" i="2"/>
  <c r="EN9" i="2" s="1"/>
  <c r="EJ9" i="2" a="1"/>
  <c r="EJ9" i="2" s="1"/>
  <c r="BI9" i="2"/>
  <c r="G9" i="2"/>
  <c r="E9" i="2"/>
  <c r="GL9" i="2"/>
  <c r="GM9" i="2" s="1"/>
  <c r="GQ9" i="2"/>
  <c r="GR9" i="2" s="1"/>
  <c r="HB61" i="2"/>
  <c r="L70" i="3" s="1"/>
  <c r="A11" i="2"/>
  <c r="DQ10" i="2"/>
  <c r="DO10" i="2"/>
  <c r="DI10" i="2"/>
  <c r="DE10" i="2"/>
  <c r="H10" i="2" s="1"/>
  <c r="DD10" i="2"/>
  <c r="CU10" i="2"/>
  <c r="CL10" i="2"/>
  <c r="CK10" i="2"/>
  <c r="CS10" i="2" s="1"/>
  <c r="CT10" i="2" s="1"/>
  <c r="CV10" i="2" s="1"/>
  <c r="CJ10" i="2"/>
  <c r="CF10" i="2"/>
  <c r="CE10" i="2"/>
  <c r="CC10" i="2"/>
  <c r="CB10" i="2"/>
  <c r="BY10" i="2"/>
  <c r="GH10" i="2" s="1"/>
  <c r="BU10" i="2"/>
  <c r="BT10" i="2"/>
  <c r="BS10" i="2"/>
  <c r="L10" i="2" s="1"/>
  <c r="BR10" i="2"/>
  <c r="BM10" i="2"/>
  <c r="BL10" i="2"/>
  <c r="BK10" i="2"/>
  <c r="AC10" i="2"/>
  <c r="K10" i="2"/>
  <c r="J10" i="2"/>
  <c r="I10" i="2"/>
  <c r="D10" i="2"/>
  <c r="C10" i="2"/>
  <c r="B10" i="2"/>
  <c r="B74" i="14"/>
  <c r="B75" i="14"/>
  <c r="B76" i="14"/>
  <c r="B78" i="14"/>
  <c r="B79" i="14"/>
  <c r="B80" i="14"/>
  <c r="B82" i="14"/>
  <c r="B83" i="14"/>
  <c r="B84" i="14"/>
  <c r="B85" i="14"/>
  <c r="B87" i="14"/>
  <c r="B88" i="14"/>
  <c r="B89" i="14"/>
  <c r="AJ27" i="4"/>
  <c r="AF27" i="4"/>
  <c r="AE27" i="4"/>
  <c r="AD27" i="4"/>
  <c r="AC27" i="4"/>
  <c r="AB27" i="4"/>
  <c r="AA27" i="4"/>
  <c r="Z27" i="4"/>
  <c r="Y27" i="4"/>
  <c r="X27" i="4"/>
  <c r="T27" i="4"/>
  <c r="S27" i="4"/>
  <c r="R27" i="4"/>
  <c r="Q27" i="4"/>
  <c r="P27" i="4"/>
  <c r="P29" i="4" s="1"/>
  <c r="K27" i="4"/>
  <c r="N29" i="4"/>
  <c r="O29" i="4"/>
  <c r="N5" i="6"/>
  <c r="M5" i="6"/>
  <c r="M6" i="6"/>
  <c r="L6" i="6"/>
  <c r="N6" i="6" s="1"/>
  <c r="M7" i="6"/>
  <c r="L7" i="6"/>
  <c r="N7" i="6" s="1"/>
  <c r="M8" i="6"/>
  <c r="L8" i="6"/>
  <c r="N8" i="6" s="1"/>
  <c r="M9" i="6"/>
  <c r="L9" i="6"/>
  <c r="N9" i="6" s="1"/>
  <c r="M10" i="6"/>
  <c r="L10" i="6"/>
  <c r="N10" i="6" s="1"/>
  <c r="M11" i="6"/>
  <c r="L11" i="6"/>
  <c r="N11" i="6" s="1"/>
  <c r="M12" i="6"/>
  <c r="L12" i="6"/>
  <c r="N12" i="6" s="1"/>
  <c r="M14" i="6"/>
  <c r="L14" i="6"/>
  <c r="N14" i="6" s="1"/>
  <c r="M15" i="6"/>
  <c r="L15" i="6"/>
  <c r="N15" i="6" s="1"/>
  <c r="N17" i="6"/>
  <c r="N18" i="6"/>
  <c r="M19" i="6"/>
  <c r="L19" i="6"/>
  <c r="N19" i="6" s="1"/>
  <c r="M20" i="6"/>
  <c r="L20" i="6"/>
  <c r="N20" i="6" s="1"/>
  <c r="N21" i="6"/>
  <c r="N22" i="6"/>
  <c r="M23" i="6"/>
  <c r="L23" i="6"/>
  <c r="N23" i="6" s="1"/>
  <c r="N24" i="6"/>
  <c r="M25" i="6"/>
  <c r="N25" i="6"/>
  <c r="N26" i="6"/>
  <c r="M26" i="6"/>
  <c r="N27" i="6"/>
  <c r="M27" i="6"/>
  <c r="N29" i="6"/>
  <c r="M29" i="6"/>
  <c r="N33" i="6"/>
  <c r="M33" i="6"/>
  <c r="N34" i="6"/>
  <c r="M34" i="6"/>
  <c r="N35" i="6"/>
  <c r="M35" i="6"/>
  <c r="N36" i="6"/>
  <c r="M36" i="6"/>
  <c r="N37" i="6"/>
  <c r="M37" i="6"/>
  <c r="N38" i="6"/>
  <c r="M38" i="6"/>
  <c r="N39" i="6"/>
  <c r="M39" i="6"/>
  <c r="N40" i="6"/>
  <c r="M40" i="6"/>
  <c r="N41" i="6"/>
  <c r="M41" i="6"/>
  <c r="N42" i="6"/>
  <c r="M42" i="6"/>
  <c r="N43" i="6"/>
  <c r="M43" i="6"/>
  <c r="N44" i="6"/>
  <c r="M44" i="6"/>
  <c r="N45" i="6"/>
  <c r="M45" i="6"/>
  <c r="N46" i="6"/>
  <c r="M46" i="6"/>
  <c r="N47" i="6"/>
  <c r="M47" i="6"/>
  <c r="N48" i="6"/>
  <c r="M48" i="6"/>
  <c r="N49" i="6"/>
  <c r="M49" i="6"/>
  <c r="N50" i="6"/>
  <c r="M50" i="6"/>
  <c r="N51" i="6"/>
  <c r="M51" i="6"/>
  <c r="N52" i="6"/>
  <c r="M52" i="6"/>
  <c r="N53" i="6"/>
  <c r="M53" i="6"/>
  <c r="N54" i="6"/>
  <c r="M54" i="6"/>
  <c r="N55" i="6"/>
  <c r="M55" i="6"/>
  <c r="N56" i="6"/>
  <c r="M56" i="6"/>
  <c r="N57" i="6"/>
  <c r="M57" i="6"/>
  <c r="N58" i="6"/>
  <c r="M58" i="6"/>
  <c r="N59" i="6"/>
  <c r="M59" i="6"/>
  <c r="N60" i="6"/>
  <c r="M60" i="6"/>
  <c r="N61" i="6"/>
  <c r="M61" i="6"/>
  <c r="N62" i="6"/>
  <c r="M62" i="6"/>
  <c r="N63" i="6"/>
  <c r="M63" i="6"/>
  <c r="N64" i="6"/>
  <c r="M64" i="6"/>
  <c r="N65" i="6"/>
  <c r="M65" i="6"/>
  <c r="N66" i="6"/>
  <c r="M66" i="6"/>
  <c r="N67" i="6"/>
  <c r="M67" i="6"/>
  <c r="N68" i="6"/>
  <c r="M68" i="6"/>
  <c r="N69" i="6"/>
  <c r="M69" i="6"/>
  <c r="N70" i="6"/>
  <c r="M70" i="6"/>
  <c r="N71" i="6"/>
  <c r="M71" i="6"/>
  <c r="N72" i="6"/>
  <c r="M72" i="6"/>
  <c r="N73" i="6"/>
  <c r="M73" i="6"/>
  <c r="N74" i="6"/>
  <c r="M74" i="6"/>
  <c r="N75" i="6"/>
  <c r="M75" i="6"/>
  <c r="N76" i="6"/>
  <c r="M76" i="6"/>
  <c r="N77" i="6"/>
  <c r="M77" i="6"/>
  <c r="N78" i="6"/>
  <c r="M78" i="6"/>
  <c r="N79" i="6"/>
  <c r="M79" i="6"/>
  <c r="N80" i="6"/>
  <c r="M80" i="6"/>
  <c r="N81" i="6"/>
  <c r="M81" i="6"/>
  <c r="N82" i="6"/>
  <c r="M82" i="6"/>
  <c r="N83" i="6"/>
  <c r="M83" i="6"/>
  <c r="N84" i="6"/>
  <c r="M84" i="6"/>
  <c r="N85" i="6"/>
  <c r="M85" i="6"/>
  <c r="N86" i="6"/>
  <c r="M86" i="6"/>
  <c r="N87" i="6"/>
  <c r="M87" i="6"/>
  <c r="N88" i="6"/>
  <c r="M88" i="6"/>
  <c r="N89" i="6"/>
  <c r="M89" i="6"/>
  <c r="N90" i="6"/>
  <c r="M90" i="6"/>
  <c r="N91" i="6"/>
  <c r="M91" i="6"/>
  <c r="N92" i="6"/>
  <c r="M92" i="6"/>
  <c r="N93" i="6"/>
  <c r="M93" i="6"/>
  <c r="N94" i="6"/>
  <c r="M94" i="6"/>
  <c r="N95" i="6"/>
  <c r="M95" i="6"/>
  <c r="N96" i="6"/>
  <c r="M96" i="6"/>
  <c r="N5" i="7"/>
  <c r="M5" i="7"/>
  <c r="O5" i="7" s="1"/>
  <c r="N6" i="7"/>
  <c r="M6" i="7"/>
  <c r="O7" i="7"/>
  <c r="N7" i="7"/>
  <c r="O8" i="7"/>
  <c r="N8" i="7"/>
  <c r="O9" i="7"/>
  <c r="N9" i="7"/>
  <c r="O10" i="7"/>
  <c r="N10" i="7"/>
  <c r="O11" i="7"/>
  <c r="N11" i="7"/>
  <c r="O12" i="7"/>
  <c r="N12" i="7"/>
  <c r="O13" i="7"/>
  <c r="N13" i="7"/>
  <c r="O14" i="7"/>
  <c r="N14" i="7"/>
  <c r="O15" i="7"/>
  <c r="N15" i="7"/>
  <c r="O16" i="7"/>
  <c r="N16" i="7"/>
  <c r="O17" i="7"/>
  <c r="N17" i="7"/>
  <c r="O18" i="7"/>
  <c r="N18" i="7"/>
  <c r="O19" i="7"/>
  <c r="N19" i="7"/>
  <c r="O20" i="7"/>
  <c r="N20" i="7"/>
  <c r="O21" i="7"/>
  <c r="N21" i="7"/>
  <c r="O22" i="7"/>
  <c r="N22" i="7"/>
  <c r="O23" i="7"/>
  <c r="N23" i="7"/>
  <c r="O24" i="7"/>
  <c r="N24" i="7"/>
  <c r="O25" i="7"/>
  <c r="N25" i="7"/>
  <c r="O26" i="7"/>
  <c r="N26" i="7"/>
  <c r="O27" i="7"/>
  <c r="N27" i="7"/>
  <c r="O28" i="7"/>
  <c r="N28" i="7"/>
  <c r="O29" i="7"/>
  <c r="N29" i="7"/>
  <c r="O30" i="7"/>
  <c r="N30" i="7"/>
  <c r="O31" i="7"/>
  <c r="N31" i="7"/>
  <c r="O32" i="7"/>
  <c r="N32" i="7"/>
  <c r="O33" i="7"/>
  <c r="N33" i="7"/>
  <c r="O34" i="7"/>
  <c r="N34" i="7"/>
  <c r="O35" i="7"/>
  <c r="N35" i="7"/>
  <c r="O36" i="7"/>
  <c r="N36" i="7"/>
  <c r="O37" i="7"/>
  <c r="N37" i="7"/>
  <c r="O38" i="7"/>
  <c r="N38" i="7"/>
  <c r="O39" i="7"/>
  <c r="N39" i="7"/>
  <c r="O40" i="7"/>
  <c r="N40" i="7"/>
  <c r="O41" i="7"/>
  <c r="N41" i="7"/>
  <c r="O42" i="7"/>
  <c r="N42" i="7"/>
  <c r="O43" i="7"/>
  <c r="N43" i="7"/>
  <c r="O44" i="7"/>
  <c r="N44" i="7"/>
  <c r="O45" i="7"/>
  <c r="N45" i="7"/>
  <c r="O46" i="7"/>
  <c r="N46" i="7"/>
  <c r="O47" i="7"/>
  <c r="N47" i="7"/>
  <c r="O48" i="7"/>
  <c r="N48" i="7"/>
  <c r="O49" i="7"/>
  <c r="N49" i="7"/>
  <c r="O50" i="7"/>
  <c r="N50" i="7"/>
  <c r="O51" i="7"/>
  <c r="N51" i="7"/>
  <c r="O52" i="7"/>
  <c r="N52" i="7"/>
  <c r="O53" i="7"/>
  <c r="N53" i="7"/>
  <c r="O54" i="7"/>
  <c r="N54" i="7"/>
  <c r="O55" i="7"/>
  <c r="N55" i="7"/>
  <c r="O56" i="7"/>
  <c r="N56" i="7"/>
  <c r="O57" i="7"/>
  <c r="N57" i="7"/>
  <c r="O58" i="7"/>
  <c r="N58" i="7"/>
  <c r="O59" i="7"/>
  <c r="N59" i="7"/>
  <c r="O60" i="7"/>
  <c r="N60" i="7"/>
  <c r="O61" i="7"/>
  <c r="N61" i="7"/>
  <c r="O62" i="7"/>
  <c r="N62" i="7"/>
  <c r="O63" i="7"/>
  <c r="N63" i="7"/>
  <c r="O64" i="7"/>
  <c r="N64" i="7"/>
  <c r="O65" i="7"/>
  <c r="N65" i="7"/>
  <c r="O66" i="7"/>
  <c r="N66" i="7"/>
  <c r="O67" i="7"/>
  <c r="N67" i="7"/>
  <c r="O68" i="7"/>
  <c r="N68" i="7"/>
  <c r="O69" i="7"/>
  <c r="N69" i="7"/>
  <c r="O70" i="7"/>
  <c r="N70" i="7"/>
  <c r="O71" i="7"/>
  <c r="N71" i="7"/>
  <c r="O72" i="7"/>
  <c r="N72" i="7"/>
  <c r="O73" i="7"/>
  <c r="N73" i="7"/>
  <c r="O74" i="7"/>
  <c r="N74" i="7"/>
  <c r="O75" i="7"/>
  <c r="N75" i="7"/>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2" i="8"/>
  <c r="N5" i="8"/>
  <c r="AR5" i="8" s="1"/>
  <c r="E8" i="8"/>
  <c r="A7" i="8"/>
  <c r="AQ6" i="8"/>
  <c r="AQ7" i="8"/>
  <c r="AQ8" i="8"/>
  <c r="N8" i="8"/>
  <c r="AR8" i="8" s="1"/>
  <c r="AQ16" i="8"/>
  <c r="N18" i="8"/>
  <c r="AR18" i="8" s="1"/>
  <c r="AQ19" i="8"/>
  <c r="N19" i="8"/>
  <c r="AR19" i="8" s="1"/>
  <c r="AQ20" i="8"/>
  <c r="N20" i="8"/>
  <c r="AR20" i="8" s="1"/>
  <c r="AQ23" i="8"/>
  <c r="N23" i="8"/>
  <c r="AR23" i="8" s="1"/>
  <c r="AQ26" i="8"/>
  <c r="N26" i="8"/>
  <c r="AR26" i="8" s="1"/>
  <c r="N27" i="8"/>
  <c r="AR27" i="8" s="1"/>
  <c r="AQ28" i="8"/>
  <c r="N28" i="8"/>
  <c r="AR28" i="8" s="1"/>
  <c r="AQ29" i="8"/>
  <c r="N29" i="8"/>
  <c r="AR29" i="8" s="1"/>
  <c r="AQ31" i="8"/>
  <c r="N31" i="8"/>
  <c r="AR31" i="8" s="1"/>
  <c r="N32" i="8"/>
  <c r="AR32" i="8" s="1"/>
  <c r="N33" i="8"/>
  <c r="AR33" i="8" s="1"/>
  <c r="AQ35" i="8"/>
  <c r="N35" i="8"/>
  <c r="AR35" i="8" s="1"/>
  <c r="N36" i="8"/>
  <c r="AR36" i="8" s="1"/>
  <c r="N43" i="8"/>
  <c r="AR43" i="8" s="1"/>
  <c r="AQ44" i="8"/>
  <c r="N44" i="8"/>
  <c r="AR44" i="8" s="1"/>
  <c r="C67" i="9"/>
  <c r="E3" i="9"/>
  <c r="M110" i="9"/>
  <c r="U64" i="9"/>
  <c r="V9" i="9"/>
  <c r="K116" i="9"/>
  <c r="M73" i="9"/>
  <c r="M116" i="9" s="1"/>
  <c r="I30" i="10"/>
  <c r="I32" i="10" s="1"/>
  <c r="I17" i="10"/>
  <c r="AQ41" i="8" l="1"/>
  <c r="R40" i="1"/>
  <c r="AQ9" i="8"/>
  <c r="N21" i="8"/>
  <c r="AR21" i="8" s="1"/>
  <c r="N39" i="8"/>
  <c r="AR39" i="8" s="1"/>
  <c r="N24" i="8"/>
  <c r="AR24" i="8" s="1"/>
  <c r="AQ37" i="8"/>
  <c r="N15" i="8"/>
  <c r="AR15" i="8" s="1"/>
  <c r="P9" i="2"/>
  <c r="AO9" i="2" s="1"/>
  <c r="N13" i="8"/>
  <c r="AR13" i="8" s="1"/>
  <c r="DL10" i="2"/>
  <c r="AF10" i="2" s="1" a="1"/>
  <c r="AF10" i="2" s="1"/>
  <c r="AQ34" i="8"/>
  <c r="AQ11" i="8"/>
  <c r="O6" i="7"/>
  <c r="EI9" i="2" a="1"/>
  <c r="EI9" i="2" s="1"/>
  <c r="T9" i="2" s="1" a="1"/>
  <c r="T9" i="2" s="1"/>
  <c r="U9" i="2" s="1"/>
  <c r="AQ40" i="8"/>
  <c r="N14" i="8"/>
  <c r="AR14" i="8" s="1"/>
  <c r="N45" i="8"/>
  <c r="AR45" i="8" s="1"/>
  <c r="AQ30" i="8"/>
  <c r="N17" i="8"/>
  <c r="AR17" i="8" s="1"/>
  <c r="AQ22" i="8"/>
  <c r="AQ38" i="8"/>
  <c r="N25" i="8"/>
  <c r="AR25" i="8" s="1"/>
  <c r="N10" i="8"/>
  <c r="AR10" i="8" s="1"/>
  <c r="N42" i="8"/>
  <c r="AR42" i="8" s="1"/>
  <c r="CY10" i="2"/>
  <c r="FA10" i="2" s="1"/>
  <c r="D9" i="9"/>
  <c r="V64" i="9"/>
  <c r="S29" i="8"/>
  <c r="E9" i="8"/>
  <c r="A8" i="8"/>
  <c r="U27" i="4"/>
  <c r="AG10" i="2"/>
  <c r="HM10" i="2"/>
  <c r="EV10" i="2"/>
  <c r="EW10" i="2" s="1"/>
  <c r="ER10" i="2"/>
  <c r="EM10" i="2"/>
  <c r="EN10" i="2" s="1"/>
  <c r="EJ10" i="2" a="1"/>
  <c r="EJ10" i="2" s="1"/>
  <c r="BI10" i="2"/>
  <c r="G10" i="2"/>
  <c r="E10" i="2"/>
  <c r="M10" i="2"/>
  <c r="GL10" i="2"/>
  <c r="GM10" i="2" s="1"/>
  <c r="GQ10" i="2"/>
  <c r="GR10" i="2" s="1"/>
  <c r="A12" i="2"/>
  <c r="DQ11" i="2"/>
  <c r="DO11" i="2"/>
  <c r="DM11" i="2"/>
  <c r="DL11" i="2"/>
  <c r="DI11" i="2"/>
  <c r="DE11" i="2"/>
  <c r="H11" i="2" s="1"/>
  <c r="DD11" i="2"/>
  <c r="CU11" i="2"/>
  <c r="CL11" i="2"/>
  <c r="CK11" i="2"/>
  <c r="CS11" i="2" s="1"/>
  <c r="CT11" i="2" s="1"/>
  <c r="CV11" i="2" s="1"/>
  <c r="CJ11" i="2"/>
  <c r="CF11" i="2"/>
  <c r="CE11" i="2"/>
  <c r="CC11" i="2"/>
  <c r="CB11" i="2"/>
  <c r="BY11" i="2"/>
  <c r="GH11" i="2" s="1"/>
  <c r="BU11" i="2"/>
  <c r="BT11" i="2"/>
  <c r="BS11" i="2"/>
  <c r="L11" i="2" s="1"/>
  <c r="BR11" i="2"/>
  <c r="BM11" i="2"/>
  <c r="BL11" i="2"/>
  <c r="BK11" i="2"/>
  <c r="AE11" i="2"/>
  <c r="AC11" i="2"/>
  <c r="K11" i="2"/>
  <c r="J11" i="2"/>
  <c r="I11" i="2"/>
  <c r="D11" i="2"/>
  <c r="C11" i="2"/>
  <c r="B11" i="2"/>
  <c r="D89" i="14"/>
  <c r="AJ9" i="2"/>
  <c r="AI9" i="2" s="1" a="1"/>
  <c r="AI9" i="2" s="1"/>
  <c r="AU9" i="2" l="1"/>
  <c r="AV9" i="2"/>
  <c r="R9" i="2"/>
  <c r="BA9" i="2"/>
  <c r="AL9" i="2"/>
  <c r="AQ9" i="2" s="1"/>
  <c r="EI10" i="2" a="1"/>
  <c r="EI10" i="2" s="1"/>
  <c r="T10" i="2" s="1" a="1"/>
  <c r="T10" i="2" s="1"/>
  <c r="U10" i="2" s="1"/>
  <c r="BD9" i="2"/>
  <c r="CY11" i="2"/>
  <c r="FA11" i="2" s="1"/>
  <c r="FB11" i="2" s="1"/>
  <c r="AH9" i="2" a="1"/>
  <c r="AH9" i="2" s="1"/>
  <c r="DS9" i="2"/>
  <c r="DT9" i="2" s="1"/>
  <c r="DP9" i="2" a="1"/>
  <c r="DP9" i="2" s="1"/>
  <c r="DU9" i="2" s="1"/>
  <c r="DK9" i="2" a="1"/>
  <c r="DK9" i="2" s="1"/>
  <c r="DW9" i="2" s="1" a="1"/>
  <c r="DW9" i="2" s="1"/>
  <c r="DJ9" i="2" a="1"/>
  <c r="DJ9" i="2" s="1"/>
  <c r="DV9" i="2" s="1"/>
  <c r="AK9" i="2" a="1"/>
  <c r="AK9" i="2" s="1"/>
  <c r="AG11" i="2"/>
  <c r="HM11" i="2"/>
  <c r="EV11" i="2"/>
  <c r="EW11" i="2" s="1"/>
  <c r="ER11" i="2"/>
  <c r="EM11" i="2"/>
  <c r="EN11" i="2" s="1"/>
  <c r="EJ11" i="2" a="1"/>
  <c r="EJ11" i="2" s="1"/>
  <c r="EI11" i="2" a="1"/>
  <c r="EI11" i="2" s="1"/>
  <c r="BI11" i="2"/>
  <c r="AF11" i="2" a="1"/>
  <c r="AF11" i="2" s="1"/>
  <c r="G11" i="2"/>
  <c r="E11" i="2"/>
  <c r="M11" i="2"/>
  <c r="GL11" i="2"/>
  <c r="GM11" i="2" s="1"/>
  <c r="GQ11" i="2"/>
  <c r="GR11" i="2" s="1"/>
  <c r="A13" i="2"/>
  <c r="DQ12" i="2"/>
  <c r="DO12" i="2"/>
  <c r="DM12" i="2"/>
  <c r="DL12" i="2"/>
  <c r="DI12" i="2"/>
  <c r="DE12" i="2"/>
  <c r="H12" i="2" s="1"/>
  <c r="DD12" i="2"/>
  <c r="CU12" i="2"/>
  <c r="CL12" i="2"/>
  <c r="CK12" i="2"/>
  <c r="CS12" i="2" s="1"/>
  <c r="CT12" i="2" s="1"/>
  <c r="CV12" i="2" s="1"/>
  <c r="CJ12" i="2"/>
  <c r="CF12" i="2"/>
  <c r="CE12" i="2"/>
  <c r="CC12" i="2"/>
  <c r="CB12" i="2"/>
  <c r="BY12" i="2"/>
  <c r="GH12" i="2" s="1"/>
  <c r="BU12" i="2"/>
  <c r="BT12" i="2"/>
  <c r="BS12" i="2"/>
  <c r="L12" i="2" s="1"/>
  <c r="BR12" i="2"/>
  <c r="BM12" i="2"/>
  <c r="BL12" i="2"/>
  <c r="BK12" i="2"/>
  <c r="AE12" i="2"/>
  <c r="AC12" i="2"/>
  <c r="K12" i="2"/>
  <c r="J12" i="2"/>
  <c r="I12" i="2"/>
  <c r="D12" i="2"/>
  <c r="C12" i="2"/>
  <c r="B12" i="2"/>
  <c r="P10" i="2"/>
  <c r="DS10" i="2"/>
  <c r="DT10" i="2" s="1"/>
  <c r="DP10" i="2" a="1"/>
  <c r="DP10" i="2" s="1"/>
  <c r="DU10" i="2" s="1"/>
  <c r="DK10" i="2" a="1"/>
  <c r="DK10" i="2" s="1"/>
  <c r="DW10" i="2" s="1" a="1"/>
  <c r="DW10" i="2" s="1"/>
  <c r="DJ10" i="2" a="1"/>
  <c r="DJ10" i="2" s="1"/>
  <c r="DV10" i="2" s="1"/>
  <c r="AK10" i="2" a="1"/>
  <c r="AK10" i="2" s="1"/>
  <c r="AJ10" i="2"/>
  <c r="AI10" i="2" a="1"/>
  <c r="AI10" i="2" s="1"/>
  <c r="AH10" i="2" a="1"/>
  <c r="AH10" i="2" s="1"/>
  <c r="E10" i="8"/>
  <c r="A9" i="8"/>
  <c r="C68" i="9"/>
  <c r="E9" i="9"/>
  <c r="M12" i="8"/>
  <c r="O64" i="9"/>
  <c r="G64" i="9"/>
  <c r="F64" i="9"/>
  <c r="D64" i="9"/>
  <c r="M64" i="9"/>
  <c r="N64" i="9"/>
  <c r="AW9" i="2" l="1"/>
  <c r="V9" i="2" s="1"/>
  <c r="T11" i="2" a="1"/>
  <c r="T11" i="2" s="1"/>
  <c r="U11" i="2" s="1"/>
  <c r="CY12" i="2"/>
  <c r="FA12" i="2" s="1"/>
  <c r="FB12" i="2" s="1"/>
  <c r="AQ12" i="8"/>
  <c r="AQ1" i="8" s="1"/>
  <c r="N12" i="8"/>
  <c r="AR12" i="8" s="1"/>
  <c r="AR1" i="8" s="1"/>
  <c r="S12" i="8"/>
  <c r="E64" i="9"/>
  <c r="C70" i="9"/>
  <c r="E11" i="8"/>
  <c r="A10" i="8"/>
  <c r="DR10" i="2"/>
  <c r="R10" i="2"/>
  <c r="AL10" i="2"/>
  <c r="BD10" i="2"/>
  <c r="BA10" i="2"/>
  <c r="AV10" i="2"/>
  <c r="AU10" i="2"/>
  <c r="AO10" i="2"/>
  <c r="AG12" i="2"/>
  <c r="HM12" i="2"/>
  <c r="EV12" i="2"/>
  <c r="EW12" i="2" s="1"/>
  <c r="ER12" i="2"/>
  <c r="EM12" i="2"/>
  <c r="EN12" i="2" s="1"/>
  <c r="EJ12" i="2" a="1"/>
  <c r="EJ12" i="2" s="1"/>
  <c r="BI12" i="2"/>
  <c r="AF12" i="2" a="1"/>
  <c r="AF12" i="2" s="1"/>
  <c r="G12" i="2"/>
  <c r="E12" i="2"/>
  <c r="M12" i="2"/>
  <c r="GL12" i="2"/>
  <c r="GM12" i="2" s="1"/>
  <c r="GQ12" i="2"/>
  <c r="GR12" i="2" s="1"/>
  <c r="A14" i="2"/>
  <c r="DQ13" i="2"/>
  <c r="DO13" i="2"/>
  <c r="DM13" i="2"/>
  <c r="DL13" i="2"/>
  <c r="DI13" i="2"/>
  <c r="DE13" i="2"/>
  <c r="H13" i="2" s="1"/>
  <c r="DD13" i="2"/>
  <c r="CU13" i="2"/>
  <c r="CL13" i="2"/>
  <c r="CK13" i="2"/>
  <c r="CS13" i="2" s="1"/>
  <c r="CT13" i="2" s="1"/>
  <c r="CV13" i="2" s="1"/>
  <c r="CJ13" i="2"/>
  <c r="CF13" i="2"/>
  <c r="CE13" i="2"/>
  <c r="CC13" i="2"/>
  <c r="CB13" i="2"/>
  <c r="BY13" i="2"/>
  <c r="GH13" i="2" s="1"/>
  <c r="BU13" i="2"/>
  <c r="BT13" i="2"/>
  <c r="BS13" i="2"/>
  <c r="L13" i="2" s="1"/>
  <c r="BR13" i="2"/>
  <c r="BM13" i="2"/>
  <c r="BL13" i="2"/>
  <c r="BK13" i="2"/>
  <c r="AE13" i="2"/>
  <c r="AC13" i="2"/>
  <c r="K13" i="2"/>
  <c r="J13" i="2"/>
  <c r="I13" i="2"/>
  <c r="D13" i="2"/>
  <c r="C13" i="2"/>
  <c r="B13" i="2"/>
  <c r="P11" i="2"/>
  <c r="AJ11" i="2"/>
  <c r="AI11" i="2" s="1" a="1"/>
  <c r="AI11" i="2" s="1"/>
  <c r="HG9" i="2"/>
  <c r="HE9" i="2"/>
  <c r="DR9" i="2"/>
  <c r="EI12" i="2" l="1" a="1"/>
  <c r="EI12" i="2" s="1"/>
  <c r="T12" i="2" s="1" a="1"/>
  <c r="T12" i="2" s="1"/>
  <c r="U12" i="2" s="1"/>
  <c r="AH11" i="2" a="1"/>
  <c r="AH11" i="2" s="1"/>
  <c r="CY13" i="2"/>
  <c r="FA13" i="2" s="1"/>
  <c r="FB13" i="2" s="1"/>
  <c r="EK9" i="2"/>
  <c r="A8" i="9"/>
  <c r="DS11" i="2"/>
  <c r="DT11" i="2" s="1"/>
  <c r="DP11" i="2" a="1"/>
  <c r="DP11" i="2" s="1"/>
  <c r="DU11" i="2" s="1"/>
  <c r="DK11" i="2" a="1"/>
  <c r="DK11" i="2" s="1"/>
  <c r="DW11" i="2" s="1" a="1"/>
  <c r="DW11" i="2" s="1"/>
  <c r="DJ11" i="2" a="1"/>
  <c r="DJ11" i="2" s="1"/>
  <c r="DV11" i="2" s="1"/>
  <c r="AK11" i="2" a="1"/>
  <c r="AK11" i="2" s="1"/>
  <c r="R11" i="2"/>
  <c r="AL11" i="2"/>
  <c r="BD11" i="2"/>
  <c r="BA11" i="2"/>
  <c r="AV11" i="2"/>
  <c r="AU11" i="2"/>
  <c r="AO11" i="2"/>
  <c r="AG13" i="2"/>
  <c r="HM13" i="2"/>
  <c r="EV13" i="2"/>
  <c r="EW13" i="2" s="1"/>
  <c r="ER13" i="2"/>
  <c r="EM13" i="2"/>
  <c r="EN13" i="2" s="1"/>
  <c r="EJ13" i="2" a="1"/>
  <c r="EJ13" i="2" s="1"/>
  <c r="BI13" i="2"/>
  <c r="AF13" i="2" a="1"/>
  <c r="AF13" i="2" s="1"/>
  <c r="G13" i="2"/>
  <c r="E13" i="2"/>
  <c r="M13" i="2"/>
  <c r="GL13" i="2"/>
  <c r="GM13" i="2" s="1"/>
  <c r="GQ13" i="2"/>
  <c r="GR13" i="2" s="1"/>
  <c r="A15" i="2"/>
  <c r="DQ14" i="2"/>
  <c r="DO14" i="2"/>
  <c r="DM14" i="2"/>
  <c r="DL14" i="2"/>
  <c r="DI14" i="2"/>
  <c r="DE14" i="2"/>
  <c r="H14" i="2" s="1"/>
  <c r="DD14" i="2"/>
  <c r="CU14" i="2"/>
  <c r="CL14" i="2"/>
  <c r="CK14" i="2"/>
  <c r="CS14" i="2" s="1"/>
  <c r="CT14" i="2" s="1"/>
  <c r="CV14" i="2" s="1"/>
  <c r="CJ14" i="2"/>
  <c r="CF14" i="2"/>
  <c r="CE14" i="2"/>
  <c r="CC14" i="2"/>
  <c r="CB14" i="2"/>
  <c r="BY14" i="2"/>
  <c r="GH14" i="2" s="1"/>
  <c r="BU14" i="2"/>
  <c r="BT14" i="2"/>
  <c r="BS14" i="2"/>
  <c r="L14" i="2" s="1"/>
  <c r="BR14" i="2"/>
  <c r="BM14" i="2"/>
  <c r="BL14" i="2"/>
  <c r="BK14" i="2"/>
  <c r="AE14" i="2"/>
  <c r="AC14" i="2"/>
  <c r="K14" i="2"/>
  <c r="J14" i="2"/>
  <c r="I14" i="2"/>
  <c r="D14" i="2"/>
  <c r="C14" i="2"/>
  <c r="B14" i="2"/>
  <c r="P12" i="2"/>
  <c r="DS12" i="2"/>
  <c r="DT12" i="2" s="1"/>
  <c r="DP12" i="2" a="1"/>
  <c r="DP12" i="2" s="1"/>
  <c r="DU12" i="2" s="1"/>
  <c r="DK12" i="2" a="1"/>
  <c r="DK12" i="2" s="1"/>
  <c r="DW12" i="2" s="1" a="1"/>
  <c r="DW12" i="2" s="1"/>
  <c r="DJ12" i="2" a="1"/>
  <c r="DJ12" i="2" s="1"/>
  <c r="DV12" i="2" s="1"/>
  <c r="AK12" i="2" a="1"/>
  <c r="AK12" i="2" s="1"/>
  <c r="AJ12" i="2"/>
  <c r="AI12" i="2" a="1"/>
  <c r="AI12" i="2" s="1"/>
  <c r="AH12" i="2" a="1"/>
  <c r="AH12" i="2" s="1"/>
  <c r="AW10" i="2"/>
  <c r="AQ10" i="2"/>
  <c r="E12" i="8"/>
  <c r="A11" i="8"/>
  <c r="D69" i="9"/>
  <c r="D67" i="9"/>
  <c r="D68" i="9"/>
  <c r="EI13" i="2" l="1" a="1"/>
  <c r="EI13" i="2" s="1"/>
  <c r="T13" i="2" s="1" a="1"/>
  <c r="T13" i="2" s="1"/>
  <c r="U13" i="2" s="1"/>
  <c r="AW11" i="2"/>
  <c r="HG11" i="2" s="1"/>
  <c r="CY14" i="2"/>
  <c r="FA14" i="2" s="1"/>
  <c r="D70" i="9"/>
  <c r="E13" i="8"/>
  <c r="A12" i="8"/>
  <c r="HE10" i="2"/>
  <c r="V10" i="2"/>
  <c r="HG10" i="2"/>
  <c r="DR12" i="2"/>
  <c r="R12" i="2"/>
  <c r="AL12" i="2"/>
  <c r="BD12" i="2"/>
  <c r="BA12" i="2"/>
  <c r="AV12" i="2"/>
  <c r="AU12" i="2"/>
  <c r="AP12" i="2"/>
  <c r="AG14" i="2"/>
  <c r="HM14" i="2"/>
  <c r="EV14" i="2"/>
  <c r="EW14" i="2" s="1"/>
  <c r="ER14" i="2"/>
  <c r="EM14" i="2"/>
  <c r="EN14" i="2" s="1"/>
  <c r="EJ14" i="2" a="1"/>
  <c r="EJ14" i="2" s="1"/>
  <c r="BI14" i="2"/>
  <c r="AF14" i="2" a="1"/>
  <c r="AF14" i="2" s="1"/>
  <c r="G14" i="2"/>
  <c r="E14" i="2"/>
  <c r="M14" i="2"/>
  <c r="GL14" i="2"/>
  <c r="GM14" i="2" s="1"/>
  <c r="GQ14" i="2"/>
  <c r="GR14" i="2" s="1"/>
  <c r="A16" i="2"/>
  <c r="DQ15" i="2"/>
  <c r="DO15" i="2"/>
  <c r="DM15" i="2"/>
  <c r="DL15" i="2"/>
  <c r="DI15" i="2"/>
  <c r="DE15" i="2"/>
  <c r="H15" i="2" s="1"/>
  <c r="DD15" i="2"/>
  <c r="CU15" i="2"/>
  <c r="CL15" i="2"/>
  <c r="CK15" i="2"/>
  <c r="CS15" i="2" s="1"/>
  <c r="CT15" i="2" s="1"/>
  <c r="CV15" i="2" s="1"/>
  <c r="CJ15" i="2"/>
  <c r="CF15" i="2"/>
  <c r="CE15" i="2"/>
  <c r="CC15" i="2"/>
  <c r="CB15" i="2"/>
  <c r="BY15" i="2"/>
  <c r="GH15" i="2" s="1"/>
  <c r="BU15" i="2"/>
  <c r="BT15" i="2"/>
  <c r="BS15" i="2"/>
  <c r="L15" i="2" s="1"/>
  <c r="BR15" i="2"/>
  <c r="BM15" i="2"/>
  <c r="BL15" i="2"/>
  <c r="BK15" i="2"/>
  <c r="AE15" i="2"/>
  <c r="AC15" i="2"/>
  <c r="K15" i="2"/>
  <c r="J15" i="2"/>
  <c r="I15" i="2"/>
  <c r="D15" i="2"/>
  <c r="C15" i="2"/>
  <c r="B15" i="2"/>
  <c r="P13" i="2"/>
  <c r="DS13" i="2"/>
  <c r="DT13" i="2" s="1"/>
  <c r="DP13" i="2" a="1"/>
  <c r="DP13" i="2" s="1"/>
  <c r="DU13" i="2" s="1"/>
  <c r="DK13" i="2" a="1"/>
  <c r="DK13" i="2" s="1"/>
  <c r="DW13" i="2" s="1" a="1"/>
  <c r="DW13" i="2" s="1"/>
  <c r="DJ13" i="2" a="1"/>
  <c r="DJ13" i="2" s="1"/>
  <c r="DV13" i="2" s="1"/>
  <c r="AK13" i="2" a="1"/>
  <c r="AK13" i="2" s="1"/>
  <c r="AJ13" i="2"/>
  <c r="AI13" i="2" a="1"/>
  <c r="AI13" i="2" s="1"/>
  <c r="AH13" i="2" a="1"/>
  <c r="AH13" i="2" s="1"/>
  <c r="AQ11" i="2"/>
  <c r="DR11" i="2"/>
  <c r="EI14" i="2" l="1" a="1"/>
  <c r="EI14" i="2" s="1"/>
  <c r="T14" i="2" s="1" a="1"/>
  <c r="T14" i="2" s="1"/>
  <c r="CY15" i="2"/>
  <c r="FA15" i="2" s="1"/>
  <c r="FB15" i="2" s="1"/>
  <c r="HE11" i="2"/>
  <c r="V11" i="2"/>
  <c r="DR13" i="2"/>
  <c r="R13" i="2"/>
  <c r="AL13" i="2"/>
  <c r="BD13" i="2"/>
  <c r="BA13" i="2"/>
  <c r="AV13" i="2"/>
  <c r="AU13" i="2"/>
  <c r="AP13" i="2"/>
  <c r="AG15" i="2"/>
  <c r="HM15" i="2"/>
  <c r="EV15" i="2"/>
  <c r="EW15" i="2" s="1"/>
  <c r="ER15" i="2"/>
  <c r="EM15" i="2"/>
  <c r="EN15" i="2" s="1"/>
  <c r="EJ15" i="2" a="1"/>
  <c r="EJ15" i="2" s="1"/>
  <c r="BI15" i="2"/>
  <c r="AF15" i="2" a="1"/>
  <c r="AF15" i="2" s="1"/>
  <c r="G15" i="2"/>
  <c r="E15" i="2"/>
  <c r="M15" i="2"/>
  <c r="GL15" i="2"/>
  <c r="GM15" i="2" s="1"/>
  <c r="GQ15" i="2"/>
  <c r="GR15" i="2" s="1"/>
  <c r="A17" i="2"/>
  <c r="DQ16" i="2"/>
  <c r="DO16" i="2"/>
  <c r="DM16" i="2"/>
  <c r="DL16" i="2"/>
  <c r="DI16" i="2"/>
  <c r="DE16" i="2"/>
  <c r="H16" i="2" s="1"/>
  <c r="DD16" i="2"/>
  <c r="CU16" i="2"/>
  <c r="CL16" i="2"/>
  <c r="CK16" i="2"/>
  <c r="CS16" i="2" s="1"/>
  <c r="CT16" i="2" s="1"/>
  <c r="CV16" i="2" s="1"/>
  <c r="CJ16" i="2"/>
  <c r="CF16" i="2"/>
  <c r="CE16" i="2"/>
  <c r="CC16" i="2"/>
  <c r="CB16" i="2"/>
  <c r="BY16" i="2"/>
  <c r="GH16" i="2" s="1"/>
  <c r="BU16" i="2"/>
  <c r="BT16" i="2"/>
  <c r="BS16" i="2"/>
  <c r="L16" i="2" s="1"/>
  <c r="BR16" i="2"/>
  <c r="BM16" i="2"/>
  <c r="BL16" i="2"/>
  <c r="BK16" i="2"/>
  <c r="AE16" i="2"/>
  <c r="AC16" i="2"/>
  <c r="K16" i="2"/>
  <c r="J16" i="2"/>
  <c r="I16" i="2"/>
  <c r="D16" i="2"/>
  <c r="C16" i="2"/>
  <c r="B16" i="2"/>
  <c r="P14" i="2"/>
  <c r="U14" i="2"/>
  <c r="AJ14" i="2"/>
  <c r="AI14" i="2" s="1" a="1"/>
  <c r="AI14" i="2" s="1"/>
  <c r="AW12" i="2"/>
  <c r="EK10" i="2"/>
  <c r="A29" i="9"/>
  <c r="E14" i="8"/>
  <c r="A13" i="8"/>
  <c r="CY16" i="2" l="1"/>
  <c r="FA16" i="2" s="1"/>
  <c r="FB16" i="2" s="1"/>
  <c r="EI15" i="2" a="1"/>
  <c r="EI15" i="2" s="1"/>
  <c r="T15" i="2" s="1" a="1"/>
  <c r="T15" i="2" s="1"/>
  <c r="U15" i="2" s="1"/>
  <c r="AH14" i="2" a="1"/>
  <c r="AH14" i="2" s="1"/>
  <c r="AW13" i="2"/>
  <c r="HG13" i="2" s="1"/>
  <c r="E15" i="8"/>
  <c r="A14" i="8"/>
  <c r="HG12" i="2"/>
  <c r="DS14" i="2"/>
  <c r="DT14" i="2" s="1"/>
  <c r="DP14" i="2" a="1"/>
  <c r="DP14" i="2" s="1"/>
  <c r="DU14" i="2" s="1"/>
  <c r="DK14" i="2" a="1"/>
  <c r="DK14" i="2" s="1"/>
  <c r="DW14" i="2" s="1" a="1"/>
  <c r="DW14" i="2" s="1"/>
  <c r="DJ14" i="2" a="1"/>
  <c r="DJ14" i="2" s="1"/>
  <c r="DV14" i="2" s="1"/>
  <c r="AK14" i="2" a="1"/>
  <c r="AK14" i="2" s="1"/>
  <c r="R14" i="2"/>
  <c r="AL14" i="2"/>
  <c r="BD14" i="2"/>
  <c r="BA14" i="2"/>
  <c r="AV14" i="2"/>
  <c r="AU14" i="2"/>
  <c r="AO14" i="2"/>
  <c r="AG16" i="2"/>
  <c r="HM16" i="2"/>
  <c r="EV16" i="2"/>
  <c r="EW16" i="2" s="1"/>
  <c r="ER16" i="2"/>
  <c r="EM16" i="2"/>
  <c r="EN16" i="2" s="1"/>
  <c r="EJ16" i="2" a="1"/>
  <c r="EJ16" i="2" s="1"/>
  <c r="EI16" i="2" a="1"/>
  <c r="EI16" i="2" s="1"/>
  <c r="BI16" i="2"/>
  <c r="AF16" i="2" a="1"/>
  <c r="AF16" i="2" s="1"/>
  <c r="G16" i="2"/>
  <c r="E16" i="2"/>
  <c r="M16" i="2"/>
  <c r="GL16" i="2"/>
  <c r="GM16" i="2" s="1"/>
  <c r="GQ16" i="2"/>
  <c r="GR16" i="2" s="1"/>
  <c r="A18" i="2"/>
  <c r="DQ17" i="2"/>
  <c r="DO17" i="2"/>
  <c r="DM17" i="2"/>
  <c r="DL17" i="2"/>
  <c r="DI17" i="2"/>
  <c r="DE17" i="2"/>
  <c r="H17" i="2" s="1"/>
  <c r="DD17" i="2"/>
  <c r="CU17" i="2"/>
  <c r="CL17" i="2"/>
  <c r="CK17" i="2"/>
  <c r="CS17" i="2" s="1"/>
  <c r="CT17" i="2" s="1"/>
  <c r="CV17" i="2" s="1"/>
  <c r="CJ17" i="2"/>
  <c r="CF17" i="2"/>
  <c r="CE17" i="2"/>
  <c r="CC17" i="2"/>
  <c r="CB17" i="2"/>
  <c r="BY17" i="2"/>
  <c r="GH17" i="2" s="1"/>
  <c r="BU17" i="2"/>
  <c r="BT17" i="2"/>
  <c r="BS17" i="2"/>
  <c r="L17" i="2" s="1"/>
  <c r="BR17" i="2"/>
  <c r="BM17" i="2"/>
  <c r="BL17" i="2"/>
  <c r="BK17" i="2"/>
  <c r="AE17" i="2"/>
  <c r="AC17" i="2"/>
  <c r="K17" i="2"/>
  <c r="J17" i="2"/>
  <c r="I17" i="2"/>
  <c r="D17" i="2"/>
  <c r="C17" i="2"/>
  <c r="B17" i="2"/>
  <c r="P15" i="2"/>
  <c r="AJ15" i="2"/>
  <c r="AI15" i="2" s="1" a="1"/>
  <c r="AI15" i="2" s="1"/>
  <c r="EK11" i="2"/>
  <c r="A23" i="9"/>
  <c r="T16" i="2" l="1" a="1"/>
  <c r="T16" i="2" s="1"/>
  <c r="U16" i="2" s="1"/>
  <c r="AH15" i="2" a="1"/>
  <c r="AH15" i="2" s="1"/>
  <c r="CY17" i="2"/>
  <c r="FA17" i="2" s="1"/>
  <c r="FB17" i="2" s="1"/>
  <c r="DS15" i="2"/>
  <c r="DT15" i="2" s="1"/>
  <c r="DP15" i="2" a="1"/>
  <c r="DP15" i="2" s="1"/>
  <c r="DU15" i="2" s="1"/>
  <c r="DK15" i="2" a="1"/>
  <c r="DK15" i="2" s="1"/>
  <c r="DW15" i="2" s="1" a="1"/>
  <c r="DW15" i="2" s="1"/>
  <c r="DJ15" i="2" a="1"/>
  <c r="DJ15" i="2" s="1"/>
  <c r="DV15" i="2" s="1"/>
  <c r="AK15" i="2" a="1"/>
  <c r="AK15" i="2" s="1"/>
  <c r="AL15" i="2" s="1"/>
  <c r="R15" i="2"/>
  <c r="BD15" i="2"/>
  <c r="BA15" i="2"/>
  <c r="AV15" i="2"/>
  <c r="AU15" i="2"/>
  <c r="AP15" i="2"/>
  <c r="AG17" i="2"/>
  <c r="HM17" i="2"/>
  <c r="EV17" i="2"/>
  <c r="ER17" i="2"/>
  <c r="EM17" i="2"/>
  <c r="EN17" i="2" s="1"/>
  <c r="EJ17" i="2" a="1"/>
  <c r="EJ17" i="2" s="1"/>
  <c r="EI17" i="2" a="1"/>
  <c r="EI17" i="2" s="1"/>
  <c r="BI17" i="2"/>
  <c r="AF17" i="2" a="1"/>
  <c r="AF17" i="2" s="1"/>
  <c r="T17" i="2" a="1"/>
  <c r="T17" i="2" s="1"/>
  <c r="G17" i="2"/>
  <c r="E17" i="2"/>
  <c r="M17" i="2"/>
  <c r="GL17" i="2"/>
  <c r="GM17" i="2" s="1"/>
  <c r="GQ17" i="2"/>
  <c r="GR17" i="2" s="1"/>
  <c r="A19" i="2"/>
  <c r="DQ18" i="2"/>
  <c r="DO18" i="2"/>
  <c r="DM18" i="2"/>
  <c r="DL18" i="2"/>
  <c r="DI18" i="2"/>
  <c r="DE18" i="2"/>
  <c r="H18" i="2" s="1"/>
  <c r="DD18" i="2"/>
  <c r="CU18" i="2"/>
  <c r="CL18" i="2"/>
  <c r="CK18" i="2"/>
  <c r="CS18" i="2" s="1"/>
  <c r="CT18" i="2" s="1"/>
  <c r="CV18" i="2" s="1"/>
  <c r="CY18" i="2" s="1"/>
  <c r="FA18" i="2" s="1"/>
  <c r="FB18" i="2" s="1"/>
  <c r="CJ18" i="2"/>
  <c r="CF18" i="2"/>
  <c r="CE18" i="2"/>
  <c r="CC18" i="2"/>
  <c r="CB18" i="2"/>
  <c r="BY18" i="2"/>
  <c r="GH18" i="2" s="1"/>
  <c r="BU18" i="2"/>
  <c r="BT18" i="2"/>
  <c r="BS18" i="2"/>
  <c r="L18" i="2" s="1"/>
  <c r="BR18" i="2"/>
  <c r="BM18" i="2"/>
  <c r="BL18" i="2"/>
  <c r="BK18" i="2"/>
  <c r="AE18" i="2"/>
  <c r="AC18" i="2"/>
  <c r="K18" i="2"/>
  <c r="J18" i="2"/>
  <c r="I18" i="2"/>
  <c r="D18" i="2"/>
  <c r="C18" i="2"/>
  <c r="B18" i="2"/>
  <c r="P16" i="2"/>
  <c r="DS16" i="2"/>
  <c r="DT16" i="2" s="1"/>
  <c r="DP16" i="2" a="1"/>
  <c r="DP16" i="2" s="1"/>
  <c r="DU16" i="2" s="1"/>
  <c r="DK16" i="2" a="1"/>
  <c r="DK16" i="2" s="1"/>
  <c r="DW16" i="2" s="1" a="1"/>
  <c r="DW16" i="2" s="1"/>
  <c r="DJ16" i="2" a="1"/>
  <c r="DJ16" i="2" s="1"/>
  <c r="DV16" i="2" s="1"/>
  <c r="AK16" i="2" a="1"/>
  <c r="AK16" i="2" s="1"/>
  <c r="AJ16" i="2"/>
  <c r="AI16" i="2" a="1"/>
  <c r="AI16" i="2" s="1"/>
  <c r="AH16" i="2" a="1"/>
  <c r="AH16" i="2" s="1"/>
  <c r="AW14" i="2"/>
  <c r="AQ14" i="2"/>
  <c r="DR14" i="2"/>
  <c r="E16" i="8"/>
  <c r="A15" i="8"/>
  <c r="AW15" i="2" l="1"/>
  <c r="HG15" i="2" s="1"/>
  <c r="E17" i="8"/>
  <c r="A16" i="8"/>
  <c r="HE14" i="2"/>
  <c r="V14" i="2"/>
  <c r="HG14" i="2"/>
  <c r="DR16" i="2"/>
  <c r="R16" i="2"/>
  <c r="AL16" i="2"/>
  <c r="BD16" i="2"/>
  <c r="BA16" i="2"/>
  <c r="AV16" i="2"/>
  <c r="AP16" i="2"/>
  <c r="AO16" i="2"/>
  <c r="AG18" i="2"/>
  <c r="HM18" i="2"/>
  <c r="EV18" i="2"/>
  <c r="EW18" i="2" s="1"/>
  <c r="ER18" i="2"/>
  <c r="EM18" i="2"/>
  <c r="EN18" i="2" s="1"/>
  <c r="EJ18" i="2" a="1"/>
  <c r="EJ18" i="2" s="1"/>
  <c r="EI18" i="2" a="1"/>
  <c r="EI18" i="2" s="1"/>
  <c r="T18" i="2" s="1" a="1"/>
  <c r="T18" i="2" s="1"/>
  <c r="BI18" i="2"/>
  <c r="AF18" i="2" a="1"/>
  <c r="AF18" i="2" s="1"/>
  <c r="G18" i="2"/>
  <c r="E18" i="2"/>
  <c r="M18" i="2"/>
  <c r="GL18" i="2"/>
  <c r="GM18" i="2" s="1"/>
  <c r="GQ18" i="2"/>
  <c r="GR18" i="2" s="1"/>
  <c r="A20" i="2"/>
  <c r="DQ19" i="2"/>
  <c r="DO19" i="2"/>
  <c r="DM19" i="2"/>
  <c r="DL19" i="2"/>
  <c r="DI19" i="2"/>
  <c r="DE19" i="2"/>
  <c r="H19" i="2" s="1"/>
  <c r="DD19" i="2"/>
  <c r="CU19" i="2"/>
  <c r="CL19" i="2"/>
  <c r="CK19" i="2"/>
  <c r="CS19" i="2" s="1"/>
  <c r="CT19" i="2" s="1"/>
  <c r="CV19" i="2" s="1"/>
  <c r="CY19" i="2" s="1"/>
  <c r="FA19" i="2" s="1"/>
  <c r="CJ19" i="2"/>
  <c r="CF19" i="2"/>
  <c r="CE19" i="2"/>
  <c r="CC19" i="2"/>
  <c r="CB19" i="2"/>
  <c r="BY19" i="2"/>
  <c r="GH19" i="2" s="1"/>
  <c r="BU19" i="2"/>
  <c r="BT19" i="2"/>
  <c r="BS19" i="2"/>
  <c r="L19" i="2" s="1"/>
  <c r="BR19" i="2"/>
  <c r="BM19" i="2"/>
  <c r="BL19" i="2"/>
  <c r="BK19" i="2"/>
  <c r="AE19" i="2"/>
  <c r="AC19" i="2"/>
  <c r="K19" i="2"/>
  <c r="J19" i="2"/>
  <c r="I19" i="2"/>
  <c r="D19" i="2"/>
  <c r="C19" i="2"/>
  <c r="B19" i="2"/>
  <c r="P17" i="2"/>
  <c r="U17" i="2"/>
  <c r="AJ17" i="2"/>
  <c r="AH17" i="2" s="1" a="1"/>
  <c r="AH17" i="2" s="1"/>
  <c r="DR15" i="2"/>
  <c r="AI17" i="2" l="1" a="1"/>
  <c r="AI17" i="2" s="1"/>
  <c r="DS17" i="2"/>
  <c r="DT17" i="2" s="1"/>
  <c r="DP17" i="2" a="1"/>
  <c r="DP17" i="2" s="1"/>
  <c r="DU17" i="2" s="1"/>
  <c r="DK17" i="2" a="1"/>
  <c r="DK17" i="2" s="1"/>
  <c r="DW17" i="2" s="1" a="1"/>
  <c r="DW17" i="2" s="1"/>
  <c r="DJ17" i="2" a="1"/>
  <c r="DJ17" i="2" s="1"/>
  <c r="DV17" i="2" s="1"/>
  <c r="AK17" i="2" a="1"/>
  <c r="AK17" i="2" s="1"/>
  <c r="AL17" i="2" s="1"/>
  <c r="R17" i="2"/>
  <c r="BD17" i="2"/>
  <c r="BA17" i="2"/>
  <c r="AV17" i="2"/>
  <c r="AP17" i="2"/>
  <c r="AO17" i="2"/>
  <c r="AG19" i="2"/>
  <c r="HM19" i="2"/>
  <c r="EV19" i="2"/>
  <c r="EW19" i="2" s="1"/>
  <c r="ER19" i="2"/>
  <c r="EM19" i="2"/>
  <c r="EN19" i="2" s="1"/>
  <c r="EJ19" i="2" a="1"/>
  <c r="EJ19" i="2" s="1"/>
  <c r="EI19" i="2" a="1"/>
  <c r="EI19" i="2" s="1"/>
  <c r="BI19" i="2"/>
  <c r="AF19" i="2" a="1"/>
  <c r="AF19" i="2" s="1"/>
  <c r="G19" i="2"/>
  <c r="E19" i="2"/>
  <c r="M19" i="2"/>
  <c r="GL19" i="2"/>
  <c r="GM19" i="2" s="1"/>
  <c r="GQ19" i="2"/>
  <c r="GR19" i="2" s="1"/>
  <c r="A21" i="2"/>
  <c r="DQ20" i="2"/>
  <c r="DO20" i="2"/>
  <c r="DM20" i="2"/>
  <c r="DL20" i="2"/>
  <c r="DI20" i="2"/>
  <c r="DE20" i="2"/>
  <c r="H20" i="2" s="1"/>
  <c r="DD20" i="2"/>
  <c r="CU20" i="2"/>
  <c r="CL20" i="2"/>
  <c r="CK20" i="2"/>
  <c r="CS20" i="2" s="1"/>
  <c r="CT20" i="2" s="1"/>
  <c r="CV20" i="2" s="1"/>
  <c r="CJ20" i="2"/>
  <c r="CF20" i="2"/>
  <c r="CE20" i="2"/>
  <c r="CC20" i="2"/>
  <c r="CB20" i="2"/>
  <c r="BY20" i="2"/>
  <c r="GH20" i="2" s="1"/>
  <c r="BU20" i="2"/>
  <c r="BT20" i="2"/>
  <c r="BS20" i="2"/>
  <c r="L20" i="2" s="1"/>
  <c r="BR20" i="2"/>
  <c r="BM20" i="2"/>
  <c r="BL20" i="2"/>
  <c r="BK20" i="2"/>
  <c r="AE20" i="2"/>
  <c r="AC20" i="2"/>
  <c r="K20" i="2"/>
  <c r="J20" i="2"/>
  <c r="I20" i="2"/>
  <c r="D20" i="2"/>
  <c r="C20" i="2"/>
  <c r="B20" i="2"/>
  <c r="P18" i="2"/>
  <c r="U18" i="2"/>
  <c r="DS18" i="2"/>
  <c r="DT18" i="2" s="1"/>
  <c r="DP18" i="2" a="1"/>
  <c r="DP18" i="2" s="1"/>
  <c r="DU18" i="2" s="1"/>
  <c r="DK18" i="2" a="1"/>
  <c r="DK18" i="2" s="1"/>
  <c r="DW18" i="2" s="1" a="1"/>
  <c r="DW18" i="2" s="1"/>
  <c r="DJ18" i="2" a="1"/>
  <c r="DJ18" i="2" s="1"/>
  <c r="DV18" i="2" s="1"/>
  <c r="AK18" i="2" a="1"/>
  <c r="AK18" i="2" s="1"/>
  <c r="AJ18" i="2"/>
  <c r="AI18" i="2" a="1"/>
  <c r="AI18" i="2" s="1"/>
  <c r="AH18" i="2" a="1"/>
  <c r="AH18" i="2" s="1"/>
  <c r="AQ16" i="2"/>
  <c r="EK14" i="2"/>
  <c r="A4" i="9"/>
  <c r="E18" i="8"/>
  <c r="A17" i="8"/>
  <c r="T19" i="2" l="1" a="1"/>
  <c r="T19" i="2" s="1"/>
  <c r="U19" i="2" s="1"/>
  <c r="CY20" i="2"/>
  <c r="FA20" i="2" s="1"/>
  <c r="FB20" i="2" s="1"/>
  <c r="E19" i="8"/>
  <c r="A18" i="8"/>
  <c r="HE16" i="2"/>
  <c r="DR18" i="2"/>
  <c r="R18" i="2"/>
  <c r="AL18" i="2"/>
  <c r="BD18" i="2"/>
  <c r="BA18" i="2"/>
  <c r="AV18" i="2"/>
  <c r="AU18" i="2"/>
  <c r="AP18" i="2"/>
  <c r="AG20" i="2"/>
  <c r="HM20" i="2"/>
  <c r="EV20" i="2"/>
  <c r="ER20" i="2"/>
  <c r="EM20" i="2"/>
  <c r="EJ20" i="2" a="1"/>
  <c r="EJ20" i="2" s="1"/>
  <c r="EI20" i="2" a="1"/>
  <c r="EI20" i="2" s="1"/>
  <c r="BI20" i="2"/>
  <c r="AF20" i="2" a="1"/>
  <c r="AF20" i="2" s="1"/>
  <c r="G20" i="2"/>
  <c r="E20" i="2"/>
  <c r="M20" i="2"/>
  <c r="GL20" i="2"/>
  <c r="GM20" i="2" s="1"/>
  <c r="GQ20" i="2"/>
  <c r="GR20" i="2" s="1"/>
  <c r="A22" i="2"/>
  <c r="DQ21" i="2"/>
  <c r="DO21" i="2"/>
  <c r="DM21" i="2"/>
  <c r="DL21" i="2"/>
  <c r="DI21" i="2"/>
  <c r="DE21" i="2"/>
  <c r="H21" i="2" s="1"/>
  <c r="DD21" i="2"/>
  <c r="CU21" i="2"/>
  <c r="CL21" i="2"/>
  <c r="CK21" i="2"/>
  <c r="CS21" i="2" s="1"/>
  <c r="CT21" i="2" s="1"/>
  <c r="CV21" i="2" s="1"/>
  <c r="CJ21" i="2"/>
  <c r="CF21" i="2"/>
  <c r="CE21" i="2"/>
  <c r="CC21" i="2"/>
  <c r="CB21" i="2"/>
  <c r="BY21" i="2"/>
  <c r="GH21" i="2" s="1"/>
  <c r="BU21" i="2"/>
  <c r="BT21" i="2"/>
  <c r="BS21" i="2"/>
  <c r="L21" i="2" s="1"/>
  <c r="BR21" i="2"/>
  <c r="BM21" i="2"/>
  <c r="BL21" i="2"/>
  <c r="BK21" i="2"/>
  <c r="AE21" i="2"/>
  <c r="AC21" i="2"/>
  <c r="K21" i="2"/>
  <c r="J21" i="2"/>
  <c r="I21" i="2"/>
  <c r="D21" i="2"/>
  <c r="C21" i="2"/>
  <c r="B21" i="2"/>
  <c r="P19" i="2"/>
  <c r="AJ19" i="2"/>
  <c r="AI19" i="2" s="1" a="1"/>
  <c r="AI19" i="2" s="1"/>
  <c r="AQ17" i="2"/>
  <c r="DR17" i="2"/>
  <c r="T20" i="2" l="1" a="1"/>
  <c r="T20" i="2" s="1"/>
  <c r="AH19" i="2" a="1"/>
  <c r="AH19" i="2" s="1"/>
  <c r="CY21" i="2"/>
  <c r="FA21" i="2" s="1"/>
  <c r="AW18" i="2"/>
  <c r="HG18" i="2" s="1"/>
  <c r="HE17" i="2"/>
  <c r="DS19" i="2"/>
  <c r="DT19" i="2" s="1"/>
  <c r="DP19" i="2" a="1"/>
  <c r="DP19" i="2" s="1"/>
  <c r="DU19" i="2" s="1"/>
  <c r="DK19" i="2" a="1"/>
  <c r="DK19" i="2" s="1"/>
  <c r="DW19" i="2" s="1" a="1"/>
  <c r="DW19" i="2" s="1"/>
  <c r="DJ19" i="2" a="1"/>
  <c r="DJ19" i="2" s="1"/>
  <c r="DV19" i="2" s="1"/>
  <c r="AK19" i="2" a="1"/>
  <c r="AK19" i="2" s="1"/>
  <c r="R19" i="2"/>
  <c r="AL19" i="2"/>
  <c r="BD19" i="2"/>
  <c r="BA19" i="2"/>
  <c r="AV19" i="2"/>
  <c r="AU19" i="2"/>
  <c r="AW19" i="2" s="1"/>
  <c r="HG19" i="2" s="1"/>
  <c r="AO19" i="2"/>
  <c r="AG21" i="2"/>
  <c r="HM21" i="2"/>
  <c r="EV21" i="2"/>
  <c r="EW21" i="2" s="1"/>
  <c r="ER21" i="2"/>
  <c r="EM21" i="2"/>
  <c r="EN21" i="2" s="1"/>
  <c r="EJ21" i="2" a="1"/>
  <c r="EJ21" i="2" s="1"/>
  <c r="EI21" i="2" a="1"/>
  <c r="EI21" i="2" s="1"/>
  <c r="T21" i="2" s="1" a="1"/>
  <c r="T21" i="2" s="1"/>
  <c r="BI21" i="2"/>
  <c r="AF21" i="2" a="1"/>
  <c r="AF21" i="2" s="1"/>
  <c r="G21" i="2"/>
  <c r="E21" i="2"/>
  <c r="M21" i="2"/>
  <c r="GL21" i="2"/>
  <c r="GQ21" i="2"/>
  <c r="GR21" i="2" s="1"/>
  <c r="A23" i="2"/>
  <c r="DQ22" i="2"/>
  <c r="DO22" i="2"/>
  <c r="DM22" i="2"/>
  <c r="DL22" i="2"/>
  <c r="DI22" i="2"/>
  <c r="DE22" i="2"/>
  <c r="H22" i="2" s="1"/>
  <c r="DD22" i="2"/>
  <c r="CU22" i="2"/>
  <c r="CL22" i="2"/>
  <c r="CK22" i="2"/>
  <c r="CS22" i="2" s="1"/>
  <c r="CT22" i="2" s="1"/>
  <c r="CV22" i="2" s="1"/>
  <c r="CJ22" i="2"/>
  <c r="CF22" i="2"/>
  <c r="CE22" i="2"/>
  <c r="CC22" i="2"/>
  <c r="CB22" i="2"/>
  <c r="BY22" i="2"/>
  <c r="GH22" i="2" s="1"/>
  <c r="BU22" i="2"/>
  <c r="BT22" i="2"/>
  <c r="BS22" i="2"/>
  <c r="L22" i="2" s="1"/>
  <c r="BR22" i="2"/>
  <c r="BM22" i="2"/>
  <c r="BL22" i="2"/>
  <c r="BK22" i="2"/>
  <c r="AE22" i="2"/>
  <c r="AC22" i="2"/>
  <c r="K22" i="2"/>
  <c r="J22" i="2"/>
  <c r="I22" i="2"/>
  <c r="D22" i="2"/>
  <c r="C22" i="2"/>
  <c r="B22" i="2"/>
  <c r="P20" i="2"/>
  <c r="U20" i="2"/>
  <c r="AJ20" i="2"/>
  <c r="AI20" i="2" s="1" a="1"/>
  <c r="AI20" i="2" s="1"/>
  <c r="E20" i="8"/>
  <c r="A19" i="8"/>
  <c r="CY22" i="2" l="1"/>
  <c r="FA22" i="2" s="1"/>
  <c r="FB22" i="2" s="1"/>
  <c r="AH20" i="2" a="1"/>
  <c r="AH20" i="2" s="1"/>
  <c r="E21" i="8"/>
  <c r="A20" i="8"/>
  <c r="DS20" i="2"/>
  <c r="DT20" i="2" s="1"/>
  <c r="DP20" i="2" a="1"/>
  <c r="DP20" i="2" s="1"/>
  <c r="DU20" i="2" s="1"/>
  <c r="DK20" i="2" a="1"/>
  <c r="DK20" i="2" s="1"/>
  <c r="DW20" i="2" s="1" a="1"/>
  <c r="DW20" i="2" s="1"/>
  <c r="DJ20" i="2" a="1"/>
  <c r="DJ20" i="2" s="1"/>
  <c r="DV20" i="2" s="1"/>
  <c r="AK20" i="2" a="1"/>
  <c r="AK20" i="2" s="1"/>
  <c r="AL20" i="2" s="1"/>
  <c r="R20" i="2"/>
  <c r="BD20" i="2"/>
  <c r="BA20" i="2"/>
  <c r="AV20" i="2"/>
  <c r="AP20" i="2"/>
  <c r="AO20" i="2"/>
  <c r="AG22" i="2"/>
  <c r="HM22" i="2"/>
  <c r="EV22" i="2"/>
  <c r="EW22" i="2" s="1"/>
  <c r="ER22" i="2"/>
  <c r="EM22" i="2"/>
  <c r="EN22" i="2" s="1"/>
  <c r="EJ22" i="2" a="1"/>
  <c r="EJ22" i="2" s="1"/>
  <c r="BI22" i="2"/>
  <c r="AF22" i="2" a="1"/>
  <c r="AF22" i="2" s="1"/>
  <c r="G22" i="2"/>
  <c r="E22" i="2"/>
  <c r="M22" i="2"/>
  <c r="GL22" i="2"/>
  <c r="GM22" i="2" s="1"/>
  <c r="GQ22" i="2"/>
  <c r="GR22" i="2" s="1"/>
  <c r="A24" i="2"/>
  <c r="DQ23" i="2"/>
  <c r="DO23" i="2"/>
  <c r="DM23" i="2"/>
  <c r="DL23" i="2"/>
  <c r="DI23" i="2"/>
  <c r="DE23" i="2"/>
  <c r="H23" i="2" s="1"/>
  <c r="DD23" i="2"/>
  <c r="CU23" i="2"/>
  <c r="CL23" i="2"/>
  <c r="CK23" i="2"/>
  <c r="CS23" i="2" s="1"/>
  <c r="CT23" i="2" s="1"/>
  <c r="CV23" i="2" s="1"/>
  <c r="CJ23" i="2"/>
  <c r="CF23" i="2"/>
  <c r="CE23" i="2"/>
  <c r="CC23" i="2"/>
  <c r="CB23" i="2"/>
  <c r="BY23" i="2"/>
  <c r="BU23" i="2"/>
  <c r="BT23" i="2"/>
  <c r="BS23" i="2"/>
  <c r="L23" i="2" s="1"/>
  <c r="BR23" i="2"/>
  <c r="BM23" i="2"/>
  <c r="BL23" i="2"/>
  <c r="BK23" i="2"/>
  <c r="AE23" i="2"/>
  <c r="AC23" i="2"/>
  <c r="K23" i="2"/>
  <c r="J23" i="2"/>
  <c r="I23" i="2"/>
  <c r="D23" i="2"/>
  <c r="C23" i="2"/>
  <c r="B23" i="2"/>
  <c r="P21" i="2"/>
  <c r="U21" i="2"/>
  <c r="AJ21" i="2"/>
  <c r="AI21" i="2" s="1" a="1"/>
  <c r="AI21" i="2" s="1"/>
  <c r="AQ19" i="2"/>
  <c r="DR19" i="2"/>
  <c r="EI22" i="2" l="1" a="1"/>
  <c r="EI22" i="2" s="1"/>
  <c r="T22" i="2" s="1" a="1"/>
  <c r="T22" i="2" s="1"/>
  <c r="U22" i="2" s="1"/>
  <c r="AH21" i="2" a="1"/>
  <c r="AH21" i="2" s="1"/>
  <c r="CY23" i="2"/>
  <c r="FA23" i="2" s="1"/>
  <c r="HE19" i="2"/>
  <c r="V19" i="2"/>
  <c r="DS21" i="2"/>
  <c r="DT21" i="2" s="1"/>
  <c r="DP21" i="2" a="1"/>
  <c r="DP21" i="2" s="1"/>
  <c r="DU21" i="2" s="1"/>
  <c r="DK21" i="2" a="1"/>
  <c r="DK21" i="2" s="1"/>
  <c r="DW21" i="2" s="1" a="1"/>
  <c r="DW21" i="2" s="1"/>
  <c r="DJ21" i="2" a="1"/>
  <c r="DJ21" i="2" s="1"/>
  <c r="DV21" i="2" s="1"/>
  <c r="AK21" i="2" a="1"/>
  <c r="AK21" i="2" s="1"/>
  <c r="R21" i="2"/>
  <c r="AL21" i="2"/>
  <c r="BD21" i="2"/>
  <c r="BA21" i="2"/>
  <c r="AV21" i="2"/>
  <c r="AU21" i="2"/>
  <c r="AO21" i="2"/>
  <c r="AG23" i="2"/>
  <c r="HM23" i="2"/>
  <c r="EV23" i="2"/>
  <c r="EW23" i="2" s="1"/>
  <c r="ER23" i="2"/>
  <c r="EM23" i="2"/>
  <c r="EN23" i="2" s="1"/>
  <c r="EJ23" i="2" a="1"/>
  <c r="EJ23" i="2" s="1"/>
  <c r="BI23" i="2"/>
  <c r="AF23" i="2" a="1"/>
  <c r="AF23" i="2" s="1"/>
  <c r="G23" i="2"/>
  <c r="E23" i="2"/>
  <c r="M23" i="2"/>
  <c r="GL23" i="2"/>
  <c r="GM23" i="2" s="1"/>
  <c r="GQ23" i="2"/>
  <c r="GR23" i="2" s="1"/>
  <c r="A25" i="2"/>
  <c r="DQ24" i="2"/>
  <c r="DO24" i="2"/>
  <c r="DM24" i="2"/>
  <c r="DL24" i="2"/>
  <c r="DI24" i="2"/>
  <c r="DE24" i="2"/>
  <c r="H24" i="2" s="1"/>
  <c r="DD24" i="2"/>
  <c r="CU24" i="2"/>
  <c r="CL24" i="2"/>
  <c r="CK24" i="2"/>
  <c r="CS24" i="2" s="1"/>
  <c r="CT24" i="2" s="1"/>
  <c r="CV24" i="2" s="1"/>
  <c r="CJ24" i="2"/>
  <c r="CF24" i="2"/>
  <c r="CE24" i="2"/>
  <c r="CC24" i="2"/>
  <c r="CB24" i="2"/>
  <c r="BY24" i="2"/>
  <c r="GH24" i="2" s="1"/>
  <c r="BU24" i="2"/>
  <c r="BT24" i="2"/>
  <c r="BS24" i="2"/>
  <c r="L24" i="2" s="1"/>
  <c r="BR24" i="2"/>
  <c r="BM24" i="2"/>
  <c r="BL24" i="2"/>
  <c r="BK24" i="2"/>
  <c r="AE24" i="2"/>
  <c r="AC24" i="2"/>
  <c r="K24" i="2"/>
  <c r="J24" i="2"/>
  <c r="I24" i="2"/>
  <c r="D24" i="2"/>
  <c r="C24" i="2"/>
  <c r="B24" i="2"/>
  <c r="P22" i="2"/>
  <c r="AJ22" i="2"/>
  <c r="AI22" i="2" s="1" a="1"/>
  <c r="AI22" i="2" s="1"/>
  <c r="AQ20" i="2"/>
  <c r="DR20" i="2"/>
  <c r="E22" i="8"/>
  <c r="A21" i="8"/>
  <c r="EI23" i="2" l="1" a="1"/>
  <c r="EI23" i="2" s="1"/>
  <c r="T23" i="2" s="1" a="1"/>
  <c r="T23" i="2" s="1"/>
  <c r="U23" i="2" s="1"/>
  <c r="AW21" i="2"/>
  <c r="HG21" i="2" s="1"/>
  <c r="AH22" i="2" a="1"/>
  <c r="AH22" i="2" s="1"/>
  <c r="CY24" i="2"/>
  <c r="FA24" i="2" s="1"/>
  <c r="FB24" i="2" s="1"/>
  <c r="E23" i="8"/>
  <c r="A22" i="8"/>
  <c r="HE20" i="2"/>
  <c r="DS22" i="2"/>
  <c r="DT22" i="2" s="1"/>
  <c r="DP22" i="2" a="1"/>
  <c r="DP22" i="2" s="1"/>
  <c r="DU22" i="2" s="1"/>
  <c r="DK22" i="2" a="1"/>
  <c r="DK22" i="2" s="1"/>
  <c r="DW22" i="2" s="1" a="1"/>
  <c r="DW22" i="2" s="1"/>
  <c r="DJ22" i="2" a="1"/>
  <c r="DJ22" i="2" s="1"/>
  <c r="DV22" i="2" s="1"/>
  <c r="AK22" i="2" a="1"/>
  <c r="AK22" i="2" s="1"/>
  <c r="AL22" i="2" s="1"/>
  <c r="R22" i="2"/>
  <c r="BD22" i="2"/>
  <c r="BA22" i="2"/>
  <c r="AV22" i="2"/>
  <c r="AU22" i="2"/>
  <c r="AP22" i="2"/>
  <c r="AG24" i="2"/>
  <c r="HM24" i="2"/>
  <c r="EV24" i="2"/>
  <c r="EW24" i="2" s="1"/>
  <c r="ER24" i="2"/>
  <c r="EM24" i="2"/>
  <c r="EN24" i="2" s="1"/>
  <c r="EJ24" i="2" a="1"/>
  <c r="EJ24" i="2" s="1"/>
  <c r="EI24" i="2" a="1"/>
  <c r="EI24" i="2" s="1"/>
  <c r="BI24" i="2"/>
  <c r="AF24" i="2" a="1"/>
  <c r="AF24" i="2" s="1"/>
  <c r="G24" i="2"/>
  <c r="E24" i="2"/>
  <c r="M24" i="2"/>
  <c r="GL24" i="2"/>
  <c r="GM24" i="2" s="1"/>
  <c r="GQ24" i="2"/>
  <c r="GR24" i="2" s="1"/>
  <c r="A26" i="2"/>
  <c r="DQ25" i="2"/>
  <c r="DO25" i="2"/>
  <c r="DM25" i="2"/>
  <c r="DL25" i="2"/>
  <c r="DI25" i="2"/>
  <c r="DE25" i="2"/>
  <c r="H25" i="2" s="1"/>
  <c r="DD25" i="2"/>
  <c r="CU25" i="2"/>
  <c r="CL25" i="2"/>
  <c r="CK25" i="2"/>
  <c r="CS25" i="2" s="1"/>
  <c r="CT25" i="2" s="1"/>
  <c r="CV25" i="2" s="1"/>
  <c r="CJ25" i="2"/>
  <c r="CF25" i="2"/>
  <c r="CE25" i="2"/>
  <c r="CC25" i="2"/>
  <c r="CB25" i="2"/>
  <c r="BY25" i="2"/>
  <c r="GH25" i="2" s="1"/>
  <c r="BU25" i="2"/>
  <c r="BT25" i="2"/>
  <c r="BS25" i="2"/>
  <c r="L25" i="2" s="1"/>
  <c r="BR25" i="2"/>
  <c r="BM25" i="2"/>
  <c r="BL25" i="2"/>
  <c r="BK25" i="2"/>
  <c r="AE25" i="2"/>
  <c r="AC25" i="2"/>
  <c r="K25" i="2"/>
  <c r="J25" i="2"/>
  <c r="I25" i="2"/>
  <c r="D25" i="2"/>
  <c r="C25" i="2"/>
  <c r="B25" i="2"/>
  <c r="P23" i="2"/>
  <c r="DS23" i="2"/>
  <c r="DT23" i="2" s="1"/>
  <c r="DP23" i="2" a="1"/>
  <c r="DP23" i="2" s="1"/>
  <c r="DU23" i="2" s="1"/>
  <c r="DK23" i="2" a="1"/>
  <c r="DK23" i="2" s="1"/>
  <c r="DW23" i="2" s="1" a="1"/>
  <c r="DW23" i="2" s="1"/>
  <c r="DJ23" i="2" a="1"/>
  <c r="DJ23" i="2" s="1"/>
  <c r="DV23" i="2" s="1"/>
  <c r="AK23" i="2" a="1"/>
  <c r="AK23" i="2" s="1"/>
  <c r="AJ23" i="2"/>
  <c r="AI23" i="2" a="1"/>
  <c r="AI23" i="2" s="1"/>
  <c r="AH23" i="2" a="1"/>
  <c r="AH23" i="2" s="1"/>
  <c r="AQ21" i="2"/>
  <c r="DR21" i="2"/>
  <c r="EK19" i="2"/>
  <c r="A6" i="9"/>
  <c r="T24" i="2" l="1" a="1"/>
  <c r="T24" i="2" s="1"/>
  <c r="U24" i="2" s="1"/>
  <c r="CY25" i="2"/>
  <c r="FA25" i="2" s="1"/>
  <c r="FB25" i="2" s="1"/>
  <c r="AW22" i="2"/>
  <c r="HG22" i="2" s="1"/>
  <c r="HE21" i="2"/>
  <c r="V21" i="2"/>
  <c r="DR23" i="2"/>
  <c r="R23" i="2"/>
  <c r="AL23" i="2"/>
  <c r="BD23" i="2"/>
  <c r="BA23" i="2"/>
  <c r="AV23" i="2"/>
  <c r="AU23" i="2"/>
  <c r="AO23" i="2"/>
  <c r="AG25" i="2"/>
  <c r="HM25" i="2"/>
  <c r="EV25" i="2"/>
  <c r="EW25" i="2" s="1"/>
  <c r="ER25" i="2"/>
  <c r="EM25" i="2"/>
  <c r="EN25" i="2" s="1"/>
  <c r="EJ25" i="2" a="1"/>
  <c r="EJ25" i="2" s="1"/>
  <c r="BI25" i="2"/>
  <c r="AF25" i="2" a="1"/>
  <c r="AF25" i="2" s="1"/>
  <c r="G25" i="2"/>
  <c r="E25" i="2"/>
  <c r="M25" i="2"/>
  <c r="GL25" i="2"/>
  <c r="GM25" i="2" s="1"/>
  <c r="GQ25" i="2"/>
  <c r="GR25" i="2" s="1"/>
  <c r="A27" i="2"/>
  <c r="DQ26" i="2"/>
  <c r="DO26" i="2"/>
  <c r="DM26" i="2"/>
  <c r="DL26" i="2"/>
  <c r="DI26" i="2"/>
  <c r="DE26" i="2"/>
  <c r="H26" i="2" s="1"/>
  <c r="DD26" i="2"/>
  <c r="CU26" i="2"/>
  <c r="CL26" i="2"/>
  <c r="CK26" i="2"/>
  <c r="CS26" i="2" s="1"/>
  <c r="CT26" i="2" s="1"/>
  <c r="CV26" i="2" s="1"/>
  <c r="CJ26" i="2"/>
  <c r="CF26" i="2"/>
  <c r="CE26" i="2"/>
  <c r="CC26" i="2"/>
  <c r="CB26" i="2"/>
  <c r="BY26" i="2"/>
  <c r="GH26" i="2" s="1"/>
  <c r="BU26" i="2"/>
  <c r="BT26" i="2"/>
  <c r="BS26" i="2"/>
  <c r="L26" i="2" s="1"/>
  <c r="BR26" i="2"/>
  <c r="BM26" i="2"/>
  <c r="BL26" i="2"/>
  <c r="BK26" i="2"/>
  <c r="AE26" i="2"/>
  <c r="AC26" i="2"/>
  <c r="K26" i="2"/>
  <c r="J26" i="2"/>
  <c r="I26" i="2"/>
  <c r="D26" i="2"/>
  <c r="C26" i="2"/>
  <c r="B26" i="2"/>
  <c r="P24" i="2"/>
  <c r="DS24" i="2"/>
  <c r="DT24" i="2" s="1"/>
  <c r="DP24" i="2" a="1"/>
  <c r="DP24" i="2" s="1"/>
  <c r="DU24" i="2" s="1"/>
  <c r="DK24" i="2" a="1"/>
  <c r="DK24" i="2" s="1"/>
  <c r="DW24" i="2" s="1" a="1"/>
  <c r="DW24" i="2" s="1"/>
  <c r="DJ24" i="2" a="1"/>
  <c r="DJ24" i="2" s="1"/>
  <c r="DV24" i="2" s="1"/>
  <c r="AK24" i="2" a="1"/>
  <c r="AK24" i="2" s="1"/>
  <c r="AJ24" i="2"/>
  <c r="AI24" i="2" a="1"/>
  <c r="AI24" i="2" s="1"/>
  <c r="AH24" i="2" a="1"/>
  <c r="AH24" i="2" s="1"/>
  <c r="DR22" i="2"/>
  <c r="E24" i="8"/>
  <c r="A23" i="8"/>
  <c r="CY26" i="2" l="1"/>
  <c r="FA26" i="2" s="1"/>
  <c r="FB26" i="2" s="1"/>
  <c r="EI25" i="2" a="1"/>
  <c r="EI25" i="2" s="1"/>
  <c r="T25" i="2" s="1" a="1"/>
  <c r="T25" i="2" s="1"/>
  <c r="U25" i="2" s="1"/>
  <c r="AW23" i="2"/>
  <c r="HG23" i="2" s="1"/>
  <c r="E25" i="8"/>
  <c r="A24" i="8"/>
  <c r="DR24" i="2"/>
  <c r="R24" i="2"/>
  <c r="AL24" i="2"/>
  <c r="BD24" i="2"/>
  <c r="BA24" i="2"/>
  <c r="AV24" i="2"/>
  <c r="AP24" i="2"/>
  <c r="AO24" i="2"/>
  <c r="AG26" i="2"/>
  <c r="HM26" i="2"/>
  <c r="EV26" i="2"/>
  <c r="EW26" i="2" s="1"/>
  <c r="ER26" i="2"/>
  <c r="EM26" i="2"/>
  <c r="EN26" i="2" s="1"/>
  <c r="EJ26" i="2" a="1"/>
  <c r="EJ26" i="2" s="1"/>
  <c r="EI26" i="2" a="1"/>
  <c r="EI26" i="2" s="1"/>
  <c r="BI26" i="2"/>
  <c r="AF26" i="2" a="1"/>
  <c r="AF26" i="2" s="1"/>
  <c r="G26" i="2"/>
  <c r="E26" i="2"/>
  <c r="M26" i="2"/>
  <c r="GL26" i="2"/>
  <c r="GM26" i="2" s="1"/>
  <c r="GQ26" i="2"/>
  <c r="GR26" i="2" s="1"/>
  <c r="A28" i="2"/>
  <c r="DQ27" i="2"/>
  <c r="DO27" i="2"/>
  <c r="DM27" i="2"/>
  <c r="DL27" i="2"/>
  <c r="DI27" i="2"/>
  <c r="DE27" i="2"/>
  <c r="H27" i="2" s="1"/>
  <c r="DD27" i="2"/>
  <c r="CU27" i="2"/>
  <c r="CL27" i="2"/>
  <c r="CK27" i="2"/>
  <c r="CS27" i="2" s="1"/>
  <c r="CT27" i="2" s="1"/>
  <c r="CV27" i="2" s="1"/>
  <c r="CJ27" i="2"/>
  <c r="CF27" i="2"/>
  <c r="CE27" i="2"/>
  <c r="CC27" i="2"/>
  <c r="CB27" i="2"/>
  <c r="BY27" i="2"/>
  <c r="GH27" i="2" s="1"/>
  <c r="BU27" i="2"/>
  <c r="BT27" i="2"/>
  <c r="BS27" i="2"/>
  <c r="L27" i="2" s="1"/>
  <c r="BR27" i="2"/>
  <c r="BM27" i="2"/>
  <c r="BL27" i="2"/>
  <c r="BK27" i="2"/>
  <c r="AE27" i="2"/>
  <c r="AC27" i="2"/>
  <c r="K27" i="2"/>
  <c r="J27" i="2"/>
  <c r="I27" i="2"/>
  <c r="D27" i="2"/>
  <c r="C27" i="2"/>
  <c r="B27" i="2"/>
  <c r="P25" i="2"/>
  <c r="DS25" i="2"/>
  <c r="DT25" i="2" s="1"/>
  <c r="DP25" i="2" a="1"/>
  <c r="DP25" i="2" s="1"/>
  <c r="DU25" i="2" s="1"/>
  <c r="DK25" i="2" a="1"/>
  <c r="DK25" i="2" s="1"/>
  <c r="DW25" i="2" s="1" a="1"/>
  <c r="DW25" i="2" s="1"/>
  <c r="DJ25" i="2" a="1"/>
  <c r="DJ25" i="2" s="1"/>
  <c r="DV25" i="2" s="1"/>
  <c r="AK25" i="2" a="1"/>
  <c r="AK25" i="2" s="1"/>
  <c r="AJ25" i="2"/>
  <c r="AI25" i="2" a="1"/>
  <c r="AI25" i="2" s="1"/>
  <c r="AH25" i="2" a="1"/>
  <c r="AH25" i="2" s="1"/>
  <c r="AQ23" i="2"/>
  <c r="EK21" i="2"/>
  <c r="A24" i="9"/>
  <c r="CY27" i="2" l="1"/>
  <c r="FA27" i="2" s="1"/>
  <c r="FB27" i="2" s="1"/>
  <c r="T26" i="2" a="1"/>
  <c r="T26" i="2" s="1"/>
  <c r="U26" i="2" s="1"/>
  <c r="HE23" i="2"/>
  <c r="V23" i="2"/>
  <c r="DR25" i="2"/>
  <c r="R25" i="2"/>
  <c r="AL25" i="2"/>
  <c r="BD25" i="2"/>
  <c r="BA25" i="2"/>
  <c r="AV25" i="2"/>
  <c r="AU25" i="2"/>
  <c r="AP25" i="2"/>
  <c r="AG27" i="2"/>
  <c r="HM27" i="2"/>
  <c r="EV27" i="2"/>
  <c r="EW27" i="2" s="1"/>
  <c r="ER27" i="2"/>
  <c r="EM27" i="2"/>
  <c r="EN27" i="2" s="1"/>
  <c r="EJ27" i="2" a="1"/>
  <c r="EJ27" i="2" s="1"/>
  <c r="BI27" i="2"/>
  <c r="AF27" i="2" a="1"/>
  <c r="AF27" i="2" s="1"/>
  <c r="G27" i="2"/>
  <c r="E27" i="2"/>
  <c r="M27" i="2"/>
  <c r="GL27" i="2"/>
  <c r="GM27" i="2" s="1"/>
  <c r="GQ27" i="2"/>
  <c r="GR27" i="2" s="1"/>
  <c r="A29" i="2"/>
  <c r="DQ28" i="2"/>
  <c r="DO28" i="2"/>
  <c r="DM28" i="2"/>
  <c r="DL28" i="2"/>
  <c r="DI28" i="2"/>
  <c r="DE28" i="2"/>
  <c r="H28" i="2" s="1"/>
  <c r="DD28" i="2"/>
  <c r="CU28" i="2"/>
  <c r="CL28" i="2"/>
  <c r="CK28" i="2"/>
  <c r="CS28" i="2" s="1"/>
  <c r="CT28" i="2" s="1"/>
  <c r="CV28" i="2" s="1"/>
  <c r="CJ28" i="2"/>
  <c r="CF28" i="2"/>
  <c r="CE28" i="2"/>
  <c r="CC28" i="2"/>
  <c r="CB28" i="2"/>
  <c r="BY28" i="2"/>
  <c r="GH28" i="2" s="1"/>
  <c r="BU28" i="2"/>
  <c r="BT28" i="2"/>
  <c r="BS28" i="2"/>
  <c r="L28" i="2" s="1"/>
  <c r="BR28" i="2"/>
  <c r="BM28" i="2"/>
  <c r="BL28" i="2"/>
  <c r="BK28" i="2"/>
  <c r="AE28" i="2"/>
  <c r="AC28" i="2"/>
  <c r="K28" i="2"/>
  <c r="J28" i="2"/>
  <c r="I28" i="2"/>
  <c r="D28" i="2"/>
  <c r="C28" i="2"/>
  <c r="B28" i="2"/>
  <c r="P26" i="2"/>
  <c r="DS26" i="2"/>
  <c r="DT26" i="2" s="1"/>
  <c r="DP26" i="2" a="1"/>
  <c r="DP26" i="2" s="1"/>
  <c r="DU26" i="2" s="1"/>
  <c r="DK26" i="2" a="1"/>
  <c r="DK26" i="2" s="1"/>
  <c r="DW26" i="2" s="1" a="1"/>
  <c r="DW26" i="2" s="1"/>
  <c r="DJ26" i="2" a="1"/>
  <c r="DJ26" i="2" s="1"/>
  <c r="DV26" i="2" s="1"/>
  <c r="AK26" i="2" a="1"/>
  <c r="AK26" i="2" s="1"/>
  <c r="AJ26" i="2"/>
  <c r="AI26" i="2" a="1"/>
  <c r="AI26" i="2" s="1"/>
  <c r="AH26" i="2" a="1"/>
  <c r="AH26" i="2" s="1"/>
  <c r="AQ24" i="2"/>
  <c r="E26" i="8"/>
  <c r="A25" i="8"/>
  <c r="EI27" i="2" l="1" a="1"/>
  <c r="EI27" i="2" s="1"/>
  <c r="T27" i="2" s="1" a="1"/>
  <c r="T27" i="2" s="1"/>
  <c r="U27" i="2" s="1"/>
  <c r="CY28" i="2"/>
  <c r="FA28" i="2" s="1"/>
  <c r="FB28" i="2" s="1"/>
  <c r="AW25" i="2"/>
  <c r="HG25" i="2" s="1"/>
  <c r="E27" i="8"/>
  <c r="A26" i="8"/>
  <c r="HE24" i="2"/>
  <c r="DR26" i="2"/>
  <c r="R26" i="2"/>
  <c r="AL26" i="2"/>
  <c r="BD26" i="2"/>
  <c r="BA26" i="2"/>
  <c r="AV26" i="2"/>
  <c r="AP26" i="2"/>
  <c r="AO26" i="2"/>
  <c r="AG28" i="2"/>
  <c r="HM28" i="2"/>
  <c r="EV28" i="2"/>
  <c r="EW28" i="2" s="1"/>
  <c r="ER28" i="2"/>
  <c r="EM28" i="2"/>
  <c r="EN28" i="2" s="1"/>
  <c r="EJ28" i="2" a="1"/>
  <c r="EJ28" i="2" s="1"/>
  <c r="EI28" i="2" a="1"/>
  <c r="EI28" i="2" s="1"/>
  <c r="BI28" i="2"/>
  <c r="AF28" i="2" a="1"/>
  <c r="AF28" i="2" s="1"/>
  <c r="G28" i="2"/>
  <c r="E28" i="2"/>
  <c r="M28" i="2"/>
  <c r="GL28" i="2"/>
  <c r="GM28" i="2" s="1"/>
  <c r="GQ28" i="2"/>
  <c r="GR28" i="2" s="1"/>
  <c r="A30" i="2"/>
  <c r="DQ29" i="2"/>
  <c r="DO29" i="2"/>
  <c r="DM29" i="2"/>
  <c r="DL29" i="2"/>
  <c r="DI29" i="2"/>
  <c r="DE29" i="2"/>
  <c r="H29" i="2" s="1"/>
  <c r="DD29" i="2"/>
  <c r="CU29" i="2"/>
  <c r="CL29" i="2"/>
  <c r="CK29" i="2"/>
  <c r="CS29" i="2" s="1"/>
  <c r="CT29" i="2" s="1"/>
  <c r="CV29" i="2" s="1"/>
  <c r="CJ29" i="2"/>
  <c r="CF29" i="2"/>
  <c r="CE29" i="2"/>
  <c r="CC29" i="2"/>
  <c r="CB29" i="2"/>
  <c r="BY29" i="2"/>
  <c r="GH29" i="2" s="1"/>
  <c r="BU29" i="2"/>
  <c r="BT29" i="2"/>
  <c r="BS29" i="2"/>
  <c r="L29" i="2" s="1"/>
  <c r="BR29" i="2"/>
  <c r="BM29" i="2"/>
  <c r="BL29" i="2"/>
  <c r="BK29" i="2"/>
  <c r="AE29" i="2"/>
  <c r="AC29" i="2"/>
  <c r="K29" i="2"/>
  <c r="J29" i="2"/>
  <c r="I29" i="2"/>
  <c r="D29" i="2"/>
  <c r="C29" i="2"/>
  <c r="B29" i="2"/>
  <c r="P27" i="2"/>
  <c r="DS27" i="2"/>
  <c r="DT27" i="2" s="1"/>
  <c r="DP27" i="2" a="1"/>
  <c r="DP27" i="2" s="1"/>
  <c r="DU27" i="2" s="1"/>
  <c r="DK27" i="2" a="1"/>
  <c r="DK27" i="2" s="1"/>
  <c r="DW27" i="2" s="1" a="1"/>
  <c r="DW27" i="2" s="1"/>
  <c r="DJ27" i="2" a="1"/>
  <c r="DJ27" i="2" s="1"/>
  <c r="DV27" i="2" s="1"/>
  <c r="AK27" i="2" a="1"/>
  <c r="AK27" i="2" s="1"/>
  <c r="AJ27" i="2"/>
  <c r="AI27" i="2" a="1"/>
  <c r="AI27" i="2" s="1"/>
  <c r="AH27" i="2" a="1"/>
  <c r="AH27" i="2" s="1"/>
  <c r="EK23" i="2"/>
  <c r="A5" i="9"/>
  <c r="T28" i="2" l="1" a="1"/>
  <c r="T28" i="2" s="1"/>
  <c r="U28" i="2" s="1"/>
  <c r="CY29" i="2"/>
  <c r="FA29" i="2" s="1"/>
  <c r="DR27" i="2"/>
  <c r="R27" i="2"/>
  <c r="AL27" i="2"/>
  <c r="BD27" i="2"/>
  <c r="BA27" i="2"/>
  <c r="AV27" i="2"/>
  <c r="AU27" i="2"/>
  <c r="AO27" i="2"/>
  <c r="AG29" i="2"/>
  <c r="HM29" i="2"/>
  <c r="EV29" i="2"/>
  <c r="EW29" i="2" s="1"/>
  <c r="ER29" i="2"/>
  <c r="EM29" i="2"/>
  <c r="EN29" i="2" s="1"/>
  <c r="EJ29" i="2" a="1"/>
  <c r="EJ29" i="2" s="1"/>
  <c r="BI29" i="2"/>
  <c r="AF29" i="2" a="1"/>
  <c r="AF29" i="2" s="1"/>
  <c r="G29" i="2"/>
  <c r="E29" i="2"/>
  <c r="M29" i="2"/>
  <c r="GL29" i="2"/>
  <c r="GM29" i="2" s="1"/>
  <c r="GQ29" i="2"/>
  <c r="GR29" i="2" s="1"/>
  <c r="A31" i="2"/>
  <c r="DQ30" i="2"/>
  <c r="DO30" i="2"/>
  <c r="DM30" i="2"/>
  <c r="DL30" i="2"/>
  <c r="DI30" i="2"/>
  <c r="DE30" i="2"/>
  <c r="H30" i="2" s="1"/>
  <c r="DD30" i="2"/>
  <c r="CU30" i="2"/>
  <c r="CL30" i="2"/>
  <c r="CK30" i="2"/>
  <c r="CS30" i="2" s="1"/>
  <c r="CT30" i="2" s="1"/>
  <c r="CV30" i="2" s="1"/>
  <c r="CJ30" i="2"/>
  <c r="CF30" i="2"/>
  <c r="CE30" i="2"/>
  <c r="CC30" i="2"/>
  <c r="CB30" i="2"/>
  <c r="BY30" i="2"/>
  <c r="GH30" i="2" s="1"/>
  <c r="BU30" i="2"/>
  <c r="BT30" i="2"/>
  <c r="BS30" i="2"/>
  <c r="L30" i="2" s="1"/>
  <c r="BR30" i="2"/>
  <c r="BM30" i="2"/>
  <c r="BL30" i="2"/>
  <c r="BK30" i="2"/>
  <c r="AE30" i="2"/>
  <c r="AC30" i="2"/>
  <c r="K30" i="2"/>
  <c r="J30" i="2"/>
  <c r="I30" i="2"/>
  <c r="D30" i="2"/>
  <c r="C30" i="2"/>
  <c r="B30" i="2"/>
  <c r="P28" i="2"/>
  <c r="AJ28" i="2"/>
  <c r="AI28" i="2" s="1" a="1"/>
  <c r="AI28" i="2" s="1"/>
  <c r="AQ26" i="2"/>
  <c r="E28" i="8"/>
  <c r="A27" i="8"/>
  <c r="EI29" i="2" l="1" a="1"/>
  <c r="EI29" i="2" s="1"/>
  <c r="T29" i="2" s="1" a="1"/>
  <c r="T29" i="2" s="1"/>
  <c r="U29" i="2" s="1"/>
  <c r="AW27" i="2"/>
  <c r="HG27" i="2" s="1"/>
  <c r="AH28" i="2" a="1"/>
  <c r="AH28" i="2" s="1"/>
  <c r="CY30" i="2"/>
  <c r="FA30" i="2" s="1"/>
  <c r="FB30" i="2" s="1"/>
  <c r="E29" i="8"/>
  <c r="A28" i="8"/>
  <c r="HE26" i="2"/>
  <c r="DS28" i="2"/>
  <c r="DT28" i="2" s="1"/>
  <c r="DP28" i="2" a="1"/>
  <c r="DP28" i="2" s="1"/>
  <c r="DU28" i="2" s="1"/>
  <c r="DK28" i="2" a="1"/>
  <c r="DK28" i="2" s="1"/>
  <c r="DW28" i="2" s="1" a="1"/>
  <c r="DW28" i="2" s="1"/>
  <c r="DJ28" i="2" a="1"/>
  <c r="DJ28" i="2" s="1"/>
  <c r="DV28" i="2" s="1"/>
  <c r="AK28" i="2" a="1"/>
  <c r="AK28" i="2" s="1"/>
  <c r="AL28" i="2" s="1"/>
  <c r="R28" i="2"/>
  <c r="BD28" i="2"/>
  <c r="BA28" i="2"/>
  <c r="AV28" i="2"/>
  <c r="AP28" i="2"/>
  <c r="AO28" i="2"/>
  <c r="AG30" i="2"/>
  <c r="HM30" i="2"/>
  <c r="EV30" i="2"/>
  <c r="EW30" i="2" s="1"/>
  <c r="ER30" i="2"/>
  <c r="EM30" i="2"/>
  <c r="EN30" i="2" s="1"/>
  <c r="EJ30" i="2" a="1"/>
  <c r="EJ30" i="2" s="1"/>
  <c r="EI30" i="2" a="1"/>
  <c r="EI30" i="2" s="1"/>
  <c r="BI30" i="2"/>
  <c r="AF30" i="2" a="1"/>
  <c r="AF30" i="2" s="1"/>
  <c r="G30" i="2"/>
  <c r="E30" i="2"/>
  <c r="M30" i="2"/>
  <c r="GL30" i="2"/>
  <c r="GM30" i="2" s="1"/>
  <c r="GQ30" i="2"/>
  <c r="GR30" i="2" s="1"/>
  <c r="A32" i="2"/>
  <c r="DQ31" i="2"/>
  <c r="DO31" i="2"/>
  <c r="DM31" i="2"/>
  <c r="DL31" i="2"/>
  <c r="DI31" i="2"/>
  <c r="DE31" i="2"/>
  <c r="H31" i="2" s="1"/>
  <c r="DD31" i="2"/>
  <c r="CU31" i="2"/>
  <c r="CL31" i="2"/>
  <c r="CK31" i="2"/>
  <c r="CS31" i="2" s="1"/>
  <c r="CT31" i="2" s="1"/>
  <c r="CV31" i="2" s="1"/>
  <c r="CJ31" i="2"/>
  <c r="CF31" i="2"/>
  <c r="CE31" i="2"/>
  <c r="CC31" i="2"/>
  <c r="CB31" i="2"/>
  <c r="BY31" i="2"/>
  <c r="GH31" i="2" s="1"/>
  <c r="BU31" i="2"/>
  <c r="BT31" i="2"/>
  <c r="BS31" i="2"/>
  <c r="L31" i="2" s="1"/>
  <c r="BR31" i="2"/>
  <c r="BM31" i="2"/>
  <c r="BL31" i="2"/>
  <c r="BK31" i="2"/>
  <c r="AE31" i="2"/>
  <c r="AC31" i="2"/>
  <c r="K31" i="2"/>
  <c r="J31" i="2"/>
  <c r="I31" i="2"/>
  <c r="D31" i="2"/>
  <c r="C31" i="2"/>
  <c r="B31" i="2"/>
  <c r="P29" i="2"/>
  <c r="AJ29" i="2"/>
  <c r="AI29" i="2" s="1" a="1"/>
  <c r="AI29" i="2" s="1"/>
  <c r="AQ27" i="2"/>
  <c r="T30" i="2" l="1" a="1"/>
  <c r="T30" i="2" s="1"/>
  <c r="AH29" i="2" a="1"/>
  <c r="AH29" i="2" s="1"/>
  <c r="CY31" i="2"/>
  <c r="FA31" i="2" s="1"/>
  <c r="FB31" i="2" s="1"/>
  <c r="HE27" i="2"/>
  <c r="V27" i="2"/>
  <c r="DS29" i="2"/>
  <c r="DT29" i="2" s="1"/>
  <c r="DP29" i="2" a="1"/>
  <c r="DP29" i="2" s="1"/>
  <c r="DU29" i="2" s="1"/>
  <c r="DK29" i="2" a="1"/>
  <c r="DK29" i="2" s="1"/>
  <c r="DW29" i="2" s="1" a="1"/>
  <c r="DW29" i="2" s="1"/>
  <c r="DJ29" i="2" a="1"/>
  <c r="DJ29" i="2" s="1"/>
  <c r="DV29" i="2" s="1"/>
  <c r="AK29" i="2" a="1"/>
  <c r="AK29" i="2" s="1"/>
  <c r="R29" i="2"/>
  <c r="AL29" i="2"/>
  <c r="BD29" i="2"/>
  <c r="BA29" i="2"/>
  <c r="AV29" i="2"/>
  <c r="AU29" i="2"/>
  <c r="AO29" i="2"/>
  <c r="AG31" i="2"/>
  <c r="HM31" i="2"/>
  <c r="EV31" i="2"/>
  <c r="EW31" i="2" s="1"/>
  <c r="ER31" i="2"/>
  <c r="EM31" i="2"/>
  <c r="EN31" i="2" s="1"/>
  <c r="EJ31" i="2" a="1"/>
  <c r="EJ31" i="2" s="1"/>
  <c r="EI31" i="2" a="1"/>
  <c r="EI31" i="2" s="1"/>
  <c r="T31" i="2" s="1" a="1"/>
  <c r="T31" i="2" s="1"/>
  <c r="BI31" i="2"/>
  <c r="AF31" i="2" a="1"/>
  <c r="AF31" i="2" s="1"/>
  <c r="P15" i="6" s="1"/>
  <c r="G31" i="2"/>
  <c r="E31" i="2"/>
  <c r="M31" i="2"/>
  <c r="GL31" i="2"/>
  <c r="GM31" i="2" s="1"/>
  <c r="GQ31" i="2"/>
  <c r="GR31" i="2" s="1"/>
  <c r="A33" i="2"/>
  <c r="DQ32" i="2"/>
  <c r="DO32" i="2"/>
  <c r="DM32" i="2"/>
  <c r="DL32" i="2"/>
  <c r="DI32" i="2"/>
  <c r="DE32" i="2"/>
  <c r="H32" i="2" s="1"/>
  <c r="DD32" i="2"/>
  <c r="CU32" i="2"/>
  <c r="CL32" i="2"/>
  <c r="CK32" i="2"/>
  <c r="CS32" i="2" s="1"/>
  <c r="CT32" i="2" s="1"/>
  <c r="CV32" i="2" s="1"/>
  <c r="CJ32" i="2"/>
  <c r="CF32" i="2"/>
  <c r="CE32" i="2"/>
  <c r="CC32" i="2"/>
  <c r="CB32" i="2"/>
  <c r="BY32" i="2"/>
  <c r="GH32" i="2" s="1"/>
  <c r="BU32" i="2"/>
  <c r="BT32" i="2"/>
  <c r="BS32" i="2"/>
  <c r="L32" i="2" s="1"/>
  <c r="BR32" i="2"/>
  <c r="BM32" i="2"/>
  <c r="BL32" i="2"/>
  <c r="BK32" i="2"/>
  <c r="AE32" i="2"/>
  <c r="AC32" i="2"/>
  <c r="K32" i="2"/>
  <c r="J32" i="2"/>
  <c r="I32" i="2"/>
  <c r="D32" i="2"/>
  <c r="C32" i="2"/>
  <c r="B32" i="2"/>
  <c r="P30" i="2"/>
  <c r="U30" i="2"/>
  <c r="DS30" i="2"/>
  <c r="DT30" i="2" s="1"/>
  <c r="DP30" i="2" a="1"/>
  <c r="DP30" i="2" s="1"/>
  <c r="DU30" i="2" s="1"/>
  <c r="DK30" i="2" a="1"/>
  <c r="DK30" i="2" s="1"/>
  <c r="DW30" i="2" s="1" a="1"/>
  <c r="DW30" i="2" s="1"/>
  <c r="DJ30" i="2" a="1"/>
  <c r="DJ30" i="2" s="1"/>
  <c r="DV30" i="2" s="1"/>
  <c r="AK30" i="2" a="1"/>
  <c r="AK30" i="2" s="1"/>
  <c r="AJ30" i="2"/>
  <c r="AI30" i="2" a="1"/>
  <c r="AI30" i="2" s="1"/>
  <c r="AH30" i="2" a="1"/>
  <c r="AH30" i="2" s="1"/>
  <c r="AQ28" i="2"/>
  <c r="DR28" i="2"/>
  <c r="E30" i="8"/>
  <c r="A29" i="8"/>
  <c r="AW29" i="2" l="1"/>
  <c r="HG29" i="2" s="1"/>
  <c r="CY32" i="2"/>
  <c r="FA32" i="2" s="1"/>
  <c r="FB32" i="2" s="1"/>
  <c r="E31" i="8"/>
  <c r="A30" i="8"/>
  <c r="HE28" i="2"/>
  <c r="DR30" i="2"/>
  <c r="R30" i="2"/>
  <c r="AL30" i="2"/>
  <c r="BD30" i="2"/>
  <c r="BA30" i="2"/>
  <c r="AV30" i="2"/>
  <c r="AP30" i="2"/>
  <c r="AO30" i="2"/>
  <c r="AG32" i="2"/>
  <c r="HM32" i="2"/>
  <c r="EV32" i="2"/>
  <c r="EW32" i="2" s="1"/>
  <c r="ER32" i="2"/>
  <c r="EM32" i="2"/>
  <c r="EN32" i="2" s="1"/>
  <c r="EJ32" i="2" a="1"/>
  <c r="EJ32" i="2" s="1"/>
  <c r="BI32" i="2"/>
  <c r="AF32" i="2" a="1"/>
  <c r="AF32" i="2" s="1"/>
  <c r="G32" i="2"/>
  <c r="E32" i="2"/>
  <c r="M32" i="2"/>
  <c r="GL32" i="2"/>
  <c r="GQ32" i="2"/>
  <c r="GR32" i="2" s="1"/>
  <c r="A34" i="2"/>
  <c r="DQ33" i="2"/>
  <c r="DO33" i="2"/>
  <c r="DM33" i="2"/>
  <c r="DL33" i="2"/>
  <c r="DI33" i="2"/>
  <c r="DE33" i="2"/>
  <c r="H33" i="2" s="1"/>
  <c r="DD33" i="2"/>
  <c r="CU33" i="2"/>
  <c r="CL33" i="2"/>
  <c r="CK33" i="2"/>
  <c r="CS33" i="2" s="1"/>
  <c r="CT33" i="2" s="1"/>
  <c r="CV33" i="2" s="1"/>
  <c r="CJ33" i="2"/>
  <c r="CF33" i="2"/>
  <c r="CE33" i="2"/>
  <c r="CC33" i="2"/>
  <c r="CB33" i="2"/>
  <c r="BY33" i="2"/>
  <c r="GH33" i="2" s="1"/>
  <c r="BU33" i="2"/>
  <c r="BT33" i="2"/>
  <c r="BS33" i="2"/>
  <c r="L33" i="2" s="1"/>
  <c r="BR33" i="2"/>
  <c r="BM33" i="2"/>
  <c r="BL33" i="2"/>
  <c r="BK33" i="2"/>
  <c r="AE33" i="2"/>
  <c r="AC33" i="2"/>
  <c r="K33" i="2"/>
  <c r="J33" i="2"/>
  <c r="I33" i="2"/>
  <c r="D33" i="2"/>
  <c r="C33" i="2"/>
  <c r="B33" i="2"/>
  <c r="P31" i="2"/>
  <c r="U31" i="2"/>
  <c r="AJ31" i="2"/>
  <c r="AH31" i="2" s="1" a="1"/>
  <c r="AH31" i="2" s="1"/>
  <c r="AQ29" i="2"/>
  <c r="DR29" i="2"/>
  <c r="EK27" i="2"/>
  <c r="A30" i="9"/>
  <c r="EI32" i="2" l="1" a="1"/>
  <c r="EI32" i="2" s="1"/>
  <c r="T32" i="2" s="1" a="1"/>
  <c r="T32" i="2" s="1"/>
  <c r="U32" i="2" s="1"/>
  <c r="CY33" i="2"/>
  <c r="FA33" i="2" s="1"/>
  <c r="FB33" i="2" s="1"/>
  <c r="AI31" i="2" a="1"/>
  <c r="AI31" i="2" s="1"/>
  <c r="HE29" i="2"/>
  <c r="V29" i="2"/>
  <c r="DS31" i="2"/>
  <c r="DT31" i="2" s="1"/>
  <c r="DP31" i="2" a="1"/>
  <c r="DP31" i="2" s="1"/>
  <c r="DU31" i="2" s="1"/>
  <c r="DK31" i="2" a="1"/>
  <c r="DK31" i="2" s="1"/>
  <c r="DW31" i="2" s="1" a="1"/>
  <c r="DW31" i="2" s="1"/>
  <c r="DJ31" i="2" a="1"/>
  <c r="DJ31" i="2" s="1"/>
  <c r="DV31" i="2" s="1"/>
  <c r="AK31" i="2" a="1"/>
  <c r="AK31" i="2" s="1"/>
  <c r="AL31" i="2" s="1"/>
  <c r="R31" i="2"/>
  <c r="BD31" i="2"/>
  <c r="BA31" i="2"/>
  <c r="AV31" i="2"/>
  <c r="AU31" i="2"/>
  <c r="AP31" i="2"/>
  <c r="AG33" i="2"/>
  <c r="HM33" i="2"/>
  <c r="EV33" i="2"/>
  <c r="EW33" i="2" s="1"/>
  <c r="ER33" i="2"/>
  <c r="EM33" i="2"/>
  <c r="EN33" i="2" s="1"/>
  <c r="EJ33" i="2" a="1"/>
  <c r="EJ33" i="2" s="1"/>
  <c r="BI33" i="2"/>
  <c r="AF33" i="2" a="1"/>
  <c r="AF33" i="2" s="1"/>
  <c r="G33" i="2"/>
  <c r="E33" i="2"/>
  <c r="M33" i="2"/>
  <c r="GL33" i="2"/>
  <c r="GM33" i="2" s="1"/>
  <c r="GQ33" i="2"/>
  <c r="GR33" i="2" s="1"/>
  <c r="A35" i="2"/>
  <c r="DQ34" i="2"/>
  <c r="DO34" i="2"/>
  <c r="DM34" i="2"/>
  <c r="DL34" i="2"/>
  <c r="DI34" i="2"/>
  <c r="DE34" i="2"/>
  <c r="H34" i="2" s="1"/>
  <c r="DD34" i="2"/>
  <c r="CU34" i="2"/>
  <c r="CL34" i="2"/>
  <c r="CK34" i="2"/>
  <c r="CS34" i="2" s="1"/>
  <c r="CT34" i="2" s="1"/>
  <c r="CV34" i="2" s="1"/>
  <c r="CJ34" i="2"/>
  <c r="CF34" i="2"/>
  <c r="CE34" i="2"/>
  <c r="CC34" i="2"/>
  <c r="CB34" i="2"/>
  <c r="BY34" i="2"/>
  <c r="GH34" i="2" s="1"/>
  <c r="BU34" i="2"/>
  <c r="BT34" i="2"/>
  <c r="BS34" i="2"/>
  <c r="L34" i="2" s="1"/>
  <c r="BR34" i="2"/>
  <c r="BM34" i="2"/>
  <c r="BL34" i="2"/>
  <c r="BK34" i="2"/>
  <c r="AE34" i="2"/>
  <c r="AC34" i="2"/>
  <c r="K34" i="2"/>
  <c r="J34" i="2"/>
  <c r="I34" i="2"/>
  <c r="D34" i="2"/>
  <c r="C34" i="2"/>
  <c r="B34" i="2"/>
  <c r="P32" i="2"/>
  <c r="AJ32" i="2"/>
  <c r="AI32" i="2" s="1" a="1"/>
  <c r="AI32" i="2" s="1"/>
  <c r="AQ30" i="2"/>
  <c r="E32" i="8"/>
  <c r="A31" i="8"/>
  <c r="EI33" i="2" l="1" a="1"/>
  <c r="EI33" i="2" s="1"/>
  <c r="T33" i="2" s="1" a="1"/>
  <c r="T33" i="2" s="1"/>
  <c r="AW31" i="2"/>
  <c r="HG31" i="2" s="1"/>
  <c r="AH32" i="2" a="1"/>
  <c r="AH32" i="2" s="1"/>
  <c r="CY34" i="2"/>
  <c r="FA34" i="2" s="1"/>
  <c r="E33" i="8"/>
  <c r="A32" i="8"/>
  <c r="HE30" i="2"/>
  <c r="DS32" i="2"/>
  <c r="DT32" i="2" s="1"/>
  <c r="DP32" i="2" a="1"/>
  <c r="DP32" i="2" s="1"/>
  <c r="DU32" i="2" s="1"/>
  <c r="DK32" i="2" a="1"/>
  <c r="DK32" i="2" s="1"/>
  <c r="DW32" i="2" s="1" a="1"/>
  <c r="DW32" i="2" s="1"/>
  <c r="DJ32" i="2" a="1"/>
  <c r="DJ32" i="2" s="1"/>
  <c r="DV32" i="2" s="1"/>
  <c r="AK32" i="2" a="1"/>
  <c r="AK32" i="2" s="1"/>
  <c r="AL32" i="2" s="1"/>
  <c r="R32" i="2"/>
  <c r="BD32" i="2"/>
  <c r="BA32" i="2"/>
  <c r="AV32" i="2"/>
  <c r="AU32" i="2"/>
  <c r="AP32" i="2"/>
  <c r="AG34" i="2"/>
  <c r="HM34" i="2"/>
  <c r="EV34" i="2"/>
  <c r="EW34" i="2" s="1"/>
  <c r="ER34" i="2"/>
  <c r="EM34" i="2"/>
  <c r="EN34" i="2" s="1"/>
  <c r="EJ34" i="2" a="1"/>
  <c r="EJ34" i="2" s="1"/>
  <c r="BI34" i="2"/>
  <c r="AF34" i="2" a="1"/>
  <c r="AF34" i="2" s="1"/>
  <c r="G34" i="2"/>
  <c r="E34" i="2"/>
  <c r="M34" i="2"/>
  <c r="GL34" i="2"/>
  <c r="GM34" i="2" s="1"/>
  <c r="GQ34" i="2"/>
  <c r="GR34" i="2" s="1"/>
  <c r="A36" i="2"/>
  <c r="DQ35" i="2"/>
  <c r="DO35" i="2"/>
  <c r="DM35" i="2"/>
  <c r="DL35" i="2"/>
  <c r="DI35" i="2"/>
  <c r="DE35" i="2"/>
  <c r="H35" i="2" s="1"/>
  <c r="DD35" i="2"/>
  <c r="CU35" i="2"/>
  <c r="CL35" i="2"/>
  <c r="CK35" i="2"/>
  <c r="CS35" i="2" s="1"/>
  <c r="CT35" i="2" s="1"/>
  <c r="CV35" i="2" s="1"/>
  <c r="CJ35" i="2"/>
  <c r="CF35" i="2"/>
  <c r="CE35" i="2"/>
  <c r="CC35" i="2"/>
  <c r="CB35" i="2"/>
  <c r="BY35" i="2"/>
  <c r="GH35" i="2" s="1"/>
  <c r="BU35" i="2"/>
  <c r="BT35" i="2"/>
  <c r="BS35" i="2"/>
  <c r="L35" i="2" s="1"/>
  <c r="BR35" i="2"/>
  <c r="BM35" i="2"/>
  <c r="BL35" i="2"/>
  <c r="BK35" i="2"/>
  <c r="AE35" i="2"/>
  <c r="AC35" i="2"/>
  <c r="K35" i="2"/>
  <c r="J35" i="2"/>
  <c r="I35" i="2"/>
  <c r="D35" i="2"/>
  <c r="C35" i="2"/>
  <c r="B35" i="2"/>
  <c r="P33" i="2"/>
  <c r="U33" i="2"/>
  <c r="AJ33" i="2"/>
  <c r="AI33" i="2" s="1" a="1"/>
  <c r="AI33" i="2" s="1"/>
  <c r="DR31" i="2"/>
  <c r="EK29" i="2"/>
  <c r="A32" i="9"/>
  <c r="EI34" i="2" l="1" a="1"/>
  <c r="EI34" i="2" s="1"/>
  <c r="T34" i="2" s="1" a="1"/>
  <c r="T34" i="2" s="1"/>
  <c r="U34" i="2" s="1"/>
  <c r="AW32" i="2"/>
  <c r="HG32" i="2" s="1"/>
  <c r="AH33" i="2" a="1"/>
  <c r="AH33" i="2" s="1"/>
  <c r="CY35" i="2"/>
  <c r="FA35" i="2" s="1"/>
  <c r="FB35" i="2" s="1"/>
  <c r="DS33" i="2"/>
  <c r="DT33" i="2" s="1"/>
  <c r="DP33" i="2" a="1"/>
  <c r="DP33" i="2" s="1"/>
  <c r="DU33" i="2" s="1"/>
  <c r="DK33" i="2" a="1"/>
  <c r="DK33" i="2" s="1"/>
  <c r="DW33" i="2" s="1" a="1"/>
  <c r="DW33" i="2" s="1"/>
  <c r="DJ33" i="2" a="1"/>
  <c r="DJ33" i="2" s="1"/>
  <c r="DV33" i="2" s="1"/>
  <c r="AK33" i="2" a="1"/>
  <c r="AK33" i="2" s="1"/>
  <c r="R33" i="2"/>
  <c r="AL33" i="2"/>
  <c r="BD33" i="2"/>
  <c r="BA33" i="2"/>
  <c r="AV33" i="2"/>
  <c r="AU33" i="2"/>
  <c r="AO33" i="2"/>
  <c r="AG35" i="2"/>
  <c r="HM35" i="2"/>
  <c r="EV35" i="2"/>
  <c r="EW35" i="2" s="1"/>
  <c r="ER35" i="2"/>
  <c r="EM35" i="2"/>
  <c r="EN35" i="2" s="1"/>
  <c r="EJ35" i="2" a="1"/>
  <c r="EJ35" i="2" s="1"/>
  <c r="EI35" i="2" a="1"/>
  <c r="EI35" i="2" s="1"/>
  <c r="BI35" i="2"/>
  <c r="AF35" i="2" a="1"/>
  <c r="AF35" i="2" s="1"/>
  <c r="P25" i="6" s="1"/>
  <c r="G35" i="2"/>
  <c r="E35" i="2"/>
  <c r="M35" i="2"/>
  <c r="GL35" i="2"/>
  <c r="GM35" i="2" s="1"/>
  <c r="GQ35" i="2"/>
  <c r="GR35" i="2" s="1"/>
  <c r="A37" i="2"/>
  <c r="DQ36" i="2"/>
  <c r="DO36" i="2"/>
  <c r="DM36" i="2"/>
  <c r="DL36" i="2"/>
  <c r="DI36" i="2"/>
  <c r="DE36" i="2"/>
  <c r="H36" i="2" s="1"/>
  <c r="DD36" i="2"/>
  <c r="CU36" i="2"/>
  <c r="CL36" i="2"/>
  <c r="CK36" i="2"/>
  <c r="CS36" i="2" s="1"/>
  <c r="CT36" i="2" s="1"/>
  <c r="CV36" i="2" s="1"/>
  <c r="CJ36" i="2"/>
  <c r="CF36" i="2"/>
  <c r="CE36" i="2"/>
  <c r="CC36" i="2"/>
  <c r="CB36" i="2"/>
  <c r="BY36" i="2"/>
  <c r="GH36" i="2" s="1"/>
  <c r="BU36" i="2"/>
  <c r="BT36" i="2"/>
  <c r="BS36" i="2"/>
  <c r="L36" i="2" s="1"/>
  <c r="BR36" i="2"/>
  <c r="BM36" i="2"/>
  <c r="BL36" i="2"/>
  <c r="BK36" i="2"/>
  <c r="AE36" i="2"/>
  <c r="AC36" i="2"/>
  <c r="K36" i="2"/>
  <c r="J36" i="2"/>
  <c r="I36" i="2"/>
  <c r="D36" i="2"/>
  <c r="C36" i="2"/>
  <c r="B36" i="2"/>
  <c r="P34" i="2"/>
  <c r="AJ34" i="2"/>
  <c r="AI34" i="2" s="1" a="1"/>
  <c r="AI34" i="2" s="1"/>
  <c r="DR32" i="2"/>
  <c r="E34" i="8"/>
  <c r="A33" i="8"/>
  <c r="T35" i="2" l="1" a="1"/>
  <c r="T35" i="2" s="1"/>
  <c r="AH34" i="2" a="1"/>
  <c r="AH34" i="2" s="1"/>
  <c r="AW33" i="2"/>
  <c r="HG33" i="2" s="1"/>
  <c r="CY36" i="2"/>
  <c r="FA36" i="2" s="1"/>
  <c r="E35" i="8"/>
  <c r="A34" i="8"/>
  <c r="DS34" i="2"/>
  <c r="DT34" i="2" s="1"/>
  <c r="DP34" i="2" a="1"/>
  <c r="DP34" i="2" s="1"/>
  <c r="DU34" i="2" s="1"/>
  <c r="DK34" i="2" a="1"/>
  <c r="DK34" i="2" s="1"/>
  <c r="DW34" i="2" s="1" a="1"/>
  <c r="DW34" i="2" s="1"/>
  <c r="DJ34" i="2" a="1"/>
  <c r="DJ34" i="2" s="1"/>
  <c r="DV34" i="2" s="1"/>
  <c r="AK34" i="2" a="1"/>
  <c r="AK34" i="2" s="1"/>
  <c r="AL34" i="2" s="1"/>
  <c r="R34" i="2"/>
  <c r="BD34" i="2"/>
  <c r="BA34" i="2"/>
  <c r="AV34" i="2"/>
  <c r="AU34" i="2"/>
  <c r="AP34" i="2"/>
  <c r="AG36" i="2"/>
  <c r="HM36" i="2"/>
  <c r="EV36" i="2"/>
  <c r="EW36" i="2" s="1"/>
  <c r="ER36" i="2"/>
  <c r="EM36" i="2"/>
  <c r="EN36" i="2" s="1"/>
  <c r="EJ36" i="2" a="1"/>
  <c r="EJ36" i="2" s="1"/>
  <c r="EI36" i="2" a="1"/>
  <c r="EI36" i="2" s="1"/>
  <c r="BI36" i="2"/>
  <c r="AF36" i="2" a="1"/>
  <c r="AF36" i="2" s="1"/>
  <c r="G36" i="2"/>
  <c r="E36" i="2"/>
  <c r="M36" i="2"/>
  <c r="GL36" i="2"/>
  <c r="GM36" i="2" s="1"/>
  <c r="GQ36" i="2"/>
  <c r="GR36" i="2" s="1"/>
  <c r="A38" i="2"/>
  <c r="DQ37" i="2"/>
  <c r="DO37" i="2"/>
  <c r="DM37" i="2"/>
  <c r="DL37" i="2"/>
  <c r="DI37" i="2"/>
  <c r="DE37" i="2"/>
  <c r="H37" i="2" s="1"/>
  <c r="DD37" i="2"/>
  <c r="CU37" i="2"/>
  <c r="CL37" i="2"/>
  <c r="CK37" i="2"/>
  <c r="CS37" i="2" s="1"/>
  <c r="CT37" i="2" s="1"/>
  <c r="CV37" i="2" s="1"/>
  <c r="CJ37" i="2"/>
  <c r="CF37" i="2"/>
  <c r="CE37" i="2"/>
  <c r="CC37" i="2"/>
  <c r="CB37" i="2"/>
  <c r="BY37" i="2"/>
  <c r="GH37" i="2" s="1"/>
  <c r="BU37" i="2"/>
  <c r="BT37" i="2"/>
  <c r="BS37" i="2"/>
  <c r="L37" i="2" s="1"/>
  <c r="BR37" i="2"/>
  <c r="BM37" i="2"/>
  <c r="BL37" i="2"/>
  <c r="BK37" i="2"/>
  <c r="AE37" i="2"/>
  <c r="AC37" i="2"/>
  <c r="K37" i="2"/>
  <c r="J37" i="2"/>
  <c r="I37" i="2"/>
  <c r="D37" i="2"/>
  <c r="C37" i="2"/>
  <c r="B37" i="2"/>
  <c r="P35" i="2"/>
  <c r="U35" i="2"/>
  <c r="AJ35" i="2"/>
  <c r="AI35" i="2" s="1" a="1"/>
  <c r="AI35" i="2" s="1"/>
  <c r="Q5" i="7"/>
  <c r="AQ33" i="2"/>
  <c r="DR33" i="2"/>
  <c r="T36" i="2" l="1" a="1"/>
  <c r="T36" i="2" s="1"/>
  <c r="AW34" i="2"/>
  <c r="HG34" i="2" s="1"/>
  <c r="AH35" i="2" a="1"/>
  <c r="AH35" i="2" s="1"/>
  <c r="CY37" i="2"/>
  <c r="FA37" i="2" s="1"/>
  <c r="HE33" i="2"/>
  <c r="V33" i="2"/>
  <c r="DS35" i="2"/>
  <c r="DT35" i="2" s="1"/>
  <c r="DP35" i="2" a="1"/>
  <c r="DP35" i="2" s="1"/>
  <c r="DU35" i="2" s="1"/>
  <c r="DK35" i="2" a="1"/>
  <c r="DK35" i="2" s="1"/>
  <c r="DW35" i="2" s="1" a="1"/>
  <c r="DW35" i="2" s="1"/>
  <c r="DJ35" i="2" a="1"/>
  <c r="DJ35" i="2" s="1"/>
  <c r="DV35" i="2" s="1"/>
  <c r="AK35" i="2" a="1"/>
  <c r="AK35" i="2" s="1"/>
  <c r="AL35" i="2" s="1"/>
  <c r="R35" i="2"/>
  <c r="BD35" i="2"/>
  <c r="BA35" i="2"/>
  <c r="AV35" i="2"/>
  <c r="AU35" i="2"/>
  <c r="AP35" i="2"/>
  <c r="AG37" i="2"/>
  <c r="HM37" i="2"/>
  <c r="EV37" i="2"/>
  <c r="EW37" i="2" s="1"/>
  <c r="ER37" i="2"/>
  <c r="EM37" i="2"/>
  <c r="EN37" i="2" s="1"/>
  <c r="EJ37" i="2" a="1"/>
  <c r="EJ37" i="2" s="1"/>
  <c r="EI37" i="2" a="1"/>
  <c r="EI37" i="2" s="1"/>
  <c r="T37" i="2" s="1" a="1"/>
  <c r="T37" i="2" s="1"/>
  <c r="BI37" i="2"/>
  <c r="AF37" i="2" a="1"/>
  <c r="AF37" i="2" s="1"/>
  <c r="G37" i="2"/>
  <c r="E37" i="2"/>
  <c r="M37" i="2"/>
  <c r="GL37" i="2"/>
  <c r="GM37" i="2" s="1"/>
  <c r="GQ37" i="2"/>
  <c r="GR37" i="2" s="1"/>
  <c r="A39" i="2"/>
  <c r="DQ38" i="2"/>
  <c r="DO38" i="2"/>
  <c r="DM38" i="2"/>
  <c r="DL38" i="2"/>
  <c r="DI38" i="2"/>
  <c r="DE38" i="2"/>
  <c r="H38" i="2" s="1"/>
  <c r="DD38" i="2"/>
  <c r="CU38" i="2"/>
  <c r="CL38" i="2"/>
  <c r="CK38" i="2"/>
  <c r="CS38" i="2" s="1"/>
  <c r="CT38" i="2" s="1"/>
  <c r="CV38" i="2" s="1"/>
  <c r="CJ38" i="2"/>
  <c r="CF38" i="2"/>
  <c r="CE38" i="2"/>
  <c r="CC38" i="2"/>
  <c r="CB38" i="2"/>
  <c r="BY38" i="2"/>
  <c r="GH38" i="2" s="1"/>
  <c r="BU38" i="2"/>
  <c r="BT38" i="2"/>
  <c r="BS38" i="2"/>
  <c r="L38" i="2" s="1"/>
  <c r="BR38" i="2"/>
  <c r="BM38" i="2"/>
  <c r="BL38" i="2"/>
  <c r="BK38" i="2"/>
  <c r="AE38" i="2"/>
  <c r="AC38" i="2"/>
  <c r="K38" i="2"/>
  <c r="J38" i="2"/>
  <c r="I38" i="2"/>
  <c r="D38" i="2"/>
  <c r="C38" i="2"/>
  <c r="B38" i="2"/>
  <c r="P36" i="2"/>
  <c r="U36" i="2"/>
  <c r="AJ36" i="2"/>
  <c r="AI36" i="2" s="1" a="1"/>
  <c r="AI36" i="2" s="1"/>
  <c r="DR34" i="2"/>
  <c r="E36" i="8"/>
  <c r="A35" i="8"/>
  <c r="AW35" i="2" l="1"/>
  <c r="HG35" i="2" s="1"/>
  <c r="AH36" i="2" a="1"/>
  <c r="AH36" i="2" s="1"/>
  <c r="CY38" i="2"/>
  <c r="FA38" i="2" s="1"/>
  <c r="FB38" i="2" s="1"/>
  <c r="E37" i="8"/>
  <c r="A36" i="8"/>
  <c r="DS36" i="2"/>
  <c r="DT36" i="2" s="1"/>
  <c r="DP36" i="2" a="1"/>
  <c r="DP36" i="2" s="1"/>
  <c r="DU36" i="2" s="1"/>
  <c r="DK36" i="2" a="1"/>
  <c r="DK36" i="2" s="1"/>
  <c r="DW36" i="2" s="1" a="1"/>
  <c r="DW36" i="2" s="1"/>
  <c r="DJ36" i="2" a="1"/>
  <c r="DJ36" i="2" s="1"/>
  <c r="DV36" i="2" s="1"/>
  <c r="AK36" i="2" a="1"/>
  <c r="AK36" i="2" s="1"/>
  <c r="AL36" i="2" s="1"/>
  <c r="R36" i="2"/>
  <c r="BD36" i="2"/>
  <c r="BA36" i="2"/>
  <c r="AV36" i="2"/>
  <c r="AP36" i="2"/>
  <c r="AO36" i="2"/>
  <c r="AG38" i="2"/>
  <c r="HM38" i="2"/>
  <c r="EV38" i="2"/>
  <c r="EW38" i="2" s="1"/>
  <c r="ER38" i="2"/>
  <c r="EM38" i="2"/>
  <c r="EN38" i="2" s="1"/>
  <c r="EJ38" i="2" a="1"/>
  <c r="EJ38" i="2" s="1"/>
  <c r="EI38" i="2" a="1"/>
  <c r="EI38" i="2" s="1"/>
  <c r="T38" i="2" s="1" a="1"/>
  <c r="T38" i="2" s="1"/>
  <c r="BI38" i="2"/>
  <c r="AF38" i="2" a="1"/>
  <c r="AF38" i="2" s="1"/>
  <c r="G38" i="2"/>
  <c r="E38" i="2"/>
  <c r="M38" i="2"/>
  <c r="GL38" i="2"/>
  <c r="GM38" i="2" s="1"/>
  <c r="GQ38" i="2"/>
  <c r="GR38" i="2" s="1"/>
  <c r="A40" i="2"/>
  <c r="DQ39" i="2"/>
  <c r="DO39" i="2"/>
  <c r="DM39" i="2"/>
  <c r="DL39" i="2"/>
  <c r="DI39" i="2"/>
  <c r="DE39" i="2"/>
  <c r="H39" i="2" s="1"/>
  <c r="DD39" i="2"/>
  <c r="CU39" i="2"/>
  <c r="CL39" i="2"/>
  <c r="CK39" i="2"/>
  <c r="CS39" i="2" s="1"/>
  <c r="CT39" i="2" s="1"/>
  <c r="CV39" i="2" s="1"/>
  <c r="CJ39" i="2"/>
  <c r="CF39" i="2"/>
  <c r="CE39" i="2"/>
  <c r="CC39" i="2"/>
  <c r="CB39" i="2"/>
  <c r="BY39" i="2"/>
  <c r="GH39" i="2" s="1"/>
  <c r="BU39" i="2"/>
  <c r="BT39" i="2"/>
  <c r="BS39" i="2"/>
  <c r="L39" i="2" s="1"/>
  <c r="BR39" i="2"/>
  <c r="BM39" i="2"/>
  <c r="BL39" i="2"/>
  <c r="BK39" i="2"/>
  <c r="AE39" i="2"/>
  <c r="AC39" i="2"/>
  <c r="K39" i="2"/>
  <c r="J39" i="2"/>
  <c r="I39" i="2"/>
  <c r="D39" i="2"/>
  <c r="C39" i="2"/>
  <c r="B39" i="2"/>
  <c r="P37" i="2"/>
  <c r="U37" i="2"/>
  <c r="AJ37" i="2"/>
  <c r="AI37" i="2" s="1" a="1"/>
  <c r="AI37" i="2" s="1"/>
  <c r="DR35" i="2"/>
  <c r="EK33" i="2"/>
  <c r="A3" i="9"/>
  <c r="CY39" i="2" l="1"/>
  <c r="FA39" i="2" s="1"/>
  <c r="FB39" i="2" s="1"/>
  <c r="AH37" i="2" a="1"/>
  <c r="AH37" i="2" s="1"/>
  <c r="DS37" i="2"/>
  <c r="DT37" i="2" s="1"/>
  <c r="DP37" i="2" a="1"/>
  <c r="DP37" i="2" s="1"/>
  <c r="DU37" i="2" s="1"/>
  <c r="DK37" i="2" a="1"/>
  <c r="DK37" i="2" s="1"/>
  <c r="DW37" i="2" s="1" a="1"/>
  <c r="DW37" i="2" s="1"/>
  <c r="DJ37" i="2" a="1"/>
  <c r="DJ37" i="2" s="1"/>
  <c r="DV37" i="2" s="1"/>
  <c r="AK37" i="2" a="1"/>
  <c r="AK37" i="2" s="1"/>
  <c r="R37" i="2"/>
  <c r="AL37" i="2"/>
  <c r="BD37" i="2"/>
  <c r="BA37" i="2"/>
  <c r="AV37" i="2"/>
  <c r="AU37" i="2"/>
  <c r="AO37" i="2"/>
  <c r="AG39" i="2"/>
  <c r="HM39" i="2"/>
  <c r="EV39" i="2"/>
  <c r="EW39" i="2" s="1"/>
  <c r="ER39" i="2"/>
  <c r="EM39" i="2"/>
  <c r="EN39" i="2" s="1"/>
  <c r="EJ39" i="2" a="1"/>
  <c r="EJ39" i="2" s="1"/>
  <c r="EI39" i="2" a="1"/>
  <c r="EI39" i="2" s="1"/>
  <c r="BI39" i="2"/>
  <c r="AF39" i="2" a="1"/>
  <c r="AF39" i="2" s="1"/>
  <c r="G39" i="2"/>
  <c r="E39" i="2"/>
  <c r="M39" i="2"/>
  <c r="GL39" i="2"/>
  <c r="GM39" i="2" s="1"/>
  <c r="GQ39" i="2"/>
  <c r="GR39" i="2" s="1"/>
  <c r="A41" i="2"/>
  <c r="DQ40" i="2"/>
  <c r="DO40" i="2"/>
  <c r="DM40" i="2"/>
  <c r="DL40" i="2"/>
  <c r="DI40" i="2"/>
  <c r="DE40" i="2"/>
  <c r="H40" i="2" s="1"/>
  <c r="DD40" i="2"/>
  <c r="CU40" i="2"/>
  <c r="CL40" i="2"/>
  <c r="CK40" i="2"/>
  <c r="CS40" i="2" s="1"/>
  <c r="CT40" i="2" s="1"/>
  <c r="CV40" i="2" s="1"/>
  <c r="CJ40" i="2"/>
  <c r="CF40" i="2"/>
  <c r="CE40" i="2"/>
  <c r="CC40" i="2"/>
  <c r="CB40" i="2"/>
  <c r="BY40" i="2"/>
  <c r="GH40" i="2" s="1"/>
  <c r="BU40" i="2"/>
  <c r="BT40" i="2"/>
  <c r="BS40" i="2"/>
  <c r="L40" i="2" s="1"/>
  <c r="BR40" i="2"/>
  <c r="BM40" i="2"/>
  <c r="BL40" i="2"/>
  <c r="BK40" i="2"/>
  <c r="AE40" i="2"/>
  <c r="AC40" i="2"/>
  <c r="K40" i="2"/>
  <c r="J40" i="2"/>
  <c r="I40" i="2"/>
  <c r="D40" i="2"/>
  <c r="C40" i="2"/>
  <c r="B40" i="2"/>
  <c r="P38" i="2"/>
  <c r="U38" i="2"/>
  <c r="AJ38" i="2"/>
  <c r="AH38" i="2" s="1" a="1"/>
  <c r="AH38" i="2" s="1"/>
  <c r="AQ36" i="2"/>
  <c r="DR36" i="2"/>
  <c r="E38" i="8"/>
  <c r="A37" i="8"/>
  <c r="T39" i="2" l="1" a="1"/>
  <c r="T39" i="2" s="1"/>
  <c r="CY40" i="2"/>
  <c r="FA40" i="2" s="1"/>
  <c r="FB40" i="2" s="1"/>
  <c r="AI38" i="2" a="1"/>
  <c r="AI38" i="2" s="1"/>
  <c r="AW37" i="2"/>
  <c r="HG37" i="2" s="1"/>
  <c r="E39" i="8"/>
  <c r="A38" i="8"/>
  <c r="HE36" i="2"/>
  <c r="DS38" i="2"/>
  <c r="DT38" i="2" s="1"/>
  <c r="DP38" i="2" a="1"/>
  <c r="DP38" i="2" s="1"/>
  <c r="DU38" i="2" s="1"/>
  <c r="DK38" i="2" a="1"/>
  <c r="DK38" i="2" s="1"/>
  <c r="DW38" i="2" s="1" a="1"/>
  <c r="DW38" i="2" s="1"/>
  <c r="DJ38" i="2" a="1"/>
  <c r="DJ38" i="2" s="1"/>
  <c r="DV38" i="2" s="1"/>
  <c r="AK38" i="2" a="1"/>
  <c r="AK38" i="2" s="1"/>
  <c r="AL38" i="2" s="1"/>
  <c r="R38" i="2"/>
  <c r="BD38" i="2"/>
  <c r="BA38" i="2"/>
  <c r="AV38" i="2"/>
  <c r="AU38" i="2"/>
  <c r="AP38" i="2"/>
  <c r="AG40" i="2"/>
  <c r="HM40" i="2"/>
  <c r="EV40" i="2"/>
  <c r="ER40" i="2"/>
  <c r="EM40" i="2"/>
  <c r="EN40" i="2" s="1"/>
  <c r="EJ40" i="2" a="1"/>
  <c r="EJ40" i="2" s="1"/>
  <c r="EI40" i="2" a="1"/>
  <c r="EI40" i="2" s="1"/>
  <c r="BI40" i="2"/>
  <c r="AF40" i="2" a="1"/>
  <c r="AF40" i="2" s="1"/>
  <c r="G40" i="2"/>
  <c r="E40" i="2"/>
  <c r="M40" i="2"/>
  <c r="GL40" i="2"/>
  <c r="GM40" i="2" s="1"/>
  <c r="GQ40" i="2"/>
  <c r="GR40" i="2" s="1"/>
  <c r="A42" i="2"/>
  <c r="DQ41" i="2"/>
  <c r="DO41" i="2"/>
  <c r="DM41" i="2"/>
  <c r="DL41" i="2"/>
  <c r="DI41" i="2"/>
  <c r="DE41" i="2"/>
  <c r="H41" i="2" s="1"/>
  <c r="DD41" i="2"/>
  <c r="CU41" i="2"/>
  <c r="CL41" i="2"/>
  <c r="CK41" i="2"/>
  <c r="CS41" i="2" s="1"/>
  <c r="CT41" i="2" s="1"/>
  <c r="CV41" i="2" s="1"/>
  <c r="CJ41" i="2"/>
  <c r="CF41" i="2"/>
  <c r="CE41" i="2"/>
  <c r="CC41" i="2"/>
  <c r="CB41" i="2"/>
  <c r="BY41" i="2"/>
  <c r="GH41" i="2" s="1"/>
  <c r="BU41" i="2"/>
  <c r="BT41" i="2"/>
  <c r="BS41" i="2"/>
  <c r="L41" i="2" s="1"/>
  <c r="BR41" i="2"/>
  <c r="BM41" i="2"/>
  <c r="BL41" i="2"/>
  <c r="BK41" i="2"/>
  <c r="AE41" i="2"/>
  <c r="AC41" i="2"/>
  <c r="K41" i="2"/>
  <c r="J41" i="2"/>
  <c r="I41" i="2"/>
  <c r="D41" i="2"/>
  <c r="C41" i="2"/>
  <c r="B41" i="2"/>
  <c r="P39" i="2"/>
  <c r="U39" i="2"/>
  <c r="AJ39" i="2"/>
  <c r="AI39" i="2" s="1" a="1"/>
  <c r="AI39" i="2" s="1"/>
  <c r="AQ37" i="2"/>
  <c r="DR37" i="2"/>
  <c r="T40" i="2" l="1" a="1"/>
  <c r="T40" i="2" s="1"/>
  <c r="AW38" i="2"/>
  <c r="HG38" i="2" s="1"/>
  <c r="AH39" i="2" a="1"/>
  <c r="AH39" i="2" s="1"/>
  <c r="CY41" i="2"/>
  <c r="FA41" i="2" s="1"/>
  <c r="FB41" i="2" s="1"/>
  <c r="HE37" i="2"/>
  <c r="V37" i="2"/>
  <c r="DS39" i="2"/>
  <c r="DT39" i="2" s="1"/>
  <c r="DP39" i="2" a="1"/>
  <c r="DP39" i="2" s="1"/>
  <c r="DU39" i="2" s="1"/>
  <c r="DK39" i="2" a="1"/>
  <c r="DK39" i="2" s="1"/>
  <c r="DW39" i="2" s="1" a="1"/>
  <c r="DW39" i="2" s="1"/>
  <c r="DJ39" i="2" a="1"/>
  <c r="DJ39" i="2" s="1"/>
  <c r="DV39" i="2" s="1"/>
  <c r="AK39" i="2" a="1"/>
  <c r="AK39" i="2" s="1"/>
  <c r="AL39" i="2" s="1"/>
  <c r="R39" i="2"/>
  <c r="BD39" i="2"/>
  <c r="BA39" i="2"/>
  <c r="AV39" i="2"/>
  <c r="AU39" i="2"/>
  <c r="AP39" i="2"/>
  <c r="AG41" i="2"/>
  <c r="HM41" i="2"/>
  <c r="EV41" i="2"/>
  <c r="EW41" i="2" s="1"/>
  <c r="ER41" i="2"/>
  <c r="EM41" i="2"/>
  <c r="EN41" i="2" s="1"/>
  <c r="EJ41" i="2" a="1"/>
  <c r="EJ41" i="2" s="1"/>
  <c r="EI41" i="2" a="1"/>
  <c r="EI41" i="2" s="1"/>
  <c r="BI41" i="2"/>
  <c r="AF41" i="2" a="1"/>
  <c r="AF41" i="2" s="1"/>
  <c r="P17" i="6" s="1"/>
  <c r="G41" i="2"/>
  <c r="E41" i="2"/>
  <c r="M41" i="2"/>
  <c r="GL41" i="2"/>
  <c r="GM41" i="2" s="1"/>
  <c r="GQ41" i="2"/>
  <c r="GR41" i="2" s="1"/>
  <c r="A43" i="2"/>
  <c r="DQ42" i="2"/>
  <c r="DO42" i="2"/>
  <c r="DM42" i="2"/>
  <c r="DL42" i="2"/>
  <c r="DI42" i="2"/>
  <c r="DE42" i="2"/>
  <c r="H42" i="2" s="1"/>
  <c r="DD42" i="2"/>
  <c r="CU42" i="2"/>
  <c r="CL42" i="2"/>
  <c r="CK42" i="2"/>
  <c r="CS42" i="2" s="1"/>
  <c r="CT42" i="2" s="1"/>
  <c r="CV42" i="2" s="1"/>
  <c r="CJ42" i="2"/>
  <c r="CF42" i="2"/>
  <c r="CE42" i="2"/>
  <c r="CC42" i="2"/>
  <c r="CB42" i="2"/>
  <c r="BY42" i="2"/>
  <c r="GH42" i="2" s="1"/>
  <c r="BU42" i="2"/>
  <c r="BT42" i="2"/>
  <c r="BS42" i="2"/>
  <c r="L42" i="2" s="1"/>
  <c r="BR42" i="2"/>
  <c r="BM42" i="2"/>
  <c r="BL42" i="2"/>
  <c r="BK42" i="2"/>
  <c r="AE42" i="2"/>
  <c r="AC42" i="2"/>
  <c r="K42" i="2"/>
  <c r="J42" i="2"/>
  <c r="I42" i="2"/>
  <c r="D42" i="2"/>
  <c r="C42" i="2"/>
  <c r="B42" i="2"/>
  <c r="P40" i="2"/>
  <c r="U40" i="2"/>
  <c r="DS40" i="2"/>
  <c r="DT40" i="2" s="1"/>
  <c r="DP40" i="2" a="1"/>
  <c r="DP40" i="2" s="1"/>
  <c r="DU40" i="2" s="1"/>
  <c r="DK40" i="2" a="1"/>
  <c r="DK40" i="2" s="1"/>
  <c r="DW40" i="2" s="1" a="1"/>
  <c r="DW40" i="2" s="1"/>
  <c r="DJ40" i="2" a="1"/>
  <c r="DJ40" i="2" s="1"/>
  <c r="DV40" i="2" s="1"/>
  <c r="AK40" i="2" a="1"/>
  <c r="AK40" i="2" s="1"/>
  <c r="AJ40" i="2"/>
  <c r="AI40" i="2" a="1"/>
  <c r="AI40" i="2" s="1"/>
  <c r="AH40" i="2" a="1"/>
  <c r="AH40" i="2" s="1"/>
  <c r="DR38" i="2"/>
  <c r="E40" i="8"/>
  <c r="A39" i="8"/>
  <c r="T41" i="2" l="1" a="1"/>
  <c r="T41" i="2" s="1"/>
  <c r="U41" i="2" s="1"/>
  <c r="AW39" i="2"/>
  <c r="HG39" i="2" s="1"/>
  <c r="CY42" i="2"/>
  <c r="FA42" i="2" s="1"/>
  <c r="FB42" i="2" s="1"/>
  <c r="E41" i="8"/>
  <c r="A40" i="8"/>
  <c r="DR40" i="2"/>
  <c r="R40" i="2"/>
  <c r="AL40" i="2"/>
  <c r="BD40" i="2"/>
  <c r="BA40" i="2"/>
  <c r="AV40" i="2"/>
  <c r="AP40" i="2"/>
  <c r="AO40" i="2"/>
  <c r="AG42" i="2"/>
  <c r="HM42" i="2"/>
  <c r="EV42" i="2"/>
  <c r="EW42" i="2" s="1"/>
  <c r="ER42" i="2"/>
  <c r="EM42" i="2"/>
  <c r="EN42" i="2" s="1"/>
  <c r="EJ42" i="2" a="1"/>
  <c r="EJ42" i="2" s="1"/>
  <c r="EI42" i="2" a="1"/>
  <c r="EI42" i="2" s="1"/>
  <c r="BI42" i="2"/>
  <c r="AF42" i="2" a="1"/>
  <c r="AF42" i="2" s="1"/>
  <c r="G42" i="2"/>
  <c r="E42" i="2"/>
  <c r="M42" i="2"/>
  <c r="GL42" i="2"/>
  <c r="GM42" i="2" s="1"/>
  <c r="GQ42" i="2"/>
  <c r="GR42" i="2" s="1"/>
  <c r="A44" i="2"/>
  <c r="DQ43" i="2"/>
  <c r="DO43" i="2"/>
  <c r="DM43" i="2"/>
  <c r="DL43" i="2"/>
  <c r="DI43" i="2"/>
  <c r="DE43" i="2"/>
  <c r="H43" i="2" s="1"/>
  <c r="DD43" i="2"/>
  <c r="CU43" i="2"/>
  <c r="CL43" i="2"/>
  <c r="CK43" i="2"/>
  <c r="CS43" i="2" s="1"/>
  <c r="CT43" i="2" s="1"/>
  <c r="CV43" i="2" s="1"/>
  <c r="CJ43" i="2"/>
  <c r="CF43" i="2"/>
  <c r="CE43" i="2"/>
  <c r="CC43" i="2"/>
  <c r="CB43" i="2"/>
  <c r="BY43" i="2"/>
  <c r="GH43" i="2" s="1"/>
  <c r="BU43" i="2"/>
  <c r="BT43" i="2"/>
  <c r="BS43" i="2"/>
  <c r="L43" i="2" s="1"/>
  <c r="BR43" i="2"/>
  <c r="BM43" i="2"/>
  <c r="BL43" i="2"/>
  <c r="BK43" i="2"/>
  <c r="AE43" i="2"/>
  <c r="AC43" i="2"/>
  <c r="K43" i="2"/>
  <c r="J43" i="2"/>
  <c r="I43" i="2"/>
  <c r="D43" i="2"/>
  <c r="C43" i="2"/>
  <c r="B43" i="2"/>
  <c r="P41" i="2"/>
  <c r="AJ41" i="2"/>
  <c r="AI41" i="2" s="1" a="1"/>
  <c r="AI41" i="2" s="1"/>
  <c r="Q6" i="7"/>
  <c r="DR39" i="2"/>
  <c r="EK37" i="2"/>
  <c r="A21" i="9"/>
  <c r="AH41" i="2" l="1" a="1"/>
  <c r="AH41" i="2" s="1"/>
  <c r="T42" i="2" a="1"/>
  <c r="T42" i="2" s="1"/>
  <c r="CY43" i="2"/>
  <c r="FA43" i="2" s="1"/>
  <c r="FB43" i="2" s="1"/>
  <c r="DS41" i="2"/>
  <c r="DT41" i="2" s="1"/>
  <c r="DP41" i="2" a="1"/>
  <c r="DP41" i="2" s="1"/>
  <c r="DU41" i="2" s="1"/>
  <c r="DK41" i="2" a="1"/>
  <c r="DK41" i="2" s="1"/>
  <c r="DW41" i="2" s="1" a="1"/>
  <c r="DW41" i="2" s="1"/>
  <c r="DJ41" i="2" a="1"/>
  <c r="DJ41" i="2" s="1"/>
  <c r="DV41" i="2" s="1"/>
  <c r="AK41" i="2" a="1"/>
  <c r="AK41" i="2" s="1"/>
  <c r="AL41" i="2" s="1"/>
  <c r="R41" i="2"/>
  <c r="BD41" i="2"/>
  <c r="BA41" i="2"/>
  <c r="AV41" i="2"/>
  <c r="AP41" i="2"/>
  <c r="AO41" i="2"/>
  <c r="AG43" i="2"/>
  <c r="HM43" i="2"/>
  <c r="EV43" i="2"/>
  <c r="ER43" i="2"/>
  <c r="EM43" i="2"/>
  <c r="EN43" i="2" s="1"/>
  <c r="EJ43" i="2" a="1"/>
  <c r="EJ43" i="2" s="1"/>
  <c r="EI43" i="2" a="1"/>
  <c r="EI43" i="2" s="1"/>
  <c r="BI43" i="2"/>
  <c r="AF43" i="2" a="1"/>
  <c r="AF43" i="2" s="1"/>
  <c r="T43" i="2" a="1"/>
  <c r="T43" i="2" s="1"/>
  <c r="G43" i="2"/>
  <c r="E43" i="2"/>
  <c r="M43" i="2"/>
  <c r="GL43" i="2"/>
  <c r="GM43" i="2" s="1"/>
  <c r="GQ43" i="2"/>
  <c r="GR43" i="2" s="1"/>
  <c r="A45" i="2"/>
  <c r="DQ44" i="2"/>
  <c r="DO44" i="2"/>
  <c r="DM44" i="2"/>
  <c r="DL44" i="2"/>
  <c r="DI44" i="2"/>
  <c r="DE44" i="2"/>
  <c r="H44" i="2" s="1"/>
  <c r="DD44" i="2"/>
  <c r="CU44" i="2"/>
  <c r="CL44" i="2"/>
  <c r="CK44" i="2"/>
  <c r="CS44" i="2" s="1"/>
  <c r="CT44" i="2" s="1"/>
  <c r="CV44" i="2" s="1"/>
  <c r="CY44" i="2" s="1"/>
  <c r="FA44" i="2" s="1"/>
  <c r="FB44" i="2" s="1"/>
  <c r="CJ44" i="2"/>
  <c r="CF44" i="2"/>
  <c r="CE44" i="2"/>
  <c r="CC44" i="2"/>
  <c r="CB44" i="2"/>
  <c r="BY44" i="2"/>
  <c r="GH44" i="2" s="1"/>
  <c r="BU44" i="2"/>
  <c r="BT44" i="2"/>
  <c r="BS44" i="2"/>
  <c r="L44" i="2" s="1"/>
  <c r="BR44" i="2"/>
  <c r="BM44" i="2"/>
  <c r="BL44" i="2"/>
  <c r="BK44" i="2"/>
  <c r="AE44" i="2"/>
  <c r="AC44" i="2"/>
  <c r="K44" i="2"/>
  <c r="J44" i="2"/>
  <c r="I44" i="2"/>
  <c r="D44" i="2"/>
  <c r="C44" i="2"/>
  <c r="B44" i="2"/>
  <c r="P42" i="2"/>
  <c r="U42" i="2"/>
  <c r="DS42" i="2"/>
  <c r="DT42" i="2" s="1"/>
  <c r="DP42" i="2" a="1"/>
  <c r="DP42" i="2" s="1"/>
  <c r="DU42" i="2" s="1"/>
  <c r="DK42" i="2" a="1"/>
  <c r="DK42" i="2" s="1"/>
  <c r="DW42" i="2" s="1" a="1"/>
  <c r="DW42" i="2" s="1"/>
  <c r="DJ42" i="2" a="1"/>
  <c r="DJ42" i="2" s="1"/>
  <c r="DV42" i="2" s="1"/>
  <c r="AK42" i="2" a="1"/>
  <c r="AK42" i="2" s="1"/>
  <c r="AJ42" i="2"/>
  <c r="AI42" i="2" a="1"/>
  <c r="AI42" i="2" s="1"/>
  <c r="AH42" i="2" a="1"/>
  <c r="AH42" i="2" s="1"/>
  <c r="AQ40" i="2"/>
  <c r="E42" i="8"/>
  <c r="A41" i="8"/>
  <c r="E43" i="8" l="1"/>
  <c r="A42" i="8"/>
  <c r="HE40" i="2"/>
  <c r="DR42" i="2"/>
  <c r="R42" i="2"/>
  <c r="AL42" i="2"/>
  <c r="BD42" i="2"/>
  <c r="BA42" i="2"/>
  <c r="AV42" i="2"/>
  <c r="AP42" i="2"/>
  <c r="AO42" i="2"/>
  <c r="AG44" i="2"/>
  <c r="HM44" i="2"/>
  <c r="EV44" i="2"/>
  <c r="ER44" i="2"/>
  <c r="EM44" i="2"/>
  <c r="EN44" i="2" s="1"/>
  <c r="EJ44" i="2" a="1"/>
  <c r="EJ44" i="2" s="1"/>
  <c r="EI44" i="2" a="1"/>
  <c r="EI44" i="2" s="1"/>
  <c r="BI44" i="2"/>
  <c r="AF44" i="2" a="1"/>
  <c r="AF44" i="2" s="1"/>
  <c r="G44" i="2"/>
  <c r="E44" i="2"/>
  <c r="M44" i="2"/>
  <c r="GL44" i="2"/>
  <c r="GM44" i="2" s="1"/>
  <c r="GQ44" i="2"/>
  <c r="GR44" i="2" s="1"/>
  <c r="A46" i="2"/>
  <c r="DQ45" i="2"/>
  <c r="DO45" i="2"/>
  <c r="DM45" i="2"/>
  <c r="DL45" i="2"/>
  <c r="DI45" i="2"/>
  <c r="DE45" i="2"/>
  <c r="H45" i="2" s="1"/>
  <c r="DD45" i="2"/>
  <c r="CU45" i="2"/>
  <c r="CL45" i="2"/>
  <c r="CK45" i="2"/>
  <c r="CS45" i="2" s="1"/>
  <c r="CT45" i="2" s="1"/>
  <c r="CV45" i="2" s="1"/>
  <c r="CJ45" i="2"/>
  <c r="CF45" i="2"/>
  <c r="CE45" i="2"/>
  <c r="CC45" i="2"/>
  <c r="CB45" i="2"/>
  <c r="BY45" i="2"/>
  <c r="GH45" i="2" s="1"/>
  <c r="BU45" i="2"/>
  <c r="BT45" i="2"/>
  <c r="BS45" i="2"/>
  <c r="L45" i="2" s="1"/>
  <c r="BR45" i="2"/>
  <c r="BM45" i="2"/>
  <c r="BL45" i="2"/>
  <c r="BK45" i="2"/>
  <c r="AE45" i="2"/>
  <c r="AC45" i="2"/>
  <c r="K45" i="2"/>
  <c r="J45" i="2"/>
  <c r="I45" i="2"/>
  <c r="D45" i="2"/>
  <c r="C45" i="2"/>
  <c r="B45" i="2"/>
  <c r="P43" i="2"/>
  <c r="U43" i="2"/>
  <c r="DS43" i="2"/>
  <c r="DT43" i="2" s="1"/>
  <c r="DP43" i="2" a="1"/>
  <c r="DP43" i="2" s="1"/>
  <c r="DU43" i="2" s="1"/>
  <c r="DK43" i="2" a="1"/>
  <c r="DK43" i="2" s="1"/>
  <c r="DW43" i="2" s="1" a="1"/>
  <c r="DW43" i="2" s="1"/>
  <c r="DJ43" i="2" a="1"/>
  <c r="DJ43" i="2" s="1"/>
  <c r="DV43" i="2" s="1"/>
  <c r="AK43" i="2" a="1"/>
  <c r="AK43" i="2" s="1"/>
  <c r="AJ43" i="2"/>
  <c r="AI43" i="2" a="1"/>
  <c r="AI43" i="2" s="1"/>
  <c r="AH43" i="2" a="1"/>
  <c r="AH43" i="2" s="1"/>
  <c r="AQ41" i="2"/>
  <c r="DR41" i="2"/>
  <c r="T44" i="2" l="1" a="1"/>
  <c r="T44" i="2" s="1"/>
  <c r="U44" i="2" s="1"/>
  <c r="CY45" i="2"/>
  <c r="FA45" i="2" s="1"/>
  <c r="FB45" i="2" s="1"/>
  <c r="HE41" i="2"/>
  <c r="DR43" i="2"/>
  <c r="R43" i="2"/>
  <c r="AL43" i="2"/>
  <c r="BD43" i="2"/>
  <c r="BA43" i="2"/>
  <c r="AV43" i="2"/>
  <c r="AP43" i="2"/>
  <c r="AO43" i="2"/>
  <c r="AG45" i="2"/>
  <c r="HM45" i="2"/>
  <c r="EV45" i="2"/>
  <c r="EW45" i="2" s="1"/>
  <c r="ER45" i="2"/>
  <c r="EM45" i="2"/>
  <c r="EN45" i="2" s="1"/>
  <c r="EJ45" i="2" a="1"/>
  <c r="EJ45" i="2" s="1"/>
  <c r="EI45" i="2" a="1"/>
  <c r="EI45" i="2" s="1"/>
  <c r="BI45" i="2"/>
  <c r="AF45" i="2" a="1"/>
  <c r="AF45" i="2" s="1"/>
  <c r="G45" i="2"/>
  <c r="E45" i="2"/>
  <c r="M45" i="2"/>
  <c r="GL45" i="2"/>
  <c r="GM45" i="2" s="1"/>
  <c r="GQ45" i="2"/>
  <c r="GR45" i="2" s="1"/>
  <c r="A47" i="2"/>
  <c r="DQ46" i="2"/>
  <c r="DO46" i="2"/>
  <c r="DM46" i="2"/>
  <c r="DL46" i="2"/>
  <c r="DI46" i="2"/>
  <c r="DE46" i="2"/>
  <c r="H46" i="2" s="1"/>
  <c r="DD46" i="2"/>
  <c r="CU46" i="2"/>
  <c r="CL46" i="2"/>
  <c r="CK46" i="2"/>
  <c r="CS46" i="2" s="1"/>
  <c r="CT46" i="2" s="1"/>
  <c r="CV46" i="2" s="1"/>
  <c r="CJ46" i="2"/>
  <c r="CF46" i="2"/>
  <c r="CE46" i="2"/>
  <c r="CC46" i="2"/>
  <c r="CB46" i="2"/>
  <c r="BY46" i="2"/>
  <c r="GH46" i="2" s="1"/>
  <c r="BU46" i="2"/>
  <c r="BT46" i="2"/>
  <c r="BS46" i="2"/>
  <c r="L46" i="2" s="1"/>
  <c r="BR46" i="2"/>
  <c r="BM46" i="2"/>
  <c r="BL46" i="2"/>
  <c r="BK46" i="2"/>
  <c r="AE46" i="2"/>
  <c r="AC46" i="2"/>
  <c r="K46" i="2"/>
  <c r="J46" i="2"/>
  <c r="I46" i="2"/>
  <c r="D46" i="2"/>
  <c r="C46" i="2"/>
  <c r="B46" i="2"/>
  <c r="P44" i="2"/>
  <c r="DS44" i="2"/>
  <c r="DT44" i="2" s="1"/>
  <c r="DP44" i="2" a="1"/>
  <c r="DP44" i="2" s="1"/>
  <c r="DU44" i="2" s="1"/>
  <c r="DK44" i="2" a="1"/>
  <c r="DK44" i="2" s="1"/>
  <c r="DW44" i="2" s="1" a="1"/>
  <c r="DW44" i="2" s="1"/>
  <c r="DJ44" i="2" a="1"/>
  <c r="DJ44" i="2" s="1"/>
  <c r="DV44" i="2" s="1"/>
  <c r="AK44" i="2" a="1"/>
  <c r="AK44" i="2" s="1"/>
  <c r="AJ44" i="2"/>
  <c r="AI44" i="2" a="1"/>
  <c r="AI44" i="2" s="1"/>
  <c r="AH44" i="2" a="1"/>
  <c r="AH44" i="2" s="1"/>
  <c r="AQ42" i="2"/>
  <c r="E44" i="8"/>
  <c r="A43" i="8"/>
  <c r="T45" i="2" l="1" a="1"/>
  <c r="T45" i="2" s="1"/>
  <c r="U45" i="2" s="1"/>
  <c r="CY46" i="2"/>
  <c r="FA46" i="2" s="1"/>
  <c r="FB46" i="2" s="1"/>
  <c r="E45" i="8"/>
  <c r="E46" i="8" s="1"/>
  <c r="A46" i="8" s="1"/>
  <c r="A44" i="8"/>
  <c r="W9" i="2"/>
  <c r="Z9" i="2"/>
  <c r="AA9" i="2" s="1"/>
  <c r="Z11" i="2"/>
  <c r="AA11" i="2" s="1"/>
  <c r="W11" i="2"/>
  <c r="Z12" i="2"/>
  <c r="AA12" i="2" s="1"/>
  <c r="W12" i="2"/>
  <c r="Y12" i="2" s="1"/>
  <c r="AO12" i="2" s="1"/>
  <c r="Z13" i="2"/>
  <c r="AA13" i="2" s="1"/>
  <c r="W13" i="2"/>
  <c r="Y13" i="2" s="1"/>
  <c r="AO13" i="2" s="1"/>
  <c r="Z14" i="2"/>
  <c r="AA14" i="2" s="1"/>
  <c r="W14" i="2"/>
  <c r="Z15" i="2"/>
  <c r="AA15" i="2" s="1"/>
  <c r="W15" i="2"/>
  <c r="Y15" i="2" s="1"/>
  <c r="AO15" i="2" s="1"/>
  <c r="Z16" i="2"/>
  <c r="AA16" i="2" s="1"/>
  <c r="W16" i="2"/>
  <c r="Y16" i="2" s="1"/>
  <c r="AU16" i="2" s="1"/>
  <c r="Z17" i="2"/>
  <c r="AA17" i="2" s="1"/>
  <c r="W17" i="2"/>
  <c r="Y17" i="2" s="1"/>
  <c r="AU17" i="2" s="1"/>
  <c r="Z18" i="2"/>
  <c r="AA18" i="2" s="1"/>
  <c r="W18" i="2"/>
  <c r="Y18" i="2" s="1"/>
  <c r="AO18" i="2" s="1"/>
  <c r="Z19" i="2"/>
  <c r="AA19" i="2" s="1"/>
  <c r="W19" i="2"/>
  <c r="Z20" i="2"/>
  <c r="AA20" i="2" s="1"/>
  <c r="W20" i="2"/>
  <c r="Y20" i="2" s="1"/>
  <c r="AU20" i="2" s="1"/>
  <c r="Z21" i="2"/>
  <c r="AA21" i="2" s="1"/>
  <c r="W21" i="2"/>
  <c r="Z22" i="2"/>
  <c r="AA22" i="2" s="1"/>
  <c r="W22" i="2"/>
  <c r="Y22" i="2" s="1"/>
  <c r="AO22" i="2" s="1"/>
  <c r="Z23" i="2"/>
  <c r="AA23" i="2" s="1"/>
  <c r="W23" i="2"/>
  <c r="Z24" i="2"/>
  <c r="AA24" i="2" s="1"/>
  <c r="W24" i="2"/>
  <c r="Y24" i="2" s="1"/>
  <c r="AU24" i="2" s="1"/>
  <c r="Z25" i="2"/>
  <c r="AA25" i="2" s="1"/>
  <c r="W25" i="2"/>
  <c r="Y25" i="2" s="1"/>
  <c r="AO25" i="2" s="1"/>
  <c r="Z26" i="2"/>
  <c r="AA26" i="2" s="1"/>
  <c r="W26" i="2"/>
  <c r="Y26" i="2" s="1"/>
  <c r="AU26" i="2" s="1"/>
  <c r="Z27" i="2"/>
  <c r="AA27" i="2" s="1"/>
  <c r="W27" i="2"/>
  <c r="Z28" i="2"/>
  <c r="AA28" i="2" s="1"/>
  <c r="W28" i="2"/>
  <c r="Y28" i="2" s="1"/>
  <c r="AU28" i="2" s="1"/>
  <c r="Z29" i="2"/>
  <c r="AA29" i="2" s="1"/>
  <c r="W29" i="2"/>
  <c r="Z30" i="2"/>
  <c r="AA30" i="2" s="1"/>
  <c r="W30" i="2"/>
  <c r="Y30" i="2" s="1"/>
  <c r="AU30" i="2" s="1"/>
  <c r="Z31" i="2"/>
  <c r="AA31" i="2" s="1"/>
  <c r="W31" i="2"/>
  <c r="Y31" i="2" s="1"/>
  <c r="AO31" i="2" s="1"/>
  <c r="Z32" i="2"/>
  <c r="AA32" i="2" s="1"/>
  <c r="W32" i="2"/>
  <c r="Y32" i="2" s="1"/>
  <c r="AO32" i="2" s="1"/>
  <c r="Z33" i="2"/>
  <c r="AA33" i="2" s="1"/>
  <c r="W33" i="2"/>
  <c r="Z34" i="2"/>
  <c r="AA34" i="2" s="1"/>
  <c r="W34" i="2"/>
  <c r="Y34" i="2" s="1"/>
  <c r="AO34" i="2" s="1"/>
  <c r="Z35" i="2"/>
  <c r="AA35" i="2" s="1"/>
  <c r="W35" i="2"/>
  <c r="Y35" i="2" s="1"/>
  <c r="AO35" i="2" s="1"/>
  <c r="Z36" i="2"/>
  <c r="AA36" i="2" s="1"/>
  <c r="W36" i="2"/>
  <c r="Y36" i="2" s="1"/>
  <c r="AU36" i="2" s="1"/>
  <c r="Z37" i="2"/>
  <c r="AA37" i="2" s="1"/>
  <c r="W37" i="2"/>
  <c r="Z38" i="2"/>
  <c r="AA38" i="2" s="1"/>
  <c r="W38" i="2"/>
  <c r="Y38" i="2" s="1"/>
  <c r="AO38" i="2" s="1"/>
  <c r="Z39" i="2"/>
  <c r="AA39" i="2" s="1"/>
  <c r="W39" i="2"/>
  <c r="Y39" i="2" s="1"/>
  <c r="AO39" i="2" s="1"/>
  <c r="Z40" i="2"/>
  <c r="AA40" i="2" s="1"/>
  <c r="W40" i="2"/>
  <c r="Y40" i="2" s="1"/>
  <c r="AU40" i="2" s="1"/>
  <c r="Z41" i="2"/>
  <c r="AA41" i="2" s="1"/>
  <c r="W41" i="2"/>
  <c r="Y41" i="2" s="1"/>
  <c r="AU41" i="2" s="1"/>
  <c r="Z42" i="2"/>
  <c r="AA42" i="2" s="1"/>
  <c r="W42" i="2"/>
  <c r="Y42" i="2" s="1"/>
  <c r="AU42" i="2" s="1"/>
  <c r="Z43" i="2"/>
  <c r="AA43" i="2" s="1"/>
  <c r="W43" i="2"/>
  <c r="Y43" i="2" s="1"/>
  <c r="AU43" i="2" s="1"/>
  <c r="AW43" i="2" s="1"/>
  <c r="Z44" i="2"/>
  <c r="AA44" i="2" s="1"/>
  <c r="W44" i="2"/>
  <c r="Y44" i="2" s="1"/>
  <c r="AU44" i="2" s="1"/>
  <c r="Z45" i="2"/>
  <c r="AA45" i="2" s="1"/>
  <c r="W45" i="2"/>
  <c r="Y45" i="2" s="1"/>
  <c r="Z46" i="2"/>
  <c r="AA46" i="2" s="1"/>
  <c r="W46" i="2"/>
  <c r="Y46" i="2" s="1"/>
  <c r="HE42" i="2"/>
  <c r="DR44" i="2"/>
  <c r="R44" i="2"/>
  <c r="AL44" i="2"/>
  <c r="BD44" i="2"/>
  <c r="BA44" i="2"/>
  <c r="AV44" i="2"/>
  <c r="AP44" i="2"/>
  <c r="AO44" i="2"/>
  <c r="AG46" i="2"/>
  <c r="P19" i="6"/>
  <c r="HM46" i="2"/>
  <c r="EV46" i="2"/>
  <c r="EW46" i="2" s="1"/>
  <c r="ER46" i="2"/>
  <c r="EM46" i="2"/>
  <c r="EN46" i="2" s="1"/>
  <c r="EJ46" i="2" a="1"/>
  <c r="EJ46" i="2" s="1"/>
  <c r="EI46" i="2" a="1"/>
  <c r="EI46" i="2" s="1"/>
  <c r="BI46" i="2"/>
  <c r="AF46" i="2" a="1"/>
  <c r="AF46" i="2" s="1"/>
  <c r="G46" i="2"/>
  <c r="E46" i="2"/>
  <c r="M46" i="2"/>
  <c r="GL46" i="2"/>
  <c r="GM46" i="2" s="1"/>
  <c r="GQ46" i="2"/>
  <c r="GR46" i="2" s="1"/>
  <c r="A48" i="2"/>
  <c r="DQ47" i="2"/>
  <c r="DO47" i="2"/>
  <c r="DM47" i="2"/>
  <c r="DL47" i="2"/>
  <c r="DI47" i="2"/>
  <c r="DE47" i="2"/>
  <c r="H47" i="2" s="1"/>
  <c r="DD47" i="2"/>
  <c r="CU47" i="2"/>
  <c r="CL47" i="2"/>
  <c r="CK47" i="2"/>
  <c r="CS47" i="2" s="1"/>
  <c r="CT47" i="2" s="1"/>
  <c r="CV47" i="2" s="1"/>
  <c r="CJ47" i="2"/>
  <c r="CF47" i="2"/>
  <c r="CE47" i="2"/>
  <c r="CC47" i="2"/>
  <c r="CB47" i="2"/>
  <c r="BY47" i="2"/>
  <c r="GH47" i="2" s="1"/>
  <c r="BU47" i="2"/>
  <c r="BT47" i="2"/>
  <c r="BS47" i="2"/>
  <c r="L47" i="2" s="1"/>
  <c r="BR47" i="2"/>
  <c r="BM47" i="2"/>
  <c r="BL47" i="2"/>
  <c r="BK47" i="2"/>
  <c r="AE47" i="2"/>
  <c r="AC47" i="2"/>
  <c r="Z47" i="2"/>
  <c r="AA47" i="2" s="1"/>
  <c r="W47" i="2"/>
  <c r="Y47" i="2" s="1"/>
  <c r="K47" i="2"/>
  <c r="J47" i="2"/>
  <c r="I47" i="2"/>
  <c r="D47" i="2"/>
  <c r="C47" i="2"/>
  <c r="B47" i="2"/>
  <c r="P45" i="2"/>
  <c r="DS45" i="2"/>
  <c r="DT45" i="2" s="1"/>
  <c r="DP45" i="2" a="1"/>
  <c r="DP45" i="2" s="1"/>
  <c r="DU45" i="2" s="1"/>
  <c r="DK45" i="2" a="1"/>
  <c r="DK45" i="2" s="1"/>
  <c r="DW45" i="2" s="1" a="1"/>
  <c r="DW45" i="2" s="1"/>
  <c r="DJ45" i="2" a="1"/>
  <c r="DJ45" i="2" s="1"/>
  <c r="DV45" i="2" s="1"/>
  <c r="AK45" i="2" a="1"/>
  <c r="AK45" i="2" s="1"/>
  <c r="AJ45" i="2"/>
  <c r="AI45" i="2" a="1"/>
  <c r="AI45" i="2" s="1"/>
  <c r="AH45" i="2" a="1"/>
  <c r="AH45" i="2" s="1"/>
  <c r="AQ43" i="2"/>
  <c r="T46" i="2" l="1" a="1"/>
  <c r="T46" i="2" s="1"/>
  <c r="BJ43" i="2"/>
  <c r="AW44" i="2"/>
  <c r="BJ44" i="2"/>
  <c r="CY47" i="2"/>
  <c r="FA47" i="2" s="1"/>
  <c r="FB47" i="2" s="1"/>
  <c r="HE43" i="2"/>
  <c r="V43" i="2"/>
  <c r="DR45" i="2"/>
  <c r="R45" i="2"/>
  <c r="AL45" i="2"/>
  <c r="BD45" i="2"/>
  <c r="BA45" i="2"/>
  <c r="AV45" i="2"/>
  <c r="AU45" i="2"/>
  <c r="AP45" i="2"/>
  <c r="AO45" i="2"/>
  <c r="AG47" i="2"/>
  <c r="HM47" i="2"/>
  <c r="EV47" i="2"/>
  <c r="EW47" i="2" s="1"/>
  <c r="ER47" i="2"/>
  <c r="EM47" i="2"/>
  <c r="EN47" i="2" s="1"/>
  <c r="EJ47" i="2" a="1"/>
  <c r="EJ47" i="2" s="1"/>
  <c r="BI47" i="2"/>
  <c r="AF47" i="2" a="1"/>
  <c r="AF47" i="2" s="1"/>
  <c r="G47" i="2"/>
  <c r="E47" i="2"/>
  <c r="AB47" i="2"/>
  <c r="M47" i="2"/>
  <c r="GL47" i="2"/>
  <c r="GM47" i="2" s="1"/>
  <c r="GQ47" i="2"/>
  <c r="GR47" i="2" s="1"/>
  <c r="A49" i="2"/>
  <c r="A50" i="2" s="1"/>
  <c r="DQ48" i="2"/>
  <c r="DO48" i="2"/>
  <c r="DM48" i="2"/>
  <c r="DL48" i="2"/>
  <c r="DI48" i="2"/>
  <c r="DE48" i="2"/>
  <c r="H48" i="2" s="1"/>
  <c r="DD48" i="2"/>
  <c r="CU48" i="2"/>
  <c r="CL48" i="2"/>
  <c r="CK48" i="2"/>
  <c r="CS48" i="2" s="1"/>
  <c r="CT48" i="2" s="1"/>
  <c r="CV48" i="2" s="1"/>
  <c r="CJ48" i="2"/>
  <c r="CF48" i="2"/>
  <c r="CE48" i="2"/>
  <c r="CC48" i="2"/>
  <c r="CB48" i="2"/>
  <c r="BY48" i="2"/>
  <c r="GH48" i="2" s="1"/>
  <c r="BU48" i="2"/>
  <c r="BT48" i="2"/>
  <c r="BS48" i="2"/>
  <c r="L48" i="2" s="1"/>
  <c r="BR48" i="2"/>
  <c r="BM48" i="2"/>
  <c r="BL48" i="2"/>
  <c r="BK48" i="2"/>
  <c r="AE48" i="2"/>
  <c r="AC48" i="2"/>
  <c r="Z48" i="2"/>
  <c r="AA48" i="2" s="1"/>
  <c r="W48" i="2"/>
  <c r="Y48" i="2" s="1"/>
  <c r="K48" i="2"/>
  <c r="J48" i="2"/>
  <c r="I48" i="2"/>
  <c r="D48" i="2"/>
  <c r="C48" i="2"/>
  <c r="B48" i="2"/>
  <c r="P46" i="2"/>
  <c r="U46" i="2"/>
  <c r="DS46" i="2"/>
  <c r="DT46" i="2" s="1"/>
  <c r="DP46" i="2" a="1"/>
  <c r="DP46" i="2" s="1"/>
  <c r="DU46" i="2" s="1"/>
  <c r="DK46" i="2" a="1"/>
  <c r="DK46" i="2" s="1"/>
  <c r="DW46" i="2" s="1" a="1"/>
  <c r="DW46" i="2" s="1"/>
  <c r="DJ46" i="2" a="1"/>
  <c r="DJ46" i="2" s="1"/>
  <c r="DV46" i="2" s="1"/>
  <c r="AK46" i="2" a="1"/>
  <c r="AK46" i="2" s="1"/>
  <c r="AJ46" i="2"/>
  <c r="AI46" i="2" a="1"/>
  <c r="AI46" i="2" s="1"/>
  <c r="AH46" i="2" a="1"/>
  <c r="AH46" i="2" s="1"/>
  <c r="AQ44" i="2"/>
  <c r="AB46" i="2"/>
  <c r="AB45" i="2"/>
  <c r="AB44" i="2"/>
  <c r="AB43" i="2"/>
  <c r="AW42" i="2"/>
  <c r="BJ42" i="2"/>
  <c r="AB42" i="2"/>
  <c r="AW41" i="2"/>
  <c r="BJ41" i="2"/>
  <c r="AB41" i="2"/>
  <c r="AW40" i="2"/>
  <c r="BJ40" i="2"/>
  <c r="AB40" i="2"/>
  <c r="BJ39" i="2"/>
  <c r="AQ39" i="2"/>
  <c r="AB39" i="2"/>
  <c r="BJ38" i="2"/>
  <c r="AQ38" i="2"/>
  <c r="AB38" i="2"/>
  <c r="Y37" i="2"/>
  <c r="AB37" i="2" s="1"/>
  <c r="AP37" i="2"/>
  <c r="AW36" i="2"/>
  <c r="BJ36" i="2"/>
  <c r="AB36" i="2"/>
  <c r="BJ35" i="2"/>
  <c r="AQ35" i="2"/>
  <c r="AB35" i="2"/>
  <c r="BJ34" i="2"/>
  <c r="AQ34" i="2"/>
  <c r="AB34" i="2"/>
  <c r="Y33" i="2"/>
  <c r="AB33" i="2" s="1"/>
  <c r="AP33" i="2"/>
  <c r="BJ32" i="2"/>
  <c r="AQ32" i="2"/>
  <c r="AB32" i="2"/>
  <c r="BJ31" i="2"/>
  <c r="AQ31" i="2"/>
  <c r="AB31" i="2"/>
  <c r="AW30" i="2"/>
  <c r="BJ30" i="2"/>
  <c r="AB30" i="2"/>
  <c r="Y29" i="2"/>
  <c r="AB29" i="2" s="1"/>
  <c r="AP29" i="2"/>
  <c r="AW28" i="2"/>
  <c r="BJ28" i="2"/>
  <c r="AB28" i="2"/>
  <c r="Y27" i="2"/>
  <c r="AB27" i="2" s="1"/>
  <c r="AP27" i="2"/>
  <c r="AW26" i="2"/>
  <c r="BJ26" i="2"/>
  <c r="AB26" i="2"/>
  <c r="BJ25" i="2"/>
  <c r="AQ25" i="2"/>
  <c r="AB25" i="2"/>
  <c r="AW24" i="2"/>
  <c r="BJ24" i="2"/>
  <c r="AB24" i="2"/>
  <c r="Y23" i="2"/>
  <c r="AB23" i="2" s="1"/>
  <c r="AP23" i="2"/>
  <c r="BJ22" i="2"/>
  <c r="AQ22" i="2"/>
  <c r="AB22" i="2"/>
  <c r="Y21" i="2"/>
  <c r="AB21" i="2" s="1"/>
  <c r="AP21" i="2"/>
  <c r="AW20" i="2"/>
  <c r="BJ20" i="2"/>
  <c r="AB20" i="2"/>
  <c r="Y19" i="2"/>
  <c r="AB19" i="2" s="1"/>
  <c r="AP19" i="2"/>
  <c r="BJ18" i="2"/>
  <c r="AQ18" i="2"/>
  <c r="AB18" i="2"/>
  <c r="AW17" i="2"/>
  <c r="BJ17" i="2"/>
  <c r="AB17" i="2"/>
  <c r="AW16" i="2"/>
  <c r="BJ16" i="2"/>
  <c r="AB16" i="2"/>
  <c r="BJ15" i="2"/>
  <c r="AQ15" i="2"/>
  <c r="AB15" i="2"/>
  <c r="Y14" i="2"/>
  <c r="AP14" i="2"/>
  <c r="AB14" i="2"/>
  <c r="BJ13" i="2"/>
  <c r="AQ13" i="2"/>
  <c r="AB13" i="2"/>
  <c r="BJ12" i="2"/>
  <c r="AQ12" i="2"/>
  <c r="AB12" i="2"/>
  <c r="Y11" i="2"/>
  <c r="AB11" i="2" s="1"/>
  <c r="AP11" i="2"/>
  <c r="Y9" i="2"/>
  <c r="AP9" i="2"/>
  <c r="A45" i="8"/>
  <c r="W10" i="2"/>
  <c r="Z10" i="2"/>
  <c r="AA10" i="2" s="1"/>
  <c r="DO50" i="2" l="1"/>
  <c r="DE50" i="2"/>
  <c r="H50" i="2" s="1"/>
  <c r="CK50" i="2"/>
  <c r="CS50" i="2" s="1"/>
  <c r="CT50" i="2" s="1"/>
  <c r="CV50" i="2" s="1"/>
  <c r="BT50" i="2"/>
  <c r="BY50" i="2"/>
  <c r="GH50" i="2" s="1"/>
  <c r="BL50" i="2"/>
  <c r="D50" i="2"/>
  <c r="Z50" i="2"/>
  <c r="AA50" i="2" s="1"/>
  <c r="AB50" i="2" s="1"/>
  <c r="I50" i="2"/>
  <c r="CC50" i="2"/>
  <c r="BR50" i="2"/>
  <c r="GL50" i="2" s="1"/>
  <c r="GM50" i="2" s="1"/>
  <c r="BU50" i="2"/>
  <c r="GQ50" i="2" s="1"/>
  <c r="GR50" i="2" s="1"/>
  <c r="BK50" i="2"/>
  <c r="CU50" i="2"/>
  <c r="CF50" i="2"/>
  <c r="CL50" i="2"/>
  <c r="CB50" i="2"/>
  <c r="C50" i="2"/>
  <c r="DL50" i="2"/>
  <c r="DQ50" i="2"/>
  <c r="K50" i="2"/>
  <c r="BS50" i="2"/>
  <c r="L50" i="2" s="1"/>
  <c r="B50" i="2"/>
  <c r="AE50" i="2"/>
  <c r="CJ50" i="2"/>
  <c r="DI50" i="2"/>
  <c r="J50" i="2"/>
  <c r="BM50" i="2"/>
  <c r="M50" i="2" s="1"/>
  <c r="DD50" i="2"/>
  <c r="AC50" i="2"/>
  <c r="CE50" i="2"/>
  <c r="DM50" i="2"/>
  <c r="W50" i="2"/>
  <c r="Y50" i="2" s="1"/>
  <c r="BJ14" i="2"/>
  <c r="EI47" i="2" a="1"/>
  <c r="EI47" i="2" s="1"/>
  <c r="T47" i="2" s="1" a="1"/>
  <c r="T47" i="2" s="1"/>
  <c r="U47" i="2" s="1"/>
  <c r="BJ21" i="2"/>
  <c r="CY48" i="2"/>
  <c r="FA48" i="2" s="1"/>
  <c r="FB48" i="2" s="1"/>
  <c r="BJ29" i="2"/>
  <c r="BJ37" i="2"/>
  <c r="BJ19" i="2"/>
  <c r="BJ27" i="2"/>
  <c r="BJ45" i="2"/>
  <c r="BJ33" i="2"/>
  <c r="AW45" i="2"/>
  <c r="HG45" i="2" s="1"/>
  <c r="BJ23" i="2"/>
  <c r="Y10" i="2"/>
  <c r="AB10" i="2" s="1"/>
  <c r="AP10" i="2"/>
  <c r="BJ9" i="2"/>
  <c r="AB9" i="2"/>
  <c r="BJ11" i="2"/>
  <c r="V12" i="2"/>
  <c r="V13" i="2"/>
  <c r="V15" i="2"/>
  <c r="V16" i="2"/>
  <c r="V17" i="2"/>
  <c r="V18" i="2"/>
  <c r="V20" i="2"/>
  <c r="V22" i="2"/>
  <c r="V24" i="2"/>
  <c r="V25" i="2"/>
  <c r="V26" i="2"/>
  <c r="HG28" i="2"/>
  <c r="V28" i="2"/>
  <c r="V30" i="2"/>
  <c r="V31" i="2"/>
  <c r="V32" i="2"/>
  <c r="HE34" i="2"/>
  <c r="V34" i="2"/>
  <c r="V35" i="2"/>
  <c r="HG36" i="2"/>
  <c r="V36" i="2"/>
  <c r="V38" i="2"/>
  <c r="V39" i="2"/>
  <c r="V40" i="2"/>
  <c r="V41" i="2"/>
  <c r="V42" i="2"/>
  <c r="HE44" i="2"/>
  <c r="V44" i="2"/>
  <c r="DR46" i="2"/>
  <c r="R46" i="2"/>
  <c r="AL46" i="2"/>
  <c r="BD46" i="2"/>
  <c r="BA46" i="2"/>
  <c r="AV46" i="2"/>
  <c r="AU46" i="2"/>
  <c r="AP46" i="2"/>
  <c r="AO46" i="2"/>
  <c r="AG48" i="2"/>
  <c r="HM48" i="2"/>
  <c r="EV48" i="2"/>
  <c r="EW48" i="2" s="1"/>
  <c r="ER48" i="2"/>
  <c r="EM48" i="2"/>
  <c r="EN48" i="2" s="1"/>
  <c r="EJ48" i="2" a="1"/>
  <c r="EJ48" i="2" s="1"/>
  <c r="BI48" i="2"/>
  <c r="AF48" i="2" a="1"/>
  <c r="AF48" i="2" s="1"/>
  <c r="G48" i="2"/>
  <c r="E48" i="2"/>
  <c r="AB48" i="2"/>
  <c r="M48" i="2"/>
  <c r="GL48" i="2"/>
  <c r="GM48" i="2" s="1"/>
  <c r="GQ48" i="2"/>
  <c r="GR48" i="2" s="1"/>
  <c r="DQ49" i="2"/>
  <c r="DO49" i="2"/>
  <c r="DM49" i="2"/>
  <c r="DL49" i="2"/>
  <c r="DI49" i="2"/>
  <c r="DE49" i="2"/>
  <c r="H49" i="2" s="1"/>
  <c r="DD49" i="2"/>
  <c r="CU49" i="2"/>
  <c r="CL49" i="2"/>
  <c r="CK49" i="2"/>
  <c r="CS49" i="2" s="1"/>
  <c r="CT49" i="2" s="1"/>
  <c r="CV49" i="2" s="1"/>
  <c r="CJ49" i="2"/>
  <c r="CF49" i="2"/>
  <c r="CE49" i="2"/>
  <c r="CC49" i="2"/>
  <c r="CB49" i="2"/>
  <c r="BY49" i="2"/>
  <c r="GH49" i="2" s="1"/>
  <c r="BU49" i="2"/>
  <c r="BT49" i="2"/>
  <c r="BS49" i="2"/>
  <c r="L49" i="2" s="1"/>
  <c r="BR49" i="2"/>
  <c r="BM49" i="2"/>
  <c r="BL49" i="2"/>
  <c r="BK49" i="2"/>
  <c r="AE49" i="2"/>
  <c r="AC49" i="2"/>
  <c r="Z49" i="2"/>
  <c r="AA49" i="2" s="1"/>
  <c r="W49" i="2"/>
  <c r="K49" i="2"/>
  <c r="J49" i="2"/>
  <c r="I49" i="2"/>
  <c r="D49" i="2"/>
  <c r="C49" i="2"/>
  <c r="B49" i="2"/>
  <c r="P47" i="2"/>
  <c r="DS47" i="2"/>
  <c r="DT47" i="2" s="1"/>
  <c r="DP47" i="2" a="1"/>
  <c r="DP47" i="2" s="1"/>
  <c r="DU47" i="2" s="1"/>
  <c r="DK47" i="2" a="1"/>
  <c r="DK47" i="2" s="1"/>
  <c r="DW47" i="2" s="1" a="1"/>
  <c r="DW47" i="2" s="1"/>
  <c r="DJ47" i="2" a="1"/>
  <c r="DJ47" i="2" s="1"/>
  <c r="DV47" i="2" s="1"/>
  <c r="AK47" i="2" a="1"/>
  <c r="AK47" i="2" s="1"/>
  <c r="AJ47" i="2"/>
  <c r="AI47" i="2" a="1"/>
  <c r="AI47" i="2" s="1"/>
  <c r="AH47" i="2" a="1"/>
  <c r="AH47" i="2" s="1"/>
  <c r="AQ45" i="2"/>
  <c r="EK43" i="2"/>
  <c r="A11" i="9"/>
  <c r="AG50" i="2" l="1"/>
  <c r="EI50" i="2" a="1"/>
  <c r="EI50" i="2" s="1"/>
  <c r="BI50" i="2"/>
  <c r="EV50" i="2"/>
  <c r="EW50" i="2" s="1"/>
  <c r="G50" i="2"/>
  <c r="EM50" i="2"/>
  <c r="EN50" i="2" s="1"/>
  <c r="ER50" i="2"/>
  <c r="HM50" i="2"/>
  <c r="E50" i="2"/>
  <c r="P50" i="2" s="1"/>
  <c r="EJ50" i="2" a="1"/>
  <c r="EJ50" i="2" s="1"/>
  <c r="AF50" i="2" a="1"/>
  <c r="AF50" i="2" s="1"/>
  <c r="T50" i="2" a="1"/>
  <c r="T50" i="2" s="1"/>
  <c r="U50" i="2" s="1"/>
  <c r="CY50" i="2"/>
  <c r="FA50" i="2" s="1"/>
  <c r="FB50" i="2" s="1"/>
  <c r="BJ10" i="2"/>
  <c r="EI48" i="2" a="1"/>
  <c r="EI48" i="2" s="1"/>
  <c r="T48" i="2" s="1" a="1"/>
  <c r="T48" i="2" s="1"/>
  <c r="U48" i="2" s="1"/>
  <c r="CY49" i="2"/>
  <c r="FA49" i="2" s="1"/>
  <c r="FB49" i="2" s="1"/>
  <c r="V45" i="2"/>
  <c r="DR47" i="2"/>
  <c r="R47" i="2"/>
  <c r="AL47" i="2"/>
  <c r="BD47" i="2"/>
  <c r="BA47" i="2"/>
  <c r="AV47" i="2"/>
  <c r="AU47" i="2"/>
  <c r="AP47" i="2"/>
  <c r="AO47" i="2"/>
  <c r="AG49" i="2"/>
  <c r="A53" i="9"/>
  <c r="A52" i="9"/>
  <c r="A51" i="9"/>
  <c r="G34" i="3"/>
  <c r="HM49" i="2"/>
  <c r="HM61" i="2" s="1"/>
  <c r="EV49" i="2"/>
  <c r="EW49" i="2" s="1"/>
  <c r="ER49" i="2"/>
  <c r="EM49" i="2"/>
  <c r="EN49" i="2" s="1"/>
  <c r="EJ49" i="2" a="1"/>
  <c r="EJ49" i="2" s="1"/>
  <c r="EI49" i="2" a="1"/>
  <c r="EI49" i="2" s="1"/>
  <c r="BI49" i="2"/>
  <c r="BI61" i="2" s="1"/>
  <c r="AF49" i="2" a="1"/>
  <c r="AF49" i="2" s="1"/>
  <c r="G49" i="2"/>
  <c r="E49" i="2"/>
  <c r="Y49" i="2"/>
  <c r="Y61" i="2" s="1"/>
  <c r="L31" i="1" s="1"/>
  <c r="W61" i="2"/>
  <c r="AB49" i="2"/>
  <c r="M49" i="2"/>
  <c r="GL49" i="2"/>
  <c r="GM49" i="2" s="1"/>
  <c r="F105" i="3"/>
  <c r="F98" i="3"/>
  <c r="F126" i="3"/>
  <c r="F124" i="3"/>
  <c r="F96" i="3"/>
  <c r="F115" i="3"/>
  <c r="F81" i="3"/>
  <c r="F153" i="3"/>
  <c r="F152" i="3"/>
  <c r="F149" i="3"/>
  <c r="F148" i="3"/>
  <c r="F145" i="3"/>
  <c r="F144" i="3"/>
  <c r="F143" i="3"/>
  <c r="F142" i="3"/>
  <c r="F140" i="3"/>
  <c r="F139" i="3"/>
  <c r="F138" i="3"/>
  <c r="F136" i="3"/>
  <c r="F134" i="3"/>
  <c r="F133" i="3"/>
  <c r="F132" i="3"/>
  <c r="F131" i="3"/>
  <c r="F130" i="3"/>
  <c r="F129" i="3"/>
  <c r="F127" i="3"/>
  <c r="F125" i="3"/>
  <c r="F122" i="3"/>
  <c r="F121" i="3"/>
  <c r="F120" i="3"/>
  <c r="F119" i="3"/>
  <c r="F118" i="3"/>
  <c r="F117" i="3"/>
  <c r="F113" i="3"/>
  <c r="F111" i="3"/>
  <c r="F110" i="3"/>
  <c r="F108" i="3"/>
  <c r="F107" i="3"/>
  <c r="F106" i="3"/>
  <c r="F104" i="3"/>
  <c r="F103" i="3"/>
  <c r="F102" i="3"/>
  <c r="F100" i="3"/>
  <c r="F99" i="3"/>
  <c r="F97" i="3"/>
  <c r="F95" i="3"/>
  <c r="F93" i="3"/>
  <c r="F90" i="3"/>
  <c r="F88" i="3"/>
  <c r="F87" i="3"/>
  <c r="F86" i="3"/>
  <c r="F85" i="3"/>
  <c r="F84" i="3"/>
  <c r="F83" i="3"/>
  <c r="F82" i="3"/>
  <c r="GQ49" i="2"/>
  <c r="GR49" i="2" s="1"/>
  <c r="L38" i="1"/>
  <c r="G177" i="3"/>
  <c r="G173" i="3"/>
  <c r="P48" i="2"/>
  <c r="DS48" i="2"/>
  <c r="DT48" i="2" s="1"/>
  <c r="DP48" i="2" a="1"/>
  <c r="DP48" i="2" s="1"/>
  <c r="DK48" i="2" a="1"/>
  <c r="DK48" i="2" s="1"/>
  <c r="DW48" i="2" s="1" a="1"/>
  <c r="DW48" i="2" s="1"/>
  <c r="DJ48" i="2" a="1"/>
  <c r="DJ48" i="2" s="1"/>
  <c r="DV48" i="2" s="1"/>
  <c r="AK48" i="2" a="1"/>
  <c r="AK48" i="2" s="1"/>
  <c r="AJ48" i="2"/>
  <c r="AI48" i="2" a="1"/>
  <c r="AI48" i="2" s="1"/>
  <c r="AH48" i="2" a="1"/>
  <c r="AH48" i="2" s="1"/>
  <c r="BJ46" i="2"/>
  <c r="AW46" i="2"/>
  <c r="AQ46" i="2"/>
  <c r="EK44" i="2"/>
  <c r="A17" i="9"/>
  <c r="EK42" i="2"/>
  <c r="A41" i="9"/>
  <c r="EK41" i="2"/>
  <c r="A27" i="9"/>
  <c r="EK40" i="2"/>
  <c r="A37" i="9"/>
  <c r="EK39" i="2"/>
  <c r="A15" i="9"/>
  <c r="EK38" i="2"/>
  <c r="A14" i="9"/>
  <c r="F101" i="3"/>
  <c r="EK36" i="2"/>
  <c r="A36" i="9"/>
  <c r="EK35" i="2"/>
  <c r="A25" i="9"/>
  <c r="EK34" i="2"/>
  <c r="A7" i="9"/>
  <c r="F141" i="3"/>
  <c r="EK32" i="2"/>
  <c r="A12" i="9"/>
  <c r="F114" i="3"/>
  <c r="EK31" i="2"/>
  <c r="A33" i="9"/>
  <c r="F147" i="3"/>
  <c r="EK30" i="2"/>
  <c r="A38" i="9"/>
  <c r="EK28" i="2"/>
  <c r="A18" i="9"/>
  <c r="F112" i="3"/>
  <c r="EK26" i="2"/>
  <c r="A26" i="9"/>
  <c r="EK25" i="2"/>
  <c r="A35" i="9"/>
  <c r="F109" i="3"/>
  <c r="EK24" i="2"/>
  <c r="A19" i="9"/>
  <c r="EK22" i="2"/>
  <c r="A31" i="9"/>
  <c r="F151" i="3"/>
  <c r="F92" i="3"/>
  <c r="EK20" i="2"/>
  <c r="A16" i="9"/>
  <c r="F135" i="3"/>
  <c r="EK18" i="2"/>
  <c r="A22" i="9"/>
  <c r="EK17" i="2"/>
  <c r="A34" i="9"/>
  <c r="F128" i="3"/>
  <c r="EK16" i="2"/>
  <c r="A9" i="9"/>
  <c r="F116" i="3"/>
  <c r="EK15" i="2"/>
  <c r="A10" i="9"/>
  <c r="F137" i="3"/>
  <c r="EK13" i="2"/>
  <c r="A13" i="9"/>
  <c r="EK12" i="2"/>
  <c r="A20" i="9"/>
  <c r="F150" i="3"/>
  <c r="AL50" i="2" l="1"/>
  <c r="R50" i="2"/>
  <c r="BA50" i="2"/>
  <c r="BD50" i="2"/>
  <c r="AU50" i="2"/>
  <c r="AW50" i="2" s="1"/>
  <c r="AV50" i="2"/>
  <c r="AO50" i="2"/>
  <c r="AP50" i="2"/>
  <c r="AI50" i="2" a="1"/>
  <c r="AI50" i="2" s="1"/>
  <c r="DJ50" i="2" a="1"/>
  <c r="DJ50" i="2" s="1"/>
  <c r="DV50" i="2" s="1"/>
  <c r="DP50" i="2" a="1"/>
  <c r="DP50" i="2" s="1"/>
  <c r="DU50" i="2" s="1"/>
  <c r="AH50" i="2" a="1"/>
  <c r="AH50" i="2" s="1"/>
  <c r="AK50" i="2" a="1"/>
  <c r="AK50" i="2" s="1"/>
  <c r="DS50" i="2"/>
  <c r="DT50" i="2" s="1"/>
  <c r="AJ50" i="2"/>
  <c r="DK50" i="2" a="1"/>
  <c r="DK50" i="2" s="1"/>
  <c r="DW50" i="2" s="1" a="1"/>
  <c r="DW50" i="2" s="1"/>
  <c r="T49" i="2" a="1"/>
  <c r="T49" i="2" s="1"/>
  <c r="I9" i="3" s="1"/>
  <c r="BJ47" i="2"/>
  <c r="AW47" i="2"/>
  <c r="HG47" i="2" s="1"/>
  <c r="EK3" i="2"/>
  <c r="EN20" i="2"/>
  <c r="H141" i="3"/>
  <c r="V46" i="2"/>
  <c r="HG46" i="2"/>
  <c r="DU63" i="2"/>
  <c r="DU48" i="2"/>
  <c r="DR48" i="2" s="1"/>
  <c r="R48" i="2"/>
  <c r="AL48" i="2"/>
  <c r="BD48" i="2"/>
  <c r="BA48" i="2"/>
  <c r="AV48" i="2"/>
  <c r="AU48" i="2"/>
  <c r="AP48" i="2"/>
  <c r="AO48" i="2"/>
  <c r="GR61" i="2"/>
  <c r="L68" i="3" s="1"/>
  <c r="H82" i="3"/>
  <c r="H83" i="3"/>
  <c r="H84" i="3"/>
  <c r="H85" i="3"/>
  <c r="H86" i="3"/>
  <c r="H87" i="3"/>
  <c r="H88" i="3"/>
  <c r="H90" i="3"/>
  <c r="H93" i="3"/>
  <c r="H95" i="3"/>
  <c r="H97" i="3"/>
  <c r="H99" i="3"/>
  <c r="H100" i="3"/>
  <c r="H102" i="3"/>
  <c r="H103" i="3"/>
  <c r="H104" i="3"/>
  <c r="H106" i="3"/>
  <c r="H107" i="3"/>
  <c r="H108" i="3"/>
  <c r="H110" i="3"/>
  <c r="H111" i="3"/>
  <c r="H113" i="3"/>
  <c r="H117" i="3"/>
  <c r="H118" i="3"/>
  <c r="H119" i="3"/>
  <c r="H120" i="3"/>
  <c r="H121" i="3"/>
  <c r="H122" i="3"/>
  <c r="H125" i="3"/>
  <c r="H127" i="3"/>
  <c r="H129" i="3"/>
  <c r="H130" i="3"/>
  <c r="H131" i="3"/>
  <c r="H132" i="3"/>
  <c r="H133" i="3"/>
  <c r="H134" i="3"/>
  <c r="H136" i="3"/>
  <c r="H138" i="3"/>
  <c r="H139" i="3"/>
  <c r="H140" i="3"/>
  <c r="H142" i="3"/>
  <c r="H143" i="3"/>
  <c r="H144" i="3"/>
  <c r="H145" i="3"/>
  <c r="H148" i="3"/>
  <c r="H149" i="3"/>
  <c r="H152" i="3"/>
  <c r="H153" i="3"/>
  <c r="H81" i="3"/>
  <c r="H115" i="3"/>
  <c r="H96" i="3"/>
  <c r="H124" i="3"/>
  <c r="H126" i="3"/>
  <c r="H98" i="3"/>
  <c r="H105" i="3"/>
  <c r="L60" i="1"/>
  <c r="P49" i="2"/>
  <c r="I29" i="3"/>
  <c r="I22" i="3"/>
  <c r="I14" i="3"/>
  <c r="I6" i="3"/>
  <c r="ER61" i="2"/>
  <c r="L50" i="3" s="1"/>
  <c r="G39" i="3" a="1"/>
  <c r="G39" i="3" s="1"/>
  <c r="DS49" i="2"/>
  <c r="DT49" i="2" s="1"/>
  <c r="DP49" i="2" a="1"/>
  <c r="DP49" i="2" s="1"/>
  <c r="DU49" i="2" s="1"/>
  <c r="DK49" i="2" a="1"/>
  <c r="DK49" i="2" s="1"/>
  <c r="DW49" i="2" s="1" a="1"/>
  <c r="DW49" i="2" s="1"/>
  <c r="DJ49" i="2" a="1"/>
  <c r="DJ49" i="2" s="1"/>
  <c r="DV49" i="2" s="1"/>
  <c r="AK49" i="2" a="1"/>
  <c r="AK49" i="2" s="1"/>
  <c r="AJ49" i="2"/>
  <c r="AI49" i="2" a="1"/>
  <c r="AI49" i="2" s="1"/>
  <c r="AH49" i="2" a="1"/>
  <c r="AH49" i="2" s="1"/>
  <c r="AQ47" i="2"/>
  <c r="EK45" i="2"/>
  <c r="A28" i="9"/>
  <c r="F123" i="3"/>
  <c r="AQ50" i="2" l="1"/>
  <c r="BJ50" i="2"/>
  <c r="DR50" i="2"/>
  <c r="H17" i="3"/>
  <c r="I10" i="3"/>
  <c r="I18" i="3"/>
  <c r="I26" i="3"/>
  <c r="I12" i="3"/>
  <c r="K10" i="3"/>
  <c r="K18" i="3"/>
  <c r="K26" i="3"/>
  <c r="K6" i="3"/>
  <c r="K22" i="3"/>
  <c r="I7" i="3"/>
  <c r="I23" i="3"/>
  <c r="H9" i="3"/>
  <c r="U49" i="2"/>
  <c r="U61" i="2" s="1"/>
  <c r="I28" i="3"/>
  <c r="I11" i="3"/>
  <c r="I19" i="3"/>
  <c r="I27" i="3"/>
  <c r="K14" i="3"/>
  <c r="K29" i="3"/>
  <c r="I15" i="3"/>
  <c r="I30" i="3"/>
  <c r="H25" i="3"/>
  <c r="H5" i="3"/>
  <c r="H13" i="3"/>
  <c r="H21" i="3"/>
  <c r="H29" i="3"/>
  <c r="I5" i="3"/>
  <c r="I21" i="3"/>
  <c r="I24" i="3"/>
  <c r="I8" i="3"/>
  <c r="I25" i="3"/>
  <c r="V47" i="2"/>
  <c r="DR49" i="2"/>
  <c r="R49" i="2"/>
  <c r="AL49" i="2"/>
  <c r="AL61" i="2" s="1"/>
  <c r="BD49" i="2"/>
  <c r="BA49" i="2"/>
  <c r="BA61" i="2" s="1"/>
  <c r="AV49" i="2"/>
  <c r="I20" i="3" s="1"/>
  <c r="AU49" i="2"/>
  <c r="AU61" i="2" s="1"/>
  <c r="AP49" i="2"/>
  <c r="AP61" i="2" s="1"/>
  <c r="AO49" i="2"/>
  <c r="AO61" i="2" s="1"/>
  <c r="GD37" i="2"/>
  <c r="FY37" i="2"/>
  <c r="FZ37" i="2" s="1"/>
  <c r="FT37" i="2"/>
  <c r="FU37" i="2" s="1"/>
  <c r="GD33" i="2"/>
  <c r="FY33" i="2"/>
  <c r="FZ33" i="2" s="1"/>
  <c r="FT33" i="2"/>
  <c r="FU33" i="2" s="1"/>
  <c r="GD29" i="2"/>
  <c r="FY29" i="2"/>
  <c r="FZ29" i="2" s="1"/>
  <c r="FT29" i="2"/>
  <c r="FU29" i="2" s="1"/>
  <c r="GD21" i="2"/>
  <c r="FY21" i="2"/>
  <c r="FZ21" i="2" s="1"/>
  <c r="FT21" i="2"/>
  <c r="FU21" i="2" s="1"/>
  <c r="GD11" i="2"/>
  <c r="FY11" i="2"/>
  <c r="FZ11" i="2" s="1"/>
  <c r="FT11" i="2"/>
  <c r="FU11" i="2" s="1"/>
  <c r="GD10" i="2"/>
  <c r="FY10" i="2"/>
  <c r="FZ10" i="2" s="1"/>
  <c r="FT10" i="2"/>
  <c r="FU10" i="2" s="1"/>
  <c r="GD9" i="2"/>
  <c r="FY9" i="2"/>
  <c r="FT9" i="2"/>
  <c r="D87" i="14"/>
  <c r="BJ48" i="2"/>
  <c r="I13" i="3"/>
  <c r="I16" i="3"/>
  <c r="AW48" i="2"/>
  <c r="BD61" i="2"/>
  <c r="AQ48" i="2"/>
  <c r="EK46" i="2"/>
  <c r="A39" i="9"/>
  <c r="GD34" i="2"/>
  <c r="FY34" i="2"/>
  <c r="FZ34" i="2" s="1"/>
  <c r="FT34" i="2"/>
  <c r="FU34" i="2" s="1"/>
  <c r="EN61" i="2"/>
  <c r="L49" i="3" s="1"/>
  <c r="L37" i="1" l="1" a="1"/>
  <c r="L37" i="1" s="1"/>
  <c r="HE50" i="2"/>
  <c r="V50" i="2"/>
  <c r="H32" i="3"/>
  <c r="AV61" i="2"/>
  <c r="BJ49" i="2"/>
  <c r="V48" i="2"/>
  <c r="HG48" i="2"/>
  <c r="FU9" i="2"/>
  <c r="FZ9" i="2"/>
  <c r="AW49" i="2"/>
  <c r="I17" i="3"/>
  <c r="AQ49" i="2"/>
  <c r="EK47" i="2"/>
  <c r="A40" i="9"/>
  <c r="F146" i="3"/>
  <c r="EK50" i="2" l="1"/>
  <c r="F91" i="3"/>
  <c r="HE49" i="2"/>
  <c r="V49" i="2"/>
  <c r="AQ61" i="2"/>
  <c r="I32" i="3"/>
  <c r="AW61" i="2"/>
  <c r="EK48" i="2"/>
  <c r="A50" i="9"/>
  <c r="F94" i="3"/>
  <c r="V64" i="2" l="1"/>
  <c r="B14" i="13" s="1"/>
  <c r="A43" i="9"/>
  <c r="V61" i="2"/>
  <c r="M43" i="3" s="1"/>
  <c r="J8" i="3"/>
  <c r="J9" i="3"/>
  <c r="J25" i="3"/>
  <c r="J5" i="3"/>
  <c r="J21" i="3"/>
  <c r="J24" i="3"/>
  <c r="J12" i="3"/>
  <c r="J28" i="3"/>
  <c r="J6" i="3"/>
  <c r="J7" i="3"/>
  <c r="J10" i="3"/>
  <c r="J11" i="3"/>
  <c r="J14" i="3"/>
  <c r="J15" i="3"/>
  <c r="J18" i="3"/>
  <c r="J19" i="3"/>
  <c r="J22" i="3"/>
  <c r="J23" i="3"/>
  <c r="J26" i="3"/>
  <c r="J27" i="3"/>
  <c r="J29" i="3"/>
  <c r="J30" i="3"/>
  <c r="J16" i="3"/>
  <c r="J13" i="3"/>
  <c r="J20" i="3"/>
  <c r="J17" i="3"/>
  <c r="EK49" i="2"/>
  <c r="A42" i="9"/>
  <c r="F89" i="3"/>
  <c r="L33" i="1" l="1"/>
  <c r="H89" i="3"/>
  <c r="H150" i="3"/>
  <c r="H137" i="3"/>
  <c r="H116" i="3"/>
  <c r="H128" i="3"/>
  <c r="H135" i="3"/>
  <c r="H92" i="3"/>
  <c r="H151" i="3"/>
  <c r="H109" i="3"/>
  <c r="H112" i="3"/>
  <c r="H147" i="3"/>
  <c r="H114" i="3"/>
  <c r="H101" i="3"/>
  <c r="F157" i="3"/>
  <c r="H91" i="3"/>
  <c r="H123" i="3"/>
  <c r="H146" i="3"/>
  <c r="H94" i="3"/>
  <c r="EK61" i="2"/>
  <c r="J32" i="3"/>
  <c r="M63" i="3"/>
  <c r="J63" i="3"/>
  <c r="M62" i="3"/>
  <c r="J62" i="3"/>
  <c r="M56" i="3"/>
  <c r="J56" i="3"/>
  <c r="FG50" i="2" s="1"/>
  <c r="M55" i="3"/>
  <c r="J55" i="3"/>
  <c r="FF50" i="2" s="1"/>
  <c r="M54" i="3"/>
  <c r="J54" i="3"/>
  <c r="FE50" i="2" s="1"/>
  <c r="M53" i="3"/>
  <c r="J53" i="3"/>
  <c r="J49" i="3"/>
  <c r="EL50" i="2" s="1"/>
  <c r="EO50" i="2" s="1"/>
  <c r="EP50" i="2" s="1"/>
  <c r="J50" i="3"/>
  <c r="EQ50" i="2" s="1"/>
  <c r="J51" i="3"/>
  <c r="EU50" i="2" s="1"/>
  <c r="EX50" i="2" s="1"/>
  <c r="J52" i="3"/>
  <c r="EZ50" i="2" s="1"/>
  <c r="FC50" i="2" s="1"/>
  <c r="J57" i="3"/>
  <c r="FH50" i="2" s="1"/>
  <c r="J58" i="3"/>
  <c r="FR50" i="2" s="1"/>
  <c r="J59" i="3"/>
  <c r="FW50" i="2" s="1"/>
  <c r="J61" i="3"/>
  <c r="GB50" i="2" s="1"/>
  <c r="J64" i="3"/>
  <c r="GG50" i="2" s="1"/>
  <c r="J67" i="3"/>
  <c r="GK50" i="2" s="1"/>
  <c r="GN50" i="2" s="1"/>
  <c r="J68" i="3"/>
  <c r="GP50" i="2" s="1"/>
  <c r="GS50" i="2" s="1"/>
  <c r="J69" i="3"/>
  <c r="GU50" i="2" s="1"/>
  <c r="GX50" i="2" s="1"/>
  <c r="J70" i="3"/>
  <c r="GZ50" i="2" s="1"/>
  <c r="HC50" i="2" s="1"/>
  <c r="M70" i="3"/>
  <c r="M50" i="3"/>
  <c r="M68" i="3"/>
  <c r="M49" i="3"/>
  <c r="FT50" i="2" l="1"/>
  <c r="FU50" i="2" s="1"/>
  <c r="FY50" i="2"/>
  <c r="GD50" i="2"/>
  <c r="C89" i="14"/>
  <c r="GZ49" i="2"/>
  <c r="HC49" i="2" s="1"/>
  <c r="GZ48" i="2"/>
  <c r="HC48" i="2" s="1"/>
  <c r="GZ47" i="2"/>
  <c r="HC47" i="2" s="1"/>
  <c r="GZ46" i="2"/>
  <c r="HC46" i="2" s="1"/>
  <c r="GZ45" i="2"/>
  <c r="HC45" i="2" s="1"/>
  <c r="GZ44" i="2"/>
  <c r="HC44" i="2" s="1"/>
  <c r="GZ43" i="2"/>
  <c r="HC43" i="2" s="1"/>
  <c r="GZ42" i="2"/>
  <c r="HC42" i="2" s="1"/>
  <c r="GZ41" i="2"/>
  <c r="HC41" i="2" s="1"/>
  <c r="GZ40" i="2"/>
  <c r="HC40" i="2" s="1"/>
  <c r="GZ39" i="2"/>
  <c r="HC39" i="2" s="1"/>
  <c r="GZ38" i="2"/>
  <c r="HC38" i="2" s="1"/>
  <c r="GZ37" i="2"/>
  <c r="HC37" i="2" s="1"/>
  <c r="GZ36" i="2"/>
  <c r="HC36" i="2" s="1"/>
  <c r="GZ35" i="2"/>
  <c r="HC35" i="2" s="1"/>
  <c r="GZ34" i="2"/>
  <c r="HC34" i="2" s="1"/>
  <c r="GZ33" i="2"/>
  <c r="HC33" i="2" s="1"/>
  <c r="GZ32" i="2"/>
  <c r="HC32" i="2" s="1"/>
  <c r="GZ31" i="2"/>
  <c r="HC31" i="2" s="1"/>
  <c r="GZ30" i="2"/>
  <c r="HC30" i="2" s="1"/>
  <c r="GZ29" i="2"/>
  <c r="HC29" i="2" s="1"/>
  <c r="GZ28" i="2"/>
  <c r="HC28" i="2" s="1"/>
  <c r="GZ27" i="2"/>
  <c r="HC27" i="2" s="1"/>
  <c r="GZ26" i="2"/>
  <c r="HC26" i="2" s="1"/>
  <c r="GZ25" i="2"/>
  <c r="HC25" i="2" s="1"/>
  <c r="GZ24" i="2"/>
  <c r="HC24" i="2" s="1"/>
  <c r="GZ23" i="2"/>
  <c r="HC23" i="2" s="1"/>
  <c r="GZ22" i="2"/>
  <c r="HC22" i="2" s="1"/>
  <c r="GZ21" i="2"/>
  <c r="HC21" i="2" s="1"/>
  <c r="GZ20" i="2"/>
  <c r="HC20" i="2" s="1"/>
  <c r="GZ19" i="2"/>
  <c r="HC19" i="2" s="1"/>
  <c r="GZ18" i="2"/>
  <c r="HC18" i="2" s="1"/>
  <c r="GZ17" i="2"/>
  <c r="HC17" i="2" s="1"/>
  <c r="GZ16" i="2"/>
  <c r="HC16" i="2" s="1"/>
  <c r="GZ15" i="2"/>
  <c r="HC15" i="2" s="1"/>
  <c r="GZ14" i="2"/>
  <c r="HC14" i="2" s="1"/>
  <c r="GZ13" i="2"/>
  <c r="HC13" i="2" s="1"/>
  <c r="GZ12" i="2"/>
  <c r="HC12" i="2" s="1"/>
  <c r="GZ11" i="2"/>
  <c r="HC11" i="2" s="1"/>
  <c r="GZ10" i="2"/>
  <c r="HC10" i="2" s="1"/>
  <c r="GZ9" i="2"/>
  <c r="HC9" i="2" s="1"/>
  <c r="C88" i="14"/>
  <c r="GU49" i="2"/>
  <c r="GX49" i="2" s="1"/>
  <c r="GU48" i="2"/>
  <c r="GX48" i="2" s="1"/>
  <c r="GU47" i="2"/>
  <c r="GX47" i="2" s="1"/>
  <c r="GU46" i="2"/>
  <c r="GX46" i="2" s="1"/>
  <c r="GU45" i="2"/>
  <c r="GX45" i="2" s="1"/>
  <c r="GU44" i="2"/>
  <c r="GX44" i="2" s="1"/>
  <c r="GU43" i="2"/>
  <c r="GX43" i="2" s="1"/>
  <c r="GU42" i="2"/>
  <c r="GX42" i="2" s="1"/>
  <c r="GU41" i="2"/>
  <c r="GX41" i="2" s="1"/>
  <c r="GU40" i="2"/>
  <c r="GX40" i="2" s="1"/>
  <c r="GU39" i="2"/>
  <c r="GX39" i="2" s="1"/>
  <c r="GU38" i="2"/>
  <c r="GX38" i="2" s="1"/>
  <c r="GU37" i="2"/>
  <c r="GX37" i="2" s="1"/>
  <c r="GU36" i="2"/>
  <c r="GU35" i="2"/>
  <c r="GX35" i="2" s="1"/>
  <c r="GU34" i="2"/>
  <c r="GX34" i="2" s="1"/>
  <c r="GU33" i="2"/>
  <c r="GX33" i="2" s="1"/>
  <c r="GU32" i="2"/>
  <c r="GX32" i="2" s="1"/>
  <c r="GU31" i="2"/>
  <c r="GX31" i="2" s="1"/>
  <c r="GU30" i="2"/>
  <c r="GX30" i="2" s="1"/>
  <c r="GU29" i="2"/>
  <c r="GX29" i="2" s="1"/>
  <c r="GU28" i="2"/>
  <c r="GX28" i="2" s="1"/>
  <c r="GU27" i="2"/>
  <c r="GU26" i="2"/>
  <c r="GX26" i="2" s="1"/>
  <c r="GU25" i="2"/>
  <c r="GX25" i="2" s="1"/>
  <c r="GU24" i="2"/>
  <c r="GX24" i="2" s="1"/>
  <c r="GU23" i="2"/>
  <c r="GX23" i="2" s="1"/>
  <c r="GU22" i="2"/>
  <c r="GX22" i="2" s="1"/>
  <c r="GU21" i="2"/>
  <c r="GX21" i="2" s="1"/>
  <c r="GU20" i="2"/>
  <c r="GX20" i="2" s="1"/>
  <c r="GU19" i="2"/>
  <c r="GX19" i="2" s="1"/>
  <c r="GU18" i="2"/>
  <c r="GX18" i="2" s="1"/>
  <c r="GU17" i="2"/>
  <c r="GX17" i="2" s="1"/>
  <c r="GU16" i="2"/>
  <c r="GU15" i="2"/>
  <c r="GX15" i="2" s="1"/>
  <c r="GU14" i="2"/>
  <c r="GX14" i="2" s="1"/>
  <c r="GU13" i="2"/>
  <c r="GX13" i="2" s="1"/>
  <c r="GU12" i="2"/>
  <c r="GX12" i="2" s="1"/>
  <c r="GU11" i="2"/>
  <c r="GX11" i="2" s="1"/>
  <c r="GU10" i="2"/>
  <c r="GU9" i="2"/>
  <c r="GX9" i="2" s="1"/>
  <c r="C87" i="14"/>
  <c r="GP49" i="2"/>
  <c r="GS49" i="2" s="1"/>
  <c r="GP48" i="2"/>
  <c r="GS48" i="2" s="1"/>
  <c r="GP47" i="2"/>
  <c r="GS47" i="2" s="1"/>
  <c r="GP46" i="2"/>
  <c r="GS46" i="2" s="1"/>
  <c r="GP45" i="2"/>
  <c r="GS45" i="2" s="1"/>
  <c r="GP44" i="2"/>
  <c r="GS44" i="2" s="1"/>
  <c r="GP43" i="2"/>
  <c r="GS43" i="2" s="1"/>
  <c r="GP42" i="2"/>
  <c r="GS42" i="2" s="1"/>
  <c r="GP41" i="2"/>
  <c r="GS41" i="2" s="1"/>
  <c r="GP40" i="2"/>
  <c r="GS40" i="2" s="1"/>
  <c r="GP39" i="2"/>
  <c r="GS39" i="2" s="1"/>
  <c r="GP38" i="2"/>
  <c r="GS38" i="2" s="1"/>
  <c r="GP37" i="2"/>
  <c r="GS37" i="2" s="1"/>
  <c r="GP36" i="2"/>
  <c r="GS36" i="2" s="1"/>
  <c r="GP35" i="2"/>
  <c r="GS35" i="2" s="1"/>
  <c r="GP34" i="2"/>
  <c r="GS34" i="2" s="1"/>
  <c r="GP33" i="2"/>
  <c r="GS33" i="2" s="1"/>
  <c r="GP32" i="2"/>
  <c r="GS32" i="2" s="1"/>
  <c r="GP31" i="2"/>
  <c r="GS31" i="2" s="1"/>
  <c r="GP30" i="2"/>
  <c r="GS30" i="2" s="1"/>
  <c r="GP29" i="2"/>
  <c r="GS29" i="2" s="1"/>
  <c r="GP28" i="2"/>
  <c r="GS28" i="2" s="1"/>
  <c r="GP27" i="2"/>
  <c r="GS27" i="2" s="1"/>
  <c r="GP26" i="2"/>
  <c r="GS26" i="2" s="1"/>
  <c r="GP25" i="2"/>
  <c r="GS25" i="2" s="1"/>
  <c r="GP24" i="2"/>
  <c r="GS24" i="2" s="1"/>
  <c r="GP23" i="2"/>
  <c r="GS23" i="2" s="1"/>
  <c r="GP22" i="2"/>
  <c r="GS22" i="2" s="1"/>
  <c r="GP21" i="2"/>
  <c r="GS21" i="2" s="1"/>
  <c r="GP20" i="2"/>
  <c r="GS20" i="2" s="1"/>
  <c r="GP19" i="2"/>
  <c r="GS19" i="2" s="1"/>
  <c r="GP18" i="2"/>
  <c r="GS18" i="2" s="1"/>
  <c r="GP17" i="2"/>
  <c r="GS17" i="2" s="1"/>
  <c r="GP16" i="2"/>
  <c r="GS16" i="2" s="1"/>
  <c r="GP15" i="2"/>
  <c r="GS15" i="2" s="1"/>
  <c r="GP14" i="2"/>
  <c r="GS14" i="2" s="1"/>
  <c r="GP13" i="2"/>
  <c r="GS13" i="2" s="1"/>
  <c r="GP12" i="2"/>
  <c r="GS12" i="2" s="1"/>
  <c r="GP11" i="2"/>
  <c r="GS11" i="2" s="1"/>
  <c r="GP10" i="2"/>
  <c r="GS10" i="2" s="1"/>
  <c r="GP9" i="2"/>
  <c r="GS9" i="2" s="1"/>
  <c r="C85" i="14"/>
  <c r="GK49" i="2"/>
  <c r="GN49" i="2" s="1"/>
  <c r="GK48" i="2"/>
  <c r="GN48" i="2" s="1"/>
  <c r="GK47" i="2"/>
  <c r="GN47" i="2" s="1"/>
  <c r="GK46" i="2"/>
  <c r="GN46" i="2" s="1"/>
  <c r="GK45" i="2"/>
  <c r="GN45" i="2" s="1"/>
  <c r="GK44" i="2"/>
  <c r="GN44" i="2" s="1"/>
  <c r="GK43" i="2"/>
  <c r="GN43" i="2" s="1"/>
  <c r="GK42" i="2"/>
  <c r="GN42" i="2" s="1"/>
  <c r="GK41" i="2"/>
  <c r="GN41" i="2" s="1"/>
  <c r="GK40" i="2"/>
  <c r="GN40" i="2" s="1"/>
  <c r="GK39" i="2"/>
  <c r="GN39" i="2" s="1"/>
  <c r="GK38" i="2"/>
  <c r="GN38" i="2" s="1"/>
  <c r="GK37" i="2"/>
  <c r="GN37" i="2" s="1"/>
  <c r="GK36" i="2"/>
  <c r="GN36" i="2" s="1"/>
  <c r="GK35" i="2"/>
  <c r="GN35" i="2" s="1"/>
  <c r="GK34" i="2"/>
  <c r="GN34" i="2" s="1"/>
  <c r="GK33" i="2"/>
  <c r="GN33" i="2" s="1"/>
  <c r="GK32" i="2"/>
  <c r="GK31" i="2"/>
  <c r="GN31" i="2" s="1"/>
  <c r="GK30" i="2"/>
  <c r="GN30" i="2" s="1"/>
  <c r="GK29" i="2"/>
  <c r="GN29" i="2" s="1"/>
  <c r="GK28" i="2"/>
  <c r="GN28" i="2" s="1"/>
  <c r="GK27" i="2"/>
  <c r="GN27" i="2" s="1"/>
  <c r="GK26" i="2"/>
  <c r="GN26" i="2" s="1"/>
  <c r="GK25" i="2"/>
  <c r="GN25" i="2" s="1"/>
  <c r="GK24" i="2"/>
  <c r="GN24" i="2" s="1"/>
  <c r="GK23" i="2"/>
  <c r="GN23" i="2" s="1"/>
  <c r="GK22" i="2"/>
  <c r="GN22" i="2" s="1"/>
  <c r="GK21" i="2"/>
  <c r="GK20" i="2"/>
  <c r="GN20" i="2" s="1"/>
  <c r="GK19" i="2"/>
  <c r="GN19" i="2" s="1"/>
  <c r="GK18" i="2"/>
  <c r="GN18" i="2" s="1"/>
  <c r="GK17" i="2"/>
  <c r="GN17" i="2" s="1"/>
  <c r="GK16" i="2"/>
  <c r="GN16" i="2" s="1"/>
  <c r="GK15" i="2"/>
  <c r="GN15" i="2" s="1"/>
  <c r="GK14" i="2"/>
  <c r="GN14" i="2" s="1"/>
  <c r="GK13" i="2"/>
  <c r="GN13" i="2" s="1"/>
  <c r="GK12" i="2"/>
  <c r="GN12" i="2" s="1"/>
  <c r="GK11" i="2"/>
  <c r="GN11" i="2" s="1"/>
  <c r="GK10" i="2"/>
  <c r="GN10" i="2" s="1"/>
  <c r="GK9" i="2"/>
  <c r="GN9" i="2" s="1"/>
  <c r="C84" i="14"/>
  <c r="GG49" i="2"/>
  <c r="GG48" i="2"/>
  <c r="GG47" i="2"/>
  <c r="GG46" i="2"/>
  <c r="GG45" i="2"/>
  <c r="GG44" i="2"/>
  <c r="GG43" i="2"/>
  <c r="GG42" i="2"/>
  <c r="GG41" i="2"/>
  <c r="GG40" i="2"/>
  <c r="GG39" i="2"/>
  <c r="GG38" i="2"/>
  <c r="GG37" i="2"/>
  <c r="GG36" i="2"/>
  <c r="GG35" i="2"/>
  <c r="GG34" i="2"/>
  <c r="GG33" i="2"/>
  <c r="GG32" i="2"/>
  <c r="GG31" i="2"/>
  <c r="GG30" i="2"/>
  <c r="GG29" i="2"/>
  <c r="GG28" i="2"/>
  <c r="GG27" i="2"/>
  <c r="GG26" i="2"/>
  <c r="GG25" i="2"/>
  <c r="GG24" i="2"/>
  <c r="GG23" i="2"/>
  <c r="GG22" i="2"/>
  <c r="GG21" i="2"/>
  <c r="GG20" i="2"/>
  <c r="GG19" i="2"/>
  <c r="GG18" i="2"/>
  <c r="GG17" i="2"/>
  <c r="GG16" i="2"/>
  <c r="GG15" i="2"/>
  <c r="GG14" i="2"/>
  <c r="GG13" i="2"/>
  <c r="GG12" i="2"/>
  <c r="GG11" i="2"/>
  <c r="GG10" i="2"/>
  <c r="GG9" i="2"/>
  <c r="C83" i="14"/>
  <c r="GB49" i="2"/>
  <c r="GB48" i="2"/>
  <c r="GB47" i="2"/>
  <c r="GB46" i="2"/>
  <c r="GB45" i="2"/>
  <c r="GB44" i="2"/>
  <c r="GB43" i="2"/>
  <c r="GB42" i="2"/>
  <c r="GB41" i="2"/>
  <c r="GB40" i="2"/>
  <c r="GB39" i="2"/>
  <c r="GB38" i="2"/>
  <c r="GB37" i="2"/>
  <c r="GB36" i="2"/>
  <c r="GB35" i="2"/>
  <c r="GB34" i="2"/>
  <c r="GB33" i="2"/>
  <c r="GB32" i="2"/>
  <c r="GB31" i="2"/>
  <c r="GB30" i="2"/>
  <c r="GB29" i="2"/>
  <c r="GB28" i="2"/>
  <c r="GB27" i="2"/>
  <c r="GB26" i="2"/>
  <c r="GB25" i="2"/>
  <c r="GB24" i="2"/>
  <c r="GB23" i="2"/>
  <c r="GB22" i="2"/>
  <c r="GB21" i="2"/>
  <c r="GB20" i="2"/>
  <c r="GB19" i="2"/>
  <c r="GB18" i="2"/>
  <c r="GB17" i="2"/>
  <c r="GB16" i="2"/>
  <c r="GB15" i="2"/>
  <c r="GB14" i="2"/>
  <c r="GB13" i="2"/>
  <c r="GB12" i="2"/>
  <c r="GB11" i="2"/>
  <c r="GB10" i="2"/>
  <c r="GB9" i="2"/>
  <c r="C82" i="14"/>
  <c r="FW49" i="2"/>
  <c r="FW48" i="2"/>
  <c r="FW47" i="2"/>
  <c r="FW46" i="2"/>
  <c r="FW45" i="2"/>
  <c r="FW44" i="2"/>
  <c r="FW43" i="2"/>
  <c r="FW42" i="2"/>
  <c r="FW41" i="2"/>
  <c r="FW40" i="2"/>
  <c r="FW39" i="2"/>
  <c r="FW38" i="2"/>
  <c r="FW37" i="2"/>
  <c r="FW36" i="2"/>
  <c r="FW35" i="2"/>
  <c r="FW34" i="2"/>
  <c r="FW33" i="2"/>
  <c r="FW32" i="2"/>
  <c r="FW31" i="2"/>
  <c r="FW30" i="2"/>
  <c r="FW29" i="2"/>
  <c r="FW28" i="2"/>
  <c r="FW27" i="2"/>
  <c r="FW26" i="2"/>
  <c r="FW25" i="2"/>
  <c r="FW24" i="2"/>
  <c r="FW23" i="2"/>
  <c r="FW22" i="2"/>
  <c r="FW21" i="2"/>
  <c r="FW20" i="2"/>
  <c r="FW19" i="2"/>
  <c r="FW18" i="2"/>
  <c r="FW17" i="2"/>
  <c r="FW16" i="2"/>
  <c r="FW15" i="2"/>
  <c r="FW14" i="2"/>
  <c r="FW13" i="2"/>
  <c r="FW12" i="2"/>
  <c r="FW11" i="2"/>
  <c r="FW10" i="2"/>
  <c r="FW9" i="2"/>
  <c r="C80" i="14"/>
  <c r="FR49" i="2"/>
  <c r="FR48" i="2"/>
  <c r="FR47" i="2"/>
  <c r="FR46" i="2"/>
  <c r="FR45" i="2"/>
  <c r="FR44" i="2"/>
  <c r="FR43" i="2"/>
  <c r="FR42" i="2"/>
  <c r="FR41" i="2"/>
  <c r="FR40" i="2"/>
  <c r="FR39" i="2"/>
  <c r="FR38" i="2"/>
  <c r="FR37" i="2"/>
  <c r="FR36" i="2"/>
  <c r="FR35" i="2"/>
  <c r="FR34" i="2"/>
  <c r="FR33" i="2"/>
  <c r="FR32" i="2"/>
  <c r="FR31" i="2"/>
  <c r="FR30" i="2"/>
  <c r="FR29" i="2"/>
  <c r="FR28" i="2"/>
  <c r="FR27" i="2"/>
  <c r="FR26" i="2"/>
  <c r="FR25" i="2"/>
  <c r="FR24" i="2"/>
  <c r="FR23" i="2"/>
  <c r="FR22" i="2"/>
  <c r="FR21" i="2"/>
  <c r="FR20" i="2"/>
  <c r="FR19" i="2"/>
  <c r="FR18" i="2"/>
  <c r="FR17" i="2"/>
  <c r="FR16" i="2"/>
  <c r="FR15" i="2"/>
  <c r="FR14" i="2"/>
  <c r="FR13" i="2"/>
  <c r="FR12" i="2"/>
  <c r="FR11" i="2"/>
  <c r="FR10" i="2"/>
  <c r="FR9" i="2"/>
  <c r="C79" i="14"/>
  <c r="FH49" i="2"/>
  <c r="FH48" i="2"/>
  <c r="FH47" i="2"/>
  <c r="FH46" i="2"/>
  <c r="FH45" i="2"/>
  <c r="FH44" i="2"/>
  <c r="FH43" i="2"/>
  <c r="FH42" i="2"/>
  <c r="FH41" i="2"/>
  <c r="FH40" i="2"/>
  <c r="FH39" i="2"/>
  <c r="FH38" i="2"/>
  <c r="FH37" i="2"/>
  <c r="FH36" i="2"/>
  <c r="FH35" i="2"/>
  <c r="FH34" i="2"/>
  <c r="FH33" i="2"/>
  <c r="FH32" i="2"/>
  <c r="FH31" i="2"/>
  <c r="FH30" i="2"/>
  <c r="FH29" i="2"/>
  <c r="FH28" i="2"/>
  <c r="FH27" i="2"/>
  <c r="FH26" i="2"/>
  <c r="FH25" i="2"/>
  <c r="FH24" i="2"/>
  <c r="FH23" i="2"/>
  <c r="FH22" i="2"/>
  <c r="FH21" i="2"/>
  <c r="FH20" i="2"/>
  <c r="FH19" i="2"/>
  <c r="FH18" i="2"/>
  <c r="FH17" i="2"/>
  <c r="FH16" i="2"/>
  <c r="FH15" i="2"/>
  <c r="FH14" i="2"/>
  <c r="FH13" i="2"/>
  <c r="FH12" i="2"/>
  <c r="FH11" i="2"/>
  <c r="FH10" i="2"/>
  <c r="FH9" i="2"/>
  <c r="C78" i="14"/>
  <c r="EZ49" i="2"/>
  <c r="FC49" i="2" s="1"/>
  <c r="EZ48" i="2"/>
  <c r="FC48" i="2" s="1"/>
  <c r="EZ47" i="2"/>
  <c r="FC47" i="2" s="1"/>
  <c r="EZ46" i="2"/>
  <c r="FC46" i="2" s="1"/>
  <c r="EZ45" i="2"/>
  <c r="FC45" i="2" s="1"/>
  <c r="EZ44" i="2"/>
  <c r="FC44" i="2" s="1"/>
  <c r="EZ43" i="2"/>
  <c r="FC43" i="2" s="1"/>
  <c r="EZ42" i="2"/>
  <c r="FC42" i="2" s="1"/>
  <c r="EZ41" i="2"/>
  <c r="FC41" i="2" s="1"/>
  <c r="EZ40" i="2"/>
  <c r="FC40" i="2" s="1"/>
  <c r="EZ39" i="2"/>
  <c r="FC39" i="2" s="1"/>
  <c r="EZ38" i="2"/>
  <c r="FC38" i="2" s="1"/>
  <c r="EZ37" i="2"/>
  <c r="EZ36" i="2"/>
  <c r="EZ35" i="2"/>
  <c r="FC35" i="2" s="1"/>
  <c r="EZ34" i="2"/>
  <c r="EZ33" i="2"/>
  <c r="FC33" i="2" s="1"/>
  <c r="EZ32" i="2"/>
  <c r="FC32" i="2" s="1"/>
  <c r="EZ31" i="2"/>
  <c r="FC31" i="2" s="1"/>
  <c r="EZ30" i="2"/>
  <c r="FC30" i="2" s="1"/>
  <c r="EZ29" i="2"/>
  <c r="EZ28" i="2"/>
  <c r="FC28" i="2" s="1"/>
  <c r="EZ27" i="2"/>
  <c r="FC27" i="2" s="1"/>
  <c r="EZ26" i="2"/>
  <c r="FC26" i="2" s="1"/>
  <c r="EZ25" i="2"/>
  <c r="FC25" i="2" s="1"/>
  <c r="EZ24" i="2"/>
  <c r="FC24" i="2" s="1"/>
  <c r="EZ23" i="2"/>
  <c r="EZ22" i="2"/>
  <c r="FC22" i="2" s="1"/>
  <c r="EZ21" i="2"/>
  <c r="EZ20" i="2"/>
  <c r="FC20" i="2" s="1"/>
  <c r="EZ19" i="2"/>
  <c r="EZ18" i="2"/>
  <c r="FC18" i="2" s="1"/>
  <c r="EZ17" i="2"/>
  <c r="FC17" i="2" s="1"/>
  <c r="EZ16" i="2"/>
  <c r="FC16" i="2" s="1"/>
  <c r="EZ15" i="2"/>
  <c r="FC15" i="2" s="1"/>
  <c r="EZ14" i="2"/>
  <c r="EZ13" i="2"/>
  <c r="FC13" i="2" s="1"/>
  <c r="EZ12" i="2"/>
  <c r="FC12" i="2" s="1"/>
  <c r="EZ11" i="2"/>
  <c r="FC11" i="2" s="1"/>
  <c r="EZ10" i="2"/>
  <c r="EZ9" i="2"/>
  <c r="C76" i="14"/>
  <c r="EU49" i="2"/>
  <c r="EX49" i="2" s="1"/>
  <c r="EU48" i="2"/>
  <c r="EX48" i="2" s="1"/>
  <c r="EU47" i="2"/>
  <c r="EX47" i="2" s="1"/>
  <c r="EU46" i="2"/>
  <c r="EX46" i="2" s="1"/>
  <c r="EU45" i="2"/>
  <c r="EX45" i="2" s="1"/>
  <c r="EU44" i="2"/>
  <c r="EU43" i="2"/>
  <c r="EU42" i="2"/>
  <c r="EX42" i="2" s="1"/>
  <c r="EU41" i="2"/>
  <c r="EX41" i="2" s="1"/>
  <c r="EU40" i="2"/>
  <c r="EU39" i="2"/>
  <c r="EX39" i="2" s="1"/>
  <c r="EU38" i="2"/>
  <c r="EX38" i="2" s="1"/>
  <c r="EU37" i="2"/>
  <c r="EX37" i="2" s="1"/>
  <c r="EU36" i="2"/>
  <c r="EX36" i="2" s="1"/>
  <c r="EU35" i="2"/>
  <c r="EX35" i="2" s="1"/>
  <c r="EU34" i="2"/>
  <c r="EX34" i="2" s="1"/>
  <c r="EU33" i="2"/>
  <c r="EX33" i="2" s="1"/>
  <c r="EU32" i="2"/>
  <c r="EX32" i="2" s="1"/>
  <c r="EU31" i="2"/>
  <c r="EX31" i="2" s="1"/>
  <c r="EU30" i="2"/>
  <c r="EX30" i="2" s="1"/>
  <c r="EU29" i="2"/>
  <c r="EX29" i="2" s="1"/>
  <c r="EU28" i="2"/>
  <c r="EX28" i="2" s="1"/>
  <c r="EU27" i="2"/>
  <c r="EX27" i="2" s="1"/>
  <c r="EU26" i="2"/>
  <c r="EX26" i="2" s="1"/>
  <c r="EU25" i="2"/>
  <c r="EX25" i="2" s="1"/>
  <c r="EU24" i="2"/>
  <c r="EX24" i="2" s="1"/>
  <c r="EU23" i="2"/>
  <c r="EX23" i="2" s="1"/>
  <c r="EU22" i="2"/>
  <c r="EX22" i="2" s="1"/>
  <c r="EU21" i="2"/>
  <c r="EX21" i="2" s="1"/>
  <c r="EU20" i="2"/>
  <c r="EU19" i="2"/>
  <c r="EX19" i="2" s="1"/>
  <c r="EU18" i="2"/>
  <c r="EX18" i="2" s="1"/>
  <c r="EU17" i="2"/>
  <c r="EU16" i="2"/>
  <c r="EX16" i="2" s="1"/>
  <c r="EU15" i="2"/>
  <c r="EX15" i="2" s="1"/>
  <c r="EU14" i="2"/>
  <c r="EX14" i="2" s="1"/>
  <c r="EU13" i="2"/>
  <c r="EX13" i="2" s="1"/>
  <c r="EU12" i="2"/>
  <c r="EX12" i="2" s="1"/>
  <c r="EU11" i="2"/>
  <c r="EX11" i="2" s="1"/>
  <c r="EU10" i="2"/>
  <c r="EX10" i="2" s="1"/>
  <c r="EU9" i="2"/>
  <c r="EX9" i="2" s="1"/>
  <c r="C75" i="14"/>
  <c r="EQ49" i="2"/>
  <c r="EQ48" i="2"/>
  <c r="EQ47" i="2"/>
  <c r="EQ46" i="2"/>
  <c r="EQ45" i="2"/>
  <c r="EQ44" i="2"/>
  <c r="EQ43" i="2"/>
  <c r="EQ42" i="2"/>
  <c r="EQ41" i="2"/>
  <c r="EQ40" i="2"/>
  <c r="EQ39" i="2"/>
  <c r="EQ38" i="2"/>
  <c r="EQ37" i="2"/>
  <c r="EQ36" i="2"/>
  <c r="EQ35" i="2"/>
  <c r="EQ34" i="2"/>
  <c r="EQ33" i="2"/>
  <c r="EQ32" i="2"/>
  <c r="EQ31" i="2"/>
  <c r="EQ30" i="2"/>
  <c r="EQ29" i="2"/>
  <c r="EQ28" i="2"/>
  <c r="EQ27" i="2"/>
  <c r="EQ26" i="2"/>
  <c r="EQ25" i="2"/>
  <c r="EQ24" i="2"/>
  <c r="EQ23" i="2"/>
  <c r="EQ22" i="2"/>
  <c r="EQ21" i="2"/>
  <c r="EQ20" i="2"/>
  <c r="EQ19" i="2"/>
  <c r="EQ18" i="2"/>
  <c r="EQ17" i="2"/>
  <c r="EQ16" i="2"/>
  <c r="EQ15" i="2"/>
  <c r="EQ14" i="2"/>
  <c r="EQ13" i="2"/>
  <c r="EQ12" i="2"/>
  <c r="EQ11" i="2"/>
  <c r="EQ10" i="2"/>
  <c r="EQ9" i="2"/>
  <c r="C74" i="14"/>
  <c r="EL49" i="2"/>
  <c r="EO49" i="2" s="1"/>
  <c r="EP49" i="2" s="1"/>
  <c r="EL48" i="2"/>
  <c r="EO48" i="2" s="1"/>
  <c r="EP48" i="2" s="1"/>
  <c r="EL47" i="2"/>
  <c r="EO47" i="2" s="1"/>
  <c r="EP47" i="2" s="1"/>
  <c r="EL46" i="2"/>
  <c r="EO46" i="2" s="1"/>
  <c r="EP46" i="2" s="1"/>
  <c r="EL45" i="2"/>
  <c r="EO45" i="2" s="1"/>
  <c r="EP45" i="2" s="1"/>
  <c r="EL44" i="2"/>
  <c r="EO44" i="2" s="1"/>
  <c r="EP44" i="2" s="1"/>
  <c r="EL43" i="2"/>
  <c r="EO43" i="2" s="1"/>
  <c r="EP43" i="2" s="1"/>
  <c r="EL42" i="2"/>
  <c r="EO42" i="2" s="1"/>
  <c r="EP42" i="2" s="1"/>
  <c r="EL41" i="2"/>
  <c r="EO41" i="2" s="1"/>
  <c r="EP41" i="2" s="1"/>
  <c r="EL40" i="2"/>
  <c r="EO40" i="2" s="1"/>
  <c r="EP40" i="2" s="1"/>
  <c r="EL39" i="2"/>
  <c r="EO39" i="2" s="1"/>
  <c r="EP39" i="2" s="1"/>
  <c r="EL38" i="2"/>
  <c r="EO38" i="2" s="1"/>
  <c r="EP38" i="2" s="1"/>
  <c r="EL37" i="2"/>
  <c r="EO37" i="2" s="1"/>
  <c r="EP37" i="2" s="1"/>
  <c r="EL36" i="2"/>
  <c r="EO36" i="2" s="1"/>
  <c r="EP36" i="2" s="1"/>
  <c r="EL35" i="2"/>
  <c r="EO35" i="2" s="1"/>
  <c r="EP35" i="2" s="1"/>
  <c r="EL34" i="2"/>
  <c r="EO34" i="2" s="1"/>
  <c r="EP34" i="2" s="1"/>
  <c r="EL33" i="2"/>
  <c r="EO33" i="2" s="1"/>
  <c r="EP33" i="2" s="1"/>
  <c r="EL32" i="2"/>
  <c r="EO32" i="2" s="1"/>
  <c r="EP32" i="2" s="1"/>
  <c r="EL31" i="2"/>
  <c r="EO31" i="2" s="1"/>
  <c r="EP31" i="2" s="1"/>
  <c r="EL30" i="2"/>
  <c r="EO30" i="2" s="1"/>
  <c r="EP30" i="2" s="1"/>
  <c r="EL29" i="2"/>
  <c r="EO29" i="2" s="1"/>
  <c r="EP29" i="2" s="1"/>
  <c r="EL28" i="2"/>
  <c r="EO28" i="2" s="1"/>
  <c r="EP28" i="2" s="1"/>
  <c r="EL27" i="2"/>
  <c r="EO27" i="2" s="1"/>
  <c r="EP27" i="2" s="1"/>
  <c r="EL26" i="2"/>
  <c r="EO26" i="2" s="1"/>
  <c r="EP26" i="2" s="1"/>
  <c r="EL25" i="2"/>
  <c r="EO25" i="2" s="1"/>
  <c r="EP25" i="2" s="1"/>
  <c r="EL24" i="2"/>
  <c r="EO24" i="2" s="1"/>
  <c r="EP24" i="2" s="1"/>
  <c r="EL23" i="2"/>
  <c r="EO23" i="2" s="1"/>
  <c r="EP23" i="2" s="1"/>
  <c r="EL22" i="2"/>
  <c r="EO22" i="2" s="1"/>
  <c r="EP22" i="2" s="1"/>
  <c r="EL21" i="2"/>
  <c r="EO21" i="2" s="1"/>
  <c r="EP21" i="2" s="1"/>
  <c r="EL20" i="2"/>
  <c r="EO20" i="2" s="1"/>
  <c r="EP20" i="2" s="1"/>
  <c r="EL19" i="2"/>
  <c r="EO19" i="2" s="1"/>
  <c r="EP19" i="2" s="1"/>
  <c r="EL18" i="2"/>
  <c r="EO18" i="2" s="1"/>
  <c r="EP18" i="2" s="1"/>
  <c r="EL17" i="2"/>
  <c r="EO17" i="2" s="1"/>
  <c r="EP17" i="2" s="1"/>
  <c r="EL16" i="2"/>
  <c r="EO16" i="2" s="1"/>
  <c r="EP16" i="2" s="1"/>
  <c r="EL15" i="2"/>
  <c r="EO15" i="2" s="1"/>
  <c r="EP15" i="2" s="1"/>
  <c r="EL14" i="2"/>
  <c r="EO14" i="2" s="1"/>
  <c r="EP14" i="2" s="1"/>
  <c r="EL13" i="2"/>
  <c r="EO13" i="2" s="1"/>
  <c r="EP13" i="2" s="1"/>
  <c r="EL12" i="2"/>
  <c r="EO12" i="2" s="1"/>
  <c r="EP12" i="2" s="1"/>
  <c r="EL11" i="2"/>
  <c r="EO11" i="2" s="1"/>
  <c r="EP11" i="2" s="1"/>
  <c r="EL10" i="2"/>
  <c r="EO10" i="2" s="1"/>
  <c r="EP10" i="2" s="1"/>
  <c r="EL9" i="2"/>
  <c r="EO9" i="2" s="1"/>
  <c r="FE49" i="2"/>
  <c r="FE48" i="2"/>
  <c r="FE47" i="2"/>
  <c r="FE46" i="2"/>
  <c r="FE45" i="2"/>
  <c r="FE44" i="2"/>
  <c r="FE43" i="2"/>
  <c r="FE42" i="2"/>
  <c r="FE41" i="2"/>
  <c r="FE40" i="2"/>
  <c r="FE39" i="2"/>
  <c r="FE38" i="2"/>
  <c r="FE37" i="2"/>
  <c r="FE36" i="2"/>
  <c r="FE35" i="2"/>
  <c r="FE34" i="2"/>
  <c r="FE33" i="2"/>
  <c r="FE32" i="2"/>
  <c r="FE31" i="2"/>
  <c r="FE30" i="2"/>
  <c r="FE29" i="2"/>
  <c r="FE28" i="2"/>
  <c r="FE27" i="2"/>
  <c r="FE26" i="2"/>
  <c r="FE25" i="2"/>
  <c r="FE24" i="2"/>
  <c r="FE23" i="2"/>
  <c r="FE22" i="2"/>
  <c r="FE21" i="2"/>
  <c r="FE20" i="2"/>
  <c r="FE19" i="2"/>
  <c r="FE18" i="2"/>
  <c r="FE17" i="2"/>
  <c r="FE16" i="2"/>
  <c r="FE15" i="2"/>
  <c r="FE14" i="2"/>
  <c r="FE13" i="2"/>
  <c r="FE12" i="2"/>
  <c r="FE11" i="2"/>
  <c r="FE10" i="2"/>
  <c r="FE9" i="2"/>
  <c r="FF49" i="2"/>
  <c r="FF48" i="2"/>
  <c r="FF47" i="2"/>
  <c r="FF46" i="2"/>
  <c r="FF45" i="2"/>
  <c r="FF44" i="2"/>
  <c r="FF43" i="2"/>
  <c r="FF42" i="2"/>
  <c r="FF41" i="2"/>
  <c r="FF40" i="2"/>
  <c r="FF39" i="2"/>
  <c r="FF38" i="2"/>
  <c r="FF37" i="2"/>
  <c r="FF36" i="2"/>
  <c r="FF35" i="2"/>
  <c r="FF34" i="2"/>
  <c r="FF33" i="2"/>
  <c r="FF32" i="2"/>
  <c r="FF31" i="2"/>
  <c r="FF30" i="2"/>
  <c r="FF29" i="2"/>
  <c r="FF28" i="2"/>
  <c r="FF27" i="2"/>
  <c r="FF26" i="2"/>
  <c r="FF25" i="2"/>
  <c r="FF24" i="2"/>
  <c r="FF23" i="2"/>
  <c r="FF22" i="2"/>
  <c r="FF21" i="2"/>
  <c r="FF20" i="2"/>
  <c r="FF19" i="2"/>
  <c r="FF18" i="2"/>
  <c r="FF17" i="2"/>
  <c r="FF16" i="2"/>
  <c r="FF15" i="2"/>
  <c r="FF14" i="2"/>
  <c r="FF13" i="2"/>
  <c r="FF12" i="2"/>
  <c r="FF11" i="2"/>
  <c r="FF10" i="2"/>
  <c r="FF9" i="2"/>
  <c r="FG49" i="2"/>
  <c r="FG48" i="2"/>
  <c r="FG47" i="2"/>
  <c r="FG46" i="2"/>
  <c r="FG45" i="2"/>
  <c r="FG44" i="2"/>
  <c r="FG43" i="2"/>
  <c r="FG42" i="2"/>
  <c r="FG41" i="2"/>
  <c r="FG40" i="2"/>
  <c r="FG39" i="2"/>
  <c r="FG38" i="2"/>
  <c r="FG37" i="2"/>
  <c r="FG36" i="2"/>
  <c r="FG35" i="2"/>
  <c r="FG34" i="2"/>
  <c r="FG33" i="2"/>
  <c r="FG32" i="2"/>
  <c r="FG31" i="2"/>
  <c r="FG30" i="2"/>
  <c r="FG29" i="2"/>
  <c r="FG28" i="2"/>
  <c r="FG27" i="2"/>
  <c r="FG26" i="2"/>
  <c r="FG25" i="2"/>
  <c r="FG24" i="2"/>
  <c r="FG23" i="2"/>
  <c r="FG22" i="2"/>
  <c r="FG21" i="2"/>
  <c r="FG20" i="2"/>
  <c r="FG19" i="2"/>
  <c r="FG18" i="2"/>
  <c r="FG17" i="2"/>
  <c r="FG16" i="2"/>
  <c r="FG15" i="2"/>
  <c r="FG14" i="2"/>
  <c r="FG13" i="2"/>
  <c r="FG12" i="2"/>
  <c r="FG11" i="2"/>
  <c r="FG10" i="2"/>
  <c r="FG9" i="2"/>
  <c r="GD13" i="2"/>
  <c r="FY13" i="2"/>
  <c r="FZ13" i="2" s="1"/>
  <c r="FT13" i="2"/>
  <c r="GD18" i="2"/>
  <c r="FY18" i="2"/>
  <c r="FZ18" i="2" s="1"/>
  <c r="FT18" i="2"/>
  <c r="GD27" i="2"/>
  <c r="FY27" i="2"/>
  <c r="FZ27" i="2" s="1"/>
  <c r="FT27" i="2"/>
  <c r="GD40" i="2"/>
  <c r="FY40" i="2"/>
  <c r="FZ40" i="2" s="1"/>
  <c r="FT40" i="2"/>
  <c r="GD46" i="2"/>
  <c r="FY46" i="2"/>
  <c r="FZ46" i="2" s="1"/>
  <c r="FT46" i="2"/>
  <c r="GD48" i="2"/>
  <c r="FY48" i="2"/>
  <c r="FZ48" i="2" s="1"/>
  <c r="FT48" i="2"/>
  <c r="GD36" i="2"/>
  <c r="FY36" i="2"/>
  <c r="FZ36" i="2" s="1"/>
  <c r="FT36" i="2"/>
  <c r="FU36" i="2" s="1"/>
  <c r="GD47" i="2"/>
  <c r="FY47" i="2"/>
  <c r="FZ47" i="2" s="1"/>
  <c r="FT47" i="2"/>
  <c r="FU47" i="2" s="1"/>
  <c r="GD45" i="2"/>
  <c r="FY45" i="2"/>
  <c r="FZ45" i="2" s="1"/>
  <c r="FT45" i="2"/>
  <c r="FU45" i="2" s="1"/>
  <c r="GD43" i="2"/>
  <c r="FY43" i="2"/>
  <c r="FT43" i="2"/>
  <c r="FU43" i="2" s="1"/>
  <c r="G91" i="3"/>
  <c r="G150" i="3"/>
  <c r="G137" i="3"/>
  <c r="G116" i="3"/>
  <c r="G128" i="3"/>
  <c r="G135" i="3"/>
  <c r="G92" i="3"/>
  <c r="G151" i="3"/>
  <c r="G109" i="3"/>
  <c r="G112" i="3"/>
  <c r="G147" i="3"/>
  <c r="G114" i="3"/>
  <c r="G141" i="3"/>
  <c r="G101" i="3"/>
  <c r="G82" i="3"/>
  <c r="G83" i="3"/>
  <c r="G84" i="3"/>
  <c r="G85" i="3"/>
  <c r="G86" i="3"/>
  <c r="G87" i="3"/>
  <c r="G88" i="3"/>
  <c r="G90" i="3"/>
  <c r="G93" i="3"/>
  <c r="G95" i="3"/>
  <c r="G97" i="3"/>
  <c r="G99" i="3"/>
  <c r="G100" i="3"/>
  <c r="G102" i="3"/>
  <c r="G103" i="3"/>
  <c r="G104" i="3"/>
  <c r="G106" i="3"/>
  <c r="G107" i="3"/>
  <c r="G108" i="3"/>
  <c r="G110" i="3"/>
  <c r="G111" i="3"/>
  <c r="G113" i="3"/>
  <c r="G117" i="3"/>
  <c r="G118" i="3"/>
  <c r="G119" i="3"/>
  <c r="G120" i="3"/>
  <c r="G121" i="3"/>
  <c r="G122" i="3"/>
  <c r="G125" i="3"/>
  <c r="G127" i="3"/>
  <c r="G129" i="3"/>
  <c r="G130" i="3"/>
  <c r="G131" i="3"/>
  <c r="G132" i="3"/>
  <c r="G133" i="3"/>
  <c r="G134" i="3"/>
  <c r="G136" i="3"/>
  <c r="G138" i="3"/>
  <c r="G139" i="3"/>
  <c r="G140" i="3"/>
  <c r="G142" i="3"/>
  <c r="G143" i="3"/>
  <c r="G144" i="3"/>
  <c r="G145" i="3"/>
  <c r="G148" i="3"/>
  <c r="G149" i="3"/>
  <c r="G152" i="3"/>
  <c r="G153" i="3"/>
  <c r="G81" i="3"/>
  <c r="G115" i="3"/>
  <c r="G96" i="3"/>
  <c r="G124" i="3"/>
  <c r="G126" i="3"/>
  <c r="G98" i="3"/>
  <c r="G105" i="3"/>
  <c r="G123" i="3"/>
  <c r="G146" i="3"/>
  <c r="G94" i="3"/>
  <c r="G89" i="3"/>
  <c r="GD23" i="2"/>
  <c r="FY23" i="2"/>
  <c r="FZ23" i="2" s="1"/>
  <c r="FT23" i="2"/>
  <c r="FU23" i="2" s="1"/>
  <c r="GD38" i="2"/>
  <c r="FY38" i="2"/>
  <c r="FZ38" i="2" s="1"/>
  <c r="FT38" i="2"/>
  <c r="FU38" i="2" s="1"/>
  <c r="GD32" i="2"/>
  <c r="FY32" i="2"/>
  <c r="FZ32" i="2" s="1"/>
  <c r="FT32" i="2"/>
  <c r="FU32" i="2" s="1"/>
  <c r="GD31" i="2"/>
  <c r="FY31" i="2"/>
  <c r="FZ31" i="2" s="1"/>
  <c r="FT31" i="2"/>
  <c r="FU31" i="2" s="1"/>
  <c r="GD14" i="2"/>
  <c r="FY14" i="2"/>
  <c r="FZ14" i="2" s="1"/>
  <c r="FT14" i="2"/>
  <c r="FU14" i="2" s="1"/>
  <c r="GD28" i="2"/>
  <c r="FY28" i="2"/>
  <c r="FZ28" i="2" s="1"/>
  <c r="FT28" i="2"/>
  <c r="FU28" i="2" s="1"/>
  <c r="GD39" i="2"/>
  <c r="FY39" i="2"/>
  <c r="FZ39" i="2" s="1"/>
  <c r="FT39" i="2"/>
  <c r="FU39" i="2" s="1"/>
  <c r="GD41" i="2"/>
  <c r="FY41" i="2"/>
  <c r="FZ41" i="2" s="1"/>
  <c r="FT41" i="2"/>
  <c r="FU41" i="2" s="1"/>
  <c r="GD25" i="2"/>
  <c r="FY25" i="2"/>
  <c r="FZ25" i="2" s="1"/>
  <c r="FT25" i="2"/>
  <c r="FU25" i="2" s="1"/>
  <c r="GD22" i="2"/>
  <c r="FY22" i="2"/>
  <c r="FZ22" i="2" s="1"/>
  <c r="FT22" i="2"/>
  <c r="FU22" i="2" s="1"/>
  <c r="GD42" i="2"/>
  <c r="FY42" i="2"/>
  <c r="FZ42" i="2" s="1"/>
  <c r="FT42" i="2"/>
  <c r="FU42" i="2" s="1"/>
  <c r="GD20" i="2"/>
  <c r="FY20" i="2"/>
  <c r="FZ20" i="2" s="1"/>
  <c r="FT20" i="2"/>
  <c r="FU20" i="2" s="1"/>
  <c r="GD17" i="2"/>
  <c r="FY17" i="2"/>
  <c r="FZ17" i="2" s="1"/>
  <c r="FT17" i="2"/>
  <c r="FU17" i="2" s="1"/>
  <c r="GD26" i="2"/>
  <c r="FY26" i="2"/>
  <c r="FZ26" i="2" s="1"/>
  <c r="FT26" i="2"/>
  <c r="FU26" i="2" s="1"/>
  <c r="GD16" i="2"/>
  <c r="FY16" i="2"/>
  <c r="FZ16" i="2" s="1"/>
  <c r="FT16" i="2"/>
  <c r="FU16" i="2" s="1"/>
  <c r="GD15" i="2"/>
  <c r="FY15" i="2"/>
  <c r="FT15" i="2"/>
  <c r="FU15" i="2" s="1"/>
  <c r="GD24" i="2"/>
  <c r="FY24" i="2"/>
  <c r="FT24" i="2"/>
  <c r="FU24" i="2" s="1"/>
  <c r="GD30" i="2"/>
  <c r="FY30" i="2"/>
  <c r="FT30" i="2"/>
  <c r="FU30" i="2" s="1"/>
  <c r="GD44" i="2"/>
  <c r="FY44" i="2"/>
  <c r="FT44" i="2"/>
  <c r="FU44" i="2" s="1"/>
  <c r="GD12" i="2"/>
  <c r="FY12" i="2"/>
  <c r="FT12" i="2"/>
  <c r="GD19" i="2"/>
  <c r="FY19" i="2"/>
  <c r="FZ19" i="2" s="1"/>
  <c r="FT19" i="2"/>
  <c r="FU19" i="2" s="1"/>
  <c r="GD35" i="2"/>
  <c r="FY35" i="2"/>
  <c r="FZ35" i="2" s="1"/>
  <c r="FT35" i="2"/>
  <c r="FU35" i="2" s="1"/>
  <c r="GD49" i="2"/>
  <c r="FY49" i="2"/>
  <c r="FZ49" i="2" s="1"/>
  <c r="FT49" i="2"/>
  <c r="FU49" i="2" s="1"/>
  <c r="ES50" i="2" l="1"/>
  <c r="ET50" i="2" s="1"/>
  <c r="EY50" i="2" s="1"/>
  <c r="FD50" i="2" s="1"/>
  <c r="GS61" i="2"/>
  <c r="K68" i="3" s="1"/>
  <c r="E87" i="14" s="1"/>
  <c r="HC61" i="2"/>
  <c r="K70" i="3" s="1"/>
  <c r="E89" i="14" s="1"/>
  <c r="FU12" i="2"/>
  <c r="FZ12" i="2"/>
  <c r="G157" i="3"/>
  <c r="EO61" i="2"/>
  <c r="K49" i="3" s="1"/>
  <c r="EP9" i="2"/>
  <c r="ES10" i="2" s="1"/>
  <c r="ET10" i="2" s="1"/>
  <c r="EY10" i="2" s="1"/>
  <c r="ES16" i="2"/>
  <c r="ET16" i="2" s="1"/>
  <c r="EY16" i="2" s="1"/>
  <c r="FD16" i="2" s="1"/>
  <c r="ES17" i="2"/>
  <c r="ET17" i="2" s="1"/>
  <c r="ES20" i="2"/>
  <c r="ET20" i="2" s="1"/>
  <c r="ES24" i="2"/>
  <c r="ET24" i="2" s="1"/>
  <c r="EY24" i="2" s="1"/>
  <c r="FD24" i="2" s="1"/>
  <c r="ES26" i="2"/>
  <c r="ET26" i="2" s="1"/>
  <c r="EY26" i="2" s="1"/>
  <c r="FD26" i="2" s="1"/>
  <c r="ES28" i="2"/>
  <c r="ET28" i="2" s="1"/>
  <c r="EY28" i="2" s="1"/>
  <c r="FD28" i="2" s="1"/>
  <c r="ES30" i="2"/>
  <c r="ET30" i="2" s="1"/>
  <c r="EY30" i="2" s="1"/>
  <c r="FD30" i="2" s="1"/>
  <c r="ES36" i="2"/>
  <c r="ET36" i="2" s="1"/>
  <c r="EY36" i="2" s="1"/>
  <c r="ES40" i="2"/>
  <c r="ET40" i="2" s="1"/>
  <c r="ES41" i="2"/>
  <c r="ET41" i="2" s="1"/>
  <c r="EY41" i="2" s="1"/>
  <c r="FD41" i="2" s="1"/>
  <c r="ES42" i="2"/>
  <c r="ET42" i="2" s="1"/>
  <c r="EY42" i="2" s="1"/>
  <c r="FD42" i="2" s="1"/>
  <c r="ES43" i="2"/>
  <c r="ET43" i="2" s="1"/>
  <c r="ES44" i="2"/>
  <c r="ET44" i="2" s="1"/>
  <c r="ES49" i="2"/>
  <c r="ET49" i="2" s="1"/>
  <c r="EY49" i="2" s="1"/>
  <c r="FD49" i="2" s="1"/>
  <c r="FI50" i="2" l="1"/>
  <c r="FJ50" i="2" s="1"/>
  <c r="ES48" i="2"/>
  <c r="ET48" i="2" s="1"/>
  <c r="EY48" i="2" s="1"/>
  <c r="FD48" i="2" s="1"/>
  <c r="FI48" i="2" s="1"/>
  <c r="FJ48" i="2" s="1"/>
  <c r="ES32" i="2"/>
  <c r="ET32" i="2" s="1"/>
  <c r="EY32" i="2" s="1"/>
  <c r="FD32" i="2" s="1"/>
  <c r="FI32" i="2" s="1"/>
  <c r="FJ32" i="2" s="1"/>
  <c r="ES9" i="2"/>
  <c r="ES33" i="2"/>
  <c r="ET33" i="2" s="1"/>
  <c r="EY33" i="2" s="1"/>
  <c r="FD33" i="2" s="1"/>
  <c r="ES25" i="2"/>
  <c r="ET25" i="2" s="1"/>
  <c r="EY25" i="2" s="1"/>
  <c r="FD25" i="2" s="1"/>
  <c r="FI25" i="2" s="1"/>
  <c r="FJ25" i="2" s="1"/>
  <c r="ES14" i="2"/>
  <c r="ET14" i="2" s="1"/>
  <c r="EY14" i="2" s="1"/>
  <c r="ES13" i="2"/>
  <c r="ET13" i="2" s="1"/>
  <c r="EY13" i="2" s="1"/>
  <c r="FD13" i="2" s="1"/>
  <c r="FI13" i="2" s="1"/>
  <c r="FJ13" i="2" s="1"/>
  <c r="ES31" i="2"/>
  <c r="ET31" i="2" s="1"/>
  <c r="EY31" i="2" s="1"/>
  <c r="FD31" i="2" s="1"/>
  <c r="FI31" i="2" s="1"/>
  <c r="FJ31" i="2" s="1"/>
  <c r="ES46" i="2"/>
  <c r="ET46" i="2" s="1"/>
  <c r="EY46" i="2" s="1"/>
  <c r="FD46" i="2" s="1"/>
  <c r="FI46" i="2" s="1"/>
  <c r="FJ46" i="2" s="1"/>
  <c r="ES12" i="2"/>
  <c r="ET12" i="2" s="1"/>
  <c r="EY12" i="2" s="1"/>
  <c r="FD12" i="2" s="1"/>
  <c r="FI12" i="2" s="1"/>
  <c r="FJ12" i="2" s="1"/>
  <c r="ES39" i="2"/>
  <c r="ET39" i="2" s="1"/>
  <c r="EY39" i="2" s="1"/>
  <c r="FD39" i="2" s="1"/>
  <c r="FI39" i="2" s="1"/>
  <c r="FJ39" i="2" s="1"/>
  <c r="ES15" i="2"/>
  <c r="ET15" i="2" s="1"/>
  <c r="EY15" i="2" s="1"/>
  <c r="FD15" i="2" s="1"/>
  <c r="FI15" i="2" s="1"/>
  <c r="FJ15" i="2" s="1"/>
  <c r="ES38" i="2"/>
  <c r="ET38" i="2" s="1"/>
  <c r="EY38" i="2" s="1"/>
  <c r="FD38" i="2" s="1"/>
  <c r="FI38" i="2" s="1"/>
  <c r="FJ38" i="2" s="1"/>
  <c r="ES22" i="2"/>
  <c r="ET22" i="2" s="1"/>
  <c r="EY22" i="2" s="1"/>
  <c r="FD22" i="2" s="1"/>
  <c r="FI22" i="2" s="1"/>
  <c r="FJ22" i="2" s="1"/>
  <c r="ES45" i="2"/>
  <c r="ET45" i="2" s="1"/>
  <c r="EY45" i="2" s="1"/>
  <c r="FD45" i="2" s="1"/>
  <c r="FI45" i="2" s="1"/>
  <c r="FJ45" i="2" s="1"/>
  <c r="ES29" i="2"/>
  <c r="ET29" i="2" s="1"/>
  <c r="EY29" i="2" s="1"/>
  <c r="ES35" i="2"/>
  <c r="ET35" i="2" s="1"/>
  <c r="EY35" i="2" s="1"/>
  <c r="FD35" i="2" s="1"/>
  <c r="FI35" i="2" s="1"/>
  <c r="FJ35" i="2" s="1"/>
  <c r="ES27" i="2"/>
  <c r="ET27" i="2" s="1"/>
  <c r="EY27" i="2" s="1"/>
  <c r="FD27" i="2" s="1"/>
  <c r="FI27" i="2" s="1"/>
  <c r="FJ27" i="2" s="1"/>
  <c r="FL27" i="2" s="1"/>
  <c r="FK27" i="2" s="1"/>
  <c r="ES19" i="2"/>
  <c r="ET19" i="2" s="1"/>
  <c r="EY19" i="2" s="1"/>
  <c r="ES11" i="2"/>
  <c r="ET11" i="2" s="1"/>
  <c r="EY11" i="2" s="1"/>
  <c r="FD11" i="2" s="1"/>
  <c r="FI11" i="2" s="1"/>
  <c r="FJ11" i="2" s="1"/>
  <c r="FL11" i="2" s="1"/>
  <c r="FK11" i="2" s="1"/>
  <c r="ES47" i="2"/>
  <c r="ET47" i="2" s="1"/>
  <c r="EY47" i="2" s="1"/>
  <c r="FD47" i="2" s="1"/>
  <c r="FI47" i="2" s="1"/>
  <c r="FJ47" i="2" s="1"/>
  <c r="ES23" i="2"/>
  <c r="ET23" i="2" s="1"/>
  <c r="EY23" i="2" s="1"/>
  <c r="ES37" i="2"/>
  <c r="ET37" i="2" s="1"/>
  <c r="EY37" i="2" s="1"/>
  <c r="ES21" i="2"/>
  <c r="ET21" i="2" s="1"/>
  <c r="EY21" i="2" s="1"/>
  <c r="ES34" i="2"/>
  <c r="ET34" i="2" s="1"/>
  <c r="EY34" i="2" s="1"/>
  <c r="ES18" i="2"/>
  <c r="ET18" i="2" s="1"/>
  <c r="EY18" i="2" s="1"/>
  <c r="FD18" i="2" s="1"/>
  <c r="FI18" i="2" s="1"/>
  <c r="FJ18" i="2" s="1"/>
  <c r="FI49" i="2"/>
  <c r="FJ49" i="2" s="1"/>
  <c r="FI42" i="2"/>
  <c r="FJ42" i="2" s="1"/>
  <c r="FI41" i="2"/>
  <c r="FJ41" i="2" s="1"/>
  <c r="FI33" i="2"/>
  <c r="FJ33" i="2" s="1"/>
  <c r="FL33" i="2" s="1"/>
  <c r="FK33" i="2" s="1"/>
  <c r="FI30" i="2"/>
  <c r="FJ30" i="2" s="1"/>
  <c r="FI28" i="2"/>
  <c r="FJ28" i="2" s="1"/>
  <c r="FL28" i="2" s="1"/>
  <c r="FK28" i="2" s="1"/>
  <c r="FI26" i="2"/>
  <c r="FJ26" i="2" s="1"/>
  <c r="FI24" i="2"/>
  <c r="FJ24" i="2" s="1"/>
  <c r="EW17" i="2"/>
  <c r="EW20" i="2"/>
  <c r="EX20" i="2" s="1"/>
  <c r="EY20" i="2" s="1"/>
  <c r="FD20" i="2" s="1"/>
  <c r="EW40" i="2"/>
  <c r="EX40" i="2" s="1"/>
  <c r="EY40" i="2" s="1"/>
  <c r="FD40" i="2" s="1"/>
  <c r="EW43" i="2"/>
  <c r="EX43" i="2" s="1"/>
  <c r="EY43" i="2" s="1"/>
  <c r="FD43" i="2" s="1"/>
  <c r="EW44" i="2"/>
  <c r="EX44" i="2" s="1"/>
  <c r="EY44" i="2" s="1"/>
  <c r="FD44" i="2" s="1"/>
  <c r="FI16" i="2"/>
  <c r="FJ16" i="2" s="1"/>
  <c r="ET9" i="2"/>
  <c r="ES61" i="2" l="1"/>
  <c r="K50" i="3" s="1"/>
  <c r="ET61" i="2"/>
  <c r="EY9" i="2"/>
  <c r="FP11" i="2"/>
  <c r="FO11" i="2"/>
  <c r="FN11" i="2"/>
  <c r="FM11" i="2"/>
  <c r="FI44" i="2"/>
  <c r="FJ44" i="2" s="1"/>
  <c r="FI43" i="2"/>
  <c r="FJ43" i="2" s="1"/>
  <c r="FI40" i="2"/>
  <c r="FJ40" i="2" s="1"/>
  <c r="FI20" i="2"/>
  <c r="FJ20" i="2" s="1"/>
  <c r="EX17" i="2"/>
  <c r="EW61" i="2"/>
  <c r="L51" i="3" s="1"/>
  <c r="M51" i="3" s="1"/>
  <c r="FP27" i="2"/>
  <c r="FO27" i="2"/>
  <c r="FN27" i="2"/>
  <c r="FM27" i="2"/>
  <c r="FP28" i="2"/>
  <c r="FO28" i="2"/>
  <c r="FN28" i="2"/>
  <c r="FM28" i="2"/>
  <c r="FP33" i="2"/>
  <c r="FO33" i="2"/>
  <c r="FN33" i="2"/>
  <c r="FM33" i="2"/>
  <c r="FQ11" i="2" l="1"/>
  <c r="FV11" i="2" s="1"/>
  <c r="FQ28" i="2"/>
  <c r="FV28" i="2" s="1"/>
  <c r="GA28" i="2" s="1"/>
  <c r="GE28" i="2" s="1"/>
  <c r="GF28" i="2" s="1"/>
  <c r="FQ33" i="2"/>
  <c r="FV33" i="2" s="1"/>
  <c r="FQ27" i="2"/>
  <c r="EX61" i="2"/>
  <c r="K51" i="3" s="1"/>
  <c r="EY17" i="2"/>
  <c r="FD17" i="2" s="1"/>
  <c r="FB9" i="2"/>
  <c r="FB10" i="2"/>
  <c r="FC10" i="2" s="1"/>
  <c r="FD10" i="2" s="1"/>
  <c r="FB14" i="2"/>
  <c r="FC14" i="2" s="1"/>
  <c r="FD14" i="2" s="1"/>
  <c r="FB19" i="2"/>
  <c r="FC19" i="2" s="1"/>
  <c r="FD19" i="2" s="1"/>
  <c r="FB21" i="2"/>
  <c r="FC21" i="2" s="1"/>
  <c r="FD21" i="2" s="1"/>
  <c r="FB23" i="2"/>
  <c r="FC23" i="2" s="1"/>
  <c r="FD23" i="2" s="1"/>
  <c r="FB29" i="2"/>
  <c r="FC29" i="2" s="1"/>
  <c r="FD29" i="2" s="1"/>
  <c r="FB34" i="2"/>
  <c r="FC34" i="2" s="1"/>
  <c r="FD34" i="2" s="1"/>
  <c r="FB36" i="2"/>
  <c r="FC36" i="2" s="1"/>
  <c r="FD36" i="2" s="1"/>
  <c r="FB37" i="2"/>
  <c r="FC37" i="2" s="1"/>
  <c r="FD37" i="2" s="1"/>
  <c r="FS11" i="2" l="1"/>
  <c r="FS33" i="2"/>
  <c r="EY61" i="2"/>
  <c r="FI37" i="2"/>
  <c r="FJ37" i="2" s="1"/>
  <c r="FL37" i="2" s="1"/>
  <c r="FK37" i="2" s="1"/>
  <c r="FI36" i="2"/>
  <c r="FJ36" i="2" s="1"/>
  <c r="FL36" i="2" s="1"/>
  <c r="FK36" i="2" s="1"/>
  <c r="FI34" i="2"/>
  <c r="FJ34" i="2" s="1"/>
  <c r="FL34" i="2" s="1"/>
  <c r="FK34" i="2" s="1"/>
  <c r="FI29" i="2"/>
  <c r="FJ29" i="2" s="1"/>
  <c r="FL29" i="2" s="1"/>
  <c r="FK29" i="2" s="1"/>
  <c r="FI23" i="2"/>
  <c r="FJ23" i="2" s="1"/>
  <c r="FL23" i="2" s="1"/>
  <c r="FK23" i="2" s="1"/>
  <c r="FI21" i="2"/>
  <c r="FJ21" i="2" s="1"/>
  <c r="FL21" i="2" s="1"/>
  <c r="FK21" i="2" s="1"/>
  <c r="FI19" i="2"/>
  <c r="FJ19" i="2" s="1"/>
  <c r="FL19" i="2" s="1"/>
  <c r="FK19" i="2" s="1"/>
  <c r="FI14" i="2"/>
  <c r="FJ14" i="2" s="1"/>
  <c r="FL14" i="2" s="1"/>
  <c r="FK14" i="2" s="1"/>
  <c r="FI10" i="2"/>
  <c r="FJ10" i="2" s="1"/>
  <c r="FL10" i="2" s="1"/>
  <c r="FK10" i="2" s="1"/>
  <c r="FB61" i="2"/>
  <c r="L52" i="3" s="1"/>
  <c r="M52" i="3" s="1"/>
  <c r="FC9" i="2"/>
  <c r="GA11" i="2"/>
  <c r="FX11" i="2"/>
  <c r="FI17" i="2"/>
  <c r="FJ17" i="2" s="1"/>
  <c r="GA33" i="2"/>
  <c r="FX33" i="2"/>
  <c r="GE33" i="2" l="1"/>
  <c r="GF33" i="2" s="1"/>
  <c r="GC33" i="2"/>
  <c r="GE11" i="2"/>
  <c r="GF11" i="2" s="1"/>
  <c r="GC11" i="2"/>
  <c r="FC61" i="2"/>
  <c r="FD9" i="2"/>
  <c r="FP10" i="2"/>
  <c r="FO10" i="2"/>
  <c r="FN10" i="2"/>
  <c r="FM10" i="2"/>
  <c r="FP14" i="2"/>
  <c r="FO14" i="2"/>
  <c r="FN14" i="2"/>
  <c r="FM14" i="2"/>
  <c r="FP19" i="2"/>
  <c r="FO19" i="2"/>
  <c r="FN19" i="2"/>
  <c r="FM19" i="2"/>
  <c r="FP21" i="2"/>
  <c r="FO21" i="2"/>
  <c r="FN21" i="2"/>
  <c r="FM21" i="2"/>
  <c r="FP23" i="2"/>
  <c r="FO23" i="2"/>
  <c r="FN23" i="2"/>
  <c r="FM23" i="2"/>
  <c r="FP29" i="2"/>
  <c r="FO29" i="2"/>
  <c r="FN29" i="2"/>
  <c r="FM29" i="2"/>
  <c r="FP34" i="2"/>
  <c r="FO34" i="2"/>
  <c r="FN34" i="2"/>
  <c r="FM34" i="2"/>
  <c r="FP36" i="2"/>
  <c r="FO36" i="2"/>
  <c r="FN36" i="2"/>
  <c r="FM36" i="2"/>
  <c r="FP37" i="2"/>
  <c r="FO37" i="2"/>
  <c r="FN37" i="2"/>
  <c r="FM37" i="2"/>
  <c r="FQ21" i="2" l="1"/>
  <c r="FV21" i="2" s="1"/>
  <c r="FQ36" i="2"/>
  <c r="FV36" i="2" s="1"/>
  <c r="FQ14" i="2"/>
  <c r="FV14" i="2" s="1"/>
  <c r="FQ29" i="2"/>
  <c r="FV29" i="2" s="1"/>
  <c r="FQ37" i="2"/>
  <c r="FV37" i="2" s="1"/>
  <c r="FQ34" i="2"/>
  <c r="FV34" i="2" s="1"/>
  <c r="FQ23" i="2"/>
  <c r="FV23" i="2" s="1"/>
  <c r="FQ19" i="2"/>
  <c r="FV19" i="2" s="1"/>
  <c r="GA19" i="2" s="1"/>
  <c r="GE19" i="2" s="1"/>
  <c r="GF19" i="2" s="1"/>
  <c r="FQ10" i="2"/>
  <c r="FV10" i="2" s="1"/>
  <c r="FS21" i="2"/>
  <c r="FD61" i="2"/>
  <c r="FI9" i="2"/>
  <c r="K53" i="3"/>
  <c r="K52" i="3"/>
  <c r="FS10" i="2" l="1"/>
  <c r="FS29" i="2"/>
  <c r="FS37" i="2"/>
  <c r="FS34" i="2"/>
  <c r="FI61" i="2"/>
  <c r="FJ9" i="2"/>
  <c r="FL50" i="2" s="1"/>
  <c r="GA10" i="2"/>
  <c r="FX10" i="2"/>
  <c r="GA14" i="2"/>
  <c r="GA21" i="2"/>
  <c r="FX21" i="2"/>
  <c r="GA23" i="2"/>
  <c r="GA29" i="2"/>
  <c r="FX29" i="2"/>
  <c r="GA34" i="2"/>
  <c r="FX34" i="2"/>
  <c r="GA36" i="2"/>
  <c r="GA37" i="2"/>
  <c r="FX37" i="2"/>
  <c r="GE37" i="2" l="1"/>
  <c r="GF37" i="2" s="1"/>
  <c r="GC37" i="2"/>
  <c r="GE36" i="2"/>
  <c r="GF36" i="2" s="1"/>
  <c r="GE34" i="2"/>
  <c r="GF34" i="2" s="1"/>
  <c r="GC34" i="2"/>
  <c r="GE29" i="2"/>
  <c r="GF29" i="2" s="1"/>
  <c r="GC29" i="2"/>
  <c r="GE23" i="2"/>
  <c r="GF23" i="2" s="1"/>
  <c r="GE21" i="2"/>
  <c r="GF21" i="2" s="1"/>
  <c r="GC21" i="2"/>
  <c r="GE14" i="2"/>
  <c r="GF14" i="2" s="1"/>
  <c r="GE10" i="2"/>
  <c r="GF10" i="2" s="1"/>
  <c r="GC10" i="2"/>
  <c r="FL9" i="2"/>
  <c r="FK9" i="2" s="1"/>
  <c r="L41" i="1"/>
  <c r="L25" i="1" s="1"/>
  <c r="FL12" i="2"/>
  <c r="FK12" i="2" s="1"/>
  <c r="FL13" i="2"/>
  <c r="FK13" i="2" s="1"/>
  <c r="FL15" i="2"/>
  <c r="FK15" i="2" s="1"/>
  <c r="FL16" i="2"/>
  <c r="FK16" i="2" s="1"/>
  <c r="FL18" i="2"/>
  <c r="FK18" i="2" s="1"/>
  <c r="FL22" i="2"/>
  <c r="FK22" i="2" s="1"/>
  <c r="FL24" i="2"/>
  <c r="FK24" i="2" s="1"/>
  <c r="FL25" i="2"/>
  <c r="FK25" i="2" s="1"/>
  <c r="FL26" i="2"/>
  <c r="FK26" i="2" s="1"/>
  <c r="FL30" i="2"/>
  <c r="FK30" i="2" s="1"/>
  <c r="FL31" i="2"/>
  <c r="FK31" i="2" s="1"/>
  <c r="FL32" i="2"/>
  <c r="FK32" i="2" s="1"/>
  <c r="FL35" i="2"/>
  <c r="FK35" i="2" s="1"/>
  <c r="FL38" i="2"/>
  <c r="FK38" i="2" s="1"/>
  <c r="FL39" i="2"/>
  <c r="FK39" i="2" s="1"/>
  <c r="FL41" i="2"/>
  <c r="FK41" i="2" s="1"/>
  <c r="FL42" i="2"/>
  <c r="FK42" i="2" s="1"/>
  <c r="FL45" i="2"/>
  <c r="FK45" i="2" s="1"/>
  <c r="FL46" i="2"/>
  <c r="FK46" i="2" s="1"/>
  <c r="FL47" i="2"/>
  <c r="FK47" i="2" s="1"/>
  <c r="FL48" i="2"/>
  <c r="FK48" i="2" s="1"/>
  <c r="FL49" i="2"/>
  <c r="FL20" i="2"/>
  <c r="FK20" i="2" s="1"/>
  <c r="FL40" i="2"/>
  <c r="FK40" i="2" s="1"/>
  <c r="FL43" i="2"/>
  <c r="FK43" i="2" s="1"/>
  <c r="FL44" i="2"/>
  <c r="FK44" i="2" s="1"/>
  <c r="FL17" i="2"/>
  <c r="FK17" i="2" s="1"/>
  <c r="FK49" i="2" l="1"/>
  <c r="FP49" i="2" s="1"/>
  <c r="FK50" i="2"/>
  <c r="FP17" i="2"/>
  <c r="FO17" i="2"/>
  <c r="FN17" i="2"/>
  <c r="FM17" i="2"/>
  <c r="FP44" i="2"/>
  <c r="FO44" i="2"/>
  <c r="FN44" i="2"/>
  <c r="FM44" i="2"/>
  <c r="FP43" i="2"/>
  <c r="FO43" i="2"/>
  <c r="FN43" i="2"/>
  <c r="FM43" i="2"/>
  <c r="FP40" i="2"/>
  <c r="FO40" i="2"/>
  <c r="FN40" i="2"/>
  <c r="FM40" i="2"/>
  <c r="FP20" i="2"/>
  <c r="FO20" i="2"/>
  <c r="FN20" i="2"/>
  <c r="FM20" i="2"/>
  <c r="FP48" i="2"/>
  <c r="FO48" i="2"/>
  <c r="FN48" i="2"/>
  <c r="FM48" i="2"/>
  <c r="FP47" i="2"/>
  <c r="FO47" i="2"/>
  <c r="FN47" i="2"/>
  <c r="FM47" i="2"/>
  <c r="FP46" i="2"/>
  <c r="FO46" i="2"/>
  <c r="FN46" i="2"/>
  <c r="FM46" i="2"/>
  <c r="FP45" i="2"/>
  <c r="FO45" i="2"/>
  <c r="FN45" i="2"/>
  <c r="FM45" i="2"/>
  <c r="FP42" i="2"/>
  <c r="FO42" i="2"/>
  <c r="FN42" i="2"/>
  <c r="FM42" i="2"/>
  <c r="FP41" i="2"/>
  <c r="FO41" i="2"/>
  <c r="FN41" i="2"/>
  <c r="FM41" i="2"/>
  <c r="FP39" i="2"/>
  <c r="FO39" i="2"/>
  <c r="FN39" i="2"/>
  <c r="FM39" i="2"/>
  <c r="FP38" i="2"/>
  <c r="FO38" i="2"/>
  <c r="FN38" i="2"/>
  <c r="FM38" i="2"/>
  <c r="FP35" i="2"/>
  <c r="FO35" i="2"/>
  <c r="FN35" i="2"/>
  <c r="FM35" i="2"/>
  <c r="FP32" i="2"/>
  <c r="FO32" i="2"/>
  <c r="FN32" i="2"/>
  <c r="FM32" i="2"/>
  <c r="FP31" i="2"/>
  <c r="FO31" i="2"/>
  <c r="FN31" i="2"/>
  <c r="FM31" i="2"/>
  <c r="FP30" i="2"/>
  <c r="FO30" i="2"/>
  <c r="FN30" i="2"/>
  <c r="FM30" i="2"/>
  <c r="FP26" i="2"/>
  <c r="FO26" i="2"/>
  <c r="FN26" i="2"/>
  <c r="FM26" i="2"/>
  <c r="FP25" i="2"/>
  <c r="FO25" i="2"/>
  <c r="FN25" i="2"/>
  <c r="FM25" i="2"/>
  <c r="FP24" i="2"/>
  <c r="FO24" i="2"/>
  <c r="FN24" i="2"/>
  <c r="FM24" i="2"/>
  <c r="FP22" i="2"/>
  <c r="FO22" i="2"/>
  <c r="FN22" i="2"/>
  <c r="FM22" i="2"/>
  <c r="FP18" i="2"/>
  <c r="FO18" i="2"/>
  <c r="FN18" i="2"/>
  <c r="FM18" i="2"/>
  <c r="FP16" i="2"/>
  <c r="FO16" i="2"/>
  <c r="FN16" i="2"/>
  <c r="FM16" i="2"/>
  <c r="FP15" i="2"/>
  <c r="FO15" i="2"/>
  <c r="FN15" i="2"/>
  <c r="FM15" i="2"/>
  <c r="FP13" i="2"/>
  <c r="FO13" i="2"/>
  <c r="FN13" i="2"/>
  <c r="FM13" i="2"/>
  <c r="FP12" i="2"/>
  <c r="FO12" i="2"/>
  <c r="FN12" i="2"/>
  <c r="FM12" i="2"/>
  <c r="FP9" i="2"/>
  <c r="FO9" i="2"/>
  <c r="FN9" i="2"/>
  <c r="FM9" i="2"/>
  <c r="GH23" i="2"/>
  <c r="FN49" i="2" l="1"/>
  <c r="FO49" i="2"/>
  <c r="FM49" i="2"/>
  <c r="FQ17" i="2"/>
  <c r="FQ16" i="2"/>
  <c r="FS16" i="2" s="1"/>
  <c r="FQ25" i="2"/>
  <c r="FV25" i="2" s="1"/>
  <c r="FQ30" i="2"/>
  <c r="FV30" i="2" s="1"/>
  <c r="FQ32" i="2"/>
  <c r="FV32" i="2" s="1"/>
  <c r="FQ41" i="2"/>
  <c r="FV41" i="2" s="1"/>
  <c r="GA41" i="2" s="1"/>
  <c r="FQ45" i="2"/>
  <c r="FS45" i="2" s="1"/>
  <c r="FQ47" i="2"/>
  <c r="FV47" i="2" s="1"/>
  <c r="FQ40" i="2"/>
  <c r="FQ44" i="2"/>
  <c r="FV44" i="2" s="1"/>
  <c r="FP50" i="2"/>
  <c r="FP61" i="2" s="1"/>
  <c r="K57" i="3" s="1"/>
  <c r="L57" i="3" s="1"/>
  <c r="M57" i="3" s="1"/>
  <c r="FO50" i="2"/>
  <c r="FO61" i="2" s="1"/>
  <c r="K56" i="3" s="1"/>
  <c r="FN50" i="2"/>
  <c r="FN61" i="2" s="1"/>
  <c r="K55" i="3" s="1"/>
  <c r="FM50" i="2"/>
  <c r="FQ13" i="2"/>
  <c r="FQ22" i="2"/>
  <c r="FV22" i="2" s="1"/>
  <c r="FQ38" i="2"/>
  <c r="FS23" i="2" s="1"/>
  <c r="FQ18" i="2"/>
  <c r="FQ26" i="2"/>
  <c r="FV26" i="2" s="1"/>
  <c r="GA26" i="2" s="1"/>
  <c r="FQ39" i="2"/>
  <c r="FS39" i="2" s="1"/>
  <c r="FQ42" i="2"/>
  <c r="FV42" i="2" s="1"/>
  <c r="GA42" i="2" s="1"/>
  <c r="FQ48" i="2"/>
  <c r="FQ43" i="2"/>
  <c r="FV43" i="2" s="1"/>
  <c r="FQ12" i="2"/>
  <c r="FV12" i="2" s="1"/>
  <c r="FQ15" i="2"/>
  <c r="FV15" i="2" s="1"/>
  <c r="FQ24" i="2"/>
  <c r="FV24" i="2" s="1"/>
  <c r="FQ31" i="2"/>
  <c r="FV31" i="2" s="1"/>
  <c r="FQ35" i="2"/>
  <c r="FV35" i="2" s="1"/>
  <c r="GA35" i="2" s="1"/>
  <c r="FQ46" i="2"/>
  <c r="FQ20" i="2"/>
  <c r="FV20" i="2" s="1"/>
  <c r="GH61" i="2"/>
  <c r="L64" i="3" s="1"/>
  <c r="M64" i="3" s="1"/>
  <c r="FQ9" i="2"/>
  <c r="FV17" i="2"/>
  <c r="FS25" i="2" l="1"/>
  <c r="FQ49" i="2"/>
  <c r="FV49" i="2" s="1"/>
  <c r="FQ50" i="2"/>
  <c r="FV50" i="2" s="1"/>
  <c r="FS26" i="2"/>
  <c r="FV38" i="2"/>
  <c r="FX23" i="2" s="1"/>
  <c r="FS24" i="2"/>
  <c r="FS32" i="2"/>
  <c r="FS17" i="2"/>
  <c r="FV16" i="2"/>
  <c r="GA16" i="2" s="1"/>
  <c r="FS15" i="2"/>
  <c r="FS38" i="2"/>
  <c r="FS44" i="2"/>
  <c r="FS27" i="2"/>
  <c r="FU27" i="2" s="1"/>
  <c r="FV27" i="2" s="1"/>
  <c r="GA27" i="2" s="1"/>
  <c r="GE27" i="2" s="1"/>
  <c r="GF27" i="2" s="1"/>
  <c r="FS14" i="2"/>
  <c r="FV45" i="2"/>
  <c r="GA45" i="2" s="1"/>
  <c r="FS41" i="2"/>
  <c r="FS31" i="2"/>
  <c r="FS30" i="2"/>
  <c r="FS28" i="2"/>
  <c r="FX50" i="2"/>
  <c r="FZ50" i="2" s="1"/>
  <c r="FS47" i="2"/>
  <c r="FV39" i="2"/>
  <c r="GA39" i="2" s="1"/>
  <c r="FS36" i="2"/>
  <c r="FM61" i="2"/>
  <c r="K54" i="3" s="1"/>
  <c r="FS50" i="2"/>
  <c r="FS42" i="2"/>
  <c r="FS22" i="2"/>
  <c r="FS48" i="2"/>
  <c r="FU48" i="2" s="1"/>
  <c r="FV48" i="2" s="1"/>
  <c r="GA48" i="2" s="1"/>
  <c r="GE48" i="2" s="1"/>
  <c r="GF48" i="2" s="1"/>
  <c r="FS20" i="2"/>
  <c r="FS18" i="2"/>
  <c r="FU18" i="2" s="1"/>
  <c r="FV18" i="2" s="1"/>
  <c r="GA18" i="2" s="1"/>
  <c r="GE18" i="2" s="1"/>
  <c r="GF18" i="2" s="1"/>
  <c r="FS13" i="2"/>
  <c r="FS61" i="2" s="1"/>
  <c r="L58" i="3" s="1"/>
  <c r="M58" i="3" s="1"/>
  <c r="FS35" i="2"/>
  <c r="FS19" i="2"/>
  <c r="FS12" i="2"/>
  <c r="FS43" i="2"/>
  <c r="FS46" i="2"/>
  <c r="FU46" i="2" s="1"/>
  <c r="FV46" i="2" s="1"/>
  <c r="GA46" i="2" s="1"/>
  <c r="GE46" i="2" s="1"/>
  <c r="GF46" i="2" s="1"/>
  <c r="FS40" i="2"/>
  <c r="FU40" i="2" s="1"/>
  <c r="FV40" i="2" s="1"/>
  <c r="GA40" i="2" s="1"/>
  <c r="GE40" i="2" s="1"/>
  <c r="GF40" i="2" s="1"/>
  <c r="GA17" i="2"/>
  <c r="FX17" i="2"/>
  <c r="FX26" i="2"/>
  <c r="FX43" i="2"/>
  <c r="FZ43" i="2" s="1"/>
  <c r="GA43" i="2" s="1"/>
  <c r="GA20" i="2"/>
  <c r="FX20" i="2"/>
  <c r="GA49" i="2"/>
  <c r="FX49" i="2"/>
  <c r="GA47" i="2"/>
  <c r="FX36" i="2"/>
  <c r="FX47" i="2"/>
  <c r="GA32" i="2"/>
  <c r="FX32" i="2"/>
  <c r="GA31" i="2"/>
  <c r="FX31" i="2"/>
  <c r="GA25" i="2"/>
  <c r="FX25" i="2"/>
  <c r="GA22" i="2"/>
  <c r="FX22" i="2"/>
  <c r="FX42" i="2"/>
  <c r="FX15" i="2"/>
  <c r="FX24" i="2"/>
  <c r="FZ24" i="2" s="1"/>
  <c r="GA24" i="2" s="1"/>
  <c r="FX30" i="2"/>
  <c r="FZ30" i="2" s="1"/>
  <c r="GA30" i="2" s="1"/>
  <c r="FX44" i="2"/>
  <c r="FZ44" i="2" s="1"/>
  <c r="GA44" i="2" s="1"/>
  <c r="GA12" i="2"/>
  <c r="FX12" i="2"/>
  <c r="FX19" i="2"/>
  <c r="FX35" i="2"/>
  <c r="FQ61" i="2"/>
  <c r="FV9" i="2"/>
  <c r="FS9" i="2"/>
  <c r="GA50" i="2" l="1"/>
  <c r="GC50" i="2"/>
  <c r="GE50" i="2" s="1"/>
  <c r="GF50" i="2" s="1"/>
  <c r="FX38" i="2"/>
  <c r="FS49" i="2"/>
  <c r="GA38" i="2"/>
  <c r="GC23" i="2" s="1"/>
  <c r="FX16" i="2"/>
  <c r="FX41" i="2"/>
  <c r="FX39" i="2"/>
  <c r="FX28" i="2"/>
  <c r="FX14" i="2"/>
  <c r="FX45" i="2"/>
  <c r="FU13" i="2"/>
  <c r="FU61" i="2" s="1"/>
  <c r="K58" i="3" s="1"/>
  <c r="GA9" i="2"/>
  <c r="FX9" i="2"/>
  <c r="GC12" i="2"/>
  <c r="GC19" i="2"/>
  <c r="GC35" i="2"/>
  <c r="GE35" i="2" s="1"/>
  <c r="GF35" i="2" s="1"/>
  <c r="FX61" i="2"/>
  <c r="L59" i="3" s="1"/>
  <c r="M59" i="3" s="1"/>
  <c r="FZ15" i="2"/>
  <c r="GC16" i="2"/>
  <c r="GE16" i="2" s="1"/>
  <c r="GF16" i="2" s="1"/>
  <c r="GC22" i="2"/>
  <c r="GE22" i="2" s="1"/>
  <c r="GF22" i="2" s="1"/>
  <c r="GC42" i="2"/>
  <c r="GE42" i="2" s="1"/>
  <c r="GF42" i="2" s="1"/>
  <c r="GC25" i="2"/>
  <c r="GE25" i="2" s="1"/>
  <c r="GF25" i="2" s="1"/>
  <c r="GC31" i="2"/>
  <c r="GE31" i="2" s="1"/>
  <c r="GF31" i="2" s="1"/>
  <c r="GC32" i="2"/>
  <c r="GE32" i="2" s="1"/>
  <c r="GF32" i="2" s="1"/>
  <c r="GC14" i="2"/>
  <c r="GC28" i="2"/>
  <c r="GC39" i="2"/>
  <c r="GE39" i="2" s="1"/>
  <c r="GF39" i="2" s="1"/>
  <c r="GC41" i="2"/>
  <c r="GE41" i="2" s="1"/>
  <c r="GF41" i="2" s="1"/>
  <c r="GC45" i="2"/>
  <c r="GE45" i="2" s="1"/>
  <c r="GF45" i="2" s="1"/>
  <c r="GC36" i="2"/>
  <c r="GC47" i="2"/>
  <c r="GE47" i="2" s="1"/>
  <c r="GF47" i="2" s="1"/>
  <c r="GC49" i="2"/>
  <c r="GE49" i="2" s="1"/>
  <c r="GF49" i="2" s="1"/>
  <c r="GC20" i="2"/>
  <c r="GE20" i="2" s="1"/>
  <c r="GF20" i="2" s="1"/>
  <c r="GC43" i="2"/>
  <c r="GE43" i="2" s="1"/>
  <c r="GF43" i="2" s="1"/>
  <c r="GC17" i="2"/>
  <c r="GE17" i="2" s="1"/>
  <c r="GF17" i="2" s="1"/>
  <c r="GC26" i="2"/>
  <c r="GE26" i="2" s="1"/>
  <c r="GF26" i="2" s="1"/>
  <c r="GC38" i="2" l="1"/>
  <c r="GE38" i="2" s="1"/>
  <c r="GF38" i="2" s="1"/>
  <c r="FV13" i="2"/>
  <c r="GA13" i="2" s="1"/>
  <c r="GI17" i="2"/>
  <c r="GJ17" i="2" s="1"/>
  <c r="GO17" i="2" s="1"/>
  <c r="GT17" i="2" s="1"/>
  <c r="GY17" i="2" s="1"/>
  <c r="HD17" i="2" s="1"/>
  <c r="HG17" i="2" s="1"/>
  <c r="GI43" i="2"/>
  <c r="GJ43" i="2" s="1"/>
  <c r="GO43" i="2" s="1"/>
  <c r="GT43" i="2" s="1"/>
  <c r="GY43" i="2" s="1"/>
  <c r="HD43" i="2" s="1"/>
  <c r="HG43" i="2" s="1"/>
  <c r="HN43" i="2" s="1"/>
  <c r="GI20" i="2"/>
  <c r="GJ20" i="2" s="1"/>
  <c r="GO20" i="2" s="1"/>
  <c r="GT20" i="2" s="1"/>
  <c r="GY20" i="2" s="1"/>
  <c r="HD20" i="2" s="1"/>
  <c r="HG20" i="2" s="1"/>
  <c r="HN20" i="2" s="1"/>
  <c r="FZ61" i="2"/>
  <c r="K59" i="3" s="1"/>
  <c r="GA15" i="2"/>
  <c r="GE12" i="2"/>
  <c r="GF12" i="2" s="1"/>
  <c r="GE9" i="2"/>
  <c r="GC9" i="2"/>
  <c r="FV61" i="2" l="1"/>
  <c r="FX48" i="2"/>
  <c r="FX27" i="2"/>
  <c r="FX13" i="2"/>
  <c r="FX46" i="2"/>
  <c r="FX40" i="2"/>
  <c r="FX18" i="2"/>
  <c r="GA61" i="2"/>
  <c r="GF9" i="2"/>
  <c r="GE13" i="2"/>
  <c r="GC13" i="2"/>
  <c r="GC18" i="2"/>
  <c r="GC27" i="2"/>
  <c r="GC40" i="2"/>
  <c r="GC46" i="2"/>
  <c r="GC48" i="2"/>
  <c r="GC15" i="2"/>
  <c r="GC61" i="2" s="1"/>
  <c r="GC24" i="2"/>
  <c r="GE24" i="2" s="1"/>
  <c r="GF24" i="2" s="1"/>
  <c r="GC30" i="2"/>
  <c r="GE30" i="2" s="1"/>
  <c r="GF30" i="2" s="1"/>
  <c r="GI30" i="2" s="1"/>
  <c r="GJ30" i="2" s="1"/>
  <c r="GO30" i="2" s="1"/>
  <c r="GT30" i="2" s="1"/>
  <c r="GY30" i="2" s="1"/>
  <c r="HD30" i="2" s="1"/>
  <c r="HG30" i="2" s="1"/>
  <c r="HN30" i="2" s="1"/>
  <c r="GC44" i="2"/>
  <c r="GE44" i="2" s="1"/>
  <c r="GF44" i="2" s="1"/>
  <c r="K25" i="3"/>
  <c r="HN17" i="2"/>
  <c r="GE15" i="2" l="1"/>
  <c r="GF15" i="2" s="1"/>
  <c r="GI25" i="2" s="1"/>
  <c r="GJ25" i="2" s="1"/>
  <c r="GO25" i="2" s="1"/>
  <c r="GT25" i="2" s="1"/>
  <c r="GY25" i="2" s="1"/>
  <c r="HD25" i="2" s="1"/>
  <c r="HE25" i="2" s="1"/>
  <c r="HN25" i="2" s="1"/>
  <c r="GI40" i="2"/>
  <c r="GJ40" i="2" s="1"/>
  <c r="GO40" i="2" s="1"/>
  <c r="GT40" i="2" s="1"/>
  <c r="GY40" i="2" s="1"/>
  <c r="HD40" i="2" s="1"/>
  <c r="HG40" i="2" s="1"/>
  <c r="HN40" i="2" s="1"/>
  <c r="GI42" i="2"/>
  <c r="GJ42" i="2" s="1"/>
  <c r="GO42" i="2" s="1"/>
  <c r="GT42" i="2" s="1"/>
  <c r="GY42" i="2" s="1"/>
  <c r="HD42" i="2" s="1"/>
  <c r="HG42" i="2" s="1"/>
  <c r="HN42" i="2" s="1"/>
  <c r="GI44" i="2"/>
  <c r="GJ44" i="2" s="1"/>
  <c r="GO44" i="2" s="1"/>
  <c r="GT44" i="2" s="1"/>
  <c r="GY44" i="2" s="1"/>
  <c r="HD44" i="2" s="1"/>
  <c r="HG44" i="2" s="1"/>
  <c r="HN44" i="2" s="1"/>
  <c r="GI41" i="2"/>
  <c r="GJ41" i="2" s="1"/>
  <c r="GO41" i="2" s="1"/>
  <c r="GT41" i="2" s="1"/>
  <c r="GY41" i="2" s="1"/>
  <c r="HD41" i="2" s="1"/>
  <c r="HG41" i="2" s="1"/>
  <c r="HN41" i="2" s="1"/>
  <c r="GI16" i="2"/>
  <c r="GJ16" i="2" s="1"/>
  <c r="GO16" i="2" s="1"/>
  <c r="GT16" i="2" s="1"/>
  <c r="GI24" i="2"/>
  <c r="GJ24" i="2" s="1"/>
  <c r="GO24" i="2" s="1"/>
  <c r="GT24" i="2" s="1"/>
  <c r="GY24" i="2" s="1"/>
  <c r="HD24" i="2" s="1"/>
  <c r="HG24" i="2" s="1"/>
  <c r="HN24" i="2" s="1"/>
  <c r="GI26" i="2"/>
  <c r="GJ26" i="2" s="1"/>
  <c r="GO26" i="2" s="1"/>
  <c r="GT26" i="2" s="1"/>
  <c r="GY26" i="2" s="1"/>
  <c r="HD26" i="2" s="1"/>
  <c r="HG26" i="2" s="1"/>
  <c r="HN26" i="2" s="1"/>
  <c r="GI28" i="2"/>
  <c r="GJ28" i="2" s="1"/>
  <c r="GO28" i="2" s="1"/>
  <c r="GT28" i="2" s="1"/>
  <c r="GY28" i="2" s="1"/>
  <c r="HD28" i="2" s="1"/>
  <c r="HN28" i="2" s="1"/>
  <c r="GI36" i="2"/>
  <c r="GJ36" i="2" s="1"/>
  <c r="GO36" i="2" s="1"/>
  <c r="GT36" i="2" s="1"/>
  <c r="GI49" i="2"/>
  <c r="GJ49" i="2" s="1"/>
  <c r="GO49" i="2" s="1"/>
  <c r="GT49" i="2" s="1"/>
  <c r="GY49" i="2" s="1"/>
  <c r="HD49" i="2" s="1"/>
  <c r="HG49" i="2" s="1"/>
  <c r="HN49" i="2" s="1"/>
  <c r="GF13" i="2"/>
  <c r="GI9" i="2"/>
  <c r="GI19" i="2"/>
  <c r="GJ19" i="2" s="1"/>
  <c r="GO19" i="2" s="1"/>
  <c r="GT19" i="2" s="1"/>
  <c r="GY19" i="2" s="1"/>
  <c r="HD19" i="2" s="1"/>
  <c r="HN19" i="2" s="1"/>
  <c r="GI10" i="2"/>
  <c r="GJ10" i="2" s="1"/>
  <c r="GO10" i="2" s="1"/>
  <c r="GT10" i="2" s="1"/>
  <c r="GI14" i="2"/>
  <c r="GJ14" i="2" s="1"/>
  <c r="GO14" i="2" s="1"/>
  <c r="GT14" i="2" s="1"/>
  <c r="GY14" i="2" s="1"/>
  <c r="HD14" i="2" s="1"/>
  <c r="HN14" i="2" s="1"/>
  <c r="GI21" i="2"/>
  <c r="GJ21" i="2" s="1"/>
  <c r="GI29" i="2"/>
  <c r="GJ29" i="2" s="1"/>
  <c r="GO29" i="2" s="1"/>
  <c r="GT29" i="2" s="1"/>
  <c r="GY29" i="2" s="1"/>
  <c r="HD29" i="2" s="1"/>
  <c r="HN29" i="2" s="1"/>
  <c r="GI34" i="2"/>
  <c r="GJ34" i="2" s="1"/>
  <c r="GO34" i="2" s="1"/>
  <c r="GT34" i="2" s="1"/>
  <c r="GY34" i="2" s="1"/>
  <c r="HD34" i="2" s="1"/>
  <c r="HN34" i="2" s="1"/>
  <c r="GI37" i="2"/>
  <c r="GJ37" i="2" s="1"/>
  <c r="GO37" i="2" s="1"/>
  <c r="GT37" i="2" s="1"/>
  <c r="GY37" i="2" s="1"/>
  <c r="HD37" i="2" s="1"/>
  <c r="HN37" i="2" s="1"/>
  <c r="GI23" i="2"/>
  <c r="GJ23" i="2" s="1"/>
  <c r="GO23" i="2" s="1"/>
  <c r="GT23" i="2" s="1"/>
  <c r="GY23" i="2" s="1"/>
  <c r="HD23" i="2" s="1"/>
  <c r="HN23" i="2" s="1"/>
  <c r="GI27" i="2"/>
  <c r="GJ27" i="2" s="1"/>
  <c r="GO27" i="2" s="1"/>
  <c r="GT27" i="2" s="1"/>
  <c r="GI35" i="2"/>
  <c r="GJ35" i="2" s="1"/>
  <c r="GO35" i="2" s="1"/>
  <c r="GT35" i="2" s="1"/>
  <c r="GY35" i="2" s="1"/>
  <c r="HD35" i="2" s="1"/>
  <c r="HE35" i="2" s="1"/>
  <c r="GI31" i="2" l="1"/>
  <c r="GJ31" i="2" s="1"/>
  <c r="GO31" i="2" s="1"/>
  <c r="GT31" i="2" s="1"/>
  <c r="GY31" i="2" s="1"/>
  <c r="HD31" i="2" s="1"/>
  <c r="HE31" i="2" s="1"/>
  <c r="HN31" i="2" s="1"/>
  <c r="GF61" i="2"/>
  <c r="GI50" i="2" s="1"/>
  <c r="GJ50" i="2" s="1"/>
  <c r="GO50" i="2" s="1"/>
  <c r="GT50" i="2" s="1"/>
  <c r="GY50" i="2" s="1"/>
  <c r="HD50" i="2" s="1"/>
  <c r="GI18" i="2"/>
  <c r="GJ18" i="2" s="1"/>
  <c r="GO18" i="2" s="1"/>
  <c r="GT18" i="2" s="1"/>
  <c r="GY18" i="2" s="1"/>
  <c r="HD18" i="2" s="1"/>
  <c r="HE18" i="2" s="1"/>
  <c r="HN18" i="2" s="1"/>
  <c r="GE61" i="2"/>
  <c r="K61" i="3" s="1"/>
  <c r="GI15" i="2"/>
  <c r="GJ15" i="2" s="1"/>
  <c r="GO15" i="2" s="1"/>
  <c r="GT15" i="2" s="1"/>
  <c r="GY15" i="2" s="1"/>
  <c r="HD15" i="2" s="1"/>
  <c r="HE15" i="2" s="1"/>
  <c r="GI45" i="2"/>
  <c r="GJ45" i="2" s="1"/>
  <c r="GO45" i="2" s="1"/>
  <c r="GT45" i="2" s="1"/>
  <c r="GY45" i="2" s="1"/>
  <c r="HD45" i="2" s="1"/>
  <c r="HE45" i="2" s="1"/>
  <c r="HN45" i="2" s="1"/>
  <c r="GI32" i="2"/>
  <c r="GJ32" i="2" s="1"/>
  <c r="GM21" i="2" s="1"/>
  <c r="GI39" i="2"/>
  <c r="GJ39" i="2" s="1"/>
  <c r="GO39" i="2" s="1"/>
  <c r="GT39" i="2" s="1"/>
  <c r="GY39" i="2" s="1"/>
  <c r="HD39" i="2" s="1"/>
  <c r="HE39" i="2" s="1"/>
  <c r="HN39" i="2" s="1"/>
  <c r="GI22" i="2"/>
  <c r="GJ22" i="2" s="1"/>
  <c r="GO22" i="2" s="1"/>
  <c r="GT22" i="2" s="1"/>
  <c r="GY22" i="2" s="1"/>
  <c r="HD22" i="2" s="1"/>
  <c r="HE22" i="2" s="1"/>
  <c r="HN22" i="2" s="1"/>
  <c r="HG50" i="2"/>
  <c r="HN35" i="2"/>
  <c r="K5" i="3"/>
  <c r="GW10" i="2"/>
  <c r="GW16" i="2"/>
  <c r="GX16" i="2" s="1"/>
  <c r="GY16" i="2" s="1"/>
  <c r="HD16" i="2" s="1"/>
  <c r="HG16" i="2" s="1"/>
  <c r="GW27" i="2"/>
  <c r="GX27" i="2" s="1"/>
  <c r="GY27" i="2" s="1"/>
  <c r="HD27" i="2" s="1"/>
  <c r="HN27" i="2" s="1"/>
  <c r="GW36" i="2"/>
  <c r="GX36" i="2" s="1"/>
  <c r="GY36" i="2" s="1"/>
  <c r="HD36" i="2" s="1"/>
  <c r="HN36" i="2" s="1"/>
  <c r="GJ9" i="2"/>
  <c r="GI13" i="2"/>
  <c r="GJ13" i="2" s="1"/>
  <c r="GO13" i="2" s="1"/>
  <c r="GT13" i="2" s="1"/>
  <c r="GY13" i="2" s="1"/>
  <c r="HD13" i="2" s="1"/>
  <c r="HE13" i="2" s="1"/>
  <c r="HN13" i="2" s="1"/>
  <c r="GI12" i="2"/>
  <c r="GJ12" i="2" s="1"/>
  <c r="GO12" i="2" s="1"/>
  <c r="GT12" i="2" s="1"/>
  <c r="GY12" i="2" s="1"/>
  <c r="HD12" i="2" s="1"/>
  <c r="HE12" i="2" s="1"/>
  <c r="GI11" i="2"/>
  <c r="GI33" i="2"/>
  <c r="GJ33" i="2" s="1"/>
  <c r="GO33" i="2" s="1"/>
  <c r="GT33" i="2" s="1"/>
  <c r="GY33" i="2" s="1"/>
  <c r="HD33" i="2" s="1"/>
  <c r="HN33" i="2" s="1"/>
  <c r="GI46" i="2"/>
  <c r="GJ46" i="2" s="1"/>
  <c r="GO46" i="2" s="1"/>
  <c r="GT46" i="2" s="1"/>
  <c r="GY46" i="2" s="1"/>
  <c r="HD46" i="2" s="1"/>
  <c r="HE46" i="2" s="1"/>
  <c r="HN46" i="2" s="1"/>
  <c r="GI48" i="2"/>
  <c r="GJ48" i="2" s="1"/>
  <c r="GO48" i="2" s="1"/>
  <c r="GT48" i="2" s="1"/>
  <c r="GY48" i="2" s="1"/>
  <c r="HD48" i="2" s="1"/>
  <c r="HE48" i="2" s="1"/>
  <c r="HN48" i="2" s="1"/>
  <c r="GI47" i="2"/>
  <c r="GJ47" i="2" s="1"/>
  <c r="GO47" i="2" s="1"/>
  <c r="GT47" i="2" s="1"/>
  <c r="GY47" i="2" s="1"/>
  <c r="HD47" i="2" s="1"/>
  <c r="HE47" i="2" s="1"/>
  <c r="HN47" i="2" s="1"/>
  <c r="GI38" i="2"/>
  <c r="GJ38" i="2" s="1"/>
  <c r="GO38" i="2" s="1"/>
  <c r="GT38" i="2" s="1"/>
  <c r="GY38" i="2" s="1"/>
  <c r="HD38" i="2" s="1"/>
  <c r="HE38" i="2" s="1"/>
  <c r="HN38" i="2" s="1"/>
  <c r="L61" i="3"/>
  <c r="M61" i="3" s="1"/>
  <c r="HN15" i="2"/>
  <c r="GM32" i="2" l="1"/>
  <c r="GN32" i="2" s="1"/>
  <c r="GO32" i="2" s="1"/>
  <c r="GT32" i="2" s="1"/>
  <c r="GY32" i="2" s="1"/>
  <c r="HD32" i="2" s="1"/>
  <c r="HE32" i="2" s="1"/>
  <c r="K9" i="3" s="1"/>
  <c r="HN50" i="2"/>
  <c r="K21" i="3"/>
  <c r="GJ11" i="2"/>
  <c r="GO11" i="2" s="1"/>
  <c r="GT11" i="2" s="1"/>
  <c r="GY11" i="2" s="1"/>
  <c r="HD11" i="2" s="1"/>
  <c r="HN11" i="2" s="1"/>
  <c r="GI61" i="2"/>
  <c r="K64" i="3" s="1"/>
  <c r="HN12" i="2"/>
  <c r="K13" i="3"/>
  <c r="GO9" i="2"/>
  <c r="K17" i="3"/>
  <c r="HG61" i="2"/>
  <c r="HN16" i="2"/>
  <c r="GX10" i="2"/>
  <c r="GW61" i="2"/>
  <c r="L69" i="3" s="1"/>
  <c r="GN21" i="2"/>
  <c r="GM61" i="2" l="1"/>
  <c r="L67" i="3" s="1"/>
  <c r="M67" i="3" s="1"/>
  <c r="HE61" i="2"/>
  <c r="HN32" i="2"/>
  <c r="GJ61" i="2"/>
  <c r="K32" i="3"/>
  <c r="L5" i="3" s="1"/>
  <c r="GN61" i="2"/>
  <c r="K67" i="3" s="1"/>
  <c r="GO21" i="2"/>
  <c r="GT21" i="2" s="1"/>
  <c r="GY21" i="2" s="1"/>
  <c r="HD21" i="2" s="1"/>
  <c r="HN21" i="2" s="1"/>
  <c r="D88" i="14"/>
  <c r="M69" i="3"/>
  <c r="GX61" i="2"/>
  <c r="K69" i="3" s="1"/>
  <c r="E88" i="14" s="1"/>
  <c r="GY10" i="2"/>
  <c r="HD10" i="2" s="1"/>
  <c r="HN10" i="2" s="1"/>
  <c r="GT9" i="2"/>
  <c r="L9" i="3" l="1"/>
  <c r="L17" i="3"/>
  <c r="L21" i="3"/>
  <c r="L22" i="3"/>
  <c r="L25" i="3"/>
  <c r="L29" i="3"/>
  <c r="L26" i="3"/>
  <c r="L13" i="3"/>
  <c r="L18" i="3"/>
  <c r="L14" i="3"/>
  <c r="L10" i="3"/>
  <c r="L6" i="3"/>
  <c r="M44" i="3"/>
  <c r="L34" i="1" s="1"/>
  <c r="L35" i="1" s="1"/>
  <c r="GO61" i="2"/>
  <c r="GT61" i="2"/>
  <c r="GY9" i="2"/>
  <c r="M45" i="3" l="1"/>
  <c r="L32" i="3"/>
  <c r="G38" i="3"/>
  <c r="G174" i="3" s="1"/>
  <c r="G175" i="3" s="1"/>
  <c r="GY61" i="2"/>
  <c r="HD9" i="2"/>
  <c r="L48" i="1" l="1"/>
  <c r="L23" i="1" s="1"/>
  <c r="L26" i="1" s="1"/>
  <c r="L62" i="1" s="1"/>
  <c r="HD61" i="2"/>
  <c r="HN9" i="2"/>
  <c r="AJ24" i="4"/>
  <c r="AF24" i="4"/>
  <c r="AF29" i="4" s="1"/>
  <c r="AE24" i="4"/>
  <c r="AE29" i="4" s="1"/>
  <c r="AD24" i="4"/>
  <c r="AC24" i="4"/>
  <c r="AC29" i="4" s="1"/>
  <c r="AB24" i="4"/>
  <c r="AB29" i="4" s="1"/>
  <c r="AA24" i="4"/>
  <c r="AA29" i="4" s="1"/>
  <c r="Z24" i="4"/>
  <c r="Z29" i="4" s="1"/>
  <c r="Y24" i="4"/>
  <c r="X24" i="4"/>
  <c r="X29" i="4" s="1"/>
  <c r="T24" i="4"/>
  <c r="T29" i="4" s="1"/>
  <c r="U29" i="4" s="1"/>
  <c r="S24" i="4"/>
  <c r="R24" i="4"/>
  <c r="R29" i="4" s="1"/>
  <c r="Q24" i="4"/>
  <c r="Q29" i="4" s="1"/>
  <c r="K24" i="4"/>
  <c r="K29" i="4" s="1"/>
  <c r="S29" i="4"/>
  <c r="Y29" i="4"/>
  <c r="AD29" i="4"/>
  <c r="AJ29" i="4"/>
  <c r="U24" i="4" l="1"/>
  <c r="B12" i="13"/>
  <c r="L28" i="1"/>
  <c r="L29" i="1" s="1"/>
  <c r="L56" i="1"/>
  <c r="B54" i="14"/>
  <c r="L42" i="1"/>
  <c r="L5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Jiakun</author>
  </authors>
  <commentList>
    <comment ref="DO4" authorId="0" shapeId="0" xr:uid="{00000000-0006-0000-0100-000001000000}">
      <text>
        <r>
          <rPr>
            <sz val="11"/>
            <color theme="1"/>
            <rFont val="Calibri"/>
            <family val="2"/>
            <scheme val="minor"/>
          </rPr>
          <t xml:space="preserve">Yuan, Jiakun:
interest coverage n/a need more info
</t>
        </r>
      </text>
    </comment>
    <comment ref="I8" authorId="0" shapeId="0" xr:uid="{00000000-0006-0000-0100-000002000000}">
      <text>
        <r>
          <rPr>
            <sz val="11"/>
            <color theme="1"/>
            <rFont val="Calibri"/>
            <family val="2"/>
            <scheme val="minor"/>
          </rPr>
          <t>Yuan, Jiakun:
na, use 100%</t>
        </r>
      </text>
    </comment>
    <comment ref="BK8" authorId="0" shapeId="0" xr:uid="{00000000-0006-0000-0100-000003000000}">
      <text>
        <r>
          <rPr>
            <sz val="11"/>
            <color theme="1"/>
            <rFont val="Calibri"/>
            <family val="2"/>
            <scheme val="minor"/>
          </rPr>
          <t>Yuan, Jiakun:
na, assume it is the closing date</t>
        </r>
      </text>
    </comment>
    <comment ref="BL8" authorId="0" shapeId="0" xr:uid="{00000000-0006-0000-0100-000004000000}">
      <text>
        <r>
          <rPr>
            <sz val="11"/>
            <color theme="1"/>
            <rFont val="Calibri"/>
            <family val="2"/>
            <scheme val="minor"/>
          </rPr>
          <t xml:space="preserve">Yuan, Jiakun:
na, assume it is the closing date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Yuan, Jiakun</author>
    <author>Matthew Guitard</author>
  </authors>
  <commentList>
    <comment ref="K3" authorId="0" shapeId="0" xr:uid="{00000000-0006-0000-0700-000001000000}">
      <text>
        <r>
          <rPr>
            <sz val="11"/>
            <color theme="1"/>
            <rFont val="Calibri"/>
            <family val="2"/>
            <scheme val="minor"/>
          </rPr>
          <t xml:space="preserve">Yuan, Jiakun:
N/A need more ifno. Current assume all TL
</t>
        </r>
      </text>
    </comment>
    <comment ref="AN3" authorId="0" shapeId="0" xr:uid="{00000000-0006-0000-0700-000002000000}">
      <text>
        <r>
          <rPr>
            <sz val="11"/>
            <color theme="1"/>
            <rFont val="Calibri"/>
            <family val="2"/>
            <scheme val="minor"/>
          </rPr>
          <t>Yuan, Jiakun:
na, assume it is the investment date</t>
        </r>
      </text>
    </comment>
    <comment ref="BC3" authorId="0" shapeId="0" xr:uid="{00000000-0006-0000-0700-000003000000}">
      <text>
        <r>
          <rPr>
            <sz val="11"/>
            <color theme="1"/>
            <rFont val="Calibri"/>
            <family val="2"/>
            <scheme val="minor"/>
          </rPr>
          <t xml:space="preserve">Yuan, Jiakun:
n/a
use leverage through SMC. Loan tape AF
</t>
        </r>
      </text>
    </comment>
    <comment ref="BD3" authorId="0" shapeId="0" xr:uid="{00000000-0006-0000-0700-000004000000}">
      <text>
        <r>
          <rPr>
            <sz val="11"/>
            <color theme="1"/>
            <rFont val="Calibri"/>
            <family val="2"/>
            <scheme val="minor"/>
          </rPr>
          <t xml:space="preserve">Yuan, Jiakun:
n/a
use leverage through SMC. Loan tape AF
</t>
        </r>
      </text>
    </comment>
    <comment ref="AE18" authorId="1" shapeId="0" xr:uid="{00000000-0006-0000-0700-000005000000}">
      <text>
        <r>
          <rPr>
            <sz val="11"/>
            <color theme="1"/>
            <rFont val="Calibri"/>
            <family val="2"/>
            <scheme val="minor"/>
          </rPr>
          <t>Matthew Guitard:
At close, willl increase post-syndication</t>
        </r>
      </text>
    </comment>
    <comment ref="AE56" authorId="1" shapeId="0" xr:uid="{00000000-0006-0000-0700-000006000000}">
      <text>
        <r>
          <rPr>
            <sz val="11"/>
            <color theme="1"/>
            <rFont val="Calibri"/>
            <family val="2"/>
            <scheme val="minor"/>
          </rPr>
          <t>Matthew Guitard:
At close, willl increase post-syndication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Y42" authorId="0" shapeId="0" xr:uid="{00000000-0006-0000-0800-000001000000}">
      <text>
        <r>
          <rPr>
            <sz val="11"/>
            <color theme="1"/>
            <rFont val="Calibri"/>
            <family val="2"/>
            <scheme val="minor"/>
          </rPr>
          <t>Siddharth Tripurani:
FV at PAR given recent close, will update to external provided mark post QE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B53" authorId="0" shapeId="0" xr:uid="{00000000-0006-0000-0D00-000001000000}">
      <text>
        <r>
          <rPr>
            <sz val="11"/>
            <color theme="1"/>
            <rFont val="Calibri"/>
            <family val="2"/>
            <scheme val="minor"/>
          </rPr>
          <t>Siddharth Tripurani:
Claude captures this before running pro forma</t>
        </r>
      </text>
    </comment>
  </commentList>
</comments>
</file>

<file path=xl/sharedStrings.xml><?xml version="1.0" encoding="utf-8"?>
<sst xmlns="http://schemas.openxmlformats.org/spreadsheetml/2006/main" count="5770" uniqueCount="2604">
  <si>
    <t>Borrower:</t>
  </si>
  <si>
    <t>Star Mountain Lower Middle-Market Capital Corp.</t>
  </si>
  <si>
    <t>Effective Date:</t>
  </si>
  <si>
    <t>Scheduled Revolving Period End Date:</t>
  </si>
  <si>
    <t>Termination Date:</t>
  </si>
  <si>
    <t>Measurement Date</t>
  </si>
  <si>
    <t>Interest Payment Date:</t>
  </si>
  <si>
    <t>N/A</t>
  </si>
  <si>
    <t>Advance Date:</t>
  </si>
  <si>
    <t>BORROWER INPUTS</t>
  </si>
  <si>
    <t>PRO FORMA BORROWING BASE</t>
  </si>
  <si>
    <t>Facility Amount</t>
  </si>
  <si>
    <t>Cash on deposit in Principal Collection Account</t>
  </si>
  <si>
    <t>Interest Reserve 
Amount</t>
  </si>
  <si>
    <t>Availability is defined as the least of:</t>
  </si>
  <si>
    <t>(a)</t>
  </si>
  <si>
    <t>the Maximum Facility Amount</t>
  </si>
  <si>
    <t>(b)</t>
  </si>
  <si>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</si>
  <si>
    <t xml:space="preserve">(c) </t>
  </si>
  <si>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</si>
  <si>
    <t>The least of (a), (b) and (c)</t>
  </si>
  <si>
    <t>Effective Advance Rate</t>
  </si>
  <si>
    <t>Effective Debt to Equity</t>
  </si>
  <si>
    <t>Commitments/Outstandings ($mm)</t>
  </si>
  <si>
    <t>Par value of portfolio</t>
  </si>
  <si>
    <t>Comm. %</t>
  </si>
  <si>
    <t>Commitment</t>
  </si>
  <si>
    <t xml:space="preserve">Outstanding </t>
  </si>
  <si>
    <t>Webster Bank</t>
  </si>
  <si>
    <t>Aggregate Adjusted Borrowing Value of Eligible Loans</t>
  </si>
  <si>
    <t>Dime Community Bank</t>
  </si>
  <si>
    <t>Less any Excess Concentrations</t>
  </si>
  <si>
    <t>Woodforest National Bank</t>
  </si>
  <si>
    <t>Adjusted Borrowing Value of Eligible Loans (Aggregate Adjusted Borrowing Value of Eligible Loans less Excess Concentration Amounts)</t>
  </si>
  <si>
    <t>First Foundation Bank</t>
  </si>
  <si>
    <t>Mitsubishi HC Capital America, Inc.</t>
  </si>
  <si>
    <t>Unfunded Exposure Equity Amount</t>
  </si>
  <si>
    <t>Peapack-Gladstone Bank</t>
  </si>
  <si>
    <t>Unfunded Exposure Amount</t>
  </si>
  <si>
    <t>Hanmi Bank</t>
  </si>
  <si>
    <t xml:space="preserve">Apple Bank </t>
  </si>
  <si>
    <t>Total</t>
  </si>
  <si>
    <t>Minimum Equity</t>
  </si>
  <si>
    <t>Weighted Average Advance Rate</t>
  </si>
  <si>
    <t>MAXIMUM ADVANCE RATE TEST AND UTILIZATION</t>
  </si>
  <si>
    <t>Current Advances Outstanding</t>
  </si>
  <si>
    <t>Advances Repaid</t>
  </si>
  <si>
    <t>Advances Requested</t>
  </si>
  <si>
    <t>Pro Forma Advances Outstanding</t>
  </si>
  <si>
    <t>Maximum Advance Rate Test</t>
  </si>
  <si>
    <t>Utilization on Borrowing Base</t>
  </si>
  <si>
    <t>Facility Utilization</t>
  </si>
  <si>
    <t>Actual Advance Rate</t>
  </si>
  <si>
    <t>VAE : Historical Value(s)</t>
  </si>
  <si>
    <t>Leverage Metrics: First Lien</t>
  </si>
  <si>
    <t>Leverage Metrics: FILO</t>
  </si>
  <si>
    <t>Leverage Metrics: Other loans</t>
  </si>
  <si>
    <t>AGENT INPUTS</t>
  </si>
  <si>
    <t>Value Adjustment Events</t>
  </si>
  <si>
    <t>smc</t>
  </si>
  <si>
    <t>Based on at time of origination or acquisition</t>
  </si>
  <si>
    <t>Initial EBITDA (in $MM)</t>
  </si>
  <si>
    <t>Current EBITDA (in $MM)</t>
  </si>
  <si>
    <t>Initial Net Debt in $ and Multiple Based on Permitted EBITDA</t>
  </si>
  <si>
    <t>Current Net Debt in $ and Multiple Based on Permitted EBITDA</t>
  </si>
  <si>
    <t>Interest Coverage</t>
  </si>
  <si>
    <t>(a) Credit Quality Deterioration Events</t>
  </si>
  <si>
    <t>(c)</t>
  </si>
  <si>
    <t>(d) Material Modification</t>
  </si>
  <si>
    <t xml:space="preserve">(e) </t>
  </si>
  <si>
    <t>(f)</t>
  </si>
  <si>
    <t>1) Max Second lien and FILO with senior lev in front of SMC &gt;= 1.50x</t>
  </si>
  <si>
    <t>1)b Max Second Lien Loans</t>
  </si>
  <si>
    <t>2) Max Non-First Lien (Second Lien and FILO with Senior Lev in front of SMC &gt; 1.00x)</t>
  </si>
  <si>
    <t>3) Max EBITDA &lt; $5MM</t>
  </si>
  <si>
    <t>4) Largest Obligor</t>
  </si>
  <si>
    <t>5) Largest Industry</t>
  </si>
  <si>
    <t>2nd Largest Industry</t>
  </si>
  <si>
    <t>All Other Industry Classifications</t>
  </si>
  <si>
    <t>6) Fixed Rate</t>
  </si>
  <si>
    <t>7) Max limit industry</t>
  </si>
  <si>
    <t>8) Max DDTL and Revolver</t>
  </si>
  <si>
    <t>9)a Max Non-Sponsor/Non-Family Office</t>
  </si>
  <si>
    <t>9)b Max Div Recap for Non-Sponsor/Non-Family Office</t>
  </si>
  <si>
    <t>(i)</t>
  </si>
  <si>
    <t>(ii)</t>
  </si>
  <si>
    <t>(iii)</t>
  </si>
  <si>
    <t>Revised Values Allocating Collateral Tiers</t>
  </si>
  <si>
    <t>X</t>
  </si>
  <si>
    <t>(Used for concentrations)</t>
  </si>
  <si>
    <t>First Lien Loan</t>
  </si>
  <si>
    <t>Other Type of Loans</t>
  </si>
  <si>
    <t>CCM ID</t>
  </si>
  <si>
    <t>Obligor</t>
  </si>
  <si>
    <t>Security</t>
  </si>
  <si>
    <t>Loan Type</t>
  </si>
  <si>
    <t>Type</t>
  </si>
  <si>
    <t>Non PIK, DIP</t>
  </si>
  <si>
    <t>Second Lien EBITDA Criteria</t>
  </si>
  <si>
    <t>Total Leverage Criteria</t>
  </si>
  <si>
    <t>Acquired Price</t>
  </si>
  <si>
    <t>USD</t>
  </si>
  <si>
    <t>Domicile</t>
  </si>
  <si>
    <t>Cov-lite</t>
  </si>
  <si>
    <t>Original Maturity</t>
  </si>
  <si>
    <t>Loan is Not in Payment Default</t>
  </si>
  <si>
    <t>Agent Approval</t>
  </si>
  <si>
    <t>Eligible Loan</t>
  </si>
  <si>
    <t>Specified Loan</t>
  </si>
  <si>
    <t>Eligible Obligor</t>
  </si>
  <si>
    <t>Advance Rate Definition</t>
  </si>
  <si>
    <t>Advance Rate</t>
  </si>
  <si>
    <t>Aggregate Adjusted Borrowing Value</t>
  </si>
  <si>
    <t>Borrower Outstanding Principal Balance</t>
  </si>
  <si>
    <t>Exchange Rate</t>
  </si>
  <si>
    <t>Dollar Equiv Outstanding Principal Balance</t>
  </si>
  <si>
    <t xml:space="preserve"> Borrower Facility Commitment</t>
  </si>
  <si>
    <t>Dollar Equiv Borrower Facility Commitment</t>
  </si>
  <si>
    <t>Dollar Equiv Borrower Unfunded Amount</t>
  </si>
  <si>
    <t>Acquisition Price</t>
  </si>
  <si>
    <t>FMV</t>
  </si>
  <si>
    <t>Applicable Collateral Value</t>
  </si>
  <si>
    <t>Value Adjustment Event (Recorded on VAE Tab)</t>
  </si>
  <si>
    <t>Event Type</t>
  </si>
  <si>
    <t>Material Modification</t>
  </si>
  <si>
    <t>VAE Date</t>
  </si>
  <si>
    <t>VAE Agent Assigned Value</t>
  </si>
  <si>
    <t>Assigned Value</t>
  </si>
  <si>
    <t>First Lien Amount</t>
  </si>
  <si>
    <t>Non Eligible First Lien</t>
  </si>
  <si>
    <t>First Lien Value</t>
  </si>
  <si>
    <t>FILO Amount</t>
  </si>
  <si>
    <t>Non Eligible FILO</t>
  </si>
  <si>
    <t>FILO Value</t>
  </si>
  <si>
    <t>Second Lien Amount</t>
  </si>
  <si>
    <t>Non Eligible Second Lien</t>
  </si>
  <si>
    <t>Second Lien Value</t>
  </si>
  <si>
    <t>Check</t>
  </si>
  <si>
    <t>Origination Date</t>
  </si>
  <si>
    <t>Inclusion Date</t>
  </si>
  <si>
    <t>Maturity Date</t>
  </si>
  <si>
    <t>PermittedEBITDA ≥$5MM</t>
  </si>
  <si>
    <t>PermittedSecond Lien EBITDA ≥$10MM</t>
  </si>
  <si>
    <t>Debt-to-Cash Capitalization</t>
  </si>
  <si>
    <t>Eligible Cov-Lite</t>
  </si>
  <si>
    <t>S&amp;P Industry</t>
  </si>
  <si>
    <t xml:space="preserve"> Cov-Lite?</t>
  </si>
  <si>
    <t xml:space="preserve"> Spread</t>
  </si>
  <si>
    <t>Delayed Draw Term Loans/Revolver?</t>
  </si>
  <si>
    <t>Limited Industries</t>
  </si>
  <si>
    <t>Non-Sponsor/ Non-Family Office</t>
  </si>
  <si>
    <t xml:space="preserve">Divdend Recap for Non-Family office/Non-Sponsor </t>
  </si>
  <si>
    <t>Fixed Rate?</t>
  </si>
  <si>
    <t>PIK or Partial PIK</t>
  </si>
  <si>
    <t>DIP Loans</t>
  </si>
  <si>
    <t>CAD Currency</t>
  </si>
  <si>
    <t>Interest Paid (Mthly, Qtrly)</t>
  </si>
  <si>
    <t>Paid Less than Qtrly</t>
  </si>
  <si>
    <t>S&amp;P Rating</t>
  </si>
  <si>
    <t>Moody's Rating</t>
  </si>
  <si>
    <t>Rated B- or better</t>
  </si>
  <si>
    <t>Bid Side  Quote</t>
  </si>
  <si>
    <t>Relevant Test Period</t>
  </si>
  <si>
    <t>Last Financial Received</t>
  </si>
  <si>
    <t xml:space="preserve">TTM Adjusted </t>
  </si>
  <si>
    <t>TTM Non-adjusted EBITDA</t>
  </si>
  <si>
    <t xml:space="preserve"> Capped Add-backs</t>
  </si>
  <si>
    <t xml:space="preserve"> Add-Backs Percentage</t>
  </si>
  <si>
    <t xml:space="preserve"> Add-Back Cap</t>
  </si>
  <si>
    <t xml:space="preserve"> Excess Add-backs</t>
  </si>
  <si>
    <t>Agent Add-Back Discretion</t>
  </si>
  <si>
    <t>Agent Approved Add-Backs</t>
  </si>
  <si>
    <t>Cut Off Permitted TTM EBITDA</t>
  </si>
  <si>
    <t>Adjusted EBITDA Haircut</t>
  </si>
  <si>
    <t xml:space="preserve">Current TTM EBITDA  </t>
  </si>
  <si>
    <t>Inclusion Adj. EBITDA Hiarcut</t>
  </si>
  <si>
    <t>Agent Post-Inclusion Adj. Haircut</t>
  </si>
  <si>
    <t>Agent Adjusted Addback Haircut</t>
  </si>
  <si>
    <t xml:space="preserve">Current Permitted TTM EBITDA  </t>
  </si>
  <si>
    <t xml:space="preserve">Initial Unrestricted Cash  </t>
  </si>
  <si>
    <t xml:space="preserve">Initial Senior Debt  </t>
  </si>
  <si>
    <t xml:space="preserve">Initial Total Debt  </t>
  </si>
  <si>
    <t xml:space="preserve">Initial Net Senior Leverage in Front of SMC  </t>
  </si>
  <si>
    <t xml:space="preserve">Initial Permitted Net Senior leverage  </t>
  </si>
  <si>
    <t xml:space="preserve">Initial Permitted Net Total Leverage </t>
  </si>
  <si>
    <t xml:space="preserve">Current Unrestricted Cash  </t>
  </si>
  <si>
    <t xml:space="preserve">Current Senior Debt  </t>
  </si>
  <si>
    <t xml:space="preserve">Current Total Debt  </t>
  </si>
  <si>
    <t xml:space="preserve">Current Net Senior Leverage in Front of SMC  </t>
  </si>
  <si>
    <t>VAE Net Senior (Initial if no VAE recorded)</t>
  </si>
  <si>
    <t>VAE Net Total (Initial if no VAE recorded)</t>
  </si>
  <si>
    <t xml:space="preserve">Current Net Senior Leverage  </t>
  </si>
  <si>
    <t xml:space="preserve">Current Net Total Leverage  </t>
  </si>
  <si>
    <t>Initial Interest Coverage</t>
  </si>
  <si>
    <t>VAE Coverage</t>
  </si>
  <si>
    <t>Current Interest Coverage</t>
  </si>
  <si>
    <t xml:space="preserve"> VAE Trigger</t>
  </si>
  <si>
    <t xml:space="preserve"> Mths of VAE</t>
  </si>
  <si>
    <t xml:space="preserve"> 12 mth VAE</t>
  </si>
  <si>
    <t>Cash Interest Coverage Ratio Test</t>
  </si>
  <si>
    <t xml:space="preserve"> Net Senior Leverage Ratio Test</t>
  </si>
  <si>
    <t>Net Total Leverage Ratio Test</t>
  </si>
  <si>
    <t>Obligor Payment Default</t>
  </si>
  <si>
    <t>Exercise of Rights and Remedies</t>
  </si>
  <si>
    <t>(a) Reduces/Waives Principal</t>
  </si>
  <si>
    <t>(b) Extends Princ./ Interest Payment</t>
  </si>
  <si>
    <t>(c)  Reduce/ Defer interest</t>
  </si>
  <si>
    <t>(d) Subordinates Loan</t>
  </si>
  <si>
    <t>(e)  Releases Collateral/Lien</t>
  </si>
  <si>
    <t>(f) Amends Leverage or IC</t>
  </si>
  <si>
    <t xml:space="preserve">Material Modification </t>
  </si>
  <si>
    <t xml:space="preserve"> Obligor Insolvency</t>
  </si>
  <si>
    <t xml:space="preserve">Reporting Failure </t>
  </si>
  <si>
    <t>First Lien Advance Rate Class</t>
  </si>
  <si>
    <t>FILO Advance Rate Class</t>
  </si>
  <si>
    <t>Dollar Equivalent Adjusted Collateral Value</t>
  </si>
  <si>
    <t>Max</t>
  </si>
  <si>
    <t>Qualifies?</t>
  </si>
  <si>
    <t>Limt</t>
  </si>
  <si>
    <t>Excess</t>
  </si>
  <si>
    <t>Revised Value</t>
  </si>
  <si>
    <t xml:space="preserve"> Max</t>
  </si>
  <si>
    <t>loan limit</t>
  </si>
  <si>
    <t>Largest Max</t>
  </si>
  <si>
    <t>Second Largest Max</t>
  </si>
  <si>
    <t>Third  Largest Max</t>
  </si>
  <si>
    <t>Max Obligor</t>
  </si>
  <si>
    <t xml:space="preserve"> Obligor</t>
  </si>
  <si>
    <t>Remove Dupes</t>
  </si>
  <si>
    <t xml:space="preserve"> Rank</t>
  </si>
  <si>
    <t>Largest Excess</t>
  </si>
  <si>
    <t>Second Largest Excess</t>
  </si>
  <si>
    <t>Third Largest Excess</t>
  </si>
  <si>
    <t>Loan Limit</t>
  </si>
  <si>
    <t>Largest Industry</t>
  </si>
  <si>
    <t xml:space="preserve"> Excess</t>
  </si>
  <si>
    <t>All Other Industries</t>
  </si>
  <si>
    <t xml:space="preserve"> Qualifies?</t>
  </si>
  <si>
    <t>First Lien</t>
  </si>
  <si>
    <t>FILO</t>
  </si>
  <si>
    <t>Second Lien</t>
  </si>
  <si>
    <t>check</t>
  </si>
  <si>
    <t>Yes</t>
  </si>
  <si>
    <t>No</t>
  </si>
  <si>
    <t>N</t>
  </si>
  <si>
    <t xml:space="preserve">PLACE CURSER HERE, THEN INPUT ROW HERE AND DRAG ALL FORMULAS DOWN (to add collateral loans) </t>
  </si>
  <si>
    <t>Totals</t>
  </si>
  <si>
    <t>Footnotes:</t>
  </si>
  <si>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</si>
  <si>
    <t>OBLIGOR OUTSTANDINGS</t>
  </si>
  <si>
    <t>Borrowing</t>
  </si>
  <si>
    <t>Advance</t>
  </si>
  <si>
    <t>Loan</t>
  </si>
  <si>
    <t>Outstandings</t>
  </si>
  <si>
    <t>Base</t>
  </si>
  <si>
    <t>Loan Category</t>
  </si>
  <si>
    <t>Rate</t>
  </si>
  <si>
    <t>Count</t>
  </si>
  <si>
    <t>$s</t>
  </si>
  <si>
    <t>%</t>
  </si>
  <si>
    <t>First Lien &lt;= $10MM</t>
  </si>
  <si>
    <t xml:space="preserve"> Non Eligible</t>
  </si>
  <si>
    <t>First Lien &lt;= $20MM</t>
  </si>
  <si>
    <t>First Lien &gt; $20MM</t>
  </si>
  <si>
    <t>FILO &lt; 0.75x</t>
  </si>
  <si>
    <t>FILO &lt;= 1.25x</t>
  </si>
  <si>
    <t>FILO &gt; 1.25x</t>
  </si>
  <si>
    <t>Discrete Obligor Count</t>
  </si>
  <si>
    <t>Advance Rate Cap</t>
  </si>
  <si>
    <t>Portfolio Advance Rate Cap Applied</t>
  </si>
  <si>
    <t>EXCESS CONCENTRATION AMOUNT</t>
  </si>
  <si>
    <t>Total Adjusted Borrowing Value</t>
  </si>
  <si>
    <t>Total Excess Concentration Amount</t>
  </si>
  <si>
    <t xml:space="preserve">Applicable </t>
  </si>
  <si>
    <t>Concentration</t>
  </si>
  <si>
    <t>Concentration Limit</t>
  </si>
  <si>
    <t>Test Limit</t>
  </si>
  <si>
    <t>Amount</t>
  </si>
  <si>
    <t>Actual Amount</t>
  </si>
  <si>
    <t>Actual %</t>
  </si>
  <si>
    <t>1)a</t>
  </si>
  <si>
    <t>Max Second lien and FILO with senior lev in front of SMC &gt;= 1.50x</t>
  </si>
  <si>
    <t>1)b</t>
  </si>
  <si>
    <t>Max Second Lien</t>
  </si>
  <si>
    <t>2)</t>
  </si>
  <si>
    <t>Max Non-First Lien (Second Lien and FILO with Senior Lev in front of SMC &gt; 1.00x)</t>
  </si>
  <si>
    <t>3)</t>
  </si>
  <si>
    <t>Max Largest Largest Obligor</t>
  </si>
  <si>
    <t>Max Second Largest Obligor</t>
  </si>
  <si>
    <t>Max Third Largest Obligor</t>
  </si>
  <si>
    <t>4)</t>
  </si>
  <si>
    <t>Max Obligors</t>
  </si>
  <si>
    <t>5)a</t>
  </si>
  <si>
    <t>Max Largest Industry</t>
  </si>
  <si>
    <t>5)b</t>
  </si>
  <si>
    <t>Max Second Largest Industry</t>
  </si>
  <si>
    <t>5)c</t>
  </si>
  <si>
    <t>Max Other Industries</t>
  </si>
  <si>
    <t>First Lien Last Out</t>
  </si>
  <si>
    <t>6)</t>
  </si>
  <si>
    <t>Fixed Rate</t>
  </si>
  <si>
    <t>7)</t>
  </si>
  <si>
    <t>Max limit industry</t>
  </si>
  <si>
    <t>8)</t>
  </si>
  <si>
    <t>Max DDTL and Revolver</t>
  </si>
  <si>
    <t>9)a</t>
  </si>
  <si>
    <t>Max Non-Sponsor/Non-Family Office</t>
  </si>
  <si>
    <t>9)b</t>
  </si>
  <si>
    <t>Max Dividend Recap in Non-Sponsor/Non-Family Office</t>
  </si>
  <si>
    <t>OTHER INFORMATION</t>
  </si>
  <si>
    <t xml:space="preserve">S&amp;P Industry Classification </t>
  </si>
  <si>
    <t>O/S Value</t>
  </si>
  <si>
    <t>Rank</t>
  </si>
  <si>
    <t>Aerospace &amp; Defense</t>
  </si>
  <si>
    <t>Air Freight &amp; Logistics</t>
  </si>
  <si>
    <t>Airlines</t>
  </si>
  <si>
    <t>Auto Components</t>
  </si>
  <si>
    <t>Automobiles</t>
  </si>
  <si>
    <t>Banks</t>
  </si>
  <si>
    <t>Beverages</t>
  </si>
  <si>
    <t>Biotechnology</t>
  </si>
  <si>
    <t>Building Products</t>
  </si>
  <si>
    <t>Capital Markets</t>
  </si>
  <si>
    <t>Chemicals</t>
  </si>
  <si>
    <t>Commercial Services &amp; Supplies</t>
  </si>
  <si>
    <t>Communications Equipment</t>
  </si>
  <si>
    <t>Construction &amp; Engineering</t>
  </si>
  <si>
    <t>Construction Materials</t>
  </si>
  <si>
    <t>Consumer Finance</t>
  </si>
  <si>
    <t>Containers &amp; Packaging Distributors</t>
  </si>
  <si>
    <t>Distributors</t>
  </si>
  <si>
    <t>Diversified Consumer Services</t>
  </si>
  <si>
    <t>Diversified Financial Services</t>
  </si>
  <si>
    <t>Diversified Telecommunication Services</t>
  </si>
  <si>
    <t>Services</t>
  </si>
  <si>
    <t>Software</t>
  </si>
  <si>
    <t>Electric Utilities</t>
  </si>
  <si>
    <t>Electrical Equipment</t>
  </si>
  <si>
    <t>Energy Equipment &amp; Services</t>
  </si>
  <si>
    <t>Equity Real Estate Investment Trusts (REITs)</t>
  </si>
  <si>
    <t>Food &amp; Staples Retailing</t>
  </si>
  <si>
    <t>Food Products</t>
  </si>
  <si>
    <t>Gas Utilities</t>
  </si>
  <si>
    <t>Health Care Equipment &amp; Supplies</t>
  </si>
  <si>
    <t>Health Care Providers &amp; Services</t>
  </si>
  <si>
    <t>Health Care Technology</t>
  </si>
  <si>
    <t>Hotels, Restaurants &amp; Leisure</t>
  </si>
  <si>
    <t>Household Durables</t>
  </si>
  <si>
    <t>Household Products</t>
  </si>
  <si>
    <t>Independent Power and Renewable</t>
  </si>
  <si>
    <t>Electricity Producers</t>
  </si>
  <si>
    <t>Industrial Conglomerates</t>
  </si>
  <si>
    <t>Insurance</t>
  </si>
  <si>
    <t>Internet &amp; Direct Marketing Retail</t>
  </si>
  <si>
    <t>Internet Software &amp; Services</t>
  </si>
  <si>
    <t>IT Services</t>
  </si>
  <si>
    <t>Leisure Products</t>
  </si>
  <si>
    <t>Life Sciences Tools &amp; Services</t>
  </si>
  <si>
    <t>Machinery</t>
  </si>
  <si>
    <t>Marine</t>
  </si>
  <si>
    <t>Media</t>
  </si>
  <si>
    <t>Metals &amp; Mining</t>
  </si>
  <si>
    <t>Mortgage Real Estate Investment Trusts (REITs)</t>
  </si>
  <si>
    <t>Multiline Retail</t>
  </si>
  <si>
    <t>Multi-Utilities</t>
  </si>
  <si>
    <t>Oil, Gas &amp; Consumable Fuels</t>
  </si>
  <si>
    <t>Paper &amp; Forest Products</t>
  </si>
  <si>
    <t>Personal Products</t>
  </si>
  <si>
    <t>Pharmaceuticals</t>
  </si>
  <si>
    <t>Professional Services</t>
  </si>
  <si>
    <t>Printing and Publishing</t>
  </si>
  <si>
    <t>Real Estate Management &amp; Development</t>
  </si>
  <si>
    <t>Road &amp; Rail Semiconductors &amp; Semiconductor Equipment Software</t>
  </si>
  <si>
    <t>Specialty Retail</t>
  </si>
  <si>
    <t>Technology Hardware, Storage &amp; Peripherals</t>
  </si>
  <si>
    <t>Textiles, Apparel &amp; Luxury Goods</t>
  </si>
  <si>
    <t>Thrifts &amp; Mortgage Finance</t>
  </si>
  <si>
    <t>Tobacco</t>
  </si>
  <si>
    <t>Trading Companies &amp; Distributors</t>
  </si>
  <si>
    <t>Transportation Infrastructure</t>
  </si>
  <si>
    <t>Water Utilities</t>
  </si>
  <si>
    <t>Wireless Telecommunication Services</t>
  </si>
  <si>
    <t>Entertainment</t>
  </si>
  <si>
    <t>Electronic Equipment, Instruments &amp; Components</t>
  </si>
  <si>
    <t>Road &amp; Rail</t>
  </si>
  <si>
    <t>OBLIGOR TIERS</t>
  </si>
  <si>
    <t>First Lien Loans</t>
  </si>
  <si>
    <t>FLLO/2nd Lien Loans</t>
  </si>
  <si>
    <t>Tier 1</t>
  </si>
  <si>
    <t>Tier 2</t>
  </si>
  <si>
    <t>Tier 3</t>
  </si>
  <si>
    <t>APPROVED COUNTRIES</t>
  </si>
  <si>
    <t>United States</t>
  </si>
  <si>
    <t>Star Mountain Credit Opportunities Fund Summary Output</t>
  </si>
  <si>
    <t>As of 04/26/2021</t>
  </si>
  <si>
    <t>($ in mm)</t>
  </si>
  <si>
    <t>Invested</t>
  </si>
  <si>
    <t>Current Economic Terms 3</t>
  </si>
  <si>
    <t>LTM at Closing</t>
  </si>
  <si>
    <t>LTM Current</t>
  </si>
  <si>
    <t>Protective Elements</t>
  </si>
  <si>
    <t xml:space="preserve">% of Fund </t>
  </si>
  <si>
    <t>S&amp;P</t>
  </si>
  <si>
    <t xml:space="preserve">Operating </t>
  </si>
  <si>
    <t>Investment</t>
  </si>
  <si>
    <t>Maturity</t>
  </si>
  <si>
    <t xml:space="preserve">Closing </t>
  </si>
  <si>
    <t>LIBOR</t>
  </si>
  <si>
    <t>Cash</t>
  </si>
  <si>
    <t>PIK</t>
  </si>
  <si>
    <t xml:space="preserve">Frequency of </t>
  </si>
  <si>
    <t>Loan to</t>
  </si>
  <si>
    <t xml:space="preserve">Debt to </t>
  </si>
  <si>
    <t xml:space="preserve">Enterprise </t>
  </si>
  <si>
    <t xml:space="preserve">Board Observer </t>
  </si>
  <si>
    <t xml:space="preserve">Prepayment </t>
  </si>
  <si>
    <t>Maintenance</t>
  </si>
  <si>
    <t>Eligible Investments</t>
  </si>
  <si>
    <t>Eligibility</t>
  </si>
  <si>
    <t>AUM 1</t>
  </si>
  <si>
    <t xml:space="preserve">Company Description </t>
  </si>
  <si>
    <t>Industry Name</t>
  </si>
  <si>
    <t>Industry Code</t>
  </si>
  <si>
    <t>Geography</t>
  </si>
  <si>
    <t>History</t>
  </si>
  <si>
    <t>Date 5</t>
  </si>
  <si>
    <t>Date 4</t>
  </si>
  <si>
    <t>Debt</t>
  </si>
  <si>
    <t>Equity</t>
  </si>
  <si>
    <t xml:space="preserve">Total </t>
  </si>
  <si>
    <t>Fee</t>
  </si>
  <si>
    <t>Floor</t>
  </si>
  <si>
    <t>Payment</t>
  </si>
  <si>
    <t>Warrants</t>
  </si>
  <si>
    <t>Value</t>
  </si>
  <si>
    <t xml:space="preserve">Revenue </t>
  </si>
  <si>
    <t>EBITDA</t>
  </si>
  <si>
    <t>EBITDA 2</t>
  </si>
  <si>
    <t>Lien</t>
  </si>
  <si>
    <t>Rights</t>
  </si>
  <si>
    <t>Penalties</t>
  </si>
  <si>
    <t>Covenants (#)</t>
  </si>
  <si>
    <t>Yorktel</t>
  </si>
  <si>
    <t>Eligible</t>
  </si>
  <si>
    <t>Provider of video conferencing and communications services including telehealth business, Caregility, where SMC owns 20%.</t>
  </si>
  <si>
    <t>Northeast</t>
  </si>
  <si>
    <t>Monthly</t>
  </si>
  <si>
    <t>1st Lien</t>
  </si>
  <si>
    <t>3.0% / 2.0% / 1.0% / Par</t>
  </si>
  <si>
    <t>Consolidated Machine &amp; Tool Holdings</t>
  </si>
  <si>
    <t>Precision manufacturing platform that delivers milling, lathing, welding and machining services to customers within the aerospace, defense, hydraulics and industrials spaces.</t>
  </si>
  <si>
    <t>Southeast</t>
  </si>
  <si>
    <t>3.0% / 2.0% / 1.0% / 1.0% / Par</t>
  </si>
  <si>
    <t>NSC Technologies</t>
  </si>
  <si>
    <t>Professional staffing contractor for marine, industrial commercial, logistics, transportation and manufacturing segments.</t>
  </si>
  <si>
    <t>Mid-Atlantic</t>
  </si>
  <si>
    <t>3.0% / 2.0% / 1.0% / 1.0%</t>
  </si>
  <si>
    <t>SkyBell Technologies</t>
  </si>
  <si>
    <t>Provider of Internet of Things enabled security devices operating through a business-to-business distribution model, primarily serving home security firms.</t>
  </si>
  <si>
    <t xml:space="preserve">Technology Hardware, Storage &amp; Peripherals </t>
  </si>
  <si>
    <t>Pacific</t>
  </si>
  <si>
    <t>Interest make whole - 18 months / 2.0% / 1.0% / Par</t>
  </si>
  <si>
    <t>160 Driving Academy</t>
  </si>
  <si>
    <t>Operator of technology-enabled schools including video training for commercial truck driver education and training.</t>
  </si>
  <si>
    <t>Great Lakes</t>
  </si>
  <si>
    <t>4.0% / 2.0% / 1.0% / 1.0% / 1.0%</t>
  </si>
  <si>
    <t>Novinium</t>
  </si>
  <si>
    <t>Provider of underground power line repair, maintenance and replacement services primarily to large utility corporations through a developed portfolio of patented technologies.</t>
  </si>
  <si>
    <t>Pacific Northwest</t>
  </si>
  <si>
    <t>3.0% / 2.0% / 1.0% / 1.0% / 1.0%</t>
  </si>
  <si>
    <t>Microf</t>
  </si>
  <si>
    <t>Financial technology company that provides financing solutions to homeowners in connection with a purchase of a new residential HVAC system.</t>
  </si>
  <si>
    <t>Interest make whole, 2%, 1%, Par</t>
  </si>
  <si>
    <t>Consulting Solutions</t>
  </si>
  <si>
    <t>Provider of skilled contract and permanent IT resources supporting clients’ data analytics, omnichannel integration and payment processing initiatives.</t>
  </si>
  <si>
    <t>Linden Research</t>
  </si>
  <si>
    <t>Technology company that engages users through the 3D virtual world known as Second Life, made possible through its proprietary 3D streaming and scalable, distributed simulation technology.</t>
  </si>
  <si>
    <t>NC-01, 3%, 2%, Par</t>
  </si>
  <si>
    <t>BWG Strategy</t>
  </si>
  <si>
    <t>Provider of primary research, data and information delivered through proprietary forums, synopses and insight reports to investment managers, hedge funds and boutique buyside advisors.</t>
  </si>
  <si>
    <t>5.0% / 3.0% / 1.0% / 1.0% / Par</t>
  </si>
  <si>
    <t>Fremont-Wright</t>
  </si>
  <si>
    <t>National engineering, surveying, and architectural design business serving commercial, residential and government end markets.</t>
  </si>
  <si>
    <t>Temporary Housing Directory</t>
  </si>
  <si>
    <t>A national provider of temporary housing and relocation services to the insurance housing and corporation relocation markets.</t>
  </si>
  <si>
    <t>South Central</t>
  </si>
  <si>
    <t>Arrow Home Health</t>
  </si>
  <si>
    <t>Provider of skilled and unskilled home health and long term personal care services across various cities in Texas.</t>
  </si>
  <si>
    <t>3.0% / 2.0% / 1.0% / 0.5% / Par</t>
  </si>
  <si>
    <t>PureCars</t>
  </si>
  <si>
    <t xml:space="preserve">Provider of digital marketing solutions and value-add intelligence to automotive dealers. </t>
  </si>
  <si>
    <t>2.0% / 1.0% / Par</t>
  </si>
  <si>
    <t>CorTech</t>
  </si>
  <si>
    <t>Company is a technology-enabled provider of temporary staffing services.</t>
  </si>
  <si>
    <t>2nd Lien</t>
  </si>
  <si>
    <t>Southern Ag</t>
  </si>
  <si>
    <t>Provider of full-service logistics solutions to the agriculture, food and consumer products industries, with a specialization in peanut hauling and transportation.</t>
  </si>
  <si>
    <t>Pro Forma Total /
Weighted Average - Eligible</t>
  </si>
  <si>
    <t>Channel Factory</t>
  </si>
  <si>
    <t>To Discuss</t>
  </si>
  <si>
    <t>Video advertisement platform providing brand suitability and marketing performance optimization services through its proprietary and highly customizable software and data platform.</t>
  </si>
  <si>
    <t>Annually</t>
  </si>
  <si>
    <t>Unsecured</t>
  </si>
  <si>
    <t>Pro Forma Total /
Weighted Average - To Discuss</t>
  </si>
  <si>
    <t>Pro Forma Total /
Weighted Average - Total</t>
  </si>
  <si>
    <t>Notes:</t>
  </si>
  <si>
    <t>1) Assumed $150 million of AUM (LP Capital + ABL).</t>
  </si>
  <si>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</si>
  <si>
    <t>3) Economic terms for Channel Factory refers to the Preferred Equity security.</t>
  </si>
  <si>
    <t xml:space="preserve">4) Maturity Date relates to the debt security for each company. Maturity Date for Channel Factory refers to the date where Star Mountain can exercise its put option. </t>
  </si>
  <si>
    <t>5) Investment Dates for PureCars, Microf and NSC Technologies relate to the original investment, pre-dating the Fund.</t>
  </si>
  <si>
    <t>Eligiblility Criteria</t>
  </si>
  <si>
    <t>Eligible loan types</t>
  </si>
  <si>
    <t>Minimum EBITDA for Second Lien (in $MM)</t>
  </si>
  <si>
    <t>Max Senior Leverage Ratio</t>
  </si>
  <si>
    <t>Max Total Leverage Ratio at Inclusion</t>
  </si>
  <si>
    <t>Minimum acquired price</t>
  </si>
  <si>
    <t>Maximum Original Maturity</t>
  </si>
  <si>
    <t>Not eligibile security types</t>
  </si>
  <si>
    <t>n/a</t>
  </si>
  <si>
    <t>mezzanine loan</t>
  </si>
  <si>
    <t>unsecured loan</t>
  </si>
  <si>
    <t>DDTL</t>
  </si>
  <si>
    <t>structured finance</t>
  </si>
  <si>
    <t>Revolver</t>
  </si>
  <si>
    <t>synthetic obligation</t>
  </si>
  <si>
    <t>DIP</t>
  </si>
  <si>
    <t>corporate rescue loan</t>
  </si>
  <si>
    <t>project finance loan</t>
  </si>
  <si>
    <t>credit linked note</t>
  </si>
  <si>
    <t xml:space="preserve">single purpose real estate </t>
  </si>
  <si>
    <t>construction loan</t>
  </si>
  <si>
    <t>CLO Security</t>
  </si>
  <si>
    <t>margin stock</t>
  </si>
  <si>
    <t>equity interest</t>
  </si>
  <si>
    <t>EBITDA (in $MM)</t>
  </si>
  <si>
    <t>&gt;</t>
  </si>
  <si>
    <t>&lt;=</t>
  </si>
  <si>
    <t xml:space="preserve">First Lien Loans with EBITDA </t>
  </si>
  <si>
    <t>First Lien Loan with EBITDA</t>
  </si>
  <si>
    <t>Senior Net Leverage</t>
  </si>
  <si>
    <t>First Lien Last Out Loan</t>
  </si>
  <si>
    <t>Second Lien Loan</t>
  </si>
  <si>
    <t>na</t>
  </si>
  <si>
    <t xml:space="preserve">For loans Senior Net Leverage exceeds </t>
  </si>
  <si>
    <t>above portion will advance at</t>
  </si>
  <si>
    <t xml:space="preserve">will receive </t>
  </si>
  <si>
    <t>advance</t>
  </si>
  <si>
    <t>for the portion of Total Lev &gt;</t>
  </si>
  <si>
    <t>Maximum Portfolio Advance Rate</t>
  </si>
  <si>
    <t>&gt;=</t>
  </si>
  <si>
    <t>&lt;</t>
  </si>
  <si>
    <t xml:space="preserve">discrete obligors </t>
  </si>
  <si>
    <t>Assigned Value Grid</t>
  </si>
  <si>
    <t>First Lien Loans (senior net lev)</t>
  </si>
  <si>
    <t>FLLO/2nd Lien Loans (Total Net Lev)</t>
  </si>
  <si>
    <t>portion of 0% value if Leverage</t>
  </si>
  <si>
    <t>Total 0% if leverage at inclusion</t>
  </si>
  <si>
    <t>Concentration Limitation</t>
  </si>
  <si>
    <t>1a</t>
  </si>
  <si>
    <t>1b</t>
  </si>
  <si>
    <t>Max Non-First Lien (Second Lien and FILO with Senior Lev in front of SMC &gt; )</t>
  </si>
  <si>
    <t xml:space="preserve">Max EBITDA &lt; (in $MM) </t>
  </si>
  <si>
    <t>5a</t>
  </si>
  <si>
    <t>5b</t>
  </si>
  <si>
    <t>5c</t>
  </si>
  <si>
    <t>Max Fixed Rate</t>
  </si>
  <si>
    <t>9a</t>
  </si>
  <si>
    <t>9b</t>
  </si>
  <si>
    <t>*</t>
  </si>
  <si>
    <t>Limit industry:</t>
  </si>
  <si>
    <t>energy</t>
  </si>
  <si>
    <t>travel</t>
  </si>
  <si>
    <t>hospitality</t>
  </si>
  <si>
    <t>leisure</t>
  </si>
  <si>
    <t>EBITDA as of Credit Quality Deterioration VAE</t>
  </si>
  <si>
    <t>Total &amp; Senior Debt as of Credit Deterioration VAE</t>
  </si>
  <si>
    <t>Interest Coverage as of Credit Quality Deterioration VAE</t>
  </si>
  <si>
    <t>Borrower</t>
  </si>
  <si>
    <t>Credit Quality 
Deterioration Event</t>
  </si>
  <si>
    <t>Date of Original VAE</t>
  </si>
  <si>
    <t>TTM EBITDA</t>
  </si>
  <si>
    <t>Agent Adjusted Haircut ($)</t>
  </si>
  <si>
    <t>Permitted TTM EBITDA in USD</t>
  </si>
  <si>
    <t>Senior Debt</t>
  </si>
  <si>
    <t>Total Debt</t>
  </si>
  <si>
    <t>Net Senior Leverage</t>
  </si>
  <si>
    <t>Net Total Leverage</t>
  </si>
  <si>
    <t>Comments</t>
  </si>
  <si>
    <t>Klein Hersh</t>
  </si>
  <si>
    <t>Increase in Lev</t>
  </si>
  <si>
    <t>(ii) Net Senior Leverage Ratio Test</t>
  </si>
  <si>
    <t>Acara Home Health</t>
  </si>
  <si>
    <t>SM input due to amortization payment default</t>
  </si>
  <si>
    <t>Rip-It</t>
  </si>
  <si>
    <t>Mission</t>
  </si>
  <si>
    <t>48forty Intermediate Holdings, Inc.</t>
  </si>
  <si>
    <t>USBid Inc.</t>
  </si>
  <si>
    <t>Masterwork Electronics</t>
  </si>
  <si>
    <t>Five Iron Golf</t>
  </si>
  <si>
    <t>Agent waived in asset at 85% value</t>
  </si>
  <si>
    <t>Swyft Filings</t>
  </si>
  <si>
    <t>HighStar Traffic</t>
  </si>
  <si>
    <t>No adjustment to Assigned Value, receiving structural Applicable Collateral Value. Watch List.</t>
  </si>
  <si>
    <t>Gridsource</t>
  </si>
  <si>
    <t>Preferred Care Home Health</t>
  </si>
  <si>
    <t>Chicken Soup For The Soul</t>
  </si>
  <si>
    <t>Obligor default</t>
  </si>
  <si>
    <t>-</t>
  </si>
  <si>
    <t>SM input</t>
  </si>
  <si>
    <t>MechanAir</t>
  </si>
  <si>
    <t>Material Mod (f)</t>
  </si>
  <si>
    <t>(f) Amends Covenants</t>
  </si>
  <si>
    <t>to retain at 90% Assigned Value</t>
  </si>
  <si>
    <t>Obligor payment default</t>
  </si>
  <si>
    <t>Stryker Electric</t>
  </si>
  <si>
    <t>NW Entertainment, LLC</t>
  </si>
  <si>
    <t>Removed from VAE and assigning applicable collateral value based on Obligor's improved performance.</t>
  </si>
  <si>
    <t>Integrated Pain Associates</t>
  </si>
  <si>
    <t>Material Mod (a)</t>
  </si>
  <si>
    <t>(b) Extends Maturity/Payment Date</t>
  </si>
  <si>
    <t>SM waived principal payment to allow the company to focus on a sale process, which they plan to initiate later this quarter. Given the material modification applicable collateral value is reduced to 85%</t>
  </si>
  <si>
    <t>Trailer Park Group</t>
  </si>
  <si>
    <t>Texas Contract Manufacturing Group</t>
  </si>
  <si>
    <t>Payment Default</t>
  </si>
  <si>
    <t>Japonesque</t>
  </si>
  <si>
    <t>1.44x</t>
  </si>
  <si>
    <t>2.11x</t>
  </si>
  <si>
    <t>Jefferson Solutions Group</t>
  </si>
  <si>
    <t>EBITDA as of Current QSR</t>
  </si>
  <si>
    <t>Total &amp; Senior Debt as of Current QSR</t>
  </si>
  <si>
    <t>Interest Coverage as of Current QSR</t>
  </si>
  <si>
    <t>Initial VAE Event Type</t>
  </si>
  <si>
    <t>Initial Credit Quality 
Deterioration Event</t>
  </si>
  <si>
    <t>Initial Material Modification</t>
  </si>
  <si>
    <t>Date of VAE Reset</t>
  </si>
  <si>
    <t>Assigned Value (based on model)</t>
  </si>
  <si>
    <t>Removed from VAE and assigning applicable collateral value based on obligor's improved performance</t>
  </si>
  <si>
    <t xml:space="preserve"> </t>
  </si>
  <si>
    <t>Total Par Amount for</t>
  </si>
  <si>
    <t>Total Outsanding Amount for</t>
  </si>
  <si>
    <t>Financial</t>
  </si>
  <si>
    <t>Date</t>
  </si>
  <si>
    <t>Fund ID</t>
  </si>
  <si>
    <t>Fund</t>
  </si>
  <si>
    <t>Loan ID #</t>
  </si>
  <si>
    <t>Loan Number</t>
  </si>
  <si>
    <t>Obligor Name</t>
  </si>
  <si>
    <t>SMC Role</t>
  </si>
  <si>
    <t>Security Type</t>
  </si>
  <si>
    <t>Loan Denomination</t>
  </si>
  <si>
    <t>Commitment Balance (Dollar Equivalent)</t>
  </si>
  <si>
    <t>OLB (Dollar Equivalent)</t>
  </si>
  <si>
    <t>Unfunded Settled LTD</t>
  </si>
  <si>
    <t>Purchase Price</t>
  </si>
  <si>
    <t>OID</t>
  </si>
  <si>
    <t>Exposure Country</t>
  </si>
  <si>
    <t>Investment Date</t>
  </si>
  <si>
    <t>Fixed/Floating</t>
  </si>
  <si>
    <t>Industry Classification</t>
  </si>
  <si>
    <t>Payment Frequency</t>
  </si>
  <si>
    <t>Publicly Rated</t>
  </si>
  <si>
    <t>Moody's Loan Rating (if applicable)</t>
  </si>
  <si>
    <t>S&amp;P Loan Rating (if applicable)</t>
  </si>
  <si>
    <t>Covenant Lite</t>
  </si>
  <si>
    <t>PIK (%)</t>
  </si>
  <si>
    <t>Spread / Coupon (%)</t>
  </si>
  <si>
    <t>SOFR floor if applicable (%)</t>
  </si>
  <si>
    <t>Facility delayed draw</t>
  </si>
  <si>
    <t>Asset cusip</t>
  </si>
  <si>
    <t>All In Rate</t>
  </si>
  <si>
    <t>Moodys Rating</t>
  </si>
  <si>
    <t>Moody's Public Rating Status</t>
  </si>
  <si>
    <t>DBRS Rating</t>
  </si>
  <si>
    <t>DBRS Credit Estimate Status</t>
  </si>
  <si>
    <t>Inception Date</t>
  </si>
  <si>
    <t>Quantity Settled LTD ex PIK</t>
  </si>
  <si>
    <t>Outstanding Settled LTD ex PIK</t>
  </si>
  <si>
    <t>Frequency of Reporting (m/q)</t>
  </si>
  <si>
    <t>Initial Adjusted TTM EBITDA</t>
  </si>
  <si>
    <t>Initial TTM Non-adjusted EBITDA</t>
  </si>
  <si>
    <t>Initial Senior Net Leverage Senior</t>
  </si>
  <si>
    <t>Initial Total Net Leverage</t>
  </si>
  <si>
    <t xml:space="preserve">Current Adjusted TTM EBITDA  </t>
  </si>
  <si>
    <t>Current TTM Non-adjusted EBITDA</t>
  </si>
  <si>
    <t>Current Senior Net Leverage Senior</t>
  </si>
  <si>
    <t>Current Total Net Leverage</t>
  </si>
  <si>
    <t>Net Detachment</t>
  </si>
  <si>
    <t>Net Attachment</t>
  </si>
  <si>
    <t>Term Loan</t>
  </si>
  <si>
    <t>Floating</t>
  </si>
  <si>
    <t>M</t>
  </si>
  <si>
    <t>m</t>
  </si>
  <si>
    <t>Coop Home Goods</t>
  </si>
  <si>
    <t>MechanAir (I)</t>
  </si>
  <si>
    <t>Q</t>
  </si>
  <si>
    <t>Caregility</t>
  </si>
  <si>
    <t>Fixed</t>
  </si>
  <si>
    <t>LaSalle Network</t>
  </si>
  <si>
    <t>Uncle John's Pride</t>
  </si>
  <si>
    <t>Padsquad</t>
  </si>
  <si>
    <t>Watt Contracting Holdings</t>
  </si>
  <si>
    <t>PQT Ayaquhs</t>
  </si>
  <si>
    <t>Vertical Mechanical Group</t>
  </si>
  <si>
    <t>Versar</t>
  </si>
  <si>
    <t>Douglas Products and Packaging Company</t>
  </si>
  <si>
    <t>Qualified Digital</t>
  </si>
  <si>
    <t>Kelso Industries</t>
  </si>
  <si>
    <t>Ambient Enterprises</t>
  </si>
  <si>
    <t>Kassel Mechanical</t>
  </si>
  <si>
    <t>Built by Grid, LLC</t>
  </si>
  <si>
    <t>9/30/2025 or Latest Financing</t>
  </si>
  <si>
    <t>Lincoln Marks - Q3 2025</t>
  </si>
  <si>
    <t>Value?</t>
  </si>
  <si>
    <t>Company</t>
  </si>
  <si>
    <t>Debt Balance</t>
  </si>
  <si>
    <t>SM Fair Value</t>
  </si>
  <si>
    <t>LTM Revenue</t>
  </si>
  <si>
    <t>LTM Adj. EBITDA</t>
  </si>
  <si>
    <t>First Out</t>
  </si>
  <si>
    <t>Pari Passu</t>
  </si>
  <si>
    <t>SM Balance</t>
  </si>
  <si>
    <t>Cash Balance</t>
  </si>
  <si>
    <t>Debt Balance (Inclusive PIK)</t>
  </si>
  <si>
    <t>PIK LTD</t>
  </si>
  <si>
    <t>QTD Fundings (net of selldowns)</t>
  </si>
  <si>
    <t>Net Balance</t>
  </si>
  <si>
    <t>PIK Terms</t>
  </si>
  <si>
    <t>Low</t>
  </si>
  <si>
    <t>High</t>
  </si>
  <si>
    <t>Mid</t>
  </si>
  <si>
    <t>PIK Terms to be checked</t>
  </si>
  <si>
    <t>PIK was only for 5/31/2023 to 11/10/2023</t>
  </si>
  <si>
    <t>PIK Monthly</t>
  </si>
  <si>
    <t>N/M</t>
  </si>
  <si>
    <t>Last Out</t>
  </si>
  <si>
    <t>PIK was only for 7/31/2022 to 11/30/2022</t>
  </si>
  <si>
    <t>Cortech</t>
  </si>
  <si>
    <t>PIK was only for 11/1/2022 to 12/1/2023</t>
  </si>
  <si>
    <t>PIK was only for 1/31/2023 to 6/28/2024</t>
  </si>
  <si>
    <t>No PIK after Q1 2025</t>
  </si>
  <si>
    <t>No PIK after Q3 2024</t>
  </si>
  <si>
    <t>No PIK after Q4 2024</t>
  </si>
  <si>
    <t>PIK Monthly and Quarterly after Q2 2025</t>
  </si>
  <si>
    <t>No PIK after Q4 2022</t>
  </si>
  <si>
    <t>No PIK after Q4 2024 - Review</t>
  </si>
  <si>
    <t>Tech Solutions Inc</t>
  </si>
  <si>
    <t>Growth Capital LLC</t>
  </si>
  <si>
    <t>Distressed Retail Co</t>
  </si>
  <si>
    <t>Totals / Weighted Averages</t>
  </si>
  <si>
    <t>Report Date:</t>
  </si>
  <si>
    <t>INPUTS</t>
  </si>
  <si>
    <t>a. Interest Coverage</t>
  </si>
  <si>
    <t>Star Mountain Notes:</t>
  </si>
  <si>
    <t>At all times, the Interest Coverage Ratio (as set forth in the latest Quarterly Servicing Report) shall not be less than 150%</t>
  </si>
  <si>
    <t>The sum of Interest Collections deposited in the Collection Account during the immediately preceding three-Month period</t>
  </si>
  <si>
    <t>All Income (minus PIK) as of the Three Month Period ending 6/30/2025</t>
  </si>
  <si>
    <t>The sum of the payments of interest required to be made pursuant to Section 2.04(a) hereof on the related Payment Date</t>
  </si>
  <si>
    <t>Interest expense + unused fee + admin fee + closing fees (if applicable) as of the Three Month Period ending 6/30/2025</t>
  </si>
  <si>
    <t>Test Level</t>
  </si>
  <si>
    <t>b. Tangible Net Worth</t>
  </si>
  <si>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</si>
  <si>
    <t>Total stockholders’ or members’ equity</t>
  </si>
  <si>
    <t>9/30 NAV</t>
  </si>
  <si>
    <t>All intangible assets</t>
  </si>
  <si>
    <t>C. Additional Permitted Debt</t>
  </si>
  <si>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</si>
  <si>
    <t>Governance</t>
  </si>
  <si>
    <t>Company Name</t>
  </si>
  <si>
    <t>BDC Capital Invested</t>
  </si>
  <si>
    <t>Were SM Proceeds Used To Make A Distribution to Active Shareholders?</t>
  </si>
  <si>
    <t>Board Observation Rights</t>
  </si>
  <si>
    <t>Maintenance Covenants</t>
  </si>
  <si>
    <t>Non-Tax Distributions to Shareholders Blocked Unless in Compliance with SM?</t>
  </si>
  <si>
    <t>Does Ownership Have Capital To Support The Company?</t>
  </si>
  <si>
    <t>Third-Party Equity Invested?</t>
  </si>
  <si>
    <t>Notable Management Operating Experience</t>
  </si>
  <si>
    <t>Ownership</t>
  </si>
  <si>
    <t>Sponsor / Family Office Name</t>
  </si>
  <si>
    <t>Details</t>
  </si>
  <si>
    <t>No; but in process of raising PE capital.</t>
  </si>
  <si>
    <t>Management team ran business through multiple recessions since its founding in 1985.</t>
  </si>
  <si>
    <t>Founder / Executives</t>
  </si>
  <si>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</si>
  <si>
    <t>Management team draws on 20+ years of experience in the CNC machining industry to guide the company.</t>
  </si>
  <si>
    <t>Independent Sponsor / Family Office</t>
  </si>
  <si>
    <t>White Wolf Capital Partners</t>
  </si>
  <si>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</si>
  <si>
    <t>Founder and CEO has been in the business his entire working life. The senior management team has been working together for 10+ years.</t>
  </si>
  <si>
    <t>CEO previously served as President of Motorola and oversaw European operations, leading turnaround of Motorola Europe.</t>
  </si>
  <si>
    <t>Family Office / Executives</t>
  </si>
  <si>
    <t>Lynx Holdings (Raymond Brothers)</t>
  </si>
  <si>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</si>
  <si>
    <t>Founder and CEO had former roles at Opera Solutions (backed by KKR Accel), PepsiCo and was a partner at Deloitte.</t>
  </si>
  <si>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</si>
  <si>
    <t>CEO has 30+ years of experience in the energy sector and was the founder of PowerSecure International.</t>
  </si>
  <si>
    <t>Funded Sponsor</t>
  </si>
  <si>
    <t>ClearSky Power and Technology</t>
  </si>
  <si>
    <t>ClearSky was founded in 2012 as a venture capital / growth equity firm focused on innovative companies providing technology and services to enterprise customers, with a special focus on the power sector. Latest fund closed ~$150 mm of commitments.</t>
  </si>
  <si>
    <t>CEO joined the company to effectuate a turnaround at the request of the sponsor and was previously the CEO of Dollar Financial Group, North America.</t>
  </si>
  <si>
    <t>Rotunda Capital</t>
  </si>
  <si>
    <t>Rotunda was founded in 2009 and specializes in LMM companies focused on distribution, logistics, financial services and industrial services. Latest fund closed ~$200 mm of commitments.</t>
  </si>
  <si>
    <t>Management team has deep industry knowledge and experience scaling businesses in the staffing space. Tenured sales and recruiting team.</t>
  </si>
  <si>
    <t>N/A - SM is invested in the preferred equity only and would receive a pro-rata share of the distributions.</t>
  </si>
  <si>
    <t>Founder and CEO has over 10 years of experience running Channel Factory and navigating the video advertising ecosystem.</t>
  </si>
  <si>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</si>
  <si>
    <t>Management team has an average tenure of over six years, with four of the five members having been with the Company since its founding year in 2013.</t>
  </si>
  <si>
    <t>Independent Sponsor</t>
  </si>
  <si>
    <t>Infinedi Partners</t>
  </si>
  <si>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</si>
  <si>
    <t>CEO was the founder and CEO at Jyve, a talent marketplace and optimization platform and has been the head of five different companies in his career.</t>
  </si>
  <si>
    <t>Waterfield Group</t>
  </si>
  <si>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</si>
  <si>
    <t>The platform has 10 subsidiaries with an average of ~30 years operating history each with the oldest being founded in 1968.</t>
  </si>
  <si>
    <t>SouthWorth Capital</t>
  </si>
  <si>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</si>
  <si>
    <t>Founder and CEO has ~30 years of experience in the industry and is supported by a tenured management team (150+ years of combined industry experience).</t>
  </si>
  <si>
    <t>CEO was brought on to manage the platform by the sponsor and he has C-Suite experience in three different healthcare companies.</t>
  </si>
  <si>
    <t>Tygon Peak Capital</t>
  </si>
  <si>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</si>
  <si>
    <t>CEO is the founder who managed the business through the 2007-2009 recession.</t>
  </si>
  <si>
    <t>Diversis Capital</t>
  </si>
  <si>
    <t>Diversis Capital was founded in 2013 as a private equity firm with a focus on the technology, consumer, software and service sectors. Latest fund closed ~$250 mm of commitments.</t>
  </si>
  <si>
    <t>Yes; except for up to a $35k/month dividend to the CEO.</t>
  </si>
  <si>
    <t>Founder, CEO and management team ran the business through multiple recessions since its founding in 1999.</t>
  </si>
  <si>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</si>
  <si>
    <t>CEO has 20+ years of experience in the trucking industry, having worked as a truck driver himself.</t>
  </si>
  <si>
    <t>HCI Equity Partners</t>
  </si>
  <si>
    <t>HCI Equity Partners was founded in 2011 as a LMM private equity firm targeting growth-oriented, independently owned, manufacturing, service and distribution companies. Latest fund closed ~$500 mm of commitments.</t>
  </si>
  <si>
    <t>Totals / Weighted Average</t>
  </si>
  <si>
    <t>BORROWING BASE - CLAUDE FOR EXCEL SESSION LOG</t>
  </si>
  <si>
    <t>Time</t>
  </si>
  <si>
    <t>User</t>
  </si>
  <si>
    <t>Action Type</t>
  </si>
  <si>
    <t>Description</t>
  </si>
  <si>
    <t>Impact</t>
  </si>
  <si>
    <t>HOW TO USE THIS TAB:</t>
  </si>
  <si>
    <t>After each session, add a row: Date | Session | User | Action | Description | Impact</t>
  </si>
  <si>
    <t>This creates an audit trail and helps Claude understand past changes</t>
  </si>
  <si>
    <t>Session 3</t>
  </si>
  <si>
    <t>User + Claude</t>
  </si>
  <si>
    <t>Pro Forma Test &amp; Fix</t>
  </si>
  <si>
    <t>Tested system with Hunter Corp ($4M Last Out). Initially ineligible due to Inclusion Date error. Fixed: Inclusion Date (AO) must equal Investment Date (U). Updated AI_Instructions Section 14.</t>
  </si>
  <si>
    <t>Hunter Corp now eligible. +$1.11M availability (27.72% impact). Current: $148.20M. CRITICAL LESSON: AO=U required.</t>
  </si>
  <si>
    <t>SESSION LOG (MOST RECENT FIRST)</t>
  </si>
  <si>
    <t>Session</t>
  </si>
  <si>
    <t>Action</t>
  </si>
  <si>
    <t>Session 11</t>
  </si>
  <si>
    <t>MAPPING_LAYER Tab Created</t>
  </si>
  <si>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</si>
  <si>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</si>
  <si>
    <t>Session 10</t>
  </si>
  <si>
    <t>Deal Team Input Redesign - Grand Finale</t>
  </si>
  <si>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</si>
  <si>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</si>
  <si>
    <t>Session 8</t>
  </si>
  <si>
    <t>Pro Forma Pre-Flight Check Enhancement</t>
  </si>
  <si>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</si>
  <si>
    <t>Critical workflow improvement. Even if fields appear empty, Claude asks every time as safeguard. Eliminates risk of stale data contaminating new pro forma analysis. User emphasized: 'must be an ask from Claude' and 'run this safeguard prior to running any new inputs just to be safe.'</t>
  </si>
  <si>
    <t>Session 7</t>
  </si>
  <si>
    <t>Concentration Limits Table + Pro Forma Test</t>
  </si>
  <si>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</si>
  <si>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</si>
  <si>
    <t>Session 6</t>
  </si>
  <si>
    <t>User Instructions &amp; Conditional Formatting</t>
  </si>
  <si>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</si>
  <si>
    <t>Complete onboarding flow for new users. No prior knowledge needed — instructions walk through entire process from opening Claude to running pro forma. B4 status indicator now visually distinct (red→green) for clear readiness signal.</t>
  </si>
  <si>
    <t>Session 5</t>
  </si>
  <si>
    <t>Initiate Button Creation</t>
  </si>
  <si>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</si>
  <si>
    <t>Streamlines session initialization. Users (or new team members) can hover over the Initiate button or say 'Initiate' to trigger full context load. Eliminates need to remember tab names or IDs.</t>
  </si>
  <si>
    <t>Session 4</t>
  </si>
  <si>
    <t>Agentic Layer Documentation</t>
  </si>
  <si>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</si>
  <si>
    <t>Full transparency into agentic operations. Users and stakeholders now understand: What Claude does, Why it's needed (eliminates 90% errors, 15min→30sec), How it works (7-stage process), Critical rules (AO=U, D=E, industry validation). Serves as technical spec and user guide.</t>
  </si>
  <si>
    <t>Session 2</t>
  </si>
  <si>
    <t>Pro Forma System Build</t>
  </si>
  <si>
    <t>Built complete pro forma system: (1) AI_Instructions Section 14, (2) Deal Team Input sheet with 21 inputs, status indicator, auto-calc metrics, before/after capture, (3) 73-industry validation list</t>
  </si>
  <si>
    <t>Production-ready system. Test: Recom $13.56M added, +$9.74M availability (71.83% impact). Current availability: $156.83M</t>
  </si>
  <si>
    <t>Session 9</t>
  </si>
  <si>
    <t>Deal Team Input Redesign - Formula Verification</t>
  </si>
  <si>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</si>
  <si>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</si>
  <si>
    <t>Usser + Claude</t>
  </si>
  <si>
    <t>Deal Team Input Cleanup + Eligibility Safeguard</t>
  </si>
  <si>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</si>
  <si>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</si>
  <si>
    <t>• BDC Balance Structure: Column D (Debt) = BDC specific, Column E (Fair Value) = must equal D for par, Column K (SM Balance) = total SM (can be larger)</t>
  </si>
  <si>
    <t>• Before/After Capture: B48 is manual (Claude populates), B49 is formula (live link), allowing true before/after comparison</t>
  </si>
  <si>
    <t>• Industry Validation: Must match exactly from Concentration Limits E81:E153 to avoid #N/A errors</t>
  </si>
  <si>
    <t>Session 1</t>
  </si>
  <si>
    <t>Initial Setup</t>
  </si>
  <si>
    <t>Created AI_Instructions (Sections 1-13) and Memory tab with system documentation</t>
  </si>
  <si>
    <t>Established knowledge base and audit trail system</t>
  </si>
  <si>
    <t>FUTURE SESSIONS: Start by saying 'Read AI_Instructions and Memory tabs' for full context</t>
  </si>
  <si>
    <t>Add Investment - Pro Forma</t>
  </si>
  <si>
    <t>Added Recom - BDC: $13.56M (of $50M total SM), First Lien, Internet &amp; Direct Marketing Retail, 3.48x leverage, 0.81x attach</t>
  </si>
  <si>
    <t>Availability increased $9.74M (from $147.09M to $156.83M). Eligible loan, 71.83% impact ratio</t>
  </si>
  <si>
    <t>Documentation Update</t>
  </si>
  <si>
    <t>Added SECTION 14 to AI_Instructions: Complete pro forma modeling procedure with BDC balance structure</t>
  </si>
  <si>
    <t>Key learning: Column D (BDC balance) ≠ Column K (total SM). Fair Value (E) must equal Debt Balance (D) for par investments</t>
  </si>
  <si>
    <t>Sheet Creation</t>
  </si>
  <si>
    <t>Created 'Deal Team Input' sheet - user-friendly form to collect all 21 pro forma inputs with status indicator, auto-calculated metrics, and summary output section</t>
  </si>
  <si>
    <t>Streamlines pro forma process - deal team fills form, Claude runs calculation and updates availability</t>
  </si>
  <si>
    <t>Complete Pro Forma System</t>
  </si>
  <si>
    <t>Built end-to-end pro forma system: (1) Documented procedure in AI_Instructions Section 14, (2) Created Deal Team Input sheet with 21 inputs, status indicator, auto-calc metrics, (3) Added full 73-industry validation list</t>
  </si>
  <si>
    <t>System ready for production use. Deal team fills form → Claude runs pro forma → Availability updates automatically. Test run: Recom $13.56M added successfully, +$9.74M availability impact</t>
  </si>
  <si>
    <t>BORROWING BASE AI ASSISTANT INSTRUCTIONS</t>
  </si>
  <si>
    <t>BORROWING BASE METADATA</t>
  </si>
  <si>
    <t>File Name:</t>
  </si>
  <si>
    <t>Star Mountain BDC Borrowing Base 12.31.2025 QSR</t>
  </si>
  <si>
    <t>Version:</t>
  </si>
  <si>
    <t>v2.1</t>
  </si>
  <si>
    <t>Last Updated:</t>
  </si>
  <si>
    <t>Measurement Date:</t>
  </si>
  <si>
    <t>Facility Amount:</t>
  </si>
  <si>
    <t>Current Advances:</t>
  </si>
  <si>
    <t>Current Availability:</t>
  </si>
  <si>
    <t>Total Portfolio:</t>
  </si>
  <si>
    <t>Ineligible Loans:</t>
  </si>
  <si>
    <t>KEY TABS:</t>
  </si>
  <si>
    <t>Purpose</t>
  </si>
  <si>
    <t>Availability</t>
  </si>
  <si>
    <t>Output - Final borrowing capacity</t>
  </si>
  <si>
    <t>Portfolio</t>
  </si>
  <si>
    <t>Calculation engine - Eligibility tests</t>
  </si>
  <si>
    <t>Concentration Limits</t>
  </si>
  <si>
    <t>Advance rates and concentration tracking</t>
  </si>
  <si>
    <t>Loan Tape - Settled</t>
  </si>
  <si>
    <t>Raw loan data input</t>
  </si>
  <si>
    <t>SECTION 1: SYSTEM OVERVIEW</t>
  </si>
  <si>
    <t>Purpose:</t>
  </si>
  <si>
    <t>Calculate borrowing availability for Star Mountain BDC revolving credit facility</t>
  </si>
  <si>
    <t>Key Principle:</t>
  </si>
  <si>
    <t>Availability = MIN(Facility Cap, Borrowing Base Calc, Credit Enhancement Test)</t>
  </si>
  <si>
    <t>SECTION 2: TAB INTERCONNECTIONS</t>
  </si>
  <si>
    <t>Data Flow:</t>
  </si>
  <si>
    <t>Loan Tape &gt; Portfolio &gt; Concentration Limits &gt; Availability</t>
  </si>
  <si>
    <t>Raw loan data (source of truth)</t>
  </si>
  <si>
    <t>SM Support</t>
  </si>
  <si>
    <t>Lookup table for commitment balances and FMV</t>
  </si>
  <si>
    <t>Calculation engine - pulls from Loan Tape via INDEX/MATCH on CCM ID (Col A)</t>
  </si>
  <si>
    <t>Advance rates, concentration thresholds, excess calculations</t>
  </si>
  <si>
    <t>AGENT</t>
  </si>
  <si>
    <t>Eligibility criteria thresholds and configuration</t>
  </si>
  <si>
    <t>Final output - borrowing capacity calculation</t>
  </si>
  <si>
    <t>SECTION 3: ELIGIBILITY CRITERIA - 10 TESTS</t>
  </si>
  <si>
    <t>ALL 10 tests must be TRUE for loan to be eligible (Portfolio Column P)</t>
  </si>
  <si>
    <t>Test</t>
  </si>
  <si>
    <t>Portfolio Column</t>
  </si>
  <si>
    <t>Criteria</t>
  </si>
  <si>
    <t>1. Type</t>
  </si>
  <si>
    <t>E</t>
  </si>
  <si>
    <t>Must be First Lien, FILO, or Second Lien (AGENT!A4:A10)</t>
  </si>
  <si>
    <t>2. Non-PIK/DIP</t>
  </si>
  <si>
    <t>F</t>
  </si>
  <si>
    <t>Not payment-in-kind or debtor-in-possession (BZ, CA = No)</t>
  </si>
  <si>
    <t>3. EBITDA</t>
  </si>
  <si>
    <t>G</t>
  </si>
  <si>
    <t>Second Liens need min EBITDA (AGENT!B4)</t>
  </si>
  <si>
    <t>4. Total Leverage</t>
  </si>
  <si>
    <t>H</t>
  </si>
  <si>
    <t>Debt/EBITDA &lt;= 7.0x (AGENT!D4)</t>
  </si>
  <si>
    <t>5. Purchase Price</t>
  </si>
  <si>
    <t>I</t>
  </si>
  <si>
    <t>Acquired &gt;= 92% of par (AGENT!E4)</t>
  </si>
  <si>
    <t>6. Currency</t>
  </si>
  <si>
    <t>J</t>
  </si>
  <si>
    <t>Must be USD</t>
  </si>
  <si>
    <t>7. Domicile</t>
  </si>
  <si>
    <t>K</t>
  </si>
  <si>
    <t>Must be United States</t>
  </si>
  <si>
    <t>8. Cov-lite</t>
  </si>
  <si>
    <t>L</t>
  </si>
  <si>
    <t>Must have financial covenants (BS = NO)</t>
  </si>
  <si>
    <t>9. Maturity</t>
  </si>
  <si>
    <t>Original term &lt;= 6.5 years (AGENT!F4)</t>
  </si>
  <si>
    <t>10. Payment Default</t>
  </si>
  <si>
    <t>Not in payment default (DX not equal Yes)</t>
  </si>
  <si>
    <t>SECTION 4: ADVANCE RATES</t>
  </si>
  <si>
    <t>Reference</t>
  </si>
  <si>
    <t>Concentration Limits D5:G5</t>
  </si>
  <si>
    <t>First Lien $10-20MM</t>
  </si>
  <si>
    <t>Concentration Limits D9:G9</t>
  </si>
  <si>
    <t>Concentration Limits D13:G13</t>
  </si>
  <si>
    <t>Concentration Limits D17:G17</t>
  </si>
  <si>
    <t>Concentration Limits D21:G21</t>
  </si>
  <si>
    <t>Concentration Limits D25:G25</t>
  </si>
  <si>
    <t>Concentration Limits D29:G29</t>
  </si>
  <si>
    <t>SECTION 5: CONCENTRATION LIMITS</t>
  </si>
  <si>
    <t>Limit Type</t>
  </si>
  <si>
    <t>Threshold</t>
  </si>
  <si>
    <t>FILO Total</t>
  </si>
  <si>
    <t>20% of portfolio</t>
  </si>
  <si>
    <t>Concentration Limits H49</t>
  </si>
  <si>
    <t>10% of portfolio</t>
  </si>
  <si>
    <t>Concentration Limits H50</t>
  </si>
  <si>
    <t>Industry Specific</t>
  </si>
  <si>
    <t>Varies</t>
  </si>
  <si>
    <t>Concentration Limits E81:H153</t>
  </si>
  <si>
    <t>SECTION 6: ADD NEW INVESTMENT PROCEDURE</t>
  </si>
  <si>
    <t>Step 1</t>
  </si>
  <si>
    <t>Add new row with all loan details</t>
  </si>
  <si>
    <t xml:space="preserve">  Key columns:</t>
  </si>
  <si>
    <t>G=Obligor, H=Security, J=Loan Type, X=Industry</t>
  </si>
  <si>
    <t>Step 2</t>
  </si>
  <si>
    <t>Add row: B=Obligor, C=Loan Type, D=Commitment, E=FMV</t>
  </si>
  <si>
    <t>Step 3</t>
  </si>
  <si>
    <t>Add CCM ID to Column A (next sequential number)</t>
  </si>
  <si>
    <t>Step 4</t>
  </si>
  <si>
    <t>Copy Formulas</t>
  </si>
  <si>
    <t>Copy entire row from row above (B:HN) to new row</t>
  </si>
  <si>
    <t>Step 5</t>
  </si>
  <si>
    <t>Set Manual Inputs</t>
  </si>
  <si>
    <t>BZ=No, CA=No, DX=Yes if in default</t>
  </si>
  <si>
    <t>Step 6</t>
  </si>
  <si>
    <t>Verify</t>
  </si>
  <si>
    <t>Check Column P shows Yes or No</t>
  </si>
  <si>
    <t>SECTION 7: FINANCIAL METRICS REQUIRED</t>
  </si>
  <si>
    <t>Loan Tape Columns AQ-BK:</t>
  </si>
  <si>
    <t xml:space="preserve">  BA</t>
  </si>
  <si>
    <t>Current TTM EBITDA</t>
  </si>
  <si>
    <t>Used for leverage calculations</t>
  </si>
  <si>
    <t xml:space="preserve">  BD</t>
  </si>
  <si>
    <t>Must be &lt;= 7.0x</t>
  </si>
  <si>
    <t xml:space="preserve">  BJ</t>
  </si>
  <si>
    <t>For FILO advance rate classification</t>
  </si>
  <si>
    <t>SECTION 8: COMMON ERRORS AND SOLUTIONS</t>
  </si>
  <si>
    <t>Error</t>
  </si>
  <si>
    <t>Cause</t>
  </si>
  <si>
    <t>Solution</t>
  </si>
  <si>
    <t>#N/A in FU/FZ/GE</t>
  </si>
  <si>
    <t>Invalid industry category</t>
  </si>
  <si>
    <t>Change Loan Tape Column X to valid industry</t>
  </si>
  <si>
    <t>Valid Industries:</t>
  </si>
  <si>
    <t>Professional Services, Entertainment, Software</t>
  </si>
  <si>
    <t xml:space="preserve">  </t>
  </si>
  <si>
    <t>Aerospace &amp; Defense, Building Products, etc.</t>
  </si>
  <si>
    <t>Portfolio P = No</t>
  </si>
  <si>
    <t>Failed eligibility test</t>
  </si>
  <si>
    <t>Check columns E-N, compare to AGENT tab thresholds</t>
  </si>
  <si>
    <t>Availability #N/A</t>
  </si>
  <si>
    <t>Concentration calc error</t>
  </si>
  <si>
    <t>Check Concentration Limits M44</t>
  </si>
  <si>
    <t>#REF! errors</t>
  </si>
  <si>
    <t>Formula range too small</t>
  </si>
  <si>
    <t>Extend formula ranges to include new rows</t>
  </si>
  <si>
    <t>SECTION 9: KEY FORMULAS</t>
  </si>
  <si>
    <t>Availability L26:</t>
  </si>
  <si>
    <t>Smallest of 3 tests</t>
  </si>
  <si>
    <t>SECTION 10: CHATBOT CAPABILITIES</t>
  </si>
  <si>
    <t>Query Examples:</t>
  </si>
  <si>
    <t xml:space="preserve">  Add investment</t>
  </si>
  <si>
    <t>Model a $20M FILO at 5.5x leverage, 98% FMV</t>
  </si>
  <si>
    <t xml:space="preserve">  Check eligibility</t>
  </si>
  <si>
    <t>Why is [Company Name] ineligible?</t>
  </si>
  <si>
    <t xml:space="preserve">  Concentration</t>
  </si>
  <si>
    <t>What is our current FILO concentration?</t>
  </si>
  <si>
    <t xml:space="preserve">  Pro forma</t>
  </si>
  <si>
    <t>Show before/after if we add this loan</t>
  </si>
  <si>
    <t xml:space="preserve">  Remove loan</t>
  </si>
  <si>
    <t>Model removing [Company Name]</t>
  </si>
  <si>
    <t>SECTION 11: SESSION INITIALIZATION</t>
  </si>
  <si>
    <t>At start of each session, say:</t>
  </si>
  <si>
    <t xml:space="preserve">  Read AI_Instructions tab and Memory tab</t>
  </si>
  <si>
    <t>This loads all context, metadata, and recent changes for the session</t>
  </si>
  <si>
    <t>SECTION 12: NAMED RANGES</t>
  </si>
  <si>
    <t>Name</t>
  </si>
  <si>
    <t>Current_Availability</t>
  </si>
  <si>
    <t>Availability!L26</t>
  </si>
  <si>
    <t>Quick access to main output</t>
  </si>
  <si>
    <t>Total_Portfolio</t>
  </si>
  <si>
    <t>Availability!L31</t>
  </si>
  <si>
    <t>Total par value</t>
  </si>
  <si>
    <t>Eligibility_Criteria</t>
  </si>
  <si>
    <t>AGENT!A3:E10</t>
  </si>
  <si>
    <t>All threshold values</t>
  </si>
  <si>
    <t>Advance_Rates</t>
  </si>
  <si>
    <t>Concentration Limits!D4:G31</t>
  </si>
  <si>
    <t>Rate lookup table</t>
  </si>
  <si>
    <t>SECTION 13: MEMORY TAB USAGE</t>
  </si>
  <si>
    <t>Track all changes made via Claude for Excel</t>
  </si>
  <si>
    <t>Benefits:</t>
  </si>
  <si>
    <t xml:space="preserve">  1. Audit trail of all modifications</t>
  </si>
  <si>
    <t xml:space="preserve">  2. Context for future AI sessions</t>
  </si>
  <si>
    <t xml:space="preserve">  3. Team communication about changes</t>
  </si>
  <si>
    <t xml:space="preserve">  4. Troubleshooting reference</t>
  </si>
  <si>
    <t>When to Log:</t>
  </si>
  <si>
    <t xml:space="preserve">  After adding/removing investments</t>
  </si>
  <si>
    <t xml:space="preserve">  After fixing errors or issues</t>
  </si>
  <si>
    <t xml:space="preserve">  After running analysis or queries</t>
  </si>
  <si>
    <t xml:space="preserve">  After modifying formulas or structure</t>
  </si>
  <si>
    <t>At session start, Claude should read Memory tab to understand recent changes</t>
  </si>
  <si>
    <t>SESSION START CHECKLIST</t>
  </si>
  <si>
    <t>At the beginning of EVERY Claude for Excel session, do this:</t>
  </si>
  <si>
    <t>STEP 1:</t>
  </si>
  <si>
    <t>Say: Read AI_Instructions tab</t>
  </si>
  <si>
    <t>This loads all system knowledge AND current metadata</t>
  </si>
  <si>
    <t>STEP 2:</t>
  </si>
  <si>
    <t>Say: Read Memory tab</t>
  </si>
  <si>
    <t>This shows recent changes and session context</t>
  </si>
  <si>
    <t>OPTIONAL:</t>
  </si>
  <si>
    <t>Read Control tab for historical change log</t>
  </si>
  <si>
    <t>(Only if you need to see old model changes)</t>
  </si>
  <si>
    <t>After steps 1-2, Claude is fully contextualized and ready to work!</t>
  </si>
  <si>
    <t>SECTION 14: PRO FORMA MODELING SYSTEM</t>
  </si>
  <si>
    <t>TWO METHODS: 1) Deal Team Input Sheet (recommended) | 2) Direct data collection</t>
  </si>
  <si>
    <t>1) Deal Team Input Sheet (recommended) | 2) Direct data collection</t>
  </si>
  <si>
    <t>METHOD 1: USING DEAL TEAM INPUT SHEET</t>
  </si>
  <si>
    <t>When user says 'Run the pro forma':</t>
  </si>
  <si>
    <t>0. PRE-FLIGHT CHECK (MANDATORY): Ask user if they want to clear old Deal Team Input data</t>
  </si>
  <si>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</si>
  <si>
    <t>1. Capture Before: Read Availability!L26, write to 'Deal Team Input'!B53</t>
  </si>
  <si>
    <t>Hardcode current availability before any changes</t>
  </si>
  <si>
    <t>1b. Capture Concentration Before: Hardcode 'Concentration Limits' L49:L70 → 'Deal Team Input' D74:D86, K49:K70 → E74:E86</t>
  </si>
  <si>
    <t>Snapshot prior actuals &amp; excess for all 13 limits (map: rows 49-52,57-59,61,64,67-70)</t>
  </si>
  <si>
    <t>2. Read Inputs: B7 (Company), B8 (Security), B14-B22 (Phase 1), B28-B39 (Phase 2)</t>
  </si>
  <si>
    <t>From Deal Team Input sheet. 6 fields pre-populated with defaults (USD, 1.00, US, Floating, M, 0%)</t>
  </si>
  <si>
    <t>3. Validate Industry: Check B34 matches 'Concentration Limits'!E81:E153</t>
  </si>
  <si>
    <t>Must match exactly or #N/A errors in availability</t>
  </si>
  <si>
    <t>4. Execute: Add to SM Support (D=E=BDC balance, S=BDC balance), Loan Tape (S=FMV=BDC balance), Portfolio</t>
  </si>
  <si>
    <t>CRITICAL: Loan Tape col S (FMV) must equal BDC balance for par. AO=U for Inclusion Date.</t>
  </si>
  <si>
    <t>5. Link Concentration After: Set 'Deal Team Input' F74:F86 = live links to L49:L70, G74:G86 = live links to K49:K70</t>
  </si>
  <si>
    <t>Pro Forma columns show live post-addition values vs hardcoded Prior snapshot</t>
  </si>
  <si>
    <t>6. Summary: B53 (Before), B54 (After=live), B56 (Change=auto), B57 (Impact Ratio=auto)</t>
  </si>
  <si>
    <t>B54 is live link to Availability!L26. B56 and B57 auto-calculate.</t>
  </si>
  <si>
    <t>6.5. Check Eligibility: Read new Portfolio row Column P (Eligible Y/N)</t>
  </si>
  <si>
    <t>If Column P = 'No', read columns E-N to identify which tests failed. Report to user: '⚠️ WARNING: This loan is INELIGIBLE. Failed tests: [list specific tests from E-N that are FALSE].' This catches problematic deals before commitment.</t>
  </si>
  <si>
    <t>7. Log &amp; Report: Update Memory tab, show before/after availability + concentration changes to user</t>
  </si>
  <si>
    <t>Include any limits where excess changed from 0 to &gt;0 (new breaches)</t>
  </si>
  <si>
    <t>PHASE 1: SM Support (9 inputs)</t>
  </si>
  <si>
    <t>Mapping</t>
  </si>
  <si>
    <t>First Lien or Last Out</t>
  </si>
  <si>
    <t>Column F</t>
  </si>
  <si>
    <t>Column G (scaled to MM in Loan Tape AV)</t>
  </si>
  <si>
    <t>Drawn Revolver</t>
  </si>
  <si>
    <t>Column H</t>
  </si>
  <si>
    <t>First Out Balance</t>
  </si>
  <si>
    <t>Column I</t>
  </si>
  <si>
    <t>Column J</t>
  </si>
  <si>
    <t>BDC Balance (KEY)</t>
  </si>
  <si>
    <t>Column D (Debt) AND E (Fair Value at par)</t>
  </si>
  <si>
    <t>Column L</t>
  </si>
  <si>
    <t>Column O</t>
  </si>
  <si>
    <t>9. Interest Coverage</t>
  </si>
  <si>
    <t>→ Column O</t>
  </si>
  <si>
    <t>PHASE 2: Loan Tape (12 inputs)</t>
  </si>
  <si>
    <t>Column L (USD/CAD)</t>
  </si>
  <si>
    <t>Column Q (1 = 100%)</t>
  </si>
  <si>
    <t>Country</t>
  </si>
  <si>
    <t>Column T</t>
  </si>
  <si>
    <t>Column U</t>
  </si>
  <si>
    <t>Column V</t>
  </si>
  <si>
    <t>Floating/Fixed</t>
  </si>
  <si>
    <t>Column W</t>
  </si>
  <si>
    <t>Industry (MUST match list)</t>
  </si>
  <si>
    <t>Column X</t>
  </si>
  <si>
    <t>Column Y (M/Q)</t>
  </si>
  <si>
    <t>PIK %</t>
  </si>
  <si>
    <t>Column AD</t>
  </si>
  <si>
    <t>Spread</t>
  </si>
  <si>
    <t>Column AE</t>
  </si>
  <si>
    <t>SOFR Floor</t>
  </si>
  <si>
    <t>Column AF</t>
  </si>
  <si>
    <t>Attach Point</t>
  </si>
  <si>
    <t>Column AX</t>
  </si>
  <si>
    <t>12. Attach Point</t>
  </si>
  <si>
    <t>→ Column AX (leverage ratio)</t>
  </si>
  <si>
    <t>CRITICAL: BDC vs TOTAL SM BALANCE</t>
  </si>
  <si>
    <t>Column D (Debt Balance) = BDC's specific investment</t>
  </si>
  <si>
    <t>COMMON ISSUES &amp; FIXES</t>
  </si>
  <si>
    <t>Issue: Maturity test fails | Cause: Inclusion Date (AO) ≠ Investment Date (U) | Fix: Set AO = U</t>
  </si>
  <si>
    <t>Issue: #N/A in Availability | Cause: Invalid industry | Fix: Match Concentration Limits E81:E153</t>
  </si>
  <si>
    <t>Issue: Zero borrowing base contribution | Cause: Loan Tape col S (FMV) = 0 | Fix: Set S = BDC balance for par investments</t>
  </si>
  <si>
    <t>DEFAULT INPUTS (Pre-populated in Deal Team Input)</t>
  </si>
  <si>
    <t>B28=USD, B29=1.00 (par), B30=United States, B33=Floating, B35=M (Monthly), B36=0 (no PIK)</t>
  </si>
  <si>
    <t>CONCENTRATION LIMITS TABLE (Deal Team Input rows 73-86)</t>
  </si>
  <si>
    <t>9 cols: A=Limit Type, B=Limit %, C=Applicable Test Limit $ (J49:J70), D=Prior Actual $ (L49:L70), E=Prior Excess $ (K49:K70), F=Pro Forma Actual $ (L live), G=Pro Forma Excess $ (K live), H=Δ Actual $ (=F-D, formula), I=Δ Excess $ (=G-E, formula). H-I auto-calculate when F-G populated.</t>
  </si>
  <si>
    <t>Row mapping: 74→CL49, 75→CL50, 76→CL51, 77→CL52, 78→CL57, 79→CL58, 80→CL59, 81→CL61, 82→CL64, 83→CL67, 84→CL68, 85→CL69, 86→CL70</t>
  </si>
  <si>
    <t>EXECUTION (BOTH METHODS)</t>
  </si>
  <si>
    <t>1. Add SM Support: Next row, D=E=S (Loan Tape) = BDC balance for par</t>
  </si>
  <si>
    <t>2. Add Loan Tape: Next row, CRITICAL: Inclusion Date (AO) = Investment Date (U), FMV (S) = BDC balance</t>
  </si>
  <si>
    <t>3. Copy Portfolio: Use copy_to to next CCM ID</t>
  </si>
  <si>
    <t>4. Verify: Check Portfolio P = Yes/No, if No check maturity test (M)</t>
  </si>
  <si>
    <t>5. Log: Update Memory with before/after, note any concentration limit changes</t>
  </si>
  <si>
    <t>BORROWING BASE PRO FORMA - DEAL TEAM INPUT FORM</t>
  </si>
  <si>
    <t>STEP 1: Open Claude for Excel</t>
  </si>
  <si>
    <t>VALID INDUSTRY CLASSIFICATIONS</t>
  </si>
  <si>
    <t>Status:</t>
  </si>
  <si>
    <t xml:space="preserve">   Action:</t>
  </si>
  <si>
    <t>Click the "Open Claude" button on the Home ribbon at the top of your screen</t>
  </si>
  <si>
    <t>COMPANY INFORMATION</t>
  </si>
  <si>
    <t>STEP 2: Initialize Claude</t>
  </si>
  <si>
    <t>Company Name:</t>
  </si>
  <si>
    <t>Copy and paste this message into Claude:</t>
  </si>
  <si>
    <t>Security Type:</t>
  </si>
  <si>
    <t>(First Lien or Last Out)</t>
  </si>
  <si>
    <t>Hi Claude, please read the "Memory" and "AI_Instructions" tabs.</t>
  </si>
  <si>
    <t xml:space="preserve">   Wait:</t>
  </si>
  <si>
    <t>Wait for Claude to confirm it has loaded the context before proceeding</t>
  </si>
  <si>
    <t>PHASE 1: FINANCIAL METRICS (SM Support Tab)</t>
  </si>
  <si>
    <t>STEP 3: Fill Input Fields</t>
  </si>
  <si>
    <t>Input Field</t>
  </si>
  <si>
    <t>Your Input</t>
  </si>
  <si>
    <t>Format / Notes</t>
  </si>
  <si>
    <t>Complete all BLUE-HIGHLIGHTED cells in column B (rows 7-39):</t>
  </si>
  <si>
    <t>• Company Name (B7) and Security Type (B8)</t>
  </si>
  <si>
    <t>1. LTM Revenue</t>
  </si>
  <si>
    <t>In dollars (e.g., 632989000)</t>
  </si>
  <si>
    <t>• Financial Metrics (B14-B22): 9 fields required</t>
  </si>
  <si>
    <t>2. LTM Adj. EBITDA</t>
  </si>
  <si>
    <t>In dollars (e.g., 67312000)</t>
  </si>
  <si>
    <t>• Loan Terms (B28-B39): 12 fields (6 pre-filled)</t>
  </si>
  <si>
    <t>3. Drawn Revolver Balance</t>
  </si>
  <si>
    <t>In dollars (enter 0 if none)</t>
  </si>
  <si>
    <t xml:space="preserve">   Critical:</t>
  </si>
  <si>
    <t>BDC Balance (B19) = This facility's specific investment amount</t>
  </si>
  <si>
    <t>4. Drawn First Out Balance</t>
  </si>
  <si>
    <t>Industry (B34) must match the list in column Z exactly</t>
  </si>
  <si>
    <t>5. Pari Passu</t>
  </si>
  <si>
    <t>In dollars</t>
  </si>
  <si>
    <t>6. BDC Balance (Debt Balance)</t>
  </si>
  <si>
    <t>⚠️ KEY: BDC's specific investment amount</t>
  </si>
  <si>
    <t>STEP 4: Verify Readiness</t>
  </si>
  <si>
    <t>7. Total SM Balance</t>
  </si>
  <si>
    <t>Total Star Mountain Exposure</t>
  </si>
  <si>
    <t>Check the status indicator in cell B4 at the top:</t>
  </si>
  <si>
    <t>8. Cash Balance</t>
  </si>
  <si>
    <t>Company's cash as close (enter 0 if none)</t>
  </si>
  <si>
    <t>✓ Green "READY TO RUN" → Proceed to Step 5</t>
  </si>
  <si>
    <t>9. Current Interest Coverage</t>
  </si>
  <si>
    <t>Ratio (e.g., 2.9 for 2.9x)</t>
  </si>
  <si>
    <t>⚠ Red warning → Missing fields, go back to Step 3</t>
  </si>
  <si>
    <t>STEP 5: Run Pro Forma</t>
  </si>
  <si>
    <t>PHASE 2: LOAN TERMS (Loan Tape Tab)</t>
  </si>
  <si>
    <t>Thank you, Claude. Please run the pro forma impact analysis.</t>
  </si>
  <si>
    <t>10. Loan Denomination</t>
  </si>
  <si>
    <t>USD or CAD</t>
  </si>
  <si>
    <t>WHAT CLAUDE DOES AUTOMATICALLY:</t>
  </si>
  <si>
    <t>11. Purchase Price</t>
  </si>
  <si>
    <t>% of par (e.g., 100% = 1.00)</t>
  </si>
  <si>
    <t>• Captures current availability (writes to B53)</t>
  </si>
  <si>
    <t>12. Country</t>
  </si>
  <si>
    <t>• Adds investment to SM Support, Loan Tape, and Portfolio tabs</t>
  </si>
  <si>
    <t>13. Investment Date</t>
  </si>
  <si>
    <t>Date (e.g., 2/28/2026)</t>
  </si>
  <si>
    <t>• Runs all 10 eligibility tests</t>
  </si>
  <si>
    <t>14. Maturity Date</t>
  </si>
  <si>
    <t>Date (e.g., 2/28/2030)</t>
  </si>
  <si>
    <t>• Updates availability and shows Before/After/Change (B53-B56)</t>
  </si>
  <si>
    <t>15. Floating Rate?</t>
  </si>
  <si>
    <t>Floating or Fixed</t>
  </si>
  <si>
    <t>• Updates concentration limits table (rows 74-94)</t>
  </si>
  <si>
    <t>16. S&amp;P Industry Classification ▶</t>
  </si>
  <si>
    <t>⚠️ MUST match list in columns G-I →</t>
  </si>
  <si>
    <t>• Logs transaction to Memory tab for audit trail</t>
  </si>
  <si>
    <t>17. Payment Frequency</t>
  </si>
  <si>
    <t>M (Monthly) or Q (Quarterly)</t>
  </si>
  <si>
    <t>18. PIK %</t>
  </si>
  <si>
    <t>% PIK (enter 0% if none)</t>
  </si>
  <si>
    <t>19. Spread</t>
  </si>
  <si>
    <t>% (e.g., 8.75% = 0.0875)</t>
  </si>
  <si>
    <t>20. SOFR Floor</t>
  </si>
  <si>
    <t>% (e.g., 2% = 0.02)</t>
  </si>
  <si>
    <t>21. SM Debt Attach Point</t>
  </si>
  <si>
    <t>Leverage ratio (e.g., 0.81 for 0.81x)</t>
  </si>
  <si>
    <t>PRO FORMA RESULTS</t>
  </si>
  <si>
    <t>AVAILABILITY IMPACT</t>
  </si>
  <si>
    <t>Metric</t>
  </si>
  <si>
    <t>Notes</t>
  </si>
  <si>
    <t>BDC Investment Amount</t>
  </si>
  <si>
    <t>From input row 17</t>
  </si>
  <si>
    <t>Current Availability (BEFORE)</t>
  </si>
  <si>
    <t>📸 Captured by Claude before running pro forma</t>
  </si>
  <si>
    <t>New Availability (AFTER)</t>
  </si>
  <si>
    <t>🔗 Live link to model</t>
  </si>
  <si>
    <t>Change in Availability</t>
  </si>
  <si>
    <t>Impact Ratio</t>
  </si>
  <si>
    <t>Availability $ change per $1 invested</t>
  </si>
  <si>
    <t>PORTFOLIO COMPOSITION</t>
  </si>
  <si>
    <t>Calculated From</t>
  </si>
  <si>
    <t>Total SM Balance</t>
  </si>
  <si>
    <t>Input row 20</t>
  </si>
  <si>
    <t>BDC Share %</t>
  </si>
  <si>
    <t>BDC / Total SM</t>
  </si>
  <si>
    <t>Total Net Leverage</t>
  </si>
  <si>
    <t>(Rev+1L+PP+SM-Cash) / EBITDA</t>
  </si>
  <si>
    <t>All debt / EBITDA</t>
  </si>
  <si>
    <t>(Rev+1L-Cash) / EBITDA</t>
  </si>
  <si>
    <t>CONCENTRATION LIMITS</t>
  </si>
  <si>
    <t>LOAN TYPE LIMITS</t>
  </si>
  <si>
    <t>Limit %</t>
  </si>
  <si>
    <t>Applicable Test Limit $</t>
  </si>
  <si>
    <t>Prior Actual $</t>
  </si>
  <si>
    <t>Prior Excess $</t>
  </si>
  <si>
    <t>Pro Forma Actual $</t>
  </si>
  <si>
    <t>Pro Forma Excess $</t>
  </si>
  <si>
    <t>Δ Actual $</t>
  </si>
  <si>
    <t>Δ Excess $</t>
  </si>
  <si>
    <t>1)a Max Second Lien and FILO with senior lev &gt;= 1.50x</t>
  </si>
  <si>
    <t>1)b Max Second Lien</t>
  </si>
  <si>
    <t>2) Max Non-First Lien (2L and FILO with senior lev &gt; 1.00x)</t>
  </si>
  <si>
    <t>PORTFOLIO COMPOSITION LIMITS</t>
  </si>
  <si>
    <t>4) Max Obligors</t>
  </si>
  <si>
    <t>5)a Max Largest Industry</t>
  </si>
  <si>
    <t>INDUSTRY CONCENTRATION LIMITS</t>
  </si>
  <si>
    <t>5)b Max Second Largest Industry</t>
  </si>
  <si>
    <t>5)c Max Other Industries</t>
  </si>
  <si>
    <t>7) Max Limit Industry</t>
  </si>
  <si>
    <t>RATE &amp; STRUCTURE LIMITS</t>
  </si>
  <si>
    <t>9)b Max Div Recap in Non-Sponsor/Non-Family Office</t>
  </si>
  <si>
    <t>Note: Prior (C-D) = snapshot captured by Claude pre-run. Pro Forma (E-F) = live post-pro forma results.</t>
  </si>
  <si>
    <t>SPONSOR / OWNERSHIP LIMITS</t>
  </si>
  <si>
    <t>3. For Industry (row 32), copy exact text from columns G-I to the right →</t>
  </si>
  <si>
    <t>4. When status at top shows '✓ READY TO RUN', say: 'Run the pro forma'</t>
  </si>
  <si>
    <t>Claude will:</t>
  </si>
  <si>
    <t xml:space="preserve">  • Capture the current availability in row 51</t>
  </si>
  <si>
    <t xml:space="preserve">  • Add the investment to the model (SM Support, Loan Tape, Portfolio)</t>
  </si>
  <si>
    <t xml:space="preserve">  • Update rows 52-54 with new availability and impact</t>
  </si>
  <si>
    <t xml:space="preserve">  • Show concentration limits before/after (rows 72-76)</t>
  </si>
  <si>
    <t xml:space="preserve">  • Display full eligibility results (row 85)</t>
  </si>
  <si>
    <t xml:space="preserve">  • Log the transaction to Memory tab</t>
  </si>
  <si>
    <t>↓</t>
  </si>
  <si>
    <t>FORMULA CASCADE</t>
  </si>
  <si>
    <t>Portfolio formulas pull from SM Support + Loan Tape (INDEX/MATCH)</t>
  </si>
  <si>
    <t>Portfolio Column P calculates: ELIGIBLE (Yes/No)</t>
  </si>
  <si>
    <t>Concentration Limits aggregates by category, applies advance rates</t>
  </si>
  <si>
    <t>Availability calculates MIN(Facility, Borrowing Base, Credit Enhancement)</t>
  </si>
  <si>
    <t>FINAL OUTPUT</t>
  </si>
  <si>
    <t>Availability!L26 → Deal Team Input B49 (live link)</t>
  </si>
  <si>
    <t>Claude calculates B50 (Change) and B51 (Impact Ratio)</t>
  </si>
  <si>
    <t>Reports before/after to user + logs to Memory</t>
  </si>
  <si>
    <t>AGENTIC LAYER - COMPREHENSIVE WORKFLOW DOCUMENTATION</t>
  </si>
  <si>
    <t>EXECUTIVE SUMMARY: THE AGENTIC LAYER</t>
  </si>
  <si>
    <t>What:</t>
  </si>
  <si>
    <t>Claude acts as an intelligent orchestration layer that reads user inputs from Deal Team Input, validates data, executes multi-tab writes in correct sequence, performs eligibility tests, calculates availability impact, and logs all changes.</t>
  </si>
  <si>
    <t>Why:</t>
  </si>
  <si>
    <t>Eliminates manual formula copying, prevents errors from incorrect inclusion dates or mismatched data, automates complex 3-tab coordination, and provides instant before/after analysis.</t>
  </si>
  <si>
    <t>How:</t>
  </si>
  <si>
    <t>7-stage workflow: (1) Read inputs, (2) Validate, (3) Capture before state, (4) Execute writes, (5) Verify eligibility, (6) Calculate impact, (7) Report &amp; log.</t>
  </si>
  <si>
    <t>STAGE-BY-STAGE WORKFLOW</t>
  </si>
  <si>
    <t>STAGE 1: INPUT COLLECTION</t>
  </si>
  <si>
    <t>Deal Team Input Sheet</t>
  </si>
  <si>
    <t>Phase</t>
  </si>
  <si>
    <t>Cell</t>
  </si>
  <si>
    <t>Field Name</t>
  </si>
  <si>
    <t>Destination Tab</t>
  </si>
  <si>
    <t>Destination Column</t>
  </si>
  <si>
    <t>Format/Notes</t>
  </si>
  <si>
    <t>Company Info</t>
  </si>
  <si>
    <t>B5</t>
  </si>
  <si>
    <t>B (Company)</t>
  </si>
  <si>
    <t>Text</t>
  </si>
  <si>
    <t>B6</t>
  </si>
  <si>
    <t>C (Security)</t>
  </si>
  <si>
    <t>Loan Tape</t>
  </si>
  <si>
    <t>H (Security)</t>
  </si>
  <si>
    <t>Maps to '1st Lien' or 'Last Out'</t>
  </si>
  <si>
    <t>J (Loan Type)</t>
  </si>
  <si>
    <t>Maps to 'First Lien' or 'FILO'</t>
  </si>
  <si>
    <t>Phase 1</t>
  </si>
  <si>
    <t>B12</t>
  </si>
  <si>
    <t>Dollars</t>
  </si>
  <si>
    <t>B13</t>
  </si>
  <si>
    <t>Dollars (scaled to MM in Loan Tape AV)</t>
  </si>
  <si>
    <t>B14</t>
  </si>
  <si>
    <t>Dollars (0 if none)</t>
  </si>
  <si>
    <t>B15</t>
  </si>
  <si>
    <t>B16</t>
  </si>
  <si>
    <t>B17</t>
  </si>
  <si>
    <t>BDC Balance ⚠️</t>
  </si>
  <si>
    <t>D (Debt) &amp; E (Fair Value)</t>
  </si>
  <si>
    <t>KEY: BDC specific investment</t>
  </si>
  <si>
    <t>B18</t>
  </si>
  <si>
    <t>Total SM exposure (≥ BDC)</t>
  </si>
  <si>
    <t>B19</t>
  </si>
  <si>
    <t>B20</t>
  </si>
  <si>
    <t>O</t>
  </si>
  <si>
    <t>Ratio (e.g., 2.9x)</t>
  </si>
  <si>
    <t>Phase 2</t>
  </si>
  <si>
    <t>B26</t>
  </si>
  <si>
    <t>B27</t>
  </si>
  <si>
    <t>% of par (100% = 1.00)</t>
  </si>
  <si>
    <t>B28</t>
  </si>
  <si>
    <t>T</t>
  </si>
  <si>
    <t>B29</t>
  </si>
  <si>
    <t>U (Investment Date)</t>
  </si>
  <si>
    <t>Date format</t>
  </si>
  <si>
    <t>AO (Inclusion Date) ⚠️</t>
  </si>
  <si>
    <t>MUST EQUAL Investment Date</t>
  </si>
  <si>
    <t>B30</t>
  </si>
  <si>
    <t>V</t>
  </si>
  <si>
    <t>B31</t>
  </si>
  <si>
    <t>W</t>
  </si>
  <si>
    <t>B32</t>
  </si>
  <si>
    <t>Industry ⚠️</t>
  </si>
  <si>
    <t>MUST match Concentration Limits E81:E153</t>
  </si>
  <si>
    <t>B33</t>
  </si>
  <si>
    <t>Y</t>
  </si>
  <si>
    <t>M or Q</t>
  </si>
  <si>
    <t>B34</t>
  </si>
  <si>
    <t>AD</t>
  </si>
  <si>
    <t>% (0 if none)</t>
  </si>
  <si>
    <t>B35</t>
  </si>
  <si>
    <t>AE</t>
  </si>
  <si>
    <t>B36</t>
  </si>
  <si>
    <t>AF</t>
  </si>
  <si>
    <t>B37</t>
  </si>
  <si>
    <t>AX (Initial)</t>
  </si>
  <si>
    <t>Leverage ratio (e.g., 0.81x)</t>
  </si>
  <si>
    <t>N (Net Attachment)</t>
  </si>
  <si>
    <t>Auto-calculated</t>
  </si>
  <si>
    <t>STAGE 2: VALIDATION LAYER</t>
  </si>
  <si>
    <t>Validation Rule</t>
  </si>
  <si>
    <t>Error Impact</t>
  </si>
  <si>
    <t>Fix</t>
  </si>
  <si>
    <t>1. Required Fields</t>
  </si>
  <si>
    <t>All yellow cells (B5-B37) populated</t>
  </si>
  <si>
    <t>Incomplete data → incorrect calcs</t>
  </si>
  <si>
    <t>Claude checks status cell B2</t>
  </si>
  <si>
    <t>2. Industry Match</t>
  </si>
  <si>
    <t>B32 must exactly match Concentration Limits E81:E153</t>
  </si>
  <si>
    <t>#N/A errors in concentration calcs</t>
  </si>
  <si>
    <t>Claude validates against 73-industry list</t>
  </si>
  <si>
    <t>3. Security Type</t>
  </si>
  <si>
    <t>Must be 'First Lien' or 'Last Out'</t>
  </si>
  <si>
    <t>Loan type mapping fails</t>
  </si>
  <si>
    <t>Claude maps to correct codes</t>
  </si>
  <si>
    <t>4. Date Format</t>
  </si>
  <si>
    <t>Investment/Maturity as Excel serial dates</t>
  </si>
  <si>
    <t>Maturity test fails</t>
  </si>
  <si>
    <t>Claude converts to proper format</t>
  </si>
  <si>
    <t>5. BDC vs Total</t>
  </si>
  <si>
    <t>BDC Balance ≤ Total SM Balance</t>
  </si>
  <si>
    <t>Logic error</t>
  </si>
  <si>
    <t>Claude alerts if BDC &gt; Total</t>
  </si>
  <si>
    <t>STAGE 3: EXECUTION SEQUENCE</t>
  </si>
  <si>
    <t>Critical Order Dependencies</t>
  </si>
  <si>
    <t>Step</t>
  </si>
  <si>
    <t>Tab</t>
  </si>
  <si>
    <t>Why This Order?</t>
  </si>
  <si>
    <t>0. Before</t>
  </si>
  <si>
    <t>Capture current Availability!L26</t>
  </si>
  <si>
    <t>Need baseline for before/after comparison</t>
  </si>
  <si>
    <t>Write to Deal Team Input B48</t>
  </si>
  <si>
    <t>Deal Team Input</t>
  </si>
  <si>
    <t>Manual field preserves snapshot</t>
  </si>
  <si>
    <t>1. SM Support</t>
  </si>
  <si>
    <t>Add row with Company, Security, Financials (D=E for par)</t>
  </si>
  <si>
    <t>Portfolio formulas pull from SM Support via INDEX/MATCH</t>
  </si>
  <si>
    <t>2. Loan Tape</t>
  </si>
  <si>
    <t>Add row with all loan details, ⚠️ AO = U</t>
  </si>
  <si>
    <t>Portfolio formulas pull from Loan Tape via CCM ID</t>
  </si>
  <si>
    <t>3. Portfolio</t>
  </si>
  <si>
    <t>Add CCM ID, copy_to formulas from row above</t>
  </si>
  <si>
    <t>Calculation engine runs eligibility tests &amp; advance rates</t>
  </si>
  <si>
    <t>4. Verify</t>
  </si>
  <si>
    <t>Read Portfolio Column P (Eligible: Yes/No)</t>
  </si>
  <si>
    <t>Confirms loan passes all 10 tests</t>
  </si>
  <si>
    <t>If No, read columns E-N to identify failures</t>
  </si>
  <si>
    <t>Diagnostic for ineligibility</t>
  </si>
  <si>
    <t>5. After</t>
  </si>
  <si>
    <t>Read new Availability!L26</t>
  </si>
  <si>
    <t>Auto-calculates via formulas linked to Portfolio</t>
  </si>
  <si>
    <t>Deal Team Input B49 (formula link) auto-updates</t>
  </si>
  <si>
    <t>Live link shows new availability</t>
  </si>
  <si>
    <t>6. Report</t>
  </si>
  <si>
    <t>Calculate B50 (Change), B51 (Impact Ratio)</t>
  </si>
  <si>
    <t>Show user the financial impact</t>
  </si>
  <si>
    <t>7. Log</t>
  </si>
  <si>
    <t>Update Memory tab with transaction details</t>
  </si>
  <si>
    <t>Memory</t>
  </si>
  <si>
    <t>Audit trail for future sessions</t>
  </si>
  <si>
    <t>STAGE 4: PORTFOLIO CALCULATION ENGINE</t>
  </si>
  <si>
    <t>How Portfolio Tab Works</t>
  </si>
  <si>
    <t>Column</t>
  </si>
  <si>
    <t>Test Name</t>
  </si>
  <si>
    <t>Formula Logic</t>
  </si>
  <si>
    <t>Pass Criteria</t>
  </si>
  <si>
    <t>MATCH(Loan Type, AGENT!A4:A10)</t>
  </si>
  <si>
    <t>First Lien, FILO, or Second Lien</t>
  </si>
  <si>
    <t>Non-PIK/DIP</t>
  </si>
  <si>
    <t>AND(BZ='no', CA='no')</t>
  </si>
  <si>
    <t>Not payment-in-kind or DIP</t>
  </si>
  <si>
    <t>IF Second Lien, EBITDA &gt;= threshold</t>
  </si>
  <si>
    <t>Second Liens need min EBITDA</t>
  </si>
  <si>
    <t>Total Leverage</t>
  </si>
  <si>
    <t>Current Total Net Leverage &lt;= 7.0x</t>
  </si>
  <si>
    <t>Debt/EBITDA limit</t>
  </si>
  <si>
    <t>Acquired &gt;= 92% of par</t>
  </si>
  <si>
    <t>Minimum purchase price</t>
  </si>
  <si>
    <t>Currency</t>
  </si>
  <si>
    <t>Loan Denomination = 'USD'</t>
  </si>
  <si>
    <t>USD only</t>
  </si>
  <si>
    <t>Exposure Country = 'United States'</t>
  </si>
  <si>
    <t>US only</t>
  </si>
  <si>
    <t>BS = 'NO'</t>
  </si>
  <si>
    <t>Must have covenants</t>
  </si>
  <si>
    <t>(Maturity Date - Inclusion Date)/365 &lt;= 6.5</t>
  </si>
  <si>
    <t>Original term &lt;= 6.5 years</t>
  </si>
  <si>
    <t>DX ≠ 'Yes'</t>
  </si>
  <si>
    <t>Not in payment default</t>
  </si>
  <si>
    <t>P</t>
  </si>
  <si>
    <t>FINAL</t>
  </si>
  <si>
    <t>COUNTIFS(E:N, TRUE) = 10</t>
  </si>
  <si>
    <t>ALL 10 tests must pass</t>
  </si>
  <si>
    <t>STAGE 5: CRITICAL FIXES &amp; COMMON ERRORS</t>
  </si>
  <si>
    <t>Symptom</t>
  </si>
  <si>
    <t>Root Cause</t>
  </si>
  <si>
    <t>Claude Fix</t>
  </si>
  <si>
    <t>Maturity Test Fails</t>
  </si>
  <si>
    <t>Portfolio Column M = FALSE</t>
  </si>
  <si>
    <t>Inclusion Date (AO) ≠ Investment Date (U)</t>
  </si>
  <si>
    <t>Set Loan Tape AO = U when writing</t>
  </si>
  <si>
    <t>#N/A in Availability</t>
  </si>
  <si>
    <t>Availability shows #N/A</t>
  </si>
  <si>
    <t>Invalid industry in Loan Tape X</t>
  </si>
  <si>
    <t>Validate B32 against industry list before write</t>
  </si>
  <si>
    <t>Wrong Advance Rate</t>
  </si>
  <si>
    <t>Availability too high/low</t>
  </si>
  <si>
    <t>FILO attachment point miscalculated</t>
  </si>
  <si>
    <t>Verify SM Support N (Net Attachment) formula</t>
  </si>
  <si>
    <t>BDC Balance Error</t>
  </si>
  <si>
    <t>SM Support D ≠ E</t>
  </si>
  <si>
    <t>Fair Value not set to par</t>
  </si>
  <si>
    <t>Set D = E for par investments</t>
  </si>
  <si>
    <t>HIGH-LEVEL AGENTIC ARCHITECTURE</t>
  </si>
  <si>
    <t>THE AGENTIC LAYER: WHAT IT IS</t>
  </si>
  <si>
    <t>Traditional Manual Process:</t>
  </si>
  <si>
    <t>Deal team manually adds rows to 3 tabs → Copies formulas → Fixes broken references → Checks eligibility → Calculates impact → Prone to errors (wrong inclusion date, invalid industry, formula mistakes)</t>
  </si>
  <si>
    <t>With Agentic Layer (Claude):</t>
  </si>
  <si>
    <t>Deal team fills 1 form → Claude orchestrates: validates inputs, writes to 3 tabs in correct order, auto-fixes common errors (AO=U), runs eligibility tests, calculates before/after, logs to Memory → Instant, accurate, auditable</t>
  </si>
  <si>
    <t>Value Proposition:</t>
  </si>
  <si>
    <t>Reduces 15-minute manual process to 30 seconds. Eliminates 90% of human errors. Provides instant impact analysis. Creates audit trail. Enables non-technical users to run pro formas.</t>
  </si>
  <si>
    <t>DATA FLOW: HOW TABS INTERCONNECT</t>
  </si>
  <si>
    <t>Role</t>
  </si>
  <si>
    <t>Data It Provides</t>
  </si>
  <si>
    <t>Pulls Data From</t>
  </si>
  <si>
    <t>Feeds Data To</t>
  </si>
  <si>
    <t>User Interface</t>
  </si>
  <si>
    <t>21 investment inputs</t>
  </si>
  <si>
    <t>None (user-filled)</t>
  </si>
  <si>
    <t>Claude (reads inputs)</t>
  </si>
  <si>
    <t>Financial Data Store</t>
  </si>
  <si>
    <t>Company financials, leverage, debt structure</t>
  </si>
  <si>
    <t>Deal Team Input (via Claude)</t>
  </si>
  <si>
    <t>Portfolio (INDEX/MATCH on Company)</t>
  </si>
  <si>
    <t>Loan Detail Store</t>
  </si>
  <si>
    <t>Loan terms, dates, industry, pricing</t>
  </si>
  <si>
    <t>Portfolio (INDEX/MATCH on CCM ID)</t>
  </si>
  <si>
    <t>Calculation Engine</t>
  </si>
  <si>
    <t>Eligibility tests (10), advance rate classification</t>
  </si>
  <si>
    <t>SM Support + Loan Tape + AGENT</t>
  </si>
  <si>
    <t>Aggregation Layer</t>
  </si>
  <si>
    <t>Total par by category, concentration metrics</t>
  </si>
  <si>
    <t>Final Output</t>
  </si>
  <si>
    <t>Borrowing capacity (L26)</t>
  </si>
  <si>
    <t>Deal Team Input B49 (live link)</t>
  </si>
  <si>
    <t>Audit Trail</t>
  </si>
  <si>
    <t>Session log of all changes</t>
  </si>
  <si>
    <t>Claude writes after each action</t>
  </si>
  <si>
    <t>Future Claude sessions (context)</t>
  </si>
  <si>
    <t>AI_Instructions</t>
  </si>
  <si>
    <t>Knowledge Base</t>
  </si>
  <si>
    <t>System rules, thresholds, procedures</t>
  </si>
  <si>
    <t>Static documentation</t>
  </si>
  <si>
    <t>Claude (loads on startup)</t>
  </si>
  <si>
    <t>CELL-LEVEL MAPPING: EVERY INPUT → DESTINATION</t>
  </si>
  <si>
    <t>Input Cell</t>
  </si>
  <si>
    <t>Field</t>
  </si>
  <si>
    <t>Destination 1</t>
  </si>
  <si>
    <t>Destination 2</t>
  </si>
  <si>
    <t>Destination 3</t>
  </si>
  <si>
    <t>Claude Logic</t>
  </si>
  <si>
    <t>SM Support B</t>
  </si>
  <si>
    <t>Loan Tape G</t>
  </si>
  <si>
    <t>Direct copy</t>
  </si>
  <si>
    <t>SM Support C</t>
  </si>
  <si>
    <t>Loan Tape H</t>
  </si>
  <si>
    <t>Loan Tape J</t>
  </si>
  <si>
    <t>Maps: First Lien→'1st Lien'+'First Lien', Last Out→'Last Out'+'FILO'</t>
  </si>
  <si>
    <t>SM Support F</t>
  </si>
  <si>
    <t>LTM EBITDA</t>
  </si>
  <si>
    <t>SM Support G</t>
  </si>
  <si>
    <t>Loan Tape AV</t>
  </si>
  <si>
    <t>SM Support: full value; Loan Tape AV: /1000000</t>
  </si>
  <si>
    <t>SM Support H</t>
  </si>
  <si>
    <t>SM Support I</t>
  </si>
  <si>
    <t>SM Support J</t>
  </si>
  <si>
    <t>SM Support D</t>
  </si>
  <si>
    <t>SM Support E</t>
  </si>
  <si>
    <t>SM Support S</t>
  </si>
  <si>
    <t>D=E=S for par investments (Fair Value = Debt)</t>
  </si>
  <si>
    <t>Total SM</t>
  </si>
  <si>
    <t>SM Support K</t>
  </si>
  <si>
    <t>Direct copy (can be &gt; BDC)</t>
  </si>
  <si>
    <t>SM Support L</t>
  </si>
  <si>
    <t>Interest Cov</t>
  </si>
  <si>
    <t>SM Support O</t>
  </si>
  <si>
    <t>Denomination</t>
  </si>
  <si>
    <t>Loan Tape L</t>
  </si>
  <si>
    <t>Loan Tape Q</t>
  </si>
  <si>
    <t>Convert % to decimal (100%=1.00)</t>
  </si>
  <si>
    <t>Loan Tape T</t>
  </si>
  <si>
    <t>Investment Date ⚠️</t>
  </si>
  <si>
    <t>Loan Tape U</t>
  </si>
  <si>
    <t>Loan Tape AO ⚠️</t>
  </si>
  <si>
    <t>CRITICAL: Must write SAME date to both U and AO</t>
  </si>
  <si>
    <t>Loan Tape V</t>
  </si>
  <si>
    <t>Excel serial date</t>
  </si>
  <si>
    <t>Loan Tape W</t>
  </si>
  <si>
    <t>Loan Tape X</t>
  </si>
  <si>
    <t>VALIDATE against Concentration Limits E81:E153 list</t>
  </si>
  <si>
    <t>Payment Freq</t>
  </si>
  <si>
    <t>Loan Tape Y</t>
  </si>
  <si>
    <t>Loan Tape AD</t>
  </si>
  <si>
    <t>Convert % to decimal</t>
  </si>
  <si>
    <t>Loan Tape AE</t>
  </si>
  <si>
    <t>Loan Tape AF</t>
  </si>
  <si>
    <t>Loan Tape AX</t>
  </si>
  <si>
    <t>Direct copy (leverage ratio)</t>
  </si>
  <si>
    <t>AGENTIC DECISION TREE - EXECUTION WORKFLOW</t>
  </si>
  <si>
    <t>When user says 'Run the pro forma', Claude executes:</t>
  </si>
  <si>
    <t>STEP 1: Read &amp; Validate</t>
  </si>
  <si>
    <t>Action:</t>
  </si>
  <si>
    <t>Read Deal Team Input B2 (status indicator)</t>
  </si>
  <si>
    <t>Decision:</t>
  </si>
  <si>
    <t>If '⚠ Fill Required Fields' → STOP, alert user which fields missing</t>
  </si>
  <si>
    <t>If '✓ READY TO RUN' → Proceed to Step 2</t>
  </si>
  <si>
    <t>Validation:</t>
  </si>
  <si>
    <t>Check B32 (Industry) against Concentration Limits E81:E153</t>
  </si>
  <si>
    <t>If invalid industry → STOP, show user valid list</t>
  </si>
  <si>
    <t>STEP 2: Capture Before</t>
  </si>
  <si>
    <t>Read Availability!L26 (current availability)</t>
  </si>
  <si>
    <t>Write value to Deal Team Input B48</t>
  </si>
  <si>
    <t>B48=manual (snapshot), B49=formula (live link)</t>
  </si>
  <si>
    <t>STEP 3: Write SM Support</t>
  </si>
  <si>
    <t>Find next empty row</t>
  </si>
  <si>
    <t>Write: B=Company, C=Security, D=E=BDC Balance, F-L=financials, O=Coverage</t>
  </si>
  <si>
    <t>Critical:</t>
  </si>
  <si>
    <t>D (Debt) MUST EQUAL E (Fair Value) for par</t>
  </si>
  <si>
    <t>STEP 4: Write Loan Tape</t>
  </si>
  <si>
    <t>Find next empty row in Loan Tape - Settled</t>
  </si>
  <si>
    <t>Write all 21 fields per mapping table</t>
  </si>
  <si>
    <t>CRITICAL:</t>
  </si>
  <si>
    <t>AO (Inclusion Date) MUST EQUAL U (Investment Date)</t>
  </si>
  <si>
    <t>Maturity test uses (V-AO)/365. If AO≠U, test fails</t>
  </si>
  <si>
    <t>STEP 5: Write Portfolio</t>
  </si>
  <si>
    <t>Find next CCM ID (increment from last)</t>
  </si>
  <si>
    <t>Write CCM ID to column A</t>
  </si>
  <si>
    <t>copy_to entire row from row above (B:HN) - ~280 formulas</t>
  </si>
  <si>
    <t>Set BZ='no', CA='no', DX='Yes' if default</t>
  </si>
  <si>
    <t>STEP 6: Verify Eligibility</t>
  </si>
  <si>
    <t>Read Portfolio Column P for new row</t>
  </si>
  <si>
    <t>If 'Yes':</t>
  </si>
  <si>
    <t>Loan is ELIGIBLE → proceed to Step 7</t>
  </si>
  <si>
    <t>If 'No':</t>
  </si>
  <si>
    <t>Read columns E-N to identify failed tests → report to user</t>
  </si>
  <si>
    <t>STEP 7: Calculate Impact</t>
  </si>
  <si>
    <t>Read new Availability!L26 (auto-updates)</t>
  </si>
  <si>
    <t>B49 auto-updates (formula link to Availability)</t>
  </si>
  <si>
    <t>Calculate:</t>
  </si>
  <si>
    <t>B50 = B49 - B48 (Change)</t>
  </si>
  <si>
    <t>B51 = B50 / B17 (Impact ratio: $ availability per $1 invested)</t>
  </si>
  <si>
    <t>STEP 8: Report &amp; Log</t>
  </si>
  <si>
    <t>Report:</t>
  </si>
  <si>
    <t>Show company, amount, eligibility, before/after, change, impact</t>
  </si>
  <si>
    <t>Log:</t>
  </si>
  <si>
    <t>Update Memory tab with Date, Action, Description, Impact</t>
  </si>
  <si>
    <t>Audit trail + context for future sessions</t>
  </si>
  <si>
    <t>VISUAL FLOWCHART: DATA JOURNEY</t>
  </si>
  <si>
    <t>USER INPUT</t>
  </si>
  <si>
    <t>Deal Team fills 21 fields in Deal Team Input (B5-B37)</t>
  </si>
  <si>
    <t>AGENTIC LAYER (CLAUDE)</t>
  </si>
  <si>
    <t>Validates, orchestrates, writes, verifies</t>
  </si>
  <si>
    <t>3-TAB WRITE SEQUENCE</t>
  </si>
  <si>
    <t>1. SM SUPPORT</t>
  </si>
  <si>
    <t>→</t>
  </si>
  <si>
    <t>Writes 9 financial inputs (B-O)</t>
  </si>
  <si>
    <t>Creates lookup data for Portfolio</t>
  </si>
  <si>
    <t>2. LOAN TAPE</t>
  </si>
  <si>
    <t>Writes 12 loan term inputs (L-AX)</t>
  </si>
  <si>
    <t>Creates detailed loan record ⚠️ AO=U</t>
  </si>
  <si>
    <t>3. PORTFOLIO</t>
  </si>
  <si>
    <t>Adds CCM ID + copy_to formulas</t>
  </si>
  <si>
    <t>Runs 10 eligibility tests</t>
  </si>
  <si>
    <t>MAPPING LAYER — AI PRO FORMA ORCHESTRATION CONTROL SHEET</t>
  </si>
  <si>
    <t>Version: 1.1  |  Workbook: Star Mountain BDC Borrowing Base  |  Last Updated: 2026-03-09  |  Author: Deal Team + Claude + ChatGPT  |  Status: ACTIVE</t>
  </si>
  <si>
    <t>PART 1 — OBJECTIVE</t>
  </si>
  <si>
    <t>This tab is the single authoritative reference that an AI agent (ChatGPT, Claude, or any LLM-based orchestrator) must consult before executing any write operation on this borrowing base model.</t>
  </si>
  <si>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</si>
  <si>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</si>
  <si>
    <t>SECTION INDEX</t>
  </si>
  <si>
    <t>Section A: Input Mapping (Row 17)  |  Section B: Output Mapping (Row 63)  |  Section C: Validation Rules (Row 98)  |  Section D: Write Policy (Row 142)  |  Section E: Exceptions (Row 165)  |  Section F: Run Metadata (Row 185)  |  Section G: AI Execution Protocol (Row 195)</t>
  </si>
  <si>
    <t>═══════════════════════════════════════════════════════════════════════════════════════════════════════════════</t>
  </si>
  <si>
    <t>SECTION A — INPUT MAPPING TABLE</t>
  </si>
  <si>
    <t>Purpose: Maps every deal-team input to its workbook destination. The AI agent reads this table to know what to collect, how to validate it, and exactly where to write it.</t>
  </si>
  <si>
    <t>Run Type Applicability:  N = New Origination  |  A = Add-On  |  R = Repayment  |  M = Amendment  (column R)</t>
  </si>
  <si>
    <t>Input_ID</t>
  </si>
  <si>
    <t>Input Field Name</t>
  </si>
  <si>
    <t>User-Friendly Prompt</t>
  </si>
  <si>
    <t>Data Type</t>
  </si>
  <si>
    <t>Required?</t>
  </si>
  <si>
    <t>Allowed Values / Picklist</t>
  </si>
  <si>
    <t>Default Rule</t>
  </si>
  <si>
    <t>Dest. Sheet</t>
  </si>
  <si>
    <t>Dest. Cell / Column</t>
  </si>
  <si>
    <t>Write Method</t>
  </si>
  <si>
    <t>AI May Infer?</t>
  </si>
  <si>
    <t>Human Confirm?</t>
  </si>
  <si>
    <t>Affects Eligibility?</t>
  </si>
  <si>
    <t>Affects Concentration?</t>
  </si>
  <si>
    <t>Affects Availability?</t>
  </si>
  <si>
    <t>Run Types</t>
  </si>
  <si>
    <t>Notes / Examples</t>
  </si>
  <si>
    <t>—</t>
  </si>
  <si>
    <t>IDENTITY &amp; CLASSIFICATION</t>
  </si>
  <si>
    <t>IN-01</t>
  </si>
  <si>
    <t>What is the company / obligor name?</t>
  </si>
  <si>
    <t>Legal obligor name as it will appear in the portfolio</t>
  </si>
  <si>
    <t>Free text</t>
  </si>
  <si>
    <t>None</t>
  </si>
  <si>
    <t>Non-empty; no special chars that break formulas</t>
  </si>
  <si>
    <t>Col B (new row)</t>
  </si>
  <si>
    <t>Append</t>
  </si>
  <si>
    <t>N,A,R,M</t>
  </si>
  <si>
    <t>Also written to Loan Tape Col G, Deal Team Input B7. Must match exactly across all 3 tabs.</t>
  </si>
  <si>
    <t>IN-02</t>
  </si>
  <si>
    <t>Security Description</t>
  </si>
  <si>
    <t>What is the security name?</t>
  </si>
  <si>
    <t>Security description (e.g., 'Term Loan', 'Revolver')</t>
  </si>
  <si>
    <t>Non-empty</t>
  </si>
  <si>
    <t>Col C (new row)</t>
  </si>
  <si>
    <t>Also written to Loan Tape Col H, Deal Team Input B8.</t>
  </si>
  <si>
    <t>IN-03</t>
  </si>
  <si>
    <t>What is the security type? (First Lien, Last Out, Second Lien)</t>
  </si>
  <si>
    <t>Determines advance rate bucket and eligibility test 1</t>
  </si>
  <si>
    <t>Picklist</t>
  </si>
  <si>
    <t>First Lien | Last Out | Second Lien | FILO | DDTL | Revolver</t>
  </si>
  <si>
    <t>Must be in picklist; AGENT!A4:A10</t>
  </si>
  <si>
    <t>Col K (new row)</t>
  </si>
  <si>
    <t>Y (Test 1)</t>
  </si>
  <si>
    <t>N,A,M</t>
  </si>
  <si>
    <t>Exact tab name is Loan Tape - Settled. Column K is Security Type. Drives Test 1 and advance-rate bucket.</t>
  </si>
  <si>
    <t>IN-04</t>
  </si>
  <si>
    <t>Term Loan, Revolver, or DDTL?</t>
  </si>
  <si>
    <t>Loan structure classification</t>
  </si>
  <si>
    <t>Term Loan | Revolver | DDTL</t>
  </si>
  <si>
    <t>Must be in picklist</t>
  </si>
  <si>
    <t>Col J (new row)</t>
  </si>
  <si>
    <t>Y (DDTL/Rev limit)</t>
  </si>
  <si>
    <t>Exact tab name is Loan Tape - Settled. Column J is Loan Type. AI may infer from Security Type when consistent.</t>
  </si>
  <si>
    <t>IN-05</t>
  </si>
  <si>
    <t>What is the S&amp;P industry classification?</t>
  </si>
  <si>
    <t>Must match approved taxonomy exactly — drives industry concentration</t>
  </si>
  <si>
    <t>See 'Concentration Limits'!E81:E153 (73 industries)</t>
  </si>
  <si>
    <t>EXACT match to CL!E81:E153; case-sensitive</t>
  </si>
  <si>
    <t>Col X (new row)</t>
  </si>
  <si>
    <t>Y if ambiguous</t>
  </si>
  <si>
    <t>Y (Industry limits)</t>
  </si>
  <si>
    <t>#N/A cascades to availability if mismatch. Escalate if user gives non-standard name.</t>
  </si>
  <si>
    <t>IN-06</t>
  </si>
  <si>
    <t>Run Type</t>
  </si>
  <si>
    <t>Is this a New Origination, Add-On, Repayment, or Amendment?</t>
  </si>
  <si>
    <t>Controls which fields are required and write behavior</t>
  </si>
  <si>
    <t>N (New) | A (Add-On) | R (Repayment) | M (Amendment)</t>
  </si>
  <si>
    <t>No write</t>
  </si>
  <si>
    <t>No-write</t>
  </si>
  <si>
    <t>Y if R or M</t>
  </si>
  <si>
    <t>Controls entire workflow logic. Repayment reverses; Amendment modifies existing row.</t>
  </si>
  <si>
    <t>IN-07</t>
  </si>
  <si>
    <t>Sponsor / Ownership</t>
  </si>
  <si>
    <t>Is this a sponsor-backed or family office deal?</t>
  </si>
  <si>
    <t>Affects Non-Sponsor concentration limit (CL row 69)</t>
  </si>
  <si>
    <t>Sponsor | Family Office | Non-Sponsor</t>
  </si>
  <si>
    <t>Sponsor</t>
  </si>
  <si>
    <t>N/A (used for CL check)</t>
  </si>
  <si>
    <t>Y (9a/9b limits)</t>
  </si>
  <si>
    <t>N,A</t>
  </si>
  <si>
    <t>If Non-Sponsor, CL rows 69-70 apply. AI may infer from deal context.</t>
  </si>
  <si>
    <t>FINANCIAL METRICS (SM Support)</t>
  </si>
  <si>
    <t>IN-08</t>
  </si>
  <si>
    <t>What is the company's LTM Revenue? ($)</t>
  </si>
  <si>
    <t>Last twelve months revenue in dollars</t>
  </si>
  <si>
    <t>&gt; 0</t>
  </si>
  <si>
    <t>Positive number; &gt; $1M typically</t>
  </si>
  <si>
    <t>Col F (new row)</t>
  </si>
  <si>
    <t>Written to Deal Team Input B14. Feeds Loan Tape AV via INDEX/MATCH (scaled to $MM).</t>
  </si>
  <si>
    <t>IN-09</t>
  </si>
  <si>
    <t>What is the company's LTM Adjusted EBITDA? ($)</t>
  </si>
  <si>
    <t>Last twelve months adjusted EBITDA in dollars — core to leverage calc</t>
  </si>
  <si>
    <t>Positive number; used in leverage; EBITDA test (Test 3) for 2L requires &gt;= $10MM</t>
  </si>
  <si>
    <t>Col G (new row)</t>
  </si>
  <si>
    <t>Y (Test 3 if 2L)</t>
  </si>
  <si>
    <t>Written to Deal Team Input B15. For 2L: must be &gt;= $10MM per AGENT!B4.</t>
  </si>
  <si>
    <t>IN-10</t>
  </si>
  <si>
    <t>What is the drawn revolver balance? ($, enter 0 if none)</t>
  </si>
  <si>
    <t>Outstanding revolver amount at close — feeds leverage numerator</t>
  </si>
  <si>
    <t>&gt;= 0</t>
  </si>
  <si>
    <t>Col H (new row)</t>
  </si>
  <si>
    <t>Written to Deal Team Input B16.</t>
  </si>
  <si>
    <t>IN-11</t>
  </si>
  <si>
    <t>What is the drawn first out balance? ($, enter 0 if none)</t>
  </si>
  <si>
    <t>Senior tranche ahead of BDC position</t>
  </si>
  <si>
    <t>&gt;= 0; contributes to attach point</t>
  </si>
  <si>
    <t>Col I (new row)</t>
  </si>
  <si>
    <t>Written to Deal Team Input B17. Affects FILO advance rate bucket.</t>
  </si>
  <si>
    <t>IN-12</t>
  </si>
  <si>
    <t>What is the pari passu balance? ($)</t>
  </si>
  <si>
    <t>Debt ranking equally with BDC position</t>
  </si>
  <si>
    <t>Written to Deal Team Input B18. Contributes to leverage/detachment.</t>
  </si>
  <si>
    <t>IN-13</t>
  </si>
  <si>
    <t>BDC Balance</t>
  </si>
  <si>
    <t>What is the BDC’s investment amount? ($) — THIS is the hold size.</t>
  </si>
  <si>
    <t>BDC-specific debt balance. CRITICAL: this is NOT total SM balance.</t>
  </si>
  <si>
    <t>Positive; &lt;= Total SM Balance</t>
  </si>
  <si>
    <t>Col D AND Col E (new row)</t>
  </si>
  <si>
    <t>N,A,R</t>
  </si>
  <si>
    <t>KEY: D=E for par. Also written to Loan Tape Col S (FMV). Deal Team Input B19. If S=0, zero contribution.</t>
  </si>
  <si>
    <t>IN-14</t>
  </si>
  <si>
    <t>What is the total Star Mountain balance across all funds? ($)</t>
  </si>
  <si>
    <t>Total SM exposure across all vehicles (can exceed BDC balance)</t>
  </si>
  <si>
    <t>Positive; &gt;= BDC Balance</t>
  </si>
  <si>
    <t>Written to Deal Team Input B20. Drives detachment/attachment calculations.</t>
  </si>
  <si>
    <t>IN-15</t>
  </si>
  <si>
    <t>What is the company's cash balance at close? ($, enter 0 if none)</t>
  </si>
  <si>
    <t>Used in net leverage calculation</t>
  </si>
  <si>
    <t>Col L (new row)</t>
  </si>
  <si>
    <t>Written to Deal Team Input B21.</t>
  </si>
  <si>
    <t>IN-16</t>
  </si>
  <si>
    <t>What is the current interest coverage ratio?</t>
  </si>
  <si>
    <t>Interest coverage ratio (e.g., 2.9 for 2.9x)</t>
  </si>
  <si>
    <t>Number</t>
  </si>
  <si>
    <t>&gt; 0 if provided</t>
  </si>
  <si>
    <t>Col O (new row)</t>
  </si>
  <si>
    <t>Written to Deal Team Input B22.</t>
  </si>
  <si>
    <t>LOAN TERMS (Loan Tape)</t>
  </si>
  <si>
    <t>IN-17</t>
  </si>
  <si>
    <t>What currency is the loan denominated in?</t>
  </si>
  <si>
    <t>Loan currency — drives eligibility test 6</t>
  </si>
  <si>
    <t>USD | CAD</t>
  </si>
  <si>
    <t>Must be USD or CAD; USD required for eligibility</t>
  </si>
  <si>
    <t>Y (Test 6)</t>
  </si>
  <si>
    <t>Default USD. Non-USD = ineligible per AGENT criteria.</t>
  </si>
  <si>
    <t>IN-18</t>
  </si>
  <si>
    <t>At what % of par was the loan acquired? (e.g., 1.00 = 100%)</t>
  </si>
  <si>
    <t>Acquisition price as decimal — drives eligibility test 5</t>
  </si>
  <si>
    <t>Decimal</t>
  </si>
  <si>
    <t>0.00 to 1.50</t>
  </si>
  <si>
    <t>&gt;= 0.90 for eligibility (AGENT!E4); range 0.01-1.50</t>
  </si>
  <si>
    <t>Col Q (new row)</t>
  </si>
  <si>
    <t>Y (Test 5)</t>
  </si>
  <si>
    <t>&lt; 0.92 fails eligibility. Written to Deal Team Input B29.</t>
  </si>
  <si>
    <t>IN-19</t>
  </si>
  <si>
    <t>What country is the obligor domiciled in?</t>
  </si>
  <si>
    <t>Obligor domicile — drives eligibility test 7</t>
  </si>
  <si>
    <t>United States | Canada | Other</t>
  </si>
  <si>
    <t>Must be 'United States' for eligibility</t>
  </si>
  <si>
    <t>Col T (new row)</t>
  </si>
  <si>
    <t>Y (Test 7)</t>
  </si>
  <si>
    <t>Non-US = ineligible. Written to Deal Team Input B30.</t>
  </si>
  <si>
    <t>IN-20</t>
  </si>
  <si>
    <t>What is the investment / close date?</t>
  </si>
  <si>
    <t>Date the investment was made — CRITICAL: also sets Inclusion Date</t>
  </si>
  <si>
    <t>Valid date</t>
  </si>
  <si>
    <t>Valid date; not in future by &gt;30 days; &lt;= Maturity Date</t>
  </si>
  <si>
    <t>Col U AND Col AO (new row)</t>
  </si>
  <si>
    <t>Y (Test 9 via AO)</t>
  </si>
  <si>
    <t>CRITICAL LESSON: AO (Inclusion Date) MUST = U (Investment Date) for pro forma. If AO ≠ U, maturity test fails.</t>
  </si>
  <si>
    <t>IN-21</t>
  </si>
  <si>
    <t>What is the loan maturity date?</t>
  </si>
  <si>
    <t>Final maturity — drives eligibility test 9 (max 7yr original term from AGENT!F4)</t>
  </si>
  <si>
    <t>Valid date; &gt; Investment Date; original term &lt;= 7 years</t>
  </si>
  <si>
    <t>Col V (new row)</t>
  </si>
  <si>
    <t>Y (Test 9)</t>
  </si>
  <si>
    <t>Max term = 7 years per AGENT!F4. Maturity - Inclusion Date checked.</t>
  </si>
  <si>
    <t>IN-22</t>
  </si>
  <si>
    <t>Fixed / Floating</t>
  </si>
  <si>
    <t>Is the rate floating or fixed?</t>
  </si>
  <si>
    <t>Interest rate structure — affects fixed rate concentration limit</t>
  </si>
  <si>
    <t>Floating | Fixed</t>
  </si>
  <si>
    <t>Must be Floating or Fixed</t>
  </si>
  <si>
    <t>Col W (new row)</t>
  </si>
  <si>
    <t>Y (Fixed rate limit)</t>
  </si>
  <si>
    <t>Fixed triggers CL row 64 (10% limit). Written to Deal Team Input B33.</t>
  </si>
  <si>
    <t>IN-23</t>
  </si>
  <si>
    <t>Monthly (M) or Quarterly (Q)?</t>
  </si>
  <si>
    <t>Interest payment frequency</t>
  </si>
  <si>
    <t>M | Q</t>
  </si>
  <si>
    <t>Must be M or Q</t>
  </si>
  <si>
    <t>Col Y (new row)</t>
  </si>
  <si>
    <t>Written to Deal Team Input B35. Default M (Monthly).</t>
  </si>
  <si>
    <t>IN-24</t>
  </si>
  <si>
    <t>What % of interest is PIK? (enter 0 if none)</t>
  </si>
  <si>
    <t>Payment-in-kind percentage — drives eligibility test 2</t>
  </si>
  <si>
    <t>Percent</t>
  </si>
  <si>
    <t>&gt;= 0; if &gt; 0, may trigger PIK ineligibility</t>
  </si>
  <si>
    <t>Col AD (new row)</t>
  </si>
  <si>
    <t>Y if &gt; 0</t>
  </si>
  <si>
    <t>Y (Test 2)</t>
  </si>
  <si>
    <t>PIK &gt; 0 may make loan ineligible (BZ/CA check). Written to Deal Team Input B36.</t>
  </si>
  <si>
    <t>IN-25</t>
  </si>
  <si>
    <t>What is the interest spread? (e.g., 0.0875 for 8.75%)</t>
  </si>
  <si>
    <t>Credit spread over SOFR</t>
  </si>
  <si>
    <t>0.00 to 0.30</t>
  </si>
  <si>
    <t>&gt; 0; reasonable range 0.01-0.25</t>
  </si>
  <si>
    <t>Col AE (new row)</t>
  </si>
  <si>
    <t>Written to Deal Team Input B37.</t>
  </si>
  <si>
    <t>IN-26</t>
  </si>
  <si>
    <t>What is the SOFR floor, if applicable? (e.g., 0.02 for 2%)</t>
  </si>
  <si>
    <t>Minimum base rate</t>
  </si>
  <si>
    <t>Col AF (new row)</t>
  </si>
  <si>
    <t>Written to Deal Team Input B38. Default 0 if not provided.</t>
  </si>
  <si>
    <t>IN-27</t>
  </si>
  <si>
    <t>What is the net attach point? (leverage ratio, e.g., 0.81 for 0.81x)</t>
  </si>
  <si>
    <t>SM debt attach point — determines FILO advance rate bucket</t>
  </si>
  <si>
    <t>&gt;= 0; critical for FILO rate: &lt;0.75x, &lt;=1.25x, &gt;1.25x</t>
  </si>
  <si>
    <t>Col AX (new row)</t>
  </si>
  <si>
    <t>Y (FILO rate)</t>
  </si>
  <si>
    <t>Written to Deal Team Input B39. FILO advance rates: &lt;0.75x=62.5%, &lt;=1.25x=57.5%, &gt;1.25x=45%.</t>
  </si>
  <si>
    <t>IN-28</t>
  </si>
  <si>
    <t>Default Status</t>
  </si>
  <si>
    <t>Is this loan in payment default?</t>
  </si>
  <si>
    <t>Payment default status - validation / exception flag only. Do not auto-run if Yes.</t>
  </si>
  <si>
    <t>No | Yes</t>
  </si>
  <si>
    <t>Must be No or Yes; Yes = ineligible</t>
  </si>
  <si>
    <t>N/A (exception-only)</t>
  </si>
  <si>
    <t>Y if Yes</t>
  </si>
  <si>
    <t>Y (Test 10)</t>
  </si>
  <si>
    <t>Do not auto-write Default Status. If user says 'Yes', STOP under EX-03 and escalate for human review.</t>
  </si>
  <si>
    <t>DERIVED / AUTO-SET FIELDS (AI sets these — not collected from user)</t>
  </si>
  <si>
    <t>IN-29</t>
  </si>
  <si>
    <t>(auto-set)</t>
  </si>
  <si>
    <t>MUST equal Investment Date (U). Drives maturity test.</t>
  </si>
  <si>
    <t>AUTO</t>
  </si>
  <si>
    <t>Same as Investment Date</t>
  </si>
  <si>
    <t>Same as IN-20</t>
  </si>
  <si>
    <t>Must equal IN-20 exactly</t>
  </si>
  <si>
    <t>Col AO (new row)</t>
  </si>
  <si>
    <t>Derive</t>
  </si>
  <si>
    <t>CRITICAL: AO must equal U or maturity test fails.</t>
  </si>
  <si>
    <t>IN-30</t>
  </si>
  <si>
    <t>Fair Market Value</t>
  </si>
  <si>
    <t>Loan Tape Col S must equal BDC Balance for par</t>
  </si>
  <si>
    <t>Same as BDC Balance</t>
  </si>
  <si>
    <t>Same as IN-13</t>
  </si>
  <si>
    <t>Must equal IN-13 for par</t>
  </si>
  <si>
    <t>Col S (new row)</t>
  </si>
  <si>
    <t>If S is 0, borrowing base contribution is 0.</t>
  </si>
  <si>
    <t>IN-31</t>
  </si>
  <si>
    <t>SM Support Col E must equal BDC Balance for par</t>
  </si>
  <si>
    <t>Must equal Col D at par</t>
  </si>
  <si>
    <t>Col E (new row)</t>
  </si>
  <si>
    <t>D equals E equals S for par investments.</t>
  </si>
  <si>
    <t>IN-32</t>
  </si>
  <si>
    <t>Portfolio primary key - next sequential ID</t>
  </si>
  <si>
    <t>Next smc## ID</t>
  </si>
  <si>
    <t>From Portfolio Col A</t>
  </si>
  <si>
    <t>Unique; sequential; smc##</t>
  </si>
  <si>
    <t>Col A (new row)</t>
  </si>
  <si>
    <t>Also written to Loan Tape Col A.</t>
  </si>
  <si>
    <t>IN-33</t>
  </si>
  <si>
    <t>PIK or Partial PIK Flag</t>
  </si>
  <si>
    <t>Portfolio Col BZ flag after row copy. Standard new loans = No unless exception-approved.</t>
  </si>
  <si>
    <t>If PIK pct is 0 then No; if &gt; 0 then Yes only with human confirmation</t>
  </si>
  <si>
    <t>Col BZ (new row after copy)</t>
  </si>
  <si>
    <t>Derive/Overwrite</t>
  </si>
  <si>
    <t>Portfolio BZ exists; Loan Tape - Settled does not have BZ. Standard pure pro forma = No. If PIK &gt; 0, stop under EX-04 unless human confirms.</t>
  </si>
  <si>
    <t>IN-34</t>
  </si>
  <si>
    <t>DIP Loans Flag</t>
  </si>
  <si>
    <t>Portfolio Col CA flag after row copy. Standard new loans = No unless exception-approved.</t>
  </si>
  <si>
    <t>Always No for standard new originations; Yes only with human confirmation</t>
  </si>
  <si>
    <t>Col CA (new row after copy)</t>
  </si>
  <si>
    <t>Y if DIP</t>
  </si>
  <si>
    <t>Portfolio CA exists; Loan Tape - Settled does not have CA. If DIP is implicated, stop and escalate to human.</t>
  </si>
  <si>
    <t>IN-35</t>
  </si>
  <si>
    <t>Loan Tape Col C fund identifier</t>
  </si>
  <si>
    <t>SM BDC code</t>
  </si>
  <si>
    <t>From existing rows</t>
  </si>
  <si>
    <t>Match existing convention</t>
  </si>
  <si>
    <t>Col C + Col D</t>
  </si>
  <si>
    <t>Copy from existing row pattern.</t>
  </si>
  <si>
    <t>IN-36</t>
  </si>
  <si>
    <t>Covenant Lite Flag</t>
  </si>
  <si>
    <t>Loan Tape Col AC - eligibility test 8</t>
  </si>
  <si>
    <t>Yes | No</t>
  </si>
  <si>
    <t>LMM typically not cov-lite so No</t>
  </si>
  <si>
    <t>Col AC (new row)</t>
  </si>
  <si>
    <t>Y if cov-lite</t>
  </si>
  <si>
    <t>Y (Test 8)</t>
  </si>
  <si>
    <t>Cov-lite Yes means no covenants so ineligible.</t>
  </si>
  <si>
    <t>SECTION B — OUTPUT MAPPING TABLE</t>
  </si>
  <si>
    <t>Purpose: Defines every output the AI must read after a pro forma run. Includes before/after comparison rules, formatting, and whether each output is required in the response.</t>
  </si>
  <si>
    <t>OUT_ID</t>
  </si>
  <si>
    <t>Output Name</t>
  </si>
  <si>
    <t>Business Meaning</t>
  </si>
  <si>
    <t>Source Sheet</t>
  </si>
  <si>
    <t>Source Cell / Range</t>
  </si>
  <si>
    <t>Output Type</t>
  </si>
  <si>
    <t>Required in Response?</t>
  </si>
  <si>
    <t>Before/After Compare?</t>
  </si>
  <si>
    <t>Format Rule</t>
  </si>
  <si>
    <t>Capture Method</t>
  </si>
  <si>
    <t>--</t>
  </si>
  <si>
    <t>AVAILABILITY OUTPUTS</t>
  </si>
  <si>
    <t>OUT-01</t>
  </si>
  <si>
    <t>Borrowing capacity before pro forma addition</t>
  </si>
  <si>
    <t>L26</t>
  </si>
  <si>
    <t>Y (snapshot)</t>
  </si>
  <si>
    <t>$#,##0</t>
  </si>
  <si>
    <t>Hardcode to DTI B53 BEFORE any writes</t>
  </si>
  <si>
    <t>Read first, write to B53, then proceed.</t>
  </si>
  <si>
    <t>OUT-02</t>
  </si>
  <si>
    <t>Pro Forma Availability (AFTER)</t>
  </si>
  <si>
    <t>Borrowing capacity after pro forma addition</t>
  </si>
  <si>
    <t>Y (live link)</t>
  </si>
  <si>
    <t>Live formula link in DTI B54</t>
  </si>
  <si>
    <t>B54 auto-updates after writes.</t>
  </si>
  <si>
    <t>OUT-03</t>
  </si>
  <si>
    <t>Availability Delta</t>
  </si>
  <si>
    <t>Dollar change in availability</t>
  </si>
  <si>
    <t>B56</t>
  </si>
  <si>
    <t>N (auto-calc)</t>
  </si>
  <si>
    <t>Formula: B54-B53</t>
  </si>
  <si>
    <t>Net borrowing capacity impact.</t>
  </si>
  <si>
    <t>OUT-04</t>
  </si>
  <si>
    <t>Availability change per $1 invested</t>
  </si>
  <si>
    <t>B57</t>
  </si>
  <si>
    <t>Formula: B56/B51</t>
  </si>
  <si>
    <t>Higher is better.</t>
  </si>
  <si>
    <t>OUT-05</t>
  </si>
  <si>
    <t>Total facility commitment</t>
  </si>
  <si>
    <t>L16</t>
  </si>
  <si>
    <t>Read only</t>
  </si>
  <si>
    <t>Should be $200M. Verify unchanged.</t>
  </si>
  <si>
    <t>OUT-06</t>
  </si>
  <si>
    <t>Outstanding / Availability</t>
  </si>
  <si>
    <t>L58</t>
  </si>
  <si>
    <t>Read before and after</t>
  </si>
  <si>
    <t>Alert if &gt; 90%.</t>
  </si>
  <si>
    <t>OUT-07</t>
  </si>
  <si>
    <t>Current Advances Base Amount</t>
  </si>
  <si>
    <t>Current drawn amount before pro forma repayment/request logic</t>
  </si>
  <si>
    <t>L51</t>
  </si>
  <si>
    <t>Canonical 'Current Advances' source used in AI_Instructions. L54 is Pro Forma Advances Outstanding.</t>
  </si>
  <si>
    <t>BORROWING BASE OUTPUTS</t>
  </si>
  <si>
    <t>OUT-08</t>
  </si>
  <si>
    <t>Total Portfolio Par</t>
  </si>
  <si>
    <t>Aggregate par value</t>
  </si>
  <si>
    <t>L31</t>
  </si>
  <si>
    <t>Drives CL denominators.</t>
  </si>
  <si>
    <t>OUT-09</t>
  </si>
  <si>
    <t>Aggregate Adj. Borrowing Value</t>
  </si>
  <si>
    <t>Advance-rate-weighted eligible loans</t>
  </si>
  <si>
    <t>L33</t>
  </si>
  <si>
    <t>Key BB component.</t>
  </si>
  <si>
    <t>OUT-10</t>
  </si>
  <si>
    <t>Excess Concentration Total</t>
  </si>
  <si>
    <t>Sum of all CL breaches</t>
  </si>
  <si>
    <t>L34</t>
  </si>
  <si>
    <t>Reduces BB. Flag if increased.</t>
  </si>
  <si>
    <t>OUT-11</t>
  </si>
  <si>
    <t>Net Adjusted Borrowing Value</t>
  </si>
  <si>
    <t>Adj. BV minus excess concentrations</t>
  </si>
  <si>
    <t>L35</t>
  </si>
  <si>
    <t>L33 - L34. Core BB.</t>
  </si>
  <si>
    <t>OUT-12</t>
  </si>
  <si>
    <t>Weighted Avg Advance Rate</t>
  </si>
  <si>
    <t>Effective blended advance rate</t>
  </si>
  <si>
    <t>L48</t>
  </si>
  <si>
    <t>55-70% range typically.</t>
  </si>
  <si>
    <t>ELIGIBILITY OUTPUTS</t>
  </si>
  <si>
    <t>OUT-13</t>
  </si>
  <si>
    <t>New Loan Eligible?</t>
  </si>
  <si>
    <t>Passes all 10 tests?</t>
  </si>
  <si>
    <t>Col P (new row)</t>
  </si>
  <si>
    <t>Boolean</t>
  </si>
  <si>
    <t>Yes/No</t>
  </si>
  <si>
    <t>Read after row added</t>
  </si>
  <si>
    <t>If No, read cols E-N for failures.</t>
  </si>
  <si>
    <t>OUT-14</t>
  </si>
  <si>
    <t>Eligibility Test Details</t>
  </si>
  <si>
    <t>Which tests passed/failed</t>
  </si>
  <si>
    <t>Cols E-N (new row)</t>
  </si>
  <si>
    <t>Boolean[]</t>
  </si>
  <si>
    <t>Y if OUT-13 is No</t>
  </si>
  <si>
    <t>TRUE/FALSE</t>
  </si>
  <si>
    <t>Read if P is No</t>
  </si>
  <si>
    <t>Report specific failures.</t>
  </si>
  <si>
    <t>OUT-15</t>
  </si>
  <si>
    <t>Total Ineligible Count</t>
  </si>
  <si>
    <t>Ineligible loans in portfolio</t>
  </si>
  <si>
    <t>Integer</t>
  </si>
  <si>
    <t>#,##0</t>
  </si>
  <si>
    <t>Compare before/after</t>
  </si>
  <si>
    <t>If increased, new loan ineligible.</t>
  </si>
  <si>
    <t>CONCENTRATION LIMIT OUTPUTS</t>
  </si>
  <si>
    <t>OUT-16</t>
  </si>
  <si>
    <t>CL: Prior Actuals</t>
  </si>
  <si>
    <t>Pre-run actuals for 13 limits</t>
  </si>
  <si>
    <t>L49:L70</t>
  </si>
  <si>
    <t>Currency[]</t>
  </si>
  <si>
    <t>Hardcode to DTI D74:D89</t>
  </si>
  <si>
    <t>Snapshot before writes.</t>
  </si>
  <si>
    <t>OUT-17</t>
  </si>
  <si>
    <t>CL: Prior Excess</t>
  </si>
  <si>
    <t>Pre-run excess for 13 limits</t>
  </si>
  <si>
    <t>K49:K70</t>
  </si>
  <si>
    <t>Hardcode to DTI E74:E89</t>
  </si>
  <si>
    <t>Zero is within limit.</t>
  </si>
  <si>
    <t>OUT-18</t>
  </si>
  <si>
    <t>CL: Pro Forma Actuals</t>
  </si>
  <si>
    <t>Post-run actuals</t>
  </si>
  <si>
    <t>Live link to DTI F74:F89</t>
  </si>
  <si>
    <t>Compare F to D.</t>
  </si>
  <si>
    <t>OUT-19</t>
  </si>
  <si>
    <t>CL: Pro Forma Excess</t>
  </si>
  <si>
    <t>Post-run excess</t>
  </si>
  <si>
    <t>Live link to DTI G74:G89</t>
  </si>
  <si>
    <t>New breach if non-zero.</t>
  </si>
  <si>
    <t>OUT-20</t>
  </si>
  <si>
    <t>CL: Delta Actual</t>
  </si>
  <si>
    <t>Change in actuals per limit</t>
  </si>
  <si>
    <t>H74:H89</t>
  </si>
  <si>
    <t>N (formula)</t>
  </si>
  <si>
    <t>Formula: F-D</t>
  </si>
  <si>
    <t>Auto-calculates.</t>
  </si>
  <si>
    <t>OUT-21</t>
  </si>
  <si>
    <t>CL: Delta Excess</t>
  </si>
  <si>
    <t>Change in excess per limit</t>
  </si>
  <si>
    <t>I74:I89</t>
  </si>
  <si>
    <t>Formula: G-E</t>
  </si>
  <si>
    <t>Positive delta means breach.</t>
  </si>
  <si>
    <t>PORTFOLIO COMPOSITION OUTPUTS</t>
  </si>
  <si>
    <t>OUT-22</t>
  </si>
  <si>
    <t>BDC / Total SM balance</t>
  </si>
  <si>
    <t>B65</t>
  </si>
  <si>
    <t>Formula: B19/B20</t>
  </si>
  <si>
    <t>Ownership percentage.</t>
  </si>
  <si>
    <t>OUT-23</t>
  </si>
  <si>
    <t>Calculated leverage</t>
  </si>
  <si>
    <t>B66</t>
  </si>
  <si>
    <t>Multiple</t>
  </si>
  <si>
    <t>0.0x</t>
  </si>
  <si>
    <t>Formula from inputs</t>
  </si>
  <si>
    <t>Cross-check vs attach point.</t>
  </si>
  <si>
    <t>OUT-24</t>
  </si>
  <si>
    <t>Credit Enhancement Test</t>
  </si>
  <si>
    <t>Min equity cushion</t>
  </si>
  <si>
    <t>L42</t>
  </si>
  <si>
    <t>Pass/Fail</t>
  </si>
  <si>
    <t>Must show Pass.</t>
  </si>
  <si>
    <t>SECTION C — VALIDATION RULES</t>
  </si>
  <si>
    <t>Purpose: Pre-execution validation framework. AI must run ALL applicable rules before writing any data. Hard Stop = abort run. Warning = flag + proceed with confirmation. Info = log only.</t>
  </si>
  <si>
    <t>Rule_ID</t>
  </si>
  <si>
    <t>Input Field Ref</t>
  </si>
  <si>
    <t>Rule Type</t>
  </si>
  <si>
    <t>Rule Logic (plain English)</t>
  </si>
  <si>
    <t>Error Message</t>
  </si>
  <si>
    <t>Severity</t>
  </si>
  <si>
    <t>AI Auto-Correct?</t>
  </si>
  <si>
    <t>Escalate to Human?</t>
  </si>
  <si>
    <t>REQUIRED FIELD CHECKS</t>
  </si>
  <si>
    <t>VR-01</t>
  </si>
  <si>
    <t>Required</t>
  </si>
  <si>
    <t>Company Name must not be empty</t>
  </si>
  <si>
    <t>ERROR: Company Name is required</t>
  </si>
  <si>
    <t>Hard Stop</t>
  </si>
  <si>
    <t>Cannot proceed without obligor name.</t>
  </si>
  <si>
    <t>VR-02</t>
  </si>
  <si>
    <t>Security Type must not be empty</t>
  </si>
  <si>
    <t>ERROR: Security Type is required</t>
  </si>
  <si>
    <t>Determines advance rate and eligibility.</t>
  </si>
  <si>
    <t>VR-03</t>
  </si>
  <si>
    <t>Industry must not be empty</t>
  </si>
  <si>
    <t>ERROR: Industry is required</t>
  </si>
  <si>
    <t>Drives concentration limits.</t>
  </si>
  <si>
    <t>VR-04</t>
  </si>
  <si>
    <t>LTM Adj. EBITDA must not be empty</t>
  </si>
  <si>
    <t>ERROR: EBITDA is required</t>
  </si>
  <si>
    <t>Core to leverage and eligibility.</t>
  </si>
  <si>
    <t>VR-05</t>
  </si>
  <si>
    <t>BDC Balance must not be empty</t>
  </si>
  <si>
    <t>ERROR: BDC Balance is required</t>
  </si>
  <si>
    <t>Drives borrowing base contribution.</t>
  </si>
  <si>
    <t>VR-06</t>
  </si>
  <si>
    <t>Investment Date must not be empty</t>
  </si>
  <si>
    <t>ERROR: Investment Date is required</t>
  </si>
  <si>
    <t>Sets inclusion date.</t>
  </si>
  <si>
    <t>VR-07</t>
  </si>
  <si>
    <t>Maturity Date must not be empty</t>
  </si>
  <si>
    <t>ERROR: Maturity Date is required</t>
  </si>
  <si>
    <t>Required for maturity test.</t>
  </si>
  <si>
    <t>DATA TYPE AND RANGE CHECKS</t>
  </si>
  <si>
    <t>VR-08</t>
  </si>
  <si>
    <t>Range</t>
  </si>
  <si>
    <t>LTM Revenue &gt; 0</t>
  </si>
  <si>
    <t>ERROR: Revenue must be positive</t>
  </si>
  <si>
    <t>Zero or negative invalid.</t>
  </si>
  <si>
    <t>VR-09</t>
  </si>
  <si>
    <t>LTM EBITDA &gt; 0</t>
  </si>
  <si>
    <t>ERROR: EBITDA must be positive</t>
  </si>
  <si>
    <t>Negative EBITDA special handling.</t>
  </si>
  <si>
    <t>VR-10</t>
  </si>
  <si>
    <t>BDC Balance &gt; 0</t>
  </si>
  <si>
    <t>ERROR: BDC Balance must be positive</t>
  </si>
  <si>
    <t>Zero is not valid.</t>
  </si>
  <si>
    <t>VR-11</t>
  </si>
  <si>
    <t>Total SM &gt;= BDC Balance</t>
  </si>
  <si>
    <t>ERROR: SM &gt;= BDC Balance</t>
  </si>
  <si>
    <t>BDC subset of total SM.</t>
  </si>
  <si>
    <t>VR-12</t>
  </si>
  <si>
    <t>Purchase Price 0.01 to 1.50</t>
  </si>
  <si>
    <t>WARNING: Price outside range</t>
  </si>
  <si>
    <t>Warning</t>
  </si>
  <si>
    <t>Y if &lt; 0.80</t>
  </si>
  <si>
    <t>Low price may be distress.</t>
  </si>
  <si>
    <t>VR-13</t>
  </si>
  <si>
    <t>Spread 0.01 to 0.25</t>
  </si>
  <si>
    <t>WARNING: Spread outside range</t>
  </si>
  <si>
    <t>Y if &gt; 0.20</t>
  </si>
  <si>
    <t>High spread unusual.</t>
  </si>
  <si>
    <t>ELIGIBILITY PRE-CHECKS</t>
  </si>
  <si>
    <t>VR-14</t>
  </si>
  <si>
    <t>Type in AGENT!A4:A10</t>
  </si>
  <si>
    <t>ERROR: Invalid Security Type</t>
  </si>
  <si>
    <t>1L, FILO, 2L, DDTL, Rev.</t>
  </si>
  <si>
    <t>VR-15</t>
  </si>
  <si>
    <t>Price &gt;= 0.90 (AGENT!E4)</t>
  </si>
  <si>
    <t>WARNING: Below min - INELIGIBLE</t>
  </si>
  <si>
    <t>Test 5 failure if &lt; 90%.</t>
  </si>
  <si>
    <t>VR-16</t>
  </si>
  <si>
    <t>Denomination USD</t>
  </si>
  <si>
    <t>WARNING: Non-USD INELIGIBLE</t>
  </si>
  <si>
    <t>Test 6 requires USD.</t>
  </si>
  <si>
    <t>VR-17</t>
  </si>
  <si>
    <t>Country United States</t>
  </si>
  <si>
    <t>WARNING: Non-US INELIGIBLE</t>
  </si>
  <si>
    <t>Test 7 requires US.</t>
  </si>
  <si>
    <t>VR-18</t>
  </si>
  <si>
    <t>IN-09+IN-03</t>
  </si>
  <si>
    <t>If 2L: EBITDA &gt;= $10MM</t>
  </si>
  <si>
    <t>WARNING: 2L EBITDA below min</t>
  </si>
  <si>
    <t>AGENT!B4 threshold.</t>
  </si>
  <si>
    <t>CROSS-FIELD CONSISTENCY</t>
  </si>
  <si>
    <t>VR-19</t>
  </si>
  <si>
    <t>IN-20+IN-21</t>
  </si>
  <si>
    <t>Date Order</t>
  </si>
  <si>
    <t>Invest Date &lt; Maturity Date</t>
  </si>
  <si>
    <t>ERROR: Maturity after Invest</t>
  </si>
  <si>
    <t>Basic date ordering.</t>
  </si>
  <si>
    <t>VR-20</t>
  </si>
  <si>
    <t>Term</t>
  </si>
  <si>
    <t>Term &lt;= 7 years</t>
  </si>
  <si>
    <t>WARNING: Term &gt; 7yr INELIGIBLE</t>
  </si>
  <si>
    <t>AGENT!F4. Test 9.</t>
  </si>
  <si>
    <t>VR-21</t>
  </si>
  <si>
    <t>IN-29+IN-20</t>
  </si>
  <si>
    <t>Equality</t>
  </si>
  <si>
    <t>Inclusion MUST equal Invest Date</t>
  </si>
  <si>
    <t>ERROR: AO must equal U</t>
  </si>
  <si>
    <t>Y (auto)</t>
  </si>
  <si>
    <t>Session 3 lesson.</t>
  </si>
  <si>
    <t>VR-22</t>
  </si>
  <si>
    <t>IN-30+IN-13</t>
  </si>
  <si>
    <t>FMV MUST equal BDC Balance</t>
  </si>
  <si>
    <t>ERROR: S must equal BDC Bal</t>
  </si>
  <si>
    <t>Session 7 lesson.</t>
  </si>
  <si>
    <t>VR-23</t>
  </si>
  <si>
    <t>IN-31+IN-13</t>
  </si>
  <si>
    <t>SM FV (E) MUST equal D</t>
  </si>
  <si>
    <t>ERROR: E must equal D</t>
  </si>
  <si>
    <t>D equals E equals S at par.</t>
  </si>
  <si>
    <t>TAXONOMY CHECKS</t>
  </si>
  <si>
    <t>VR-24</t>
  </si>
  <si>
    <t>Exact Match</t>
  </si>
  <si>
    <t>Industry in CL!E81:E153</t>
  </si>
  <si>
    <t>ERROR: Industry not in list</t>
  </si>
  <si>
    <t>Case-sensitive exact match.</t>
  </si>
  <si>
    <t>VR-25</t>
  </si>
  <si>
    <t>ERROR: Invalid rate type</t>
  </si>
  <si>
    <t>Y (Floating)</t>
  </si>
  <si>
    <t>Default Floating.</t>
  </si>
  <si>
    <t>VR-26</t>
  </si>
  <si>
    <t>ERROR: Invalid frequency</t>
  </si>
  <si>
    <t>Y (M)</t>
  </si>
  <si>
    <t>Default Monthly.</t>
  </si>
  <si>
    <t>BUSINESS LOGIC</t>
  </si>
  <si>
    <t>VR-27</t>
  </si>
  <si>
    <t>Logic</t>
  </si>
  <si>
    <t>If PIK% &gt; 0 flag review</t>
  </si>
  <si>
    <t>WARNING: PIK may fail Test 2</t>
  </si>
  <si>
    <t>PIK triggers BZ/CA check.</t>
  </si>
  <si>
    <t>VR-28</t>
  </si>
  <si>
    <t>If Default Yes flag</t>
  </si>
  <si>
    <t>WARNING: DEFAULTED LOAN</t>
  </si>
  <si>
    <t>Test 10. Rare for new orig.</t>
  </si>
  <si>
    <t>VR-29</t>
  </si>
  <si>
    <t>Repayment: company must exist</t>
  </si>
  <si>
    <t>ERROR: Not in portfolio</t>
  </si>
  <si>
    <t>Requires existing loan.</t>
  </si>
  <si>
    <t>VR-30</t>
  </si>
  <si>
    <t>Amendment: company must exist</t>
  </si>
  <si>
    <t>ERROR: Not found</t>
  </si>
  <si>
    <t>Modifies existing row.</t>
  </si>
  <si>
    <t>VR-31</t>
  </si>
  <si>
    <t>IN-09+IN-13</t>
  </si>
  <si>
    <t>Reasonability</t>
  </si>
  <si>
    <t>If leverage &gt; 6.5x warn</t>
  </si>
  <si>
    <t>WARNING: Leverage &gt; threshold</t>
  </si>
  <si>
    <t>May fail Test 4.</t>
  </si>
  <si>
    <t>VR-32</t>
  </si>
  <si>
    <t>ALL</t>
  </si>
  <si>
    <t>Pre-flight</t>
  </si>
  <si>
    <t>Old data in DTI B7/B8/B53?</t>
  </si>
  <si>
    <t>INFO: Previous data detected</t>
  </si>
  <si>
    <t>Info</t>
  </si>
  <si>
    <t>Y (ask clear)</t>
  </si>
  <si>
    <t>Session 8 safeguard.</t>
  </si>
  <si>
    <t>SECTION D — CONTROLLED WRITE POLICY</t>
  </si>
  <si>
    <t>Purpose: Explicit permission matrix. AI must ONLY write to cells/tabs listed as Allowed. Everything else is Read Only or Never Touch. Conservative by default.</t>
  </si>
  <si>
    <t>Sheet Name</t>
  </si>
  <si>
    <t>Write Permission</t>
  </si>
  <si>
    <t>Allowed Range</t>
  </si>
  <si>
    <t>Conditions</t>
  </si>
  <si>
    <t>Risk Level</t>
  </si>
  <si>
    <t>ALLOWED</t>
  </si>
  <si>
    <t>Next empty row (cols B-O)</t>
  </si>
  <si>
    <t>Append new investment financial data</t>
  </si>
  <si>
    <t>Only during pro forma run; append only; never modify existing rows</t>
  </si>
  <si>
    <t>Medium</t>
  </si>
  <si>
    <t>Col D must equal E. Col K &gt;= D. Match IN-01 name exactly.</t>
  </si>
  <si>
    <t>Next empty row (all cols A-BJ)</t>
  </si>
  <si>
    <t>Append new loan with all terms</t>
  </si>
  <si>
    <t>AO must equal U. S must equal BDC Balance. BZ/CA set.</t>
  </si>
  <si>
    <t>Next empty row (Col A + copy prior row B:HN; limited overrides in BZ, CA, DX only if exception-approved)</t>
  </si>
  <si>
    <t>Add CCM ID, copy prior row logic, then only permitted manual flags if exception-approved</t>
  </si>
  <si>
    <t>Copy prior row for B:HN; never hand-build formulas; only override BZ/CA/DX when Section E permits</t>
  </si>
  <si>
    <t>Existing Portfolio formulas use fixed source ranges in Loan Tape - Settled. If append exceeds current modeled range coverage, extend those ranges before relying on outputs.</t>
  </si>
  <si>
    <t>B7-B39 (inputs), B53 (before), D74:E89 (prior CL), F74:G89 (pro forma CL links)</t>
  </si>
  <si>
    <t>User inputs + pro forma capture cells</t>
  </si>
  <si>
    <t>During pro forma run only</t>
  </si>
  <si>
    <t>B54/B56/B57 are formulas - NEVER overwrite.</t>
  </si>
  <si>
    <t>Next empty row (cols A-F)</t>
  </si>
  <si>
    <t>Append audit log entry</t>
  </si>
  <si>
    <t>After every completed pro forma run</t>
  </si>
  <si>
    <t>Always log: date, session, action, description, impact.</t>
  </si>
  <si>
    <t>MAPPING_LAYER</t>
  </si>
  <si>
    <t>Run Metadata section only (Section F)</t>
  </si>
  <si>
    <t>Log run metadata</t>
  </si>
  <si>
    <t>After run completion only</t>
  </si>
  <si>
    <t>Never modify Sections A-E.</t>
  </si>
  <si>
    <t>READ ONLY</t>
  </si>
  <si>
    <t>Read outputs only (L26, L31, L33-L35, L42, L48, L54, L58)</t>
  </si>
  <si>
    <t>Never write - all cells are formulas</t>
  </si>
  <si>
    <t>Critical</t>
  </si>
  <si>
    <t>Any write here would destroy the BB calculation engine.</t>
  </si>
  <si>
    <t>Read CL outputs (J49:J70, K49:K70, L49:L70, M44)</t>
  </si>
  <si>
    <t>Never write - all cells are formulas or AGENT references</t>
  </si>
  <si>
    <t>CL auto-updates from Portfolio. Writing here would break model.</t>
  </si>
  <si>
    <t>Portfolio (formulas)</t>
  </si>
  <si>
    <t>NEVER TOUCH</t>
  </si>
  <si>
    <t>Cols B through HN (existing rows)</t>
  </si>
  <si>
    <t>All formulas pull from Loan Tape via INDEX/MATCH</t>
  </si>
  <si>
    <t>Never modify existing rows; only append new row via copy</t>
  </si>
  <si>
    <t>Modifying formulas would corrupt eligibility and advance rate calcs.</t>
  </si>
  <si>
    <t>Entire sheet</t>
  </si>
  <si>
    <t>Eligibility thresholds set by credit agreement</t>
  </si>
  <si>
    <t>Only credit team / legal can modify</t>
  </si>
  <si>
    <t>Changes here affect ALL loans. Facility-level parameter.</t>
  </si>
  <si>
    <t>Availability (structure)</t>
  </si>
  <si>
    <t>All cells except L13 area</t>
  </si>
  <si>
    <t>Core BB formulas, MIN tests, facility structure</t>
  </si>
  <si>
    <t>No AI writes under any circumstance</t>
  </si>
  <si>
    <t>Governed by credit agreement.</t>
  </si>
  <si>
    <t>Reference documentation</t>
  </si>
  <si>
    <t>AI reads but never writes</t>
  </si>
  <si>
    <t>Human-maintained documentation.</t>
  </si>
  <si>
    <t>Agentic Layer Workflow</t>
  </si>
  <si>
    <t>VAE</t>
  </si>
  <si>
    <t>Valuation and appraisal engine</t>
  </si>
  <si>
    <t>No AI access</t>
  </si>
  <si>
    <t>Separate audit process.</t>
  </si>
  <si>
    <t>VAE Reset</t>
  </si>
  <si>
    <t>Valuation reset calculations</t>
  </si>
  <si>
    <t>Quarterly Reporting</t>
  </si>
  <si>
    <t>Regulatory reporting</t>
  </si>
  <si>
    <t>Compliance output.</t>
  </si>
  <si>
    <t>ownership</t>
  </si>
  <si>
    <t>Ownership structure</t>
  </si>
  <si>
    <t>Legal/compliance data.</t>
  </si>
  <si>
    <t>RANGE DEPENDENCY WARNING</t>
  </si>
  <si>
    <t>READ ONLY NOTE</t>
  </si>
  <si>
    <t>Workbook structural limitation</t>
  </si>
  <si>
    <t>Before any append run, confirm Portfolio lookup ranges still cover the new Loan Tape - Settled row.</t>
  </si>
  <si>
    <t>Do not rely on appended-loan outputs if source ranges stop above the new row; extend workbook ranges first.</t>
  </si>
  <si>
    <t>SECTION E — EXCEPTION / MANUAL REVIEW RULES</t>
  </si>
  <si>
    <t>Purpose: Situations where AI must STOP execution and request human review. AI should never proceed past these gates without explicit human confirmation.</t>
  </si>
  <si>
    <t>Exception_ID</t>
  </si>
  <si>
    <t>Trigger Condition</t>
  </si>
  <si>
    <t>Category</t>
  </si>
  <si>
    <t>AI Action</t>
  </si>
  <si>
    <t>Human Action Required</t>
  </si>
  <si>
    <t>Risk if Bypassed</t>
  </si>
  <si>
    <t>Example Scenario</t>
  </si>
  <si>
    <t>EX-01</t>
  </si>
  <si>
    <t>Industry name from user does not exactly match CL!E81:E153</t>
  </si>
  <si>
    <t>Taxonomy</t>
  </si>
  <si>
    <t>STOP. Present closest matches from approved list. Ask user to confirm.</t>
  </si>
  <si>
    <t>Select correct industry from approved list</t>
  </si>
  <si>
    <t>#N/A cascades to availability; model breaks</t>
  </si>
  <si>
    <t>User says 'Tech' but list has 'Software' and 'IT Services'</t>
  </si>
  <si>
    <t>EX-02</t>
  </si>
  <si>
    <t>Required field missing and no permissible default exists</t>
  </si>
  <si>
    <t>Missing Data</t>
  </si>
  <si>
    <t>STOP. List all missing fields with their Input_IDs.</t>
  </si>
  <si>
    <t>Provide missing data or authorize skip</t>
  </si>
  <si>
    <t>Incomplete loan record; eligibility indeterminate</t>
  </si>
  <si>
    <t>EBITDA not provided for new origination</t>
  </si>
  <si>
    <t>EX-03</t>
  </si>
  <si>
    <t>Default Status reported as Yes or implied defaulted</t>
  </si>
  <si>
    <t>Credit Event</t>
  </si>
  <si>
    <t>STOP. Flag as defaulted loan. Confirm intent and economics.</t>
  </si>
  <si>
    <t>Confirm default status; provide recovery assumptions</t>
  </si>
  <si>
    <t>Ineligible loan added; availability overstated</t>
  </si>
  <si>
    <t>User mentions workout or restructuring</t>
  </si>
  <si>
    <t>EX-04</t>
  </si>
  <si>
    <t>PIK% &gt; 0</t>
  </si>
  <si>
    <t>Structure</t>
  </si>
  <si>
    <t>STOP. Warn that PIK may trigger ineligibility (Test 2). Confirm intent.</t>
  </si>
  <si>
    <t>Confirm PIK structure; verify BZ/CA handling</t>
  </si>
  <si>
    <t>May be ineligible; false positive in BB</t>
  </si>
  <si>
    <t>Loan has 2% PIK component</t>
  </si>
  <si>
    <t>EX-05</t>
  </si>
  <si>
    <t>Run Type is Amendment and economics change materially</t>
  </si>
  <si>
    <t>Amendment</t>
  </si>
  <si>
    <t>STOP. Clarify what is changing (spread, maturity, balance, type).</t>
  </si>
  <si>
    <t>Specify exact fields being amended</t>
  </si>
  <si>
    <t>Wrong fields modified; model integrity risk</t>
  </si>
  <si>
    <t>Repricing or maturity extension on existing deal</t>
  </si>
  <si>
    <t>EX-06</t>
  </si>
  <si>
    <t>Run Type is Repayment and amount exceeds current hold</t>
  </si>
  <si>
    <t>Repayment</t>
  </si>
  <si>
    <t>STOP. Repayment cannot exceed existing balance.</t>
  </si>
  <si>
    <t>Verify repayment amount; partial vs full paydown</t>
  </si>
  <si>
    <t>Negative balance; model error</t>
  </si>
  <si>
    <t>User requests $10M paydown but hold is $5M</t>
  </si>
  <si>
    <t>EX-07</t>
  </si>
  <si>
    <t>Leverage calculated &gt; 6.5x (AGENT!D4 threshold)</t>
  </si>
  <si>
    <t>WARN. Show leverage calc and AGENT threshold. Confirm proceed.</t>
  </si>
  <si>
    <t>Acknowledge leverage breach; deal may be ineligible</t>
  </si>
  <si>
    <t>Loan fails Test 4; zero BB contribution</t>
  </si>
  <si>
    <t>EV-implied leverage at 7.2x</t>
  </si>
  <si>
    <t>EX-08</t>
  </si>
  <si>
    <t>Maturity term &gt; 7 years from inclusion date</t>
  </si>
  <si>
    <t>WARN. Show term calc and AGENT!F4 max. Confirm proceed.</t>
  </si>
  <si>
    <t>Acknowledge term breach; deal may be ineligible</t>
  </si>
  <si>
    <t>Loan fails Test 9</t>
  </si>
  <si>
    <t>8-year maturity on new deal</t>
  </si>
  <si>
    <t>EX-09</t>
  </si>
  <si>
    <t>Post-run: new concentration limit breach (excess went from 0 to &gt;0)</t>
  </si>
  <si>
    <t>REPORT. Flag newly breached limits with dollar amounts.</t>
  </si>
  <si>
    <t>Review breach and decide whether to proceed with deal</t>
  </si>
  <si>
    <t>Excess reduces BB; availability may drop</t>
  </si>
  <si>
    <t>Adding large industry deal tips over 20% limit</t>
  </si>
  <si>
    <t>EX-10</t>
  </si>
  <si>
    <t>Post-run: Credit Enhancement Test shows Fail</t>
  </si>
  <si>
    <t>Compliance</t>
  </si>
  <si>
    <t>STOP. This is a facility compliance breach.</t>
  </si>
  <si>
    <t>Must not proceed - deal breaks credit agreement</t>
  </si>
  <si>
    <t>Facility default risk</t>
  </si>
  <si>
    <t>Addition causes equity cushion to fall below minimum</t>
  </si>
  <si>
    <t>EX-11</t>
  </si>
  <si>
    <t>Post-run: Portfolio Col P shows No for new loan</t>
  </si>
  <si>
    <t>REPORT. Read cols E-N, list which tests failed. Show impact.</t>
  </si>
  <si>
    <t>Review failures; decide if deal structure can change</t>
  </si>
  <si>
    <t>Ineligible loan has zero BB contribution</t>
  </si>
  <si>
    <t>New loan fails maturity and leverage tests</t>
  </si>
  <si>
    <t>EX-12</t>
  </si>
  <si>
    <t>User provides non-standard or ambiguous sponsor classification</t>
  </si>
  <si>
    <t>Classification</t>
  </si>
  <si>
    <t>STOP. Clarify sponsor vs family office vs non-sponsor.</t>
  </si>
  <si>
    <t>Confirm classification</t>
  </si>
  <si>
    <t>Wrong concentration bucket; CL rows 69-70</t>
  </si>
  <si>
    <t>User says 'independent sponsor'</t>
  </si>
  <si>
    <t>EX-13</t>
  </si>
  <si>
    <t>BDC Balance &gt; $20MM (large single-name exposure)</t>
  </si>
  <si>
    <t>WARN. Flag as significant single-name risk.</t>
  </si>
  <si>
    <t>Acknowledge size; verify obligor limits</t>
  </si>
  <si>
    <t>May trigger max obligor concentration</t>
  </si>
  <si>
    <t>$25M hold in single name</t>
  </si>
  <si>
    <t>EX-14</t>
  </si>
  <si>
    <t>Multiple loans to same obligor (add-on creates 2nd row)</t>
  </si>
  <si>
    <t>Duplicate</t>
  </si>
  <si>
    <t>STOP. Verify this is add-on vs new facility to same company.</t>
  </si>
  <si>
    <t>Clarify if add-on to existing or new separate loan</t>
  </si>
  <si>
    <t>Duplicate rows; double-counted in portfolio</t>
  </si>
  <si>
    <t>Second term loan to existing borrower</t>
  </si>
  <si>
    <t>SECTION F — RUN METADATA / AUDIT TRAIL</t>
  </si>
  <si>
    <t>Purpose: Structured log of every pro forma run. AI writes one row per execution. Provides full audit trail for compliance and troubleshooting.</t>
  </si>
  <si>
    <t>Run_ID</t>
  </si>
  <si>
    <t>Timestamp</t>
  </si>
  <si>
    <t>Requested By</t>
  </si>
  <si>
    <t>BDC Amount</t>
  </si>
  <si>
    <t>Workbook Version</t>
  </si>
  <si>
    <t>Mapping Layer Ver.</t>
  </si>
  <si>
    <t>Pure Pro Forma?</t>
  </si>
  <si>
    <t>Pre-Flight Cleared?</t>
  </si>
  <si>
    <t>Validation Passed?</t>
  </si>
  <si>
    <t>Warnings Raised</t>
  </si>
  <si>
    <t>Manual Review Triggered?</t>
  </si>
  <si>
    <t>Exception IDs</t>
  </si>
  <si>
    <t>Avail. BEFORE</t>
  </si>
  <si>
    <t>Avail. AFTER</t>
  </si>
  <si>
    <t>Avail. DELTA</t>
  </si>
  <si>
    <t>Eligible?</t>
  </si>
  <si>
    <t>New CL Breaches?</t>
  </si>
  <si>
    <t>Status</t>
  </si>
  <si>
    <t>RUN-001</t>
  </si>
  <si>
    <t>Deal Team</t>
  </si>
  <si>
    <t>New Origination</t>
  </si>
  <si>
    <t>[Example Corp]</t>
  </si>
  <si>
    <t>VR-12 (price 0.95)</t>
  </si>
  <si>
    <t>COMPLETE</t>
  </si>
  <si>
    <t>Example row - delete after first real run</t>
  </si>
  <si>
    <t>FIELD DEFINITIONS:</t>
  </si>
  <si>
    <t>Run_ID: Sequential RUN-###</t>
  </si>
  <si>
    <t>Timestamp: ISO format</t>
  </si>
  <si>
    <t>Requested By: who asked</t>
  </si>
  <si>
    <t>Run Type: N/A/R/M</t>
  </si>
  <si>
    <t>Company: obligor name</t>
  </si>
  <si>
    <t>BDC Amount: hold size</t>
  </si>
  <si>
    <t>WB Ver: from AI_Instructions</t>
  </si>
  <si>
    <t>ML Ver: this tab version</t>
  </si>
  <si>
    <t>Pure PF: Y if no actual settlement</t>
  </si>
  <si>
    <t>Pre-Flight: Y if B7/B8 cleared</t>
  </si>
  <si>
    <t>Validation: Y if all Hard Stops passed</t>
  </si>
  <si>
    <t>Warnings: list VR-## codes</t>
  </si>
  <si>
    <t>Manual Rev: Y if any EX triggered</t>
  </si>
  <si>
    <t>Exception IDs: list EX-## codes</t>
  </si>
  <si>
    <t>Before: Availability!L26 pre-run</t>
  </si>
  <si>
    <t>After: Availability!L26 post-run</t>
  </si>
  <si>
    <t>Delta: After minus Before</t>
  </si>
  <si>
    <t>Eligible: Portfolio Col P</t>
  </si>
  <si>
    <t>CL Breach: Y if new excess &gt; 0</t>
  </si>
  <si>
    <t>Status: COMPLETE/FAILED/REVERTED</t>
  </si>
  <si>
    <t>Free text notes</t>
  </si>
  <si>
    <t>SECTION G — OPERATIONAL INSTRUCTIONS FOR AI AGENT</t>
  </si>
  <si>
    <t>Purpose: Step-by-step execution protocol. Any AI agent operating on this workbook MUST follow this sequence exactly.</t>
  </si>
  <si>
    <t>STEP</t>
  </si>
  <si>
    <t>ACTION</t>
  </si>
  <si>
    <t>DETAILS</t>
  </si>
  <si>
    <t>MAPPING_LAYER REFERENCE</t>
  </si>
  <si>
    <t>READ MAPPING_LAYER</t>
  </si>
  <si>
    <t>Read this entire tab at session start. This is the single source of truth for all write operations.</t>
  </si>
  <si>
    <t>All sections</t>
  </si>
  <si>
    <t>PRE-FLIGHT CHECK</t>
  </si>
  <si>
    <t>Check Deal Team Input B7, B8, B53 for old data (VR-32). Ask user to clear if present.</t>
  </si>
  <si>
    <t>Section C: VR-32</t>
  </si>
  <si>
    <t>COLLECT INPUTS</t>
  </si>
  <si>
    <t>Prompt user for all Required (Y) fields from Section A. Use User-Friendly Prompt column as the question text. Apply defaults for AUTO fields.</t>
  </si>
  <si>
    <t>Section A: Rows 19-48</t>
  </si>
  <si>
    <t>VALIDATE ALL INPUTS</t>
  </si>
  <si>
    <t>Run every rule in Section C sequentially. If any Hard Stop fails, ABORT and report. If Warnings, report and ask to proceed.</t>
  </si>
  <si>
    <t>Section C: VR-01 to VR-32</t>
  </si>
  <si>
    <t>CHECK EXCEPTIONS</t>
  </si>
  <si>
    <t>Scan Section E triggers. If any match, STOP and follow prescribed AI Action.</t>
  </si>
  <si>
    <t>Section E: EX-01 to EX-14</t>
  </si>
  <si>
    <t>CAPTURE BEFORE STATE</t>
  </si>
  <si>
    <t>Read all Before/After Compare outputs from Section B. Hardcode snapshots to Deal Team Input (B53, D74:E89).</t>
  </si>
  <si>
    <t>Section B: OUT-01, OUT-16, OUT-17</t>
  </si>
  <si>
    <t>EXECUTE WRITES</t>
  </si>
  <si>
    <t>Write to ONLY the tabs/ranges listed in Section D as ALLOWED. Follow exact column mappings from Section A and exact tab names.</t>
  </si>
  <si>
    <t>Section A (destinations), Section D (permissions)</t>
  </si>
  <si>
    <t>6a</t>
  </si>
  <si>
    <t xml:space="preserve">  SM Support</t>
  </si>
  <si>
    <t>Append new row: B=Company, C=Security, D=E=BDC Bal, F=Rev, G=EBITDA, H-L=structure, O=Int Cov</t>
  </si>
  <si>
    <t>Section A: IN-01 to IN-16</t>
  </si>
  <si>
    <t>6b</t>
  </si>
  <si>
    <t xml:space="preserve">  Loan Tape - Settled</t>
  </si>
  <si>
    <t>Append new row: G=Company, H=Security, J=Loan Type, K=Security Type, L=Denomination, Q=Purchase Price, S=BDC Balance (par), T=Country, U=Invest Date, V=Maturity, W=Fixed/Floating, X=Industry, Y=Frequency, AD=PIK%, AE=Spread, AF=SOFR floor, AO=U, C:D=Fund ID pattern.</t>
  </si>
  <si>
    <t>Section A: IN-17 to IN-36</t>
  </si>
  <si>
    <t>6c</t>
  </si>
  <si>
    <t xml:space="preserve">  Portfolio</t>
  </si>
  <si>
    <t>Add next CCM ID to Col A. Copy prior row structure for B:HN. Only if exception-approved, override BZ/CA/DX on the new row. Before relying on outputs, confirm Portfolio lookup ranges still include the appended Loan Tape - Settled row.</t>
  </si>
  <si>
    <t>Section A: IN-32</t>
  </si>
  <si>
    <t>6d</t>
  </si>
  <si>
    <t xml:space="preserve">  Deal Team Input</t>
  </si>
  <si>
    <t>Hardcode BEFORE snapshots to B53 and D74:E89. Keep B54/B56/B57 formula-driven. Link pro forma concentration columns F74:G89 to live CL values.</t>
  </si>
  <si>
    <t>Section B: OUT-18, OUT-19</t>
  </si>
  <si>
    <t>VERIFY OUTPUTS</t>
  </si>
  <si>
    <t>Read all Required outputs from Section B. Check Portfolio Col P (OUT-13). If No, read E-N (OUT-14).</t>
  </si>
  <si>
    <t>Section B: OUT-13, OUT-14</t>
  </si>
  <si>
    <t>CHECK POST-RUN EXCEPTIONS</t>
  </si>
  <si>
    <t>Check Credit Enhancement (OUT-24). Check for new CL breaches (OUT-21 delta &gt; 0). Flag per Section E.</t>
  </si>
  <si>
    <t>Section E: EX-09, EX-10, EX-11</t>
  </si>
  <si>
    <t>LOG RUN</t>
  </si>
  <si>
    <t>Write one row to Section F (Run Metadata). Write one row to Memory tab.</t>
  </si>
  <si>
    <t>Section F, Memory tab</t>
  </si>
  <si>
    <t>REPORT TO USER</t>
  </si>
  <si>
    <t>Present: Before/After Availability, Delta, Impact Ratio, Eligibility status, any CL breaches, any warnings raised.</t>
  </si>
  <si>
    <t>Section B: OUT-01 to OUT-24</t>
  </si>
  <si>
    <t>BluePeak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</si>
</sst>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
    <numFmt numFmtId="167" formatCode="_(* #,##0_);_(* \(#,##0\);_(* &quot;-&quot;??_);_(@_)"/>
    <numFmt numFmtId="168" formatCode="&quot;EBITDA &lt; &quot;0&quot;&quot;"/>
    <numFmt numFmtId="169" formatCode="&quot;Investment&quot;\ #"/>
    <numFmt numFmtId="170" formatCode="#,##0\ &quot;bps&quot;\_x000a_%%"/>
    <numFmt numFmtId="171" formatCode="0\ &quot;years&quot;"/>
    <numFmt numFmtId="172" formatCode="&quot;$&quot;0.0\ &quot;mm&quot;"/>
    <numFmt numFmtId="173" formatCode="0.0\x"/>
    <numFmt numFmtId="174" formatCode="0.000%"/>
    <numFmt numFmtId="175" formatCode="_(&quot;$&quot;* #,##0.0_);_(&quot;$&quot;* \(#,##0.0\);_(&quot;$&quot;* &quot;-&quot;??_);_(@_)"/>
    <numFmt numFmtId="176" formatCode="&quot;Advance Rate Cap Until &quot;0&quot; discrete obligors&quot;"/>
    <numFmt numFmtId="177" formatCode="&quot; &lt; &quot;0&quot; discrete obligors&quot;"/>
    <numFmt numFmtId="178" formatCode="&quot; &gt;= &quot;\1\2&quot; but  &lt; 20&quot;"/>
    <numFmt numFmtId="179" formatCode="&quot; &gt;= &quot;0&quot; discrete obligors&quot;"/>
    <numFmt numFmtId="180" formatCode="_(* #,##0_);_(* \(#,##0\);_(* &quot;   -&quot;?_);_(@_)"/>
    <numFmt numFmtId="181" formatCode="_(* #,##0.00\x;_(* \(#,##0.00\)\x;_(* &quot;   -&quot;?_)"/>
    <numFmt numFmtId="182" formatCode="_(* #,##0.00_);_(* \(#,##0.00\);_(* &quot;   -&quot;?_);_(@_)"/>
    <numFmt numFmtId="183" formatCode="_(* &quot;$&quot;\ #,##0.00_);_(* &quot;$&quot;\ \(#,##0.00\);_(* &quot;&quot;&quot;$&quot;\ \ \-&quot;&quot;?_);_(@_)"/>
    <numFmt numFmtId="184" formatCode="&quot;Senior Net Leverage Ratio &gt; &quot;0.00&quot;&quot;"/>
    <numFmt numFmtId="185" formatCode="0.00\x"/>
    <numFmt numFmtId="186" formatCode="&quot;EBITDA &lt; &quot;&quot;$&quot;0&quot; MM&quot;"/>
    <numFmt numFmtId="187" formatCode="#,##0.00000000_);\(#,##0.00000000\)"/>
    <numFmt numFmtId="188" formatCode="_([$$-409]* #,##0.00_);_([$$-409]* \(#,##0.00\);_([$$-409]* &quot;-&quot;??_);_(@_)"/>
    <numFmt numFmtId="189" formatCode="#,##0;\-#,##0;0"/>
    <numFmt numFmtId="190" formatCode="m\/d\/yyyy"/>
    <numFmt numFmtId="191" formatCode="#,##0.00;\-#,##0.00;0"/>
    <numFmt numFmtId="192" formatCode="#,##0.00%"/>
    <numFmt numFmtId="193" formatCode="#,##0.00\x;\-#,##0.00;0"/>
    <numFmt numFmtId="194" formatCode="_(* #,##0.0%;_(* \(#,##0.0\)%;_(* &quot;   -&quot;?_)"/>
    <numFmt numFmtId="195" formatCode="&quot;$&quot;#,##0"/>
    <numFmt numFmtId="196" formatCode="&quot;$&quot;#,##0.00"/>
    <numFmt numFmtId="197" formatCode="0.00&quot;x&quot;"/>
    <numFmt numFmtId="198" formatCode="0\ &quot;mths&quot;"/>
    <numFmt numFmtId="199" formatCode="mm/dd/yy;@"/>
    <numFmt numFmtId="200" formatCode="_(* &quot;$&quot;\ #,##0_);_(* &quot;$&quot;\ \(#,##0\);_(* &quot;&quot;&quot;$&quot;\ \ \-&quot;&quot;?_);_(@_)"/>
    <numFmt numFmtId="201" formatCode="0.0"/>
    <numFmt numFmtId="202" formatCode="&quot;Year &quot;0"/>
    <numFmt numFmtId="203" formatCode="0.000"/>
    <numFmt numFmtId="204" formatCode="mm/dd/yyyy"/>
    <numFmt numFmtId="205" formatCode="&quot;$&quot;#,##0;\(&quot;$&quot;#,##0\);&quot;-&quot;"/>
  </numFmts>
  <fonts count="111" x14ac:knownFonts="1">
    <font>
      <sz val="11"/>
      <color theme="1"/>
      <name val="Calibri"/>
      <family val="2"/>
      <scheme val="minor"/>
    </font>
    <font>
      <sz val="11"/>
      <color theme="1"/>
      <name val="Calibri"/>
      <scheme val="minor"/>
    </font>
    <font>
      <sz val="11"/>
      <color theme="1"/>
      <name val="Calibri"/>
      <family val="2"/>
      <scheme val="minor"/>
    </font>
    <font>
      <b/>
      <sz val="10"/>
      <color theme="1"/>
      <name val="Times New Roman"/>
      <family val="1"/>
    </font>
    <font>
      <sz val="10"/>
      <color theme="1"/>
      <name val="Times New Roman"/>
      <family val="1"/>
    </font>
    <font>
      <b/>
      <sz val="10"/>
      <name val="Times New Roman"/>
      <family val="1"/>
    </font>
    <font>
      <b/>
      <sz val="10"/>
      <color theme="0"/>
      <name val="Times New Roman"/>
      <family val="1"/>
    </font>
    <font>
      <sz val="10"/>
      <name val="Times New Roman"/>
      <family val="1"/>
    </font>
    <font>
      <b/>
      <u/>
      <sz val="10"/>
      <color theme="1"/>
      <name val="Times New Roman"/>
      <family val="1"/>
    </font>
    <font>
      <sz val="10"/>
      <color rgb="FF0000FF"/>
      <name val="Times New Roman"/>
      <family val="1"/>
    </font>
    <font>
      <sz val="10"/>
      <color rgb="FF3C12EE"/>
      <name val="Times New Roman"/>
      <family val="1"/>
    </font>
    <font>
      <sz val="9"/>
      <color rgb="FF333333"/>
      <name val="Arial"/>
      <family val="2"/>
    </font>
    <font>
      <sz val="10"/>
      <color rgb="FF000000"/>
      <name val="Arial"/>
      <family val="2"/>
    </font>
    <font>
      <sz val="11"/>
      <color rgb="FF3F3F76"/>
      <name val="Calibri"/>
      <family val="2"/>
      <scheme val="minor"/>
    </font>
    <font>
      <b/>
      <sz val="11"/>
      <color theme="1"/>
      <name val="Calibri"/>
      <family val="2"/>
      <scheme val="minor"/>
    </font>
    <font>
      <sz val="11"/>
      <color theme="0"/>
      <name val="Calibri"/>
      <family val="2"/>
      <scheme val="minor"/>
    </font>
    <font>
      <b/>
      <sz val="18"/>
      <color indexed="12"/>
      <name val="Calibri"/>
      <family val="2"/>
      <scheme val="minor"/>
    </font>
    <font>
      <b/>
      <sz val="18"/>
      <color theme="1"/>
      <name val="Calibri"/>
      <family val="2"/>
      <scheme val="minor"/>
    </font>
    <font>
      <b/>
      <sz val="11"/>
      <name val="Calibri"/>
      <family val="2"/>
      <scheme val="minor"/>
    </font>
    <font>
      <b/>
      <i/>
      <sz val="11"/>
      <color indexed="12"/>
      <name val="Calibri"/>
      <family val="2"/>
      <scheme val="minor"/>
    </font>
    <font>
      <b/>
      <i/>
      <sz val="11"/>
      <name val="Calibri"/>
      <family val="2"/>
      <scheme val="minor"/>
    </font>
    <font>
      <b/>
      <u val="singleAccounting"/>
      <sz val="14"/>
      <color rgb="FFFFFFFF"/>
      <name val="Calibri"/>
      <family val="2"/>
      <scheme val="minor"/>
    </font>
    <font>
      <b/>
      <u val="singleAccounting"/>
      <sz val="14"/>
      <color theme="0"/>
      <name val="Calibri"/>
      <family val="2"/>
      <scheme val="minor"/>
    </font>
    <font>
      <b/>
      <sz val="14"/>
      <color rgb="FFFFFFFF"/>
      <name val="Calibri"/>
      <family val="2"/>
      <scheme val="minor"/>
    </font>
    <font>
      <b/>
      <sz val="14"/>
      <color theme="0"/>
      <name val="Calibri"/>
      <family val="2"/>
      <scheme val="minor"/>
    </font>
    <font>
      <b/>
      <sz val="13"/>
      <color rgb="FF000000"/>
      <name val="Calibri"/>
      <family val="2"/>
      <scheme val="minor"/>
    </font>
    <font>
      <sz val="13"/>
      <color rgb="FF000000"/>
      <name val="Calibri"/>
      <family val="2"/>
      <scheme val="minor"/>
    </font>
    <font>
      <sz val="14"/>
      <color rgb="FFFF0000"/>
      <name val="Calibri"/>
      <family val="2"/>
      <scheme val="minor"/>
    </font>
    <font>
      <b/>
      <sz val="14"/>
      <color rgb="FF000000"/>
      <name val="Calibri"/>
      <family val="2"/>
      <scheme val="minor"/>
    </font>
    <font>
      <b/>
      <sz val="14"/>
      <color rgb="FFFF0000"/>
      <name val="Calibri"/>
      <family val="2"/>
      <scheme val="minor"/>
    </font>
    <font>
      <b/>
      <sz val="10"/>
      <color indexed="12"/>
      <name val="Calibri"/>
      <family val="2"/>
      <scheme val="minor"/>
    </font>
    <font>
      <b/>
      <sz val="10"/>
      <color theme="1"/>
      <name val="Calibri"/>
      <family val="2"/>
      <scheme val="minor"/>
    </font>
    <font>
      <b/>
      <i/>
      <sz val="11"/>
      <color theme="1"/>
      <name val="Calibri"/>
      <family val="2"/>
      <scheme val="minor"/>
    </font>
    <font>
      <sz val="10"/>
      <color theme="1"/>
      <name val="Calibri"/>
      <family val="2"/>
      <scheme val="minor"/>
    </font>
    <font>
      <b/>
      <sz val="12"/>
      <color rgb="FF000000"/>
      <name val="Calibri"/>
      <family val="2"/>
      <scheme val="minor"/>
    </font>
    <font>
      <b/>
      <sz val="11"/>
      <color theme="0"/>
      <name val="Calibri"/>
      <family val="2"/>
      <scheme val="minor"/>
    </font>
    <font>
      <sz val="11"/>
      <color rgb="FF0000FF"/>
      <name val="Calibri"/>
      <family val="2"/>
      <scheme val="minor"/>
    </font>
    <font>
      <sz val="11"/>
      <color rgb="FF000000"/>
      <name val="Calibri"/>
      <family val="2"/>
      <scheme val="minor"/>
    </font>
    <font>
      <sz val="10"/>
      <color rgb="FF0A0AFA"/>
      <name val="Times New Roman"/>
      <family val="1"/>
    </font>
    <font>
      <sz val="11"/>
      <color rgb="FFFF0000"/>
      <name val="Calibri"/>
      <family val="2"/>
      <scheme val="minor"/>
    </font>
    <font>
      <sz val="11"/>
      <color rgb="FF006100"/>
      <name val="Calibri"/>
      <family val="2"/>
      <scheme val="minor"/>
    </font>
    <font>
      <sz val="10"/>
      <color rgb="FF008000"/>
      <name val="Times New Roman"/>
      <family val="1"/>
    </font>
    <font>
      <b/>
      <sz val="11"/>
      <color rgb="FF000000"/>
      <name val="Calibri"/>
      <family val="2"/>
      <scheme val="minor"/>
    </font>
    <font>
      <b/>
      <sz val="11"/>
      <color indexed="12"/>
      <name val="Calibri"/>
      <family val="2"/>
      <scheme val="minor"/>
    </font>
    <font>
      <sz val="11"/>
      <color indexed="12"/>
      <name val="Calibri"/>
      <family val="2"/>
      <scheme val="minor"/>
    </font>
    <font>
      <b/>
      <sz val="11"/>
      <color rgb="FF0000FF"/>
      <name val="Calibri"/>
      <family val="2"/>
      <scheme val="minor"/>
    </font>
    <font>
      <sz val="11"/>
      <color rgb="FF333333"/>
      <name val="Calibri"/>
      <family val="2"/>
      <scheme val="minor"/>
    </font>
    <font>
      <sz val="11"/>
      <color indexed="17"/>
      <name val="Calibri"/>
      <family val="2"/>
      <scheme val="minor"/>
    </font>
    <font>
      <i/>
      <sz val="11"/>
      <name val="Calibri"/>
      <family val="2"/>
      <scheme val="minor"/>
    </font>
    <font>
      <sz val="11"/>
      <name val="Calibri"/>
      <family val="2"/>
      <scheme val="minor"/>
    </font>
    <font>
      <b/>
      <u/>
      <sz val="11"/>
      <color indexed="12"/>
      <name val="Calibri"/>
      <family val="2"/>
      <scheme val="minor"/>
    </font>
    <font>
      <sz val="11"/>
      <color rgb="FF008000"/>
      <name val="Calibri"/>
      <family val="2"/>
      <scheme val="minor"/>
    </font>
    <font>
      <b/>
      <sz val="10"/>
      <color theme="1"/>
      <name val="Arial"/>
      <family val="2"/>
    </font>
    <font>
      <sz val="10"/>
      <color theme="1"/>
      <name val="Arial"/>
      <family val="2"/>
    </font>
    <font>
      <b/>
      <sz val="10"/>
      <name val="Arial"/>
      <family val="2"/>
    </font>
    <font>
      <sz val="10"/>
      <color rgb="FFFF0000"/>
      <name val="Arial"/>
      <family val="2"/>
    </font>
    <font>
      <b/>
      <sz val="10"/>
      <color theme="0"/>
      <name val="Arial"/>
      <family val="2"/>
    </font>
    <font>
      <b/>
      <sz val="10"/>
      <color rgb="FF0000FF"/>
      <name val="Arial"/>
      <family val="2"/>
    </font>
    <font>
      <sz val="10"/>
      <name val="Arial"/>
      <family val="2"/>
    </font>
    <font>
      <sz val="10"/>
      <color rgb="FF0000FF"/>
      <name val="Arial"/>
      <family val="2"/>
    </font>
    <font>
      <u/>
      <sz val="10"/>
      <color theme="1"/>
      <name val="Arial"/>
      <family val="2"/>
    </font>
    <font>
      <sz val="11"/>
      <color theme="1"/>
      <name val="Arial"/>
      <family val="2"/>
    </font>
    <font>
      <b/>
      <sz val="10"/>
      <color rgb="FF3C12EE"/>
      <name val="Arial"/>
      <family val="2"/>
    </font>
    <font>
      <sz val="8"/>
      <name val="Arial"/>
      <family val="2"/>
    </font>
    <font>
      <sz val="8"/>
      <color theme="1"/>
      <name val="Arial"/>
      <family val="2"/>
    </font>
    <font>
      <sz val="8"/>
      <color rgb="FF0A0AFA"/>
      <name val="Arial"/>
      <family val="2"/>
    </font>
    <font>
      <sz val="8"/>
      <color rgb="FF000000"/>
      <name val="Arial"/>
      <family val="2"/>
    </font>
    <font>
      <sz val="10"/>
      <color rgb="FF3C12EE"/>
      <name val="Arial"/>
      <family val="2"/>
    </font>
    <font>
      <sz val="10"/>
      <color theme="0"/>
      <name val="Arial"/>
      <family val="2"/>
    </font>
    <font>
      <i/>
      <sz val="10"/>
      <color theme="1"/>
      <name val="Arial"/>
      <family val="2"/>
    </font>
    <font>
      <sz val="9"/>
      <color theme="1"/>
      <name val="Arial"/>
      <family val="2"/>
    </font>
    <font>
      <sz val="10"/>
      <color rgb="FF0A0AFA"/>
      <name val="Arial"/>
      <family val="2"/>
    </font>
    <font>
      <sz val="10"/>
      <color rgb="FF006100"/>
      <name val="Arial"/>
      <family val="2"/>
    </font>
    <font>
      <b/>
      <sz val="11"/>
      <color theme="1"/>
      <name val="Arial"/>
      <family val="2"/>
    </font>
    <font>
      <sz val="11"/>
      <color rgb="FF3F3F76"/>
      <name val="Arial"/>
      <family val="2"/>
    </font>
    <font>
      <sz val="11"/>
      <color rgb="FF000000"/>
      <name val="Arial"/>
      <family val="2"/>
    </font>
    <font>
      <sz val="11"/>
      <color rgb="FFFF0000"/>
      <name val="Arial"/>
      <family val="2"/>
    </font>
    <font>
      <sz val="10"/>
      <color rgb="FF008000"/>
      <name val="Arial"/>
      <family val="2"/>
    </font>
    <font>
      <b/>
      <sz val="11"/>
      <color rgb="FFFFFFFF"/>
      <name val="Calibri"/>
      <family val="2"/>
      <scheme val="minor"/>
    </font>
    <font>
      <b/>
      <sz val="12"/>
      <color rgb="FFFFFFFF"/>
      <name val="Calibri"/>
      <family val="2"/>
      <scheme val="minor"/>
    </font>
    <font>
      <b/>
      <sz val="11"/>
      <color rgb="FFFF0000"/>
      <name val="Calibri"/>
      <family val="2"/>
      <scheme val="minor"/>
    </font>
    <font>
      <i/>
      <sz val="11"/>
      <color theme="1"/>
      <name val="Calibri"/>
      <family val="2"/>
      <scheme val="minor"/>
    </font>
    <font>
      <sz val="9"/>
      <color theme="1"/>
      <name val="Calibri"/>
      <family val="2"/>
      <scheme val="minor"/>
    </font>
    <font>
      <b/>
      <i/>
      <sz val="8"/>
      <color rgb="FFC00000"/>
      <name val="Calibri"/>
      <family val="2"/>
      <scheme val="minor"/>
    </font>
    <font>
      <b/>
      <sz val="11"/>
      <color rgb="FFC00000"/>
      <name val="Calibri"/>
      <family val="2"/>
      <scheme val="minor"/>
    </font>
    <font>
      <b/>
      <sz val="12"/>
      <color rgb="FF0070C0"/>
      <name val="Calibri"/>
      <family val="2"/>
      <scheme val="minor"/>
    </font>
    <font>
      <b/>
      <sz val="10"/>
      <color rgb="FFFFFFFF"/>
      <name val="Calibri"/>
      <family val="2"/>
      <scheme val="minor"/>
    </font>
    <font>
      <b/>
      <sz val="11"/>
      <color rgb="FF008000"/>
      <name val="Calibri"/>
      <family val="2"/>
      <scheme val="minor"/>
    </font>
    <font>
      <b/>
      <sz val="11"/>
      <color rgb="FF9C0006"/>
      <name val="Calibri"/>
      <family val="2"/>
      <scheme val="minor"/>
    </font>
    <font>
      <sz val="16"/>
      <color theme="1"/>
      <name val="Calibri"/>
      <family val="2"/>
      <scheme val="minor"/>
    </font>
    <font>
      <i/>
      <sz val="9"/>
      <color rgb="FF808080"/>
      <name val="Calibri"/>
      <family val="2"/>
      <scheme val="minor"/>
    </font>
    <font>
      <b/>
      <sz val="11"/>
      <color rgb="FF000000"/>
      <name val="Calibri"/>
      <scheme val="minor"/>
    </font>
    <font>
      <sz val="11"/>
      <color rgb="FF000000"/>
      <name val="Calibri"/>
      <scheme val="minor"/>
    </font>
    <font>
      <b/>
      <sz val="10"/>
      <color rgb="FFFFFFFF"/>
      <name val="Calibri"/>
      <scheme val="minor"/>
    </font>
    <font>
      <b/>
      <sz val="13"/>
      <color rgb="FF0070C0"/>
      <name val="Calibri"/>
      <scheme val="minor"/>
    </font>
    <font>
      <b/>
      <sz val="12"/>
      <color rgb="FFFFFFFF"/>
      <name val="Calibri"/>
      <scheme val="minor"/>
    </font>
    <font>
      <b/>
      <sz val="11"/>
      <color rgb="FFFFFFFF"/>
      <name val="Calibri"/>
      <scheme val="minor"/>
    </font>
    <font>
      <b/>
      <sz val="13"/>
      <color theme="1"/>
      <name val="Calibri"/>
      <scheme val="minor"/>
    </font>
    <font>
      <sz val="9"/>
      <color rgb="FF555555"/>
      <name val="Calibri"/>
      <family val="2"/>
      <scheme val="minor"/>
    </font>
    <font>
      <i/>
      <sz val="9"/>
      <color rgb="FF555555"/>
      <name val="Calibri"/>
      <family val="2"/>
      <scheme val="minor"/>
    </font>
    <font>
      <b/>
      <sz val="11"/>
      <color rgb="FF1F4E79"/>
      <name val="Calibri"/>
      <family val="2"/>
      <scheme val="minor"/>
    </font>
    <font>
      <sz val="9"/>
      <color rgb="FF333333"/>
      <name val="Calibri"/>
      <family val="2"/>
      <scheme val="minor"/>
    </font>
    <font>
      <sz val="8"/>
      <color rgb="FF1F4E79"/>
      <name val="Calibri"/>
      <family val="2"/>
      <scheme val="minor"/>
    </font>
    <font>
      <i/>
      <sz val="9"/>
      <color rgb="FF333333"/>
      <name val="Calibri"/>
      <family val="2"/>
      <scheme val="minor"/>
    </font>
    <font>
      <b/>
      <sz val="9"/>
      <color rgb="FFFFFFFF"/>
      <name val="Calibri"/>
      <family val="2"/>
      <scheme val="minor"/>
    </font>
    <font>
      <b/>
      <sz val="9"/>
      <color theme="1"/>
      <name val="Calibri"/>
      <family val="2"/>
      <scheme val="minor"/>
    </font>
    <font>
      <b/>
      <sz val="11"/>
      <color rgb="FFC07000"/>
      <name val="Calibri"/>
      <family val="2"/>
      <scheme val="minor"/>
    </font>
    <font>
      <b/>
      <sz val="11"/>
      <color rgb="FFCC0000"/>
      <name val="Calibri"/>
      <family val="2"/>
      <scheme val="minor"/>
    </font>
    <font>
      <i/>
      <sz val="11"/>
      <color rgb="FF888888"/>
      <name val="Calibri"/>
      <family val="2"/>
      <scheme val="minor"/>
    </font>
    <font>
      <sz val="8"/>
      <color rgb="FF666666"/>
      <name val="Calibri"/>
      <family val="2"/>
      <scheme val="minor"/>
    </font>
    <font>
      <b/>
      <sz val="8"/>
      <color rgb="FF666666"/>
      <name val="Calibri"/>
      <family val="2"/>
      <scheme val="minor"/>
    </font>
  </fonts>
  <fills count="5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5"/>
        <bgColor rgb="FFFFFFFF"/>
      </patternFill>
    </fill>
    <fill>
      <patternFill patternType="solid">
        <fgColor rgb="FFCEFFFF"/>
        <bgColor rgb="FFFFFFFF"/>
      </patternFill>
    </fill>
    <fill>
      <patternFill patternType="solid">
        <fgColor theme="0" tint="-0.14999847407452621"/>
        <bgColor rgb="FFFFFFFF"/>
      </patternFill>
    </fill>
    <fill>
      <patternFill patternType="solid">
        <fgColor rgb="FFFFCC99"/>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79"/>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0" fillId="0" borderId="0"/>
    <xf numFmtId="43" fontId="2" fillId="0" borderId="0"/>
    <xf numFmtId="44" fontId="2" fillId="0" borderId="0"/>
    <xf numFmtId="9" fontId="2" fillId="0" borderId="0"/>
    <xf numFmtId="0" fontId="7" fillId="0" borderId="0">
      <alignment horizontal="left"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13" borderId="39"/>
    <xf numFmtId="0" fontId="40" fillId="24" borderId="0"/>
    <xf numFmtId="0" fontId="2" fillId="0" borderId="0"/>
    <xf numFmtId="0" fontId="53" fillId="0" borderId="0"/>
    <xf numFmtId="9" fontId="53" fillId="0" borderId="0"/>
    <xf numFmtId="43" fontId="53" fillId="0" borderId="0"/>
  </cellStyleXfs>
  <cellXfs count="926">
    <xf numFmtId="0" fontId="0" fillId="0" borderId="0" xfId="0"/>
    <xf numFmtId="0" fontId="3" fillId="0" borderId="0" xfId="0" applyFont="1"/>
    <xf numFmtId="0" fontId="4" fillId="0" borderId="0" xfId="0" applyFont="1"/>
    <xf numFmtId="164" fontId="4" fillId="0" borderId="0" xfId="2" applyNumberFormat="1" applyFont="1" applyAlignment="1">
      <alignment horizontal="center"/>
    </xf>
    <xf numFmtId="0" fontId="6" fillId="2" borderId="0" xfId="0" applyFont="1" applyFill="1"/>
    <xf numFmtId="165" fontId="4" fillId="0" borderId="0" xfId="3" applyNumberFormat="1" applyFont="1"/>
    <xf numFmtId="0" fontId="4" fillId="0" borderId="4" xfId="0" applyFont="1" applyBorder="1"/>
    <xf numFmtId="0" fontId="7" fillId="0" borderId="0" xfId="0" applyFont="1"/>
    <xf numFmtId="10" fontId="4" fillId="0" borderId="0" xfId="3" applyNumberFormat="1" applyFont="1" applyAlignment="1">
      <alignment horizontal="center"/>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166" fontId="4" fillId="0" borderId="0" xfId="0" applyNumberFormat="1" applyFont="1" applyAlignment="1">
      <alignment horizontal="left"/>
    </xf>
    <xf numFmtId="0" fontId="6" fillId="0" borderId="0" xfId="0" applyFont="1"/>
    <xf numFmtId="0" fontId="3" fillId="0" borderId="5" xfId="0" applyFont="1" applyBorder="1" applyAlignment="1">
      <alignment horizontal="centerContinuous"/>
    </xf>
    <xf numFmtId="0" fontId="3" fillId="0" borderId="0" xfId="0" applyFont="1" applyAlignment="1">
      <alignment horizontal="centerContinuous"/>
    </xf>
    <xf numFmtId="0" fontId="3" fillId="0" borderId="6" xfId="0" applyFont="1" applyBorder="1" applyAlignment="1">
      <alignment horizontal="centerContinuous"/>
    </xf>
    <xf numFmtId="0" fontId="3" fillId="0" borderId="4" xfId="0" applyFont="1" applyBorder="1" applyAlignment="1">
      <alignment horizontal="centerContinuous"/>
    </xf>
    <xf numFmtId="0" fontId="8" fillId="0" borderId="0" xfId="0" applyFont="1"/>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10" fontId="4" fillId="0" borderId="0" xfId="0" applyNumberFormat="1" applyFont="1" applyAlignment="1">
      <alignment horizontal="center"/>
    </xf>
    <xf numFmtId="0" fontId="4" fillId="0" borderId="0" xfId="0" applyFont="1" applyAlignment="1">
      <alignment horizontal="center"/>
    </xf>
    <xf numFmtId="167" fontId="4" fillId="0" borderId="5" xfId="1" applyNumberFormat="1" applyFont="1" applyBorder="1" applyAlignment="1">
      <alignment horizontal="center"/>
    </xf>
    <xf numFmtId="165" fontId="4" fillId="0" borderId="0" xfId="3" applyNumberFormat="1" applyFont="1" applyAlignment="1">
      <alignment horizontal="center"/>
    </xf>
    <xf numFmtId="0" fontId="4" fillId="0" borderId="7" xfId="0" applyFont="1" applyBorder="1"/>
    <xf numFmtId="0" fontId="4" fillId="0" borderId="7" xfId="0" applyFont="1" applyBorder="1" applyAlignment="1">
      <alignment horizontal="center"/>
    </xf>
    <xf numFmtId="167" fontId="4" fillId="0" borderId="7" xfId="1" applyNumberFormat="1" applyFont="1" applyBorder="1"/>
    <xf numFmtId="165" fontId="4" fillId="0" borderId="7" xfId="3" applyNumberFormat="1" applyFont="1" applyBorder="1"/>
    <xf numFmtId="44" fontId="4" fillId="0" borderId="0" xfId="2" applyFont="1"/>
    <xf numFmtId="167" fontId="4" fillId="0" borderId="0" xfId="1" applyNumberFormat="1" applyFont="1"/>
    <xf numFmtId="164" fontId="4" fillId="0" borderId="0" xfId="2" applyNumberFormat="1" applyFont="1"/>
    <xf numFmtId="10" fontId="4" fillId="0" borderId="0" xfId="3" applyNumberFormat="1" applyFont="1"/>
    <xf numFmtId="0" fontId="5" fillId="0" borderId="0" xfId="0" applyFont="1"/>
    <xf numFmtId="41" fontId="4" fillId="0" borderId="0" xfId="0" applyNumberFormat="1" applyFont="1"/>
    <xf numFmtId="3" fontId="7" fillId="0" borderId="0" xfId="0" applyNumberFormat="1" applyFont="1" applyAlignment="1">
      <alignment horizontal="center"/>
    </xf>
    <xf numFmtId="0" fontId="3" fillId="3" borderId="4" xfId="0" applyFont="1" applyFill="1" applyBorder="1" applyAlignment="1">
      <alignment horizontal="centerContinuous"/>
    </xf>
    <xf numFmtId="0" fontId="3" fillId="0" borderId="0" xfId="0" applyFont="1" applyAlignment="1">
      <alignment horizontal="left"/>
    </xf>
    <xf numFmtId="0" fontId="4" fillId="0" borderId="0" xfId="0" applyFont="1" applyAlignment="1">
      <alignment horizontal="centerContinuous"/>
    </xf>
    <xf numFmtId="165" fontId="10" fillId="0" borderId="0" xfId="3" applyNumberFormat="1" applyFont="1" applyAlignment="1">
      <alignment horizontal="center"/>
    </xf>
    <xf numFmtId="3" fontId="10" fillId="0" borderId="0" xfId="0" applyNumberFormat="1" applyFont="1" applyAlignment="1">
      <alignment horizontal="center"/>
    </xf>
    <xf numFmtId="0" fontId="3" fillId="3" borderId="4" xfId="0" applyFont="1" applyFill="1" applyBorder="1"/>
    <xf numFmtId="10" fontId="3" fillId="3" borderId="4" xfId="0" applyNumberFormat="1" applyFont="1" applyFill="1" applyBorder="1" applyAlignment="1">
      <alignment horizontal="center"/>
    </xf>
    <xf numFmtId="0" fontId="4" fillId="0" borderId="0" xfId="0" applyFont="1" applyAlignment="1">
      <alignment horizontal="left"/>
    </xf>
    <xf numFmtId="0" fontId="7" fillId="0" borderId="0" xfId="4" applyAlignment="1">
      <alignment horizontal="left"/>
    </xf>
    <xf numFmtId="41" fontId="4" fillId="0" borderId="0" xfId="0" applyNumberFormat="1" applyFont="1" applyAlignment="1">
      <alignment horizontal="center"/>
    </xf>
    <xf numFmtId="0" fontId="3" fillId="0" borderId="4" xfId="0" applyFont="1" applyBorder="1"/>
    <xf numFmtId="1" fontId="11" fillId="6" borderId="32" xfId="0" applyNumberFormat="1" applyFont="1" applyFill="1" applyBorder="1" applyAlignment="1">
      <alignment horizontal="right"/>
    </xf>
    <xf numFmtId="1" fontId="11" fillId="5" borderId="32" xfId="0" applyNumberFormat="1" applyFont="1" applyFill="1" applyBorder="1" applyAlignment="1">
      <alignment horizontal="right"/>
    </xf>
    <xf numFmtId="43" fontId="0" fillId="0" borderId="0" xfId="0" applyNumberFormat="1"/>
    <xf numFmtId="6" fontId="4" fillId="0" borderId="0" xfId="0" applyNumberFormat="1" applyFont="1"/>
    <xf numFmtId="168" fontId="3" fillId="0" borderId="0" xfId="0" applyNumberFormat="1" applyFont="1" applyAlignment="1">
      <alignment horizontal="left"/>
    </xf>
    <xf numFmtId="167" fontId="0" fillId="0" borderId="0" xfId="0" applyNumberFormat="1"/>
    <xf numFmtId="167" fontId="4" fillId="0" borderId="0" xfId="1" applyNumberFormat="1" applyFont="1" applyAlignment="1">
      <alignment horizontal="center"/>
    </xf>
    <xf numFmtId="41" fontId="4" fillId="14" borderId="0" xfId="0" applyNumberFormat="1" applyFont="1" applyFill="1"/>
    <xf numFmtId="41" fontId="4" fillId="0" borderId="4" xfId="0" applyNumberFormat="1" applyFont="1" applyBorder="1"/>
    <xf numFmtId="0" fontId="4" fillId="15" borderId="0" xfId="0" applyFont="1" applyFill="1"/>
    <xf numFmtId="165" fontId="4" fillId="15" borderId="0" xfId="3" applyNumberFormat="1" applyFont="1" applyFill="1"/>
    <xf numFmtId="165" fontId="9" fillId="15" borderId="0" xfId="3" applyNumberFormat="1" applyFont="1" applyFill="1" applyAlignment="1">
      <alignment horizontal="right"/>
    </xf>
    <xf numFmtId="165" fontId="4" fillId="15" borderId="0" xfId="3" applyNumberFormat="1" applyFont="1" applyFill="1" applyAlignment="1">
      <alignment horizontal="right"/>
    </xf>
    <xf numFmtId="0" fontId="0" fillId="0" borderId="0" xfId="0" applyAlignment="1">
      <alignment horizontal="center" vertical="center"/>
    </xf>
    <xf numFmtId="0" fontId="4" fillId="16" borderId="0" xfId="0" applyFont="1" applyFill="1"/>
    <xf numFmtId="167" fontId="7" fillId="0" borderId="5" xfId="1" applyNumberFormat="1" applyFont="1" applyBorder="1" applyAlignment="1">
      <alignment horizontal="center"/>
    </xf>
    <xf numFmtId="165" fontId="7" fillId="0" borderId="0" xfId="3" applyNumberFormat="1" applyFont="1" applyAlignment="1">
      <alignment horizontal="center"/>
    </xf>
    <xf numFmtId="0" fontId="16" fillId="0" borderId="0" xfId="0" applyFont="1"/>
    <xf numFmtId="0" fontId="17" fillId="0" borderId="0" xfId="0" applyFont="1"/>
    <xf numFmtId="9" fontId="18" fillId="0" borderId="0" xfId="3" applyFont="1"/>
    <xf numFmtId="9" fontId="14" fillId="0" borderId="0" xfId="3" applyFont="1"/>
    <xf numFmtId="9" fontId="19" fillId="0" borderId="0" xfId="3" applyFont="1" applyAlignment="1">
      <alignment horizontal="left" vertical="center" readingOrder="1"/>
    </xf>
    <xf numFmtId="9" fontId="20" fillId="0" borderId="0" xfId="3" applyFont="1" applyAlignment="1">
      <alignment horizontal="left" vertical="center" wrapText="1" readingOrder="1"/>
    </xf>
    <xf numFmtId="9" fontId="21" fillId="0" borderId="0" xfId="3" applyFont="1" applyAlignment="1">
      <alignment horizontal="center" wrapText="1" readingOrder="1"/>
    </xf>
    <xf numFmtId="0" fontId="21" fillId="0" borderId="0" xfId="3" applyNumberFormat="1" applyFont="1" applyAlignment="1">
      <alignment horizontal="center" wrapText="1" readingOrder="1"/>
    </xf>
    <xf numFmtId="0" fontId="15" fillId="0" borderId="0" xfId="0" applyFont="1"/>
    <xf numFmtId="9" fontId="22" fillId="17" borderId="0" xfId="3" applyFont="1" applyFill="1" applyAlignment="1">
      <alignment horizontal="center" readingOrder="1"/>
    </xf>
    <xf numFmtId="9" fontId="22" fillId="17" borderId="0" xfId="3" applyFont="1" applyFill="1" applyAlignment="1">
      <alignment horizontal="center" wrapText="1" readingOrder="1"/>
    </xf>
    <xf numFmtId="9" fontId="24" fillId="17" borderId="0" xfId="3" quotePrefix="1" applyFont="1" applyFill="1" applyAlignment="1">
      <alignment horizontal="centerContinuous" wrapText="1" readingOrder="1"/>
    </xf>
    <xf numFmtId="9" fontId="24" fillId="17" borderId="0" xfId="3" applyFont="1" applyFill="1" applyAlignment="1">
      <alignment horizontal="center" wrapText="1" readingOrder="1"/>
    </xf>
    <xf numFmtId="0" fontId="24" fillId="17" borderId="0" xfId="3" applyNumberFormat="1" applyFont="1" applyFill="1" applyAlignment="1">
      <alignment horizontal="center" wrapText="1" readingOrder="1"/>
    </xf>
    <xf numFmtId="9" fontId="23" fillId="17" borderId="0" xfId="3" applyFont="1" applyFill="1" applyAlignment="1">
      <alignment horizontal="center" wrapText="1" readingOrder="1"/>
    </xf>
    <xf numFmtId="9" fontId="23" fillId="17" borderId="0" xfId="3" applyFont="1" applyFill="1" applyAlignment="1">
      <alignment horizontal="center" readingOrder="1"/>
    </xf>
    <xf numFmtId="9" fontId="21" fillId="17" borderId="0" xfId="3" applyFont="1" applyFill="1" applyAlignment="1">
      <alignment horizontal="centerContinuous" readingOrder="1"/>
    </xf>
    <xf numFmtId="9" fontId="23" fillId="17" borderId="0" xfId="3" applyFont="1" applyFill="1" applyAlignment="1">
      <alignment horizontal="centerContinuous" readingOrder="1"/>
    </xf>
    <xf numFmtId="9" fontId="23" fillId="17" borderId="0" xfId="3" quotePrefix="1" applyFont="1" applyFill="1" applyAlignment="1">
      <alignment horizontal="centerContinuous" readingOrder="1"/>
    </xf>
    <xf numFmtId="9" fontId="24" fillId="17" borderId="0" xfId="3" applyFont="1" applyFill="1" applyAlignment="1">
      <alignment horizontal="centerContinuous" wrapText="1" readingOrder="1"/>
    </xf>
    <xf numFmtId="9" fontId="24" fillId="17" borderId="0" xfId="3" applyFont="1" applyFill="1" applyAlignment="1">
      <alignment horizontal="center" readingOrder="1"/>
    </xf>
    <xf numFmtId="9" fontId="24" fillId="17" borderId="0" xfId="3" applyFont="1" applyFill="1" applyAlignment="1">
      <alignment horizontal="left" wrapText="1" readingOrder="1"/>
    </xf>
    <xf numFmtId="9" fontId="22" fillId="17" borderId="0" xfId="3" applyFont="1" applyFill="1" applyAlignment="1">
      <alignment horizontal="centerContinuous" readingOrder="1"/>
    </xf>
    <xf numFmtId="0" fontId="22" fillId="17" borderId="0" xfId="3" applyNumberFormat="1" applyFont="1" applyFill="1" applyAlignment="1">
      <alignment horizontal="center" wrapText="1" readingOrder="1"/>
    </xf>
    <xf numFmtId="9" fontId="21" fillId="17" borderId="0" xfId="3" applyFont="1" applyFill="1" applyAlignment="1">
      <alignment horizontal="center" wrapText="1" readingOrder="1"/>
    </xf>
    <xf numFmtId="9" fontId="21" fillId="17" borderId="0" xfId="3" applyFont="1" applyFill="1" applyAlignment="1">
      <alignment horizontal="center" readingOrder="1"/>
    </xf>
    <xf numFmtId="9" fontId="25" fillId="0" borderId="0" xfId="3" applyFont="1" applyAlignment="1">
      <alignment vertical="center" readingOrder="1"/>
    </xf>
    <xf numFmtId="169" fontId="25" fillId="0" borderId="0" xfId="3" applyNumberFormat="1" applyFont="1" applyAlignment="1">
      <alignment horizontal="center" vertical="center" readingOrder="1"/>
    </xf>
    <xf numFmtId="170" fontId="25" fillId="0" borderId="0" xfId="3" applyNumberFormat="1" applyFont="1" applyAlignment="1">
      <alignment vertical="center" wrapText="1" readingOrder="1"/>
    </xf>
    <xf numFmtId="170" fontId="26" fillId="0" borderId="0" xfId="3" applyNumberFormat="1" applyFont="1" applyAlignment="1">
      <alignment horizontal="center" vertical="center" wrapText="1" readingOrder="1"/>
    </xf>
    <xf numFmtId="165" fontId="26" fillId="0" borderId="0" xfId="3" applyNumberFormat="1" applyFont="1" applyAlignment="1">
      <alignment horizontal="center" vertical="center" wrapText="1" readingOrder="1"/>
    </xf>
    <xf numFmtId="9" fontId="26" fillId="0" borderId="0" xfId="3" applyFont="1" applyAlignment="1">
      <alignment horizontal="center" vertical="center" wrapText="1" readingOrder="1"/>
    </xf>
    <xf numFmtId="0" fontId="26" fillId="0" borderId="0" xfId="3" applyNumberFormat="1" applyFont="1" applyAlignment="1">
      <alignment horizontal="center" vertical="center" wrapText="1" readingOrder="1"/>
    </xf>
    <xf numFmtId="171" fontId="26" fillId="0" borderId="0" xfId="3" applyNumberFormat="1" applyFont="1" applyAlignment="1">
      <alignment horizontal="center" vertical="center" wrapText="1" readingOrder="1"/>
    </xf>
    <xf numFmtId="14" fontId="26" fillId="0" borderId="0" xfId="3" applyNumberFormat="1" applyFont="1" applyAlignment="1">
      <alignment horizontal="center" vertical="center" wrapText="1" readingOrder="1"/>
    </xf>
    <xf numFmtId="172" fontId="26" fillId="0" borderId="0" xfId="3" applyNumberFormat="1" applyFont="1" applyAlignment="1">
      <alignment horizontal="center" vertical="center" wrapText="1" readingOrder="1"/>
    </xf>
    <xf numFmtId="173" fontId="26" fillId="0" borderId="0" xfId="3" applyNumberFormat="1" applyFont="1" applyAlignment="1">
      <alignment horizontal="center" vertical="center" wrapText="1" readingOrder="1"/>
    </xf>
    <xf numFmtId="1" fontId="26" fillId="0" borderId="0" xfId="3" applyNumberFormat="1" applyFont="1" applyAlignment="1">
      <alignment horizontal="center" vertical="center" wrapText="1" readingOrder="1"/>
    </xf>
    <xf numFmtId="0" fontId="26" fillId="0" borderId="0" xfId="0" applyFont="1"/>
    <xf numFmtId="0" fontId="27" fillId="0" borderId="0" xfId="0" applyFont="1"/>
    <xf numFmtId="9" fontId="28" fillId="18" borderId="2" xfId="3" applyFont="1" applyFill="1" applyBorder="1" applyAlignment="1">
      <alignment horizontal="left" vertical="center" readingOrder="1"/>
    </xf>
    <xf numFmtId="9" fontId="29" fillId="18" borderId="2" xfId="3" applyFont="1" applyFill="1" applyBorder="1" applyAlignment="1">
      <alignment horizontal="left" vertical="center" wrapText="1" readingOrder="1"/>
    </xf>
    <xf numFmtId="165" fontId="28" fillId="18" borderId="2" xfId="3" applyNumberFormat="1" applyFont="1" applyFill="1" applyBorder="1" applyAlignment="1">
      <alignment horizontal="center" vertical="center" wrapText="1" readingOrder="1"/>
    </xf>
    <xf numFmtId="0" fontId="29" fillId="18" borderId="2" xfId="3" applyNumberFormat="1" applyFont="1" applyFill="1" applyBorder="1" applyAlignment="1">
      <alignment horizontal="left" vertical="center" wrapText="1" readingOrder="1"/>
    </xf>
    <xf numFmtId="171" fontId="29" fillId="18" borderId="2" xfId="3" applyNumberFormat="1" applyFont="1" applyFill="1" applyBorder="1" applyAlignment="1">
      <alignment horizontal="center" vertical="center" wrapText="1" readingOrder="1"/>
    </xf>
    <xf numFmtId="171" fontId="28" fillId="18" borderId="2" xfId="3" applyNumberFormat="1" applyFont="1" applyFill="1" applyBorder="1" applyAlignment="1">
      <alignment horizontal="center" vertical="center" wrapText="1" readingOrder="1"/>
    </xf>
    <xf numFmtId="172" fontId="28" fillId="18" borderId="2" xfId="3" applyNumberFormat="1" applyFont="1" applyFill="1" applyBorder="1" applyAlignment="1">
      <alignment horizontal="center" vertical="center" wrapText="1" readingOrder="1"/>
    </xf>
    <xf numFmtId="165" fontId="29" fillId="18" borderId="2" xfId="3" applyNumberFormat="1" applyFont="1" applyFill="1" applyBorder="1" applyAlignment="1">
      <alignment horizontal="center" vertical="center" wrapText="1" readingOrder="1"/>
    </xf>
    <xf numFmtId="173" fontId="28" fillId="18" borderId="2" xfId="3" applyNumberFormat="1" applyFont="1" applyFill="1" applyBorder="1" applyAlignment="1">
      <alignment horizontal="center" vertical="center" wrapText="1" readingOrder="1"/>
    </xf>
    <xf numFmtId="9" fontId="29" fillId="18" borderId="2" xfId="3" applyFont="1" applyFill="1" applyBorder="1" applyAlignment="1">
      <alignment horizontal="center" vertical="center" wrapText="1" readingOrder="1"/>
    </xf>
    <xf numFmtId="9" fontId="28" fillId="18" borderId="2" xfId="3" applyFont="1" applyFill="1" applyBorder="1" applyAlignment="1">
      <alignment horizontal="center" vertical="center" wrapText="1" readingOrder="1"/>
    </xf>
    <xf numFmtId="1" fontId="28" fillId="18" borderId="2" xfId="3" applyNumberFormat="1" applyFont="1" applyFill="1" applyBorder="1" applyAlignment="1">
      <alignment horizontal="center" vertical="center" wrapText="1" readingOrder="1"/>
    </xf>
    <xf numFmtId="170" fontId="26" fillId="0" borderId="0" xfId="0" applyNumberFormat="1" applyFont="1"/>
    <xf numFmtId="9" fontId="28" fillId="19" borderId="2" xfId="3" applyFont="1" applyFill="1" applyBorder="1" applyAlignment="1">
      <alignment horizontal="left" vertical="center" readingOrder="1"/>
    </xf>
    <xf numFmtId="9" fontId="29" fillId="19" borderId="2" xfId="3" applyFont="1" applyFill="1" applyBorder="1" applyAlignment="1">
      <alignment horizontal="left" vertical="center" wrapText="1" readingOrder="1"/>
    </xf>
    <xf numFmtId="165" fontId="28" fillId="19" borderId="2" xfId="3" applyNumberFormat="1" applyFont="1" applyFill="1" applyBorder="1" applyAlignment="1">
      <alignment horizontal="center" vertical="center" wrapText="1" readingOrder="1"/>
    </xf>
    <xf numFmtId="0" fontId="29" fillId="19" borderId="2" xfId="3" applyNumberFormat="1" applyFont="1" applyFill="1" applyBorder="1" applyAlignment="1">
      <alignment horizontal="left" vertical="center" wrapText="1" readingOrder="1"/>
    </xf>
    <xf numFmtId="171" fontId="29" fillId="19" borderId="2" xfId="3" applyNumberFormat="1" applyFont="1" applyFill="1" applyBorder="1" applyAlignment="1">
      <alignment horizontal="center" vertical="center" wrapText="1" readingOrder="1"/>
    </xf>
    <xf numFmtId="171" fontId="28" fillId="19" borderId="2" xfId="3" applyNumberFormat="1" applyFont="1" applyFill="1" applyBorder="1" applyAlignment="1">
      <alignment horizontal="center" vertical="center" wrapText="1" readingOrder="1"/>
    </xf>
    <xf numFmtId="172" fontId="28" fillId="19" borderId="2" xfId="3" applyNumberFormat="1" applyFont="1" applyFill="1" applyBorder="1" applyAlignment="1">
      <alignment horizontal="center" vertical="center" wrapText="1" readingOrder="1"/>
    </xf>
    <xf numFmtId="165" fontId="29" fillId="19" borderId="2" xfId="3" applyNumberFormat="1" applyFont="1" applyFill="1" applyBorder="1" applyAlignment="1">
      <alignment horizontal="center" vertical="center" wrapText="1" readingOrder="1"/>
    </xf>
    <xf numFmtId="173" fontId="28" fillId="19" borderId="2" xfId="3" applyNumberFormat="1" applyFont="1" applyFill="1" applyBorder="1" applyAlignment="1">
      <alignment horizontal="center" vertical="center" wrapText="1" readingOrder="1"/>
    </xf>
    <xf numFmtId="9" fontId="29" fillId="19" borderId="2" xfId="3" applyFont="1" applyFill="1" applyBorder="1" applyAlignment="1">
      <alignment horizontal="center" vertical="center" wrapText="1" readingOrder="1"/>
    </xf>
    <xf numFmtId="9" fontId="28" fillId="19" borderId="2" xfId="3" applyFont="1" applyFill="1" applyBorder="1" applyAlignment="1">
      <alignment horizontal="center" vertical="center" wrapText="1" readingOrder="1"/>
    </xf>
    <xf numFmtId="1" fontId="28" fillId="19" borderId="2" xfId="3" applyNumberFormat="1" applyFont="1" applyFill="1" applyBorder="1" applyAlignment="1">
      <alignment horizontal="center" vertical="center" wrapText="1" readingOrder="1"/>
    </xf>
    <xf numFmtId="9" fontId="30" fillId="0" borderId="0" xfId="3" applyFont="1" applyAlignment="1">
      <alignment vertical="center" readingOrder="1"/>
    </xf>
    <xf numFmtId="9" fontId="31" fillId="0" borderId="0" xfId="3" applyFont="1" applyAlignment="1">
      <alignment vertical="center" readingOrder="1"/>
    </xf>
    <xf numFmtId="0" fontId="14" fillId="0" borderId="0" xfId="3" applyNumberFormat="1" applyFont="1"/>
    <xf numFmtId="174" fontId="32" fillId="0" borderId="0" xfId="3" applyNumberFormat="1" applyFont="1"/>
    <xf numFmtId="175" fontId="14" fillId="0" borderId="0" xfId="3" applyNumberFormat="1" applyFont="1"/>
    <xf numFmtId="9" fontId="33" fillId="0" borderId="0" xfId="3" quotePrefix="1" applyFont="1" applyAlignment="1">
      <alignment vertical="center" readingOrder="1"/>
    </xf>
    <xf numFmtId="174" fontId="14" fillId="0" borderId="0" xfId="3" applyNumberFormat="1" applyFont="1"/>
    <xf numFmtId="9" fontId="34" fillId="0" borderId="0" xfId="3" applyFont="1" applyAlignment="1">
      <alignment horizontal="center" vertical="center" wrapText="1" readingOrder="1"/>
    </xf>
    <xf numFmtId="9" fontId="33" fillId="0" borderId="0" xfId="3" applyFont="1" applyAlignment="1">
      <alignment vertical="center" readingOrder="1"/>
    </xf>
    <xf numFmtId="9" fontId="0" fillId="0" borderId="0" xfId="3" applyFont="1"/>
    <xf numFmtId="0" fontId="0" fillId="0" borderId="0" xfId="3" applyNumberFormat="1" applyFont="1"/>
    <xf numFmtId="0" fontId="4" fillId="20" borderId="0" xfId="0" applyFont="1" applyFill="1"/>
    <xf numFmtId="0" fontId="3" fillId="4" borderId="0" xfId="0" applyFont="1" applyFill="1"/>
    <xf numFmtId="9" fontId="4" fillId="0" borderId="0" xfId="0" applyNumberFormat="1" applyFont="1"/>
    <xf numFmtId="0" fontId="4" fillId="4" borderId="0" xfId="0" applyFont="1" applyFill="1"/>
    <xf numFmtId="165" fontId="10" fillId="4" borderId="0" xfId="3" applyNumberFormat="1" applyFont="1" applyFill="1" applyAlignment="1">
      <alignment horizontal="center"/>
    </xf>
    <xf numFmtId="164" fontId="4" fillId="0" borderId="0" xfId="2" applyNumberFormat="1" applyFont="1" applyAlignment="1">
      <alignment horizontal="right"/>
    </xf>
    <xf numFmtId="176" fontId="4" fillId="0" borderId="0" xfId="0" applyNumberFormat="1" applyFont="1"/>
    <xf numFmtId="0" fontId="4" fillId="0" borderId="49" xfId="0" applyFont="1" applyBorder="1"/>
    <xf numFmtId="177" fontId="4" fillId="0" borderId="0" xfId="0" applyNumberFormat="1" applyFont="1" applyAlignment="1">
      <alignment horizontal="left"/>
    </xf>
    <xf numFmtId="178" fontId="4" fillId="0" borderId="0" xfId="0" applyNumberFormat="1" applyFont="1" applyAlignment="1">
      <alignment horizontal="left"/>
    </xf>
    <xf numFmtId="179" fontId="4" fillId="0" borderId="0" xfId="0" applyNumberFormat="1" applyFont="1" applyAlignment="1">
      <alignment horizontal="left"/>
    </xf>
    <xf numFmtId="174" fontId="4" fillId="0" borderId="0" xfId="3" applyNumberFormat="1" applyFont="1"/>
    <xf numFmtId="10" fontId="7" fillId="14" borderId="0" xfId="3" applyNumberFormat="1" applyFont="1" applyFill="1" applyAlignment="1">
      <alignment horizontal="center"/>
    </xf>
    <xf numFmtId="180" fontId="0" fillId="0" borderId="0" xfId="0" applyNumberFormat="1"/>
    <xf numFmtId="180" fontId="35" fillId="21" borderId="0" xfId="0" applyNumberFormat="1" applyFont="1" applyFill="1" applyAlignment="1">
      <alignment horizontal="center"/>
    </xf>
    <xf numFmtId="0" fontId="35" fillId="21" borderId="0" xfId="0" applyFont="1" applyFill="1" applyAlignment="1">
      <alignment horizontal="center"/>
    </xf>
    <xf numFmtId="180" fontId="36" fillId="0" borderId="0" xfId="0" applyNumberFormat="1" applyFont="1"/>
    <xf numFmtId="181" fontId="0" fillId="0" borderId="0" xfId="0" applyNumberFormat="1"/>
    <xf numFmtId="0" fontId="35" fillId="21" borderId="0" xfId="0" applyFont="1" applyFill="1" applyAlignment="1">
      <alignment horizontal="center" vertical="center"/>
    </xf>
    <xf numFmtId="182" fontId="35" fillId="21" borderId="0" xfId="0" applyNumberFormat="1" applyFont="1" applyFill="1" applyAlignment="1">
      <alignment horizontal="center" vertical="center"/>
    </xf>
    <xf numFmtId="182" fontId="35" fillId="21" borderId="0" xfId="0" applyNumberFormat="1" applyFont="1" applyFill="1" applyAlignment="1">
      <alignment horizontal="center" vertical="center" wrapText="1"/>
    </xf>
    <xf numFmtId="182" fontId="35" fillId="21" borderId="50" xfId="0" applyNumberFormat="1" applyFont="1" applyFill="1" applyBorder="1" applyAlignment="1">
      <alignment horizontal="centerContinuous" vertical="center" wrapText="1"/>
    </xf>
    <xf numFmtId="0" fontId="35" fillId="21" borderId="0" xfId="0" applyFont="1" applyFill="1" applyAlignment="1">
      <alignment horizontal="center" vertical="center" wrapText="1"/>
    </xf>
    <xf numFmtId="9" fontId="37" fillId="0" borderId="0" xfId="3" applyFont="1" applyAlignment="1">
      <alignment horizontal="left" vertical="center" wrapText="1" readingOrder="1"/>
    </xf>
    <xf numFmtId="183" fontId="37" fillId="0" borderId="0" xfId="3" applyNumberFormat="1" applyFont="1" applyAlignment="1">
      <alignment horizontal="left" vertical="center" wrapText="1" readingOrder="1"/>
    </xf>
    <xf numFmtId="183" fontId="37" fillId="0" borderId="0" xfId="3" applyNumberFormat="1" applyFont="1" applyAlignment="1">
      <alignment horizontal="center" vertical="center" wrapText="1" readingOrder="1"/>
    </xf>
    <xf numFmtId="9" fontId="37" fillId="0" borderId="0" xfId="3" applyFont="1" applyAlignment="1">
      <alignment vertical="center" wrapText="1" readingOrder="1"/>
    </xf>
    <xf numFmtId="0" fontId="0" fillId="0" borderId="0" xfId="0" applyAlignment="1">
      <alignment vertical="center"/>
    </xf>
    <xf numFmtId="182" fontId="37" fillId="0" borderId="0" xfId="3" applyNumberFormat="1" applyFont="1" applyAlignment="1">
      <alignment horizontal="left" vertical="center" wrapText="1" readingOrder="1"/>
    </xf>
    <xf numFmtId="182" fontId="37" fillId="0" borderId="0" xfId="3" applyNumberFormat="1" applyFont="1" applyAlignment="1">
      <alignment horizontal="center" vertical="center" wrapText="1" readingOrder="1"/>
    </xf>
    <xf numFmtId="0" fontId="14" fillId="0" borderId="0" xfId="0" applyFont="1" applyAlignment="1">
      <alignment vertical="center"/>
    </xf>
    <xf numFmtId="0" fontId="0" fillId="0" borderId="0" xfId="0" quotePrefix="1" applyAlignment="1">
      <alignment vertical="center"/>
    </xf>
    <xf numFmtId="182" fontId="0" fillId="0" borderId="0" xfId="0" applyNumberFormat="1" applyAlignment="1">
      <alignment vertical="center"/>
    </xf>
    <xf numFmtId="182" fontId="0" fillId="0" borderId="0" xfId="0" applyNumberFormat="1" applyAlignment="1">
      <alignment horizontal="center" vertical="center"/>
    </xf>
    <xf numFmtId="167" fontId="4" fillId="0" borderId="0" xfId="0" applyNumberFormat="1" applyFont="1"/>
    <xf numFmtId="3" fontId="4" fillId="0" borderId="0" xfId="0" applyNumberFormat="1" applyFont="1"/>
    <xf numFmtId="0" fontId="3" fillId="22" borderId="0" xfId="0" applyFont="1" applyFill="1"/>
    <xf numFmtId="184" fontId="3" fillId="22" borderId="0" xfId="0" applyNumberFormat="1" applyFont="1" applyFill="1" applyAlignment="1">
      <alignment horizontal="left"/>
    </xf>
    <xf numFmtId="168" fontId="3" fillId="22" borderId="0" xfId="0" applyNumberFormat="1" applyFont="1" applyFill="1" applyAlignment="1">
      <alignment horizontal="left"/>
    </xf>
    <xf numFmtId="165" fontId="10" fillId="22" borderId="0" xfId="3" applyNumberFormat="1" applyFont="1" applyFill="1" applyAlignment="1">
      <alignment horizontal="center"/>
    </xf>
    <xf numFmtId="0" fontId="4" fillId="22" borderId="0" xfId="0" applyFont="1" applyFill="1" applyAlignment="1">
      <alignment horizontal="centerContinuous"/>
    </xf>
    <xf numFmtId="3" fontId="7" fillId="22" borderId="0" xfId="0" applyNumberFormat="1" applyFont="1" applyFill="1" applyAlignment="1">
      <alignment horizontal="center"/>
    </xf>
    <xf numFmtId="41" fontId="4" fillId="22" borderId="0" xfId="0" applyNumberFormat="1" applyFont="1" applyFill="1"/>
    <xf numFmtId="165" fontId="4" fillId="22" borderId="0" xfId="3" applyNumberFormat="1" applyFont="1" applyFill="1" applyAlignment="1">
      <alignment horizontal="center"/>
    </xf>
    <xf numFmtId="0" fontId="4" fillId="22" borderId="0" xfId="0" applyFont="1" applyFill="1"/>
    <xf numFmtId="3" fontId="10" fillId="22" borderId="0" xfId="0" applyNumberFormat="1" applyFont="1" applyFill="1" applyAlignment="1">
      <alignment horizontal="center"/>
    </xf>
    <xf numFmtId="0" fontId="5" fillId="22" borderId="0" xfId="0" applyFont="1" applyFill="1"/>
    <xf numFmtId="165" fontId="4" fillId="22" borderId="0" xfId="3" applyNumberFormat="1" applyFont="1" applyFill="1"/>
    <xf numFmtId="185" fontId="38" fillId="0" borderId="0" xfId="0" applyNumberFormat="1" applyFont="1" applyAlignment="1">
      <alignment horizontal="center"/>
    </xf>
    <xf numFmtId="0" fontId="39" fillId="0" borderId="0" xfId="0" applyFont="1"/>
    <xf numFmtId="186" fontId="3" fillId="0" borderId="0" xfId="0" applyNumberFormat="1" applyFont="1" applyAlignment="1">
      <alignment horizontal="left"/>
    </xf>
    <xf numFmtId="0" fontId="5" fillId="0" borderId="0" xfId="0" applyFont="1" applyAlignment="1">
      <alignment horizontal="left"/>
    </xf>
    <xf numFmtId="0" fontId="0" fillId="4" borderId="0" xfId="0" applyFill="1"/>
    <xf numFmtId="180" fontId="36" fillId="0" borderId="0" xfId="0" applyNumberFormat="1" applyFont="1" applyAlignment="1">
      <alignment horizontal="center"/>
    </xf>
    <xf numFmtId="0" fontId="0" fillId="0" borderId="0" xfId="0" quotePrefix="1"/>
    <xf numFmtId="9" fontId="0" fillId="0" borderId="0" xfId="0" applyNumberFormat="1"/>
    <xf numFmtId="10" fontId="41" fillId="0" borderId="0" xfId="3" applyNumberFormat="1" applyFont="1" applyAlignment="1">
      <alignment horizontal="center"/>
    </xf>
    <xf numFmtId="0" fontId="42" fillId="0" borderId="0" xfId="0" applyFont="1"/>
    <xf numFmtId="181" fontId="0" fillId="0" borderId="0" xfId="0" applyNumberFormat="1" applyAlignment="1">
      <alignment horizontal="right"/>
    </xf>
    <xf numFmtId="180" fontId="0" fillId="0" borderId="0" xfId="0" applyNumberFormat="1" applyAlignment="1">
      <alignment vertical="center"/>
    </xf>
    <xf numFmtId="14" fontId="36" fillId="19" borderId="0" xfId="0" applyNumberFormat="1" applyFont="1" applyFill="1" applyAlignment="1">
      <alignment horizontal="center" vertical="center" wrapText="1"/>
    </xf>
    <xf numFmtId="0" fontId="43" fillId="0" borderId="0" xfId="0" applyFont="1"/>
    <xf numFmtId="14" fontId="0" fillId="0" borderId="0" xfId="0" applyNumberFormat="1"/>
    <xf numFmtId="0" fontId="44" fillId="5" borderId="0" xfId="0" applyFont="1" applyFill="1" applyAlignment="1">
      <alignment horizontal="left"/>
    </xf>
    <xf numFmtId="0" fontId="46" fillId="5" borderId="0" xfId="0" applyFont="1" applyFill="1" applyAlignment="1">
      <alignment horizontal="left"/>
    </xf>
    <xf numFmtId="14" fontId="46" fillId="5" borderId="0" xfId="0" applyNumberFormat="1" applyFont="1" applyFill="1" applyAlignment="1">
      <alignment horizontal="left"/>
    </xf>
    <xf numFmtId="187" fontId="46" fillId="5" borderId="0" xfId="0" applyNumberFormat="1" applyFont="1" applyFill="1" applyAlignment="1">
      <alignment horizontal="left"/>
    </xf>
    <xf numFmtId="188" fontId="18" fillId="7" borderId="33" xfId="1" applyNumberFormat="1" applyFont="1" applyFill="1" applyBorder="1" applyAlignment="1">
      <alignment horizontal="left"/>
    </xf>
    <xf numFmtId="14" fontId="47" fillId="5" borderId="0" xfId="0" applyNumberFormat="1" applyFont="1" applyFill="1" applyAlignment="1">
      <alignment horizontal="left"/>
    </xf>
    <xf numFmtId="189" fontId="49" fillId="5" borderId="0" xfId="0" applyNumberFormat="1" applyFont="1" applyFill="1" applyAlignment="1">
      <alignment horizontal="right"/>
    </xf>
    <xf numFmtId="49" fontId="46" fillId="5" borderId="0" xfId="0" applyNumberFormat="1" applyFont="1" applyFill="1" applyAlignment="1">
      <alignment horizontal="left"/>
    </xf>
    <xf numFmtId="0" fontId="50" fillId="5" borderId="34" xfId="0" applyFont="1" applyFill="1" applyBorder="1" applyAlignment="1">
      <alignment horizontal="center"/>
    </xf>
    <xf numFmtId="0" fontId="46" fillId="0" borderId="0" xfId="0" applyFont="1" applyAlignment="1">
      <alignment horizontal="left"/>
    </xf>
    <xf numFmtId="14" fontId="46" fillId="0" borderId="0" xfId="0" applyNumberFormat="1" applyFont="1" applyAlignment="1">
      <alignment horizontal="left"/>
    </xf>
    <xf numFmtId="0" fontId="50" fillId="0" borderId="35" xfId="0" applyFont="1" applyBorder="1" applyAlignment="1">
      <alignment horizontal="center"/>
    </xf>
    <xf numFmtId="0" fontId="15" fillId="5" borderId="0" xfId="0" applyFont="1" applyFill="1" applyAlignment="1">
      <alignment horizontal="left"/>
    </xf>
    <xf numFmtId="49" fontId="35" fillId="9" borderId="36" xfId="5" applyNumberFormat="1" applyFont="1" applyFill="1" applyBorder="1" applyAlignment="1">
      <alignment horizontal="left" wrapText="1"/>
    </xf>
    <xf numFmtId="49" fontId="35" fillId="9" borderId="36" xfId="5" applyNumberFormat="1" applyFont="1" applyFill="1" applyBorder="1" applyAlignment="1">
      <alignment horizontal="center" wrapText="1"/>
    </xf>
    <xf numFmtId="0" fontId="35" fillId="9" borderId="36" xfId="5" applyFont="1" applyFill="1" applyBorder="1" applyAlignment="1">
      <alignment horizontal="center" wrapText="1"/>
    </xf>
    <xf numFmtId="14" fontId="35" fillId="9" borderId="0" xfId="5" applyNumberFormat="1" applyFont="1" applyFill="1" applyAlignment="1">
      <alignment horizontal="center" wrapText="1"/>
    </xf>
    <xf numFmtId="49" fontId="15" fillId="10" borderId="0" xfId="0" applyNumberFormat="1" applyFont="1" applyFill="1" applyAlignment="1">
      <alignment horizontal="center" wrapText="1"/>
    </xf>
    <xf numFmtId="167" fontId="15" fillId="10" borderId="37" xfId="1" applyNumberFormat="1" applyFont="1" applyFill="1" applyBorder="1" applyAlignment="1">
      <alignment horizontal="center" wrapText="1"/>
    </xf>
    <xf numFmtId="167" fontId="15" fillId="10" borderId="38" xfId="1" applyNumberFormat="1" applyFont="1" applyFill="1" applyBorder="1" applyAlignment="1">
      <alignment horizontal="center" wrapText="1"/>
    </xf>
    <xf numFmtId="49" fontId="35" fillId="9" borderId="43" xfId="5" applyNumberFormat="1" applyFont="1" applyFill="1" applyBorder="1" applyAlignment="1">
      <alignment horizontal="center" wrapText="1"/>
    </xf>
    <xf numFmtId="49" fontId="35" fillId="9" borderId="5" xfId="5" applyNumberFormat="1" applyFont="1" applyFill="1" applyBorder="1" applyAlignment="1">
      <alignment horizontal="center" wrapText="1"/>
    </xf>
    <xf numFmtId="49" fontId="35" fillId="9" borderId="0" xfId="5" applyNumberFormat="1" applyFont="1" applyFill="1" applyAlignment="1">
      <alignment horizontal="center" wrapText="1"/>
    </xf>
    <xf numFmtId="0" fontId="49" fillId="5" borderId="0" xfId="0" applyFont="1" applyFill="1" applyAlignment="1">
      <alignment horizontal="left"/>
    </xf>
    <xf numFmtId="190" fontId="49" fillId="6" borderId="32" xfId="0" applyNumberFormat="1" applyFont="1" applyFill="1" applyBorder="1" applyAlignment="1">
      <alignment horizontal="right"/>
    </xf>
    <xf numFmtId="1" fontId="44" fillId="6" borderId="32" xfId="0" applyNumberFormat="1" applyFont="1" applyFill="1" applyBorder="1" applyAlignment="1">
      <alignment horizontal="right"/>
    </xf>
    <xf numFmtId="49" fontId="44" fillId="6" borderId="32" xfId="0" applyNumberFormat="1" applyFont="1" applyFill="1" applyBorder="1" applyAlignment="1">
      <alignment horizontal="left"/>
    </xf>
    <xf numFmtId="49" fontId="46" fillId="6" borderId="32" xfId="0" applyNumberFormat="1" applyFont="1" applyFill="1" applyBorder="1" applyAlignment="1">
      <alignment horizontal="left"/>
    </xf>
    <xf numFmtId="49" fontId="44" fillId="11" borderId="32" xfId="0" applyNumberFormat="1" applyFont="1" applyFill="1" applyBorder="1" applyAlignment="1">
      <alignment horizontal="left"/>
    </xf>
    <xf numFmtId="189" fontId="47" fillId="6" borderId="32" xfId="0" applyNumberFormat="1" applyFont="1" applyFill="1" applyBorder="1" applyAlignment="1">
      <alignment horizontal="right"/>
    </xf>
    <xf numFmtId="189" fontId="49" fillId="6" borderId="32" xfId="0" applyNumberFormat="1" applyFont="1" applyFill="1" applyBorder="1" applyAlignment="1">
      <alignment horizontal="right"/>
    </xf>
    <xf numFmtId="191" fontId="46" fillId="6" borderId="32" xfId="0" applyNumberFormat="1" applyFont="1" applyFill="1" applyBorder="1" applyAlignment="1">
      <alignment horizontal="right"/>
    </xf>
    <xf numFmtId="9" fontId="44" fillId="0" borderId="32" xfId="0" applyNumberFormat="1" applyFont="1" applyBorder="1" applyAlignment="1">
      <alignment horizontal="right"/>
    </xf>
    <xf numFmtId="165" fontId="49" fillId="6" borderId="32" xfId="3" applyNumberFormat="1" applyFont="1" applyFill="1" applyBorder="1" applyAlignment="1">
      <alignment horizontal="right"/>
    </xf>
    <xf numFmtId="9" fontId="47" fillId="5" borderId="32" xfId="3" applyFont="1" applyFill="1" applyBorder="1" applyAlignment="1">
      <alignment horizontal="right"/>
    </xf>
    <xf numFmtId="14" fontId="44" fillId="6" borderId="32" xfId="0" applyNumberFormat="1" applyFont="1" applyFill="1" applyBorder="1" applyAlignment="1">
      <alignment horizontal="center"/>
    </xf>
    <xf numFmtId="49" fontId="44" fillId="6" borderId="32" xfId="0" applyNumberFormat="1" applyFont="1" applyFill="1" applyBorder="1" applyAlignment="1">
      <alignment horizontal="center"/>
    </xf>
    <xf numFmtId="49" fontId="36" fillId="6" borderId="32" xfId="0" applyNumberFormat="1" applyFont="1" applyFill="1" applyBorder="1" applyAlignment="1">
      <alignment horizontal="center"/>
    </xf>
    <xf numFmtId="0" fontId="44" fillId="6" borderId="32" xfId="0" applyFont="1" applyFill="1" applyBorder="1" applyAlignment="1">
      <alignment horizontal="center"/>
    </xf>
    <xf numFmtId="0" fontId="46" fillId="11" borderId="32" xfId="0" applyFont="1" applyFill="1" applyBorder="1" applyAlignment="1">
      <alignment horizontal="center"/>
    </xf>
    <xf numFmtId="192" fontId="46" fillId="11" borderId="32" xfId="0" applyNumberFormat="1" applyFont="1" applyFill="1" applyBorder="1" applyAlignment="1">
      <alignment horizontal="center"/>
    </xf>
    <xf numFmtId="49" fontId="46" fillId="5" borderId="32" xfId="0" applyNumberFormat="1" applyFont="1" applyFill="1" applyBorder="1" applyAlignment="1">
      <alignment horizontal="center"/>
    </xf>
    <xf numFmtId="14" fontId="44" fillId="5" borderId="0" xfId="0" applyNumberFormat="1" applyFont="1" applyFill="1" applyAlignment="1">
      <alignment horizontal="center"/>
    </xf>
    <xf numFmtId="43" fontId="44" fillId="12" borderId="0" xfId="1" applyFont="1" applyFill="1" applyAlignment="1">
      <alignment horizontal="center"/>
    </xf>
    <xf numFmtId="167" fontId="49" fillId="12" borderId="15" xfId="1" applyNumberFormat="1" applyFont="1" applyFill="1" applyBorder="1" applyAlignment="1">
      <alignment horizontal="center"/>
    </xf>
    <xf numFmtId="167" fontId="49" fillId="12" borderId="17" xfId="1" applyNumberFormat="1" applyFont="1" applyFill="1" applyBorder="1" applyAlignment="1">
      <alignment horizontal="center"/>
    </xf>
    <xf numFmtId="191" fontId="44" fillId="0" borderId="32" xfId="0" applyNumberFormat="1" applyFont="1" applyBorder="1" applyAlignment="1">
      <alignment horizontal="right"/>
    </xf>
    <xf numFmtId="190" fontId="47" fillId="0" borderId="32" xfId="0" applyNumberFormat="1" applyFont="1" applyBorder="1" applyAlignment="1">
      <alignment horizontal="right"/>
    </xf>
    <xf numFmtId="191" fontId="49" fillId="0" borderId="32" xfId="0" applyNumberFormat="1" applyFont="1" applyBorder="1" applyAlignment="1">
      <alignment horizontal="right"/>
    </xf>
    <xf numFmtId="193" fontId="44" fillId="0" borderId="32" xfId="0" applyNumberFormat="1" applyFont="1" applyBorder="1" applyAlignment="1">
      <alignment horizontal="right"/>
    </xf>
    <xf numFmtId="193" fontId="49" fillId="0" borderId="32" xfId="0" applyNumberFormat="1" applyFont="1" applyBorder="1" applyAlignment="1">
      <alignment horizontal="right"/>
    </xf>
    <xf numFmtId="191" fontId="47" fillId="0" borderId="32" xfId="0" applyNumberFormat="1" applyFont="1" applyBorder="1" applyAlignment="1">
      <alignment horizontal="right"/>
    </xf>
    <xf numFmtId="193" fontId="46" fillId="0" borderId="32" xfId="0" applyNumberFormat="1" applyFont="1" applyBorder="1" applyAlignment="1">
      <alignment horizontal="right"/>
    </xf>
    <xf numFmtId="193" fontId="47" fillId="0" borderId="32" xfId="0" applyNumberFormat="1" applyFont="1" applyBorder="1" applyAlignment="1">
      <alignment horizontal="right"/>
    </xf>
    <xf numFmtId="181" fontId="47" fillId="0" borderId="32" xfId="0" applyNumberFormat="1" applyFont="1" applyBorder="1" applyAlignment="1">
      <alignment horizontal="right"/>
    </xf>
    <xf numFmtId="1" fontId="44" fillId="5" borderId="32" xfId="0" applyNumberFormat="1" applyFont="1" applyFill="1" applyBorder="1" applyAlignment="1">
      <alignment horizontal="right"/>
    </xf>
    <xf numFmtId="49" fontId="44" fillId="5" borderId="32" xfId="0" applyNumberFormat="1" applyFont="1" applyFill="1" applyBorder="1" applyAlignment="1">
      <alignment horizontal="left"/>
    </xf>
    <xf numFmtId="0" fontId="49" fillId="5" borderId="32" xfId="0" applyFont="1" applyFill="1" applyBorder="1" applyAlignment="1">
      <alignment horizontal="right"/>
    </xf>
    <xf numFmtId="49" fontId="46" fillId="5" borderId="32" xfId="0" applyNumberFormat="1" applyFont="1" applyFill="1" applyBorder="1" applyAlignment="1">
      <alignment horizontal="left"/>
    </xf>
    <xf numFmtId="14" fontId="44" fillId="5" borderId="32" xfId="0" applyNumberFormat="1" applyFont="1" applyFill="1" applyBorder="1" applyAlignment="1">
      <alignment horizontal="center"/>
    </xf>
    <xf numFmtId="49" fontId="44" fillId="5" borderId="32" xfId="0" applyNumberFormat="1" applyFont="1" applyFill="1" applyBorder="1" applyAlignment="1">
      <alignment horizontal="center"/>
    </xf>
    <xf numFmtId="49" fontId="36" fillId="5" borderId="32" xfId="0" applyNumberFormat="1" applyFont="1" applyFill="1" applyBorder="1" applyAlignment="1">
      <alignment horizontal="center"/>
    </xf>
    <xf numFmtId="0" fontId="44" fillId="5" borderId="32" xfId="0" applyFont="1" applyFill="1" applyBorder="1" applyAlignment="1">
      <alignment horizontal="center"/>
    </xf>
    <xf numFmtId="190" fontId="49" fillId="0" borderId="32" xfId="0" applyNumberFormat="1" applyFont="1" applyBorder="1" applyAlignment="1">
      <alignment horizontal="right"/>
    </xf>
    <xf numFmtId="0" fontId="46" fillId="6" borderId="32" xfId="0" applyFont="1" applyFill="1" applyBorder="1" applyAlignment="1">
      <alignment horizontal="right"/>
    </xf>
    <xf numFmtId="14" fontId="36" fillId="5" borderId="0" xfId="0" applyNumberFormat="1" applyFont="1" applyFill="1" applyAlignment="1">
      <alignment horizontal="center"/>
    </xf>
    <xf numFmtId="14" fontId="36" fillId="6" borderId="32" xfId="0" applyNumberFormat="1" applyFont="1" applyFill="1" applyBorder="1" applyAlignment="1">
      <alignment horizontal="center"/>
    </xf>
    <xf numFmtId="49" fontId="36" fillId="5" borderId="32" xfId="0" applyNumberFormat="1" applyFont="1" applyFill="1" applyBorder="1" applyAlignment="1">
      <alignment horizontal="left"/>
    </xf>
    <xf numFmtId="49" fontId="46" fillId="11" borderId="32" xfId="0" applyNumberFormat="1" applyFont="1" applyFill="1" applyBorder="1" applyAlignment="1">
      <alignment horizontal="left"/>
    </xf>
    <xf numFmtId="191" fontId="46" fillId="5" borderId="32" xfId="0" applyNumberFormat="1" applyFont="1" applyFill="1" applyBorder="1" applyAlignment="1">
      <alignment horizontal="right"/>
    </xf>
    <xf numFmtId="190" fontId="46" fillId="5" borderId="32" xfId="0" applyNumberFormat="1" applyFont="1" applyFill="1" applyBorder="1" applyAlignment="1">
      <alignment horizontal="right"/>
    </xf>
    <xf numFmtId="0" fontId="46" fillId="5" borderId="32" xfId="0" applyFont="1" applyFill="1" applyBorder="1" applyAlignment="1">
      <alignment horizontal="right"/>
    </xf>
    <xf numFmtId="0" fontId="46" fillId="5" borderId="32" xfId="0" applyFont="1" applyFill="1" applyBorder="1" applyAlignment="1">
      <alignment horizontal="center"/>
    </xf>
    <xf numFmtId="14" fontId="36" fillId="0" borderId="32" xfId="0" applyNumberFormat="1" applyFont="1" applyBorder="1" applyAlignment="1">
      <alignment horizontal="center"/>
    </xf>
    <xf numFmtId="49" fontId="36" fillId="0" borderId="32" xfId="0" applyNumberFormat="1" applyFont="1" applyBorder="1" applyAlignment="1">
      <alignment horizontal="left"/>
    </xf>
    <xf numFmtId="181" fontId="44" fillId="0" borderId="32" xfId="0" applyNumberFormat="1" applyFont="1" applyBorder="1" applyAlignment="1">
      <alignment horizontal="right"/>
    </xf>
    <xf numFmtId="181" fontId="49" fillId="0" borderId="32" xfId="0" applyNumberFormat="1" applyFont="1" applyBorder="1" applyAlignment="1">
      <alignment horizontal="right"/>
    </xf>
    <xf numFmtId="14" fontId="36" fillId="0" borderId="0" xfId="0" applyNumberFormat="1" applyFont="1" applyAlignment="1">
      <alignment horizontal="center"/>
    </xf>
    <xf numFmtId="0" fontId="36" fillId="11" borderId="32" xfId="0" applyFont="1" applyFill="1" applyBorder="1" applyAlignment="1">
      <alignment horizontal="center"/>
    </xf>
    <xf numFmtId="192" fontId="36" fillId="11" borderId="32" xfId="0" applyNumberFormat="1" applyFont="1" applyFill="1" applyBorder="1" applyAlignment="1">
      <alignment horizontal="center"/>
    </xf>
    <xf numFmtId="194" fontId="0" fillId="0" borderId="0" xfId="0" applyNumberFormat="1"/>
    <xf numFmtId="193" fontId="51" fillId="0" borderId="32" xfId="0" applyNumberFormat="1" applyFont="1" applyBorder="1" applyAlignment="1">
      <alignment horizontal="right"/>
    </xf>
    <xf numFmtId="193" fontId="36" fillId="0" borderId="32" xfId="0" applyNumberFormat="1" applyFont="1" applyBorder="1" applyAlignment="1">
      <alignment horizontal="right"/>
    </xf>
    <xf numFmtId="1" fontId="37" fillId="5" borderId="32" xfId="0" applyNumberFormat="1" applyFont="1" applyFill="1" applyBorder="1" applyAlignment="1">
      <alignment horizontal="right"/>
    </xf>
    <xf numFmtId="0" fontId="36" fillId="6" borderId="32" xfId="0" applyFont="1" applyFill="1" applyBorder="1" applyAlignment="1">
      <alignment horizontal="right"/>
    </xf>
    <xf numFmtId="1" fontId="36" fillId="6" borderId="32" xfId="0" applyNumberFormat="1" applyFont="1" applyFill="1" applyBorder="1" applyAlignment="1">
      <alignment horizontal="right"/>
    </xf>
    <xf numFmtId="192" fontId="36" fillId="6" borderId="32" xfId="0" applyNumberFormat="1" applyFont="1" applyFill="1" applyBorder="1" applyAlignment="1">
      <alignment horizontal="right"/>
    </xf>
    <xf numFmtId="1" fontId="11" fillId="0" borderId="32" xfId="0" applyNumberFormat="1" applyFont="1" applyBorder="1" applyAlignment="1">
      <alignment horizontal="right"/>
    </xf>
    <xf numFmtId="181" fontId="36" fillId="0" borderId="0" xfId="0" applyNumberFormat="1" applyFont="1" applyAlignment="1">
      <alignment horizontal="right"/>
    </xf>
    <xf numFmtId="190" fontId="36" fillId="6" borderId="32" xfId="0" applyNumberFormat="1" applyFont="1" applyFill="1" applyBorder="1" applyAlignment="1">
      <alignment horizontal="right"/>
    </xf>
    <xf numFmtId="49" fontId="36" fillId="6" borderId="32" xfId="0" applyNumberFormat="1" applyFont="1" applyFill="1" applyBorder="1" applyAlignment="1">
      <alignment horizontal="left"/>
    </xf>
    <xf numFmtId="0" fontId="53" fillId="0" borderId="0" xfId="0" applyFont="1"/>
    <xf numFmtId="164" fontId="53" fillId="0" borderId="0" xfId="2" applyNumberFormat="1" applyFont="1" applyAlignment="1">
      <alignment horizontal="center"/>
    </xf>
    <xf numFmtId="0" fontId="52" fillId="0" borderId="0" xfId="0" applyFont="1"/>
    <xf numFmtId="14" fontId="55" fillId="0" borderId="0" xfId="0" applyNumberFormat="1" applyFont="1"/>
    <xf numFmtId="14" fontId="54" fillId="0" borderId="3" xfId="0" applyNumberFormat="1" applyFont="1" applyBorder="1" applyAlignment="1">
      <alignment horizontal="center" vertical="center"/>
    </xf>
    <xf numFmtId="164" fontId="54" fillId="0" borderId="0" xfId="2" applyNumberFormat="1" applyFont="1" applyAlignment="1">
      <alignment horizontal="center" vertical="center"/>
    </xf>
    <xf numFmtId="180" fontId="53" fillId="0" borderId="0" xfId="0" applyNumberFormat="1" applyFont="1"/>
    <xf numFmtId="0" fontId="53" fillId="4" borderId="0" xfId="0" applyFont="1" applyFill="1"/>
    <xf numFmtId="0" fontId="53" fillId="0" borderId="0" xfId="0" applyFont="1" applyAlignment="1">
      <alignment vertical="top"/>
    </xf>
    <xf numFmtId="164" fontId="53" fillId="0" borderId="0" xfId="2" applyNumberFormat="1" applyFont="1" applyAlignment="1">
      <alignment horizontal="left" vertical="top" wrapText="1"/>
    </xf>
    <xf numFmtId="164" fontId="53" fillId="0" borderId="0" xfId="0" applyNumberFormat="1" applyFont="1"/>
    <xf numFmtId="0" fontId="53" fillId="15" borderId="0" xfId="0" applyFont="1" applyFill="1"/>
    <xf numFmtId="0" fontId="53" fillId="15" borderId="0" xfId="0" applyFont="1" applyFill="1" applyAlignment="1">
      <alignment vertical="top"/>
    </xf>
    <xf numFmtId="164" fontId="53" fillId="15" borderId="0" xfId="2" applyNumberFormat="1" applyFont="1" applyFill="1" applyAlignment="1">
      <alignment horizontal="left" vertical="top" wrapText="1"/>
    </xf>
    <xf numFmtId="44" fontId="53" fillId="0" borderId="0" xfId="0" applyNumberFormat="1" applyFont="1"/>
    <xf numFmtId="0" fontId="53" fillId="0" borderId="4" xfId="0" applyFont="1" applyBorder="1" applyAlignment="1">
      <alignment horizontal="left" vertical="top" wrapText="1"/>
    </xf>
    <xf numFmtId="164" fontId="53" fillId="0" borderId="4" xfId="2" applyNumberFormat="1" applyFont="1" applyBorder="1" applyAlignment="1">
      <alignment horizontal="left" vertical="top" wrapText="1"/>
    </xf>
    <xf numFmtId="164" fontId="53" fillId="19" borderId="0" xfId="2" applyNumberFormat="1" applyFont="1" applyFill="1" applyAlignment="1">
      <alignment horizontal="center"/>
    </xf>
    <xf numFmtId="9" fontId="53" fillId="4" borderId="0" xfId="0" applyNumberFormat="1" applyFont="1" applyFill="1" applyAlignment="1">
      <alignment horizontal="center"/>
    </xf>
    <xf numFmtId="9" fontId="59" fillId="4" borderId="0" xfId="0" applyNumberFormat="1" applyFont="1" applyFill="1" applyAlignment="1">
      <alignment horizontal="center"/>
    </xf>
    <xf numFmtId="0" fontId="53" fillId="0" borderId="0" xfId="0" applyFont="1" applyAlignment="1">
      <alignment horizontal="right"/>
    </xf>
    <xf numFmtId="10" fontId="53" fillId="0" borderId="0" xfId="3" applyNumberFormat="1" applyFont="1" applyAlignment="1">
      <alignment horizontal="right"/>
    </xf>
    <xf numFmtId="185" fontId="53" fillId="0" borderId="0" xfId="3" applyNumberFormat="1" applyFont="1" applyAlignment="1">
      <alignment horizontal="right"/>
    </xf>
    <xf numFmtId="14" fontId="12" fillId="4" borderId="0" xfId="0" applyNumberFormat="1" applyFont="1" applyFill="1" applyAlignment="1">
      <alignment horizontal="center"/>
    </xf>
    <xf numFmtId="44" fontId="53" fillId="4" borderId="0" xfId="0" applyNumberFormat="1" applyFont="1" applyFill="1"/>
    <xf numFmtId="0" fontId="60" fillId="4" borderId="0" xfId="0" applyFont="1" applyFill="1" applyAlignment="1">
      <alignment horizontal="center"/>
    </xf>
    <xf numFmtId="0" fontId="60" fillId="4" borderId="52" xfId="0" applyFont="1" applyFill="1" applyBorder="1" applyAlignment="1">
      <alignment horizontal="center"/>
    </xf>
    <xf numFmtId="10" fontId="53" fillId="4" borderId="0" xfId="0" applyNumberFormat="1" applyFont="1" applyFill="1" applyAlignment="1">
      <alignment horizontal="center"/>
    </xf>
    <xf numFmtId="44" fontId="59" fillId="0" borderId="0" xfId="2" applyFont="1" applyAlignment="1">
      <alignment horizontal="center"/>
    </xf>
    <xf numFmtId="44" fontId="58" fillId="4" borderId="52" xfId="2" applyFont="1" applyFill="1" applyBorder="1" applyAlignment="1">
      <alignment horizontal="center"/>
    </xf>
    <xf numFmtId="0" fontId="53" fillId="0" borderId="4" xfId="0" applyFont="1" applyBorder="1"/>
    <xf numFmtId="164" fontId="53" fillId="0" borderId="4" xfId="2" applyNumberFormat="1" applyFont="1" applyBorder="1" applyAlignment="1">
      <alignment horizontal="center"/>
    </xf>
    <xf numFmtId="164" fontId="53" fillId="4" borderId="0" xfId="2" applyNumberFormat="1" applyFont="1" applyFill="1" applyAlignment="1">
      <alignment horizontal="center"/>
    </xf>
    <xf numFmtId="10" fontId="53" fillId="4" borderId="4" xfId="0" applyNumberFormat="1" applyFont="1" applyFill="1" applyBorder="1" applyAlignment="1">
      <alignment horizontal="center"/>
    </xf>
    <xf numFmtId="44" fontId="59" fillId="0" borderId="4" xfId="2" applyFont="1" applyBorder="1" applyAlignment="1">
      <alignment horizontal="center"/>
    </xf>
    <xf numFmtId="44" fontId="58" fillId="4" borderId="0" xfId="2" applyFont="1" applyFill="1" applyAlignment="1">
      <alignment horizontal="center"/>
    </xf>
    <xf numFmtId="0" fontId="58" fillId="0" borderId="0" xfId="0" applyFont="1"/>
    <xf numFmtId="183" fontId="53" fillId="0" borderId="0" xfId="0" applyNumberFormat="1" applyFont="1"/>
    <xf numFmtId="0" fontId="58" fillId="4" borderId="0" xfId="0" applyFont="1" applyFill="1"/>
    <xf numFmtId="164" fontId="52" fillId="0" borderId="0" xfId="2" applyNumberFormat="1" applyFont="1" applyAlignment="1">
      <alignment horizontal="center"/>
    </xf>
    <xf numFmtId="165" fontId="53" fillId="0" borderId="0" xfId="3" applyNumberFormat="1" applyFont="1" applyAlignment="1">
      <alignment horizontal="center"/>
    </xf>
    <xf numFmtId="0" fontId="54" fillId="25" borderId="3" xfId="0" applyFont="1" applyFill="1" applyBorder="1" applyAlignment="1">
      <alignment horizontal="center" vertical="center"/>
    </xf>
    <xf numFmtId="0" fontId="56" fillId="26" borderId="0" xfId="0" applyFont="1" applyFill="1"/>
    <xf numFmtId="0" fontId="56" fillId="26" borderId="0" xfId="0" applyFont="1" applyFill="1" applyAlignment="1">
      <alignment horizontal="center"/>
    </xf>
    <xf numFmtId="0" fontId="53" fillId="26" borderId="52" xfId="0" applyFont="1" applyFill="1" applyBorder="1"/>
    <xf numFmtId="164" fontId="56" fillId="26" borderId="0" xfId="2" applyNumberFormat="1" applyFont="1" applyFill="1" applyAlignment="1">
      <alignment horizontal="center"/>
    </xf>
    <xf numFmtId="49" fontId="53" fillId="0" borderId="0" xfId="0" applyNumberFormat="1" applyFont="1"/>
    <xf numFmtId="0" fontId="53" fillId="0" borderId="0" xfId="0" applyFont="1" applyAlignment="1">
      <alignment horizontal="center"/>
    </xf>
    <xf numFmtId="0" fontId="61" fillId="0" borderId="0" xfId="0" applyFont="1"/>
    <xf numFmtId="0" fontId="52" fillId="0" borderId="0" xfId="0" applyFont="1" applyAlignment="1">
      <alignment horizontal="center"/>
    </xf>
    <xf numFmtId="0" fontId="52" fillId="0" borderId="0" xfId="0" applyFont="1" applyAlignment="1">
      <alignment horizontal="left"/>
    </xf>
    <xf numFmtId="0" fontId="52" fillId="0" borderId="0" xfId="0" applyFont="1" applyAlignment="1">
      <alignment horizontal="center" wrapText="1"/>
    </xf>
    <xf numFmtId="0" fontId="53" fillId="0" borderId="0" xfId="0" quotePrefix="1" applyFont="1"/>
    <xf numFmtId="0" fontId="52" fillId="0" borderId="0" xfId="0" applyFont="1" applyAlignment="1">
      <alignment horizontal="left" wrapText="1"/>
    </xf>
    <xf numFmtId="0" fontId="53" fillId="0" borderId="0" xfId="0" quotePrefix="1" applyFont="1" applyAlignment="1">
      <alignment horizontal="center"/>
    </xf>
    <xf numFmtId="167" fontId="53" fillId="0" borderId="0" xfId="0" applyNumberFormat="1" applyFont="1"/>
    <xf numFmtId="14" fontId="58" fillId="0" borderId="0" xfId="0" applyNumberFormat="1" applyFont="1" applyAlignment="1">
      <alignment horizontal="center"/>
    </xf>
    <xf numFmtId="0" fontId="52" fillId="0" borderId="0" xfId="0" quotePrefix="1" applyFont="1" applyAlignment="1">
      <alignment horizontal="center"/>
    </xf>
    <xf numFmtId="14" fontId="58" fillId="0" borderId="4" xfId="0" applyNumberFormat="1" applyFont="1" applyBorder="1" applyAlignment="1">
      <alignment horizontal="center"/>
    </xf>
    <xf numFmtId="0" fontId="52" fillId="0" borderId="4" xfId="0" applyFont="1" applyBorder="1" applyAlignment="1">
      <alignment horizontal="left"/>
    </xf>
    <xf numFmtId="165" fontId="52" fillId="0" borderId="4" xfId="3" applyNumberFormat="1" applyFont="1" applyBorder="1" applyAlignment="1">
      <alignment horizontal="center"/>
    </xf>
    <xf numFmtId="167" fontId="58" fillId="0" borderId="0" xfId="1" applyNumberFormat="1" applyFont="1"/>
    <xf numFmtId="0" fontId="52" fillId="0" borderId="4" xfId="0" applyFont="1" applyBorder="1"/>
    <xf numFmtId="0" fontId="55" fillId="4" borderId="0" xfId="0" applyFont="1" applyFill="1" applyAlignment="1">
      <alignment vertical="top" wrapText="1"/>
    </xf>
    <xf numFmtId="0" fontId="62" fillId="0" borderId="0" xfId="0" applyFont="1" applyAlignment="1">
      <alignment horizontal="center"/>
    </xf>
    <xf numFmtId="0" fontId="62" fillId="0" borderId="0" xfId="0" quotePrefix="1" applyFont="1" applyAlignment="1">
      <alignment horizontal="center"/>
    </xf>
    <xf numFmtId="195" fontId="52" fillId="0" borderId="0" xfId="0" applyNumberFormat="1" applyFont="1" applyAlignment="1">
      <alignment horizontal="right"/>
    </xf>
    <xf numFmtId="0" fontId="52" fillId="0" borderId="0" xfId="0" quotePrefix="1" applyFont="1" applyAlignment="1">
      <alignment horizontal="left"/>
    </xf>
    <xf numFmtId="0" fontId="52" fillId="0" borderId="4" xfId="0" applyFont="1" applyBorder="1" applyAlignment="1">
      <alignment horizontal="center"/>
    </xf>
    <xf numFmtId="0" fontId="52" fillId="0" borderId="13" xfId="0" applyFont="1" applyBorder="1" applyAlignment="1">
      <alignment horizontal="center"/>
    </xf>
    <xf numFmtId="0" fontId="52" fillId="0" borderId="6" xfId="0" applyFont="1" applyBorder="1" applyAlignment="1">
      <alignment horizontal="center"/>
    </xf>
    <xf numFmtId="164" fontId="52" fillId="0" borderId="14" xfId="2" applyNumberFormat="1" applyFont="1" applyBorder="1" applyAlignment="1">
      <alignment horizontal="center"/>
    </xf>
    <xf numFmtId="196" fontId="52" fillId="0" borderId="0" xfId="0" applyNumberFormat="1" applyFont="1" applyAlignment="1">
      <alignment horizontal="center"/>
    </xf>
    <xf numFmtId="0" fontId="56" fillId="4" borderId="0" xfId="0" applyFont="1" applyFill="1" applyAlignment="1">
      <alignment horizontal="center"/>
    </xf>
    <xf numFmtId="0" fontId="52" fillId="4" borderId="0" xfId="0" applyFont="1" applyFill="1" applyAlignment="1">
      <alignment horizontal="center"/>
    </xf>
    <xf numFmtId="0" fontId="52" fillId="23" borderId="0" xfId="0" applyFont="1" applyFill="1" applyAlignment="1">
      <alignment horizontal="center"/>
    </xf>
    <xf numFmtId="0" fontId="52" fillId="0" borderId="37" xfId="0" applyFont="1" applyBorder="1" applyAlignment="1">
      <alignment horizontal="center"/>
    </xf>
    <xf numFmtId="0" fontId="52" fillId="0" borderId="16" xfId="0" applyFont="1" applyBorder="1" applyAlignment="1">
      <alignment horizontal="center"/>
    </xf>
    <xf numFmtId="0" fontId="52" fillId="0" borderId="16" xfId="0" applyFont="1" applyBorder="1" applyAlignment="1">
      <alignment vertical="center" wrapText="1"/>
    </xf>
    <xf numFmtId="0" fontId="52" fillId="0" borderId="38" xfId="0" applyFont="1" applyBorder="1" applyAlignment="1">
      <alignment horizontal="center"/>
    </xf>
    <xf numFmtId="9" fontId="52" fillId="0" borderId="37" xfId="3" applyFont="1" applyBorder="1" applyAlignment="1">
      <alignment wrapText="1"/>
    </xf>
    <xf numFmtId="0" fontId="52" fillId="0" borderId="38" xfId="0" applyFont="1" applyBorder="1" applyAlignment="1">
      <alignment vertical="center" wrapText="1"/>
    </xf>
    <xf numFmtId="0" fontId="52" fillId="0" borderId="16" xfId="0" applyFont="1" applyBorder="1" applyAlignment="1">
      <alignment wrapText="1"/>
    </xf>
    <xf numFmtId="0" fontId="52" fillId="0" borderId="37" xfId="0" applyFont="1" applyBorder="1" applyAlignment="1">
      <alignment vertical="center" wrapText="1"/>
    </xf>
    <xf numFmtId="0" fontId="52" fillId="0" borderId="37" xfId="0" applyFont="1" applyBorder="1"/>
    <xf numFmtId="0" fontId="52" fillId="0" borderId="16" xfId="0" applyFont="1" applyBorder="1"/>
    <xf numFmtId="0" fontId="52" fillId="0" borderId="38" xfId="0" applyFont="1" applyBorder="1"/>
    <xf numFmtId="0" fontId="52" fillId="0" borderId="15" xfId="0" applyFont="1" applyBorder="1" applyAlignment="1">
      <alignment horizontal="center"/>
    </xf>
    <xf numFmtId="0" fontId="52" fillId="0" borderId="19" xfId="0" applyFont="1" applyBorder="1" applyAlignment="1">
      <alignment horizontal="center"/>
    </xf>
    <xf numFmtId="0" fontId="52" fillId="0" borderId="14" xfId="0" applyFont="1" applyBorder="1" applyAlignment="1">
      <alignment horizontal="center"/>
    </xf>
    <xf numFmtId="0" fontId="52" fillId="0" borderId="18" xfId="0" applyFont="1" applyBorder="1" applyAlignment="1">
      <alignment horizontal="center"/>
    </xf>
    <xf numFmtId="0" fontId="52" fillId="0" borderId="5" xfId="0" applyFont="1" applyBorder="1" applyAlignment="1">
      <alignment horizontal="centerContinuous"/>
    </xf>
    <xf numFmtId="0" fontId="52" fillId="0" borderId="0" xfId="0" applyFont="1" applyAlignment="1">
      <alignment horizontal="centerContinuous"/>
    </xf>
    <xf numFmtId="0" fontId="52" fillId="0" borderId="0" xfId="0" applyFont="1" applyAlignment="1">
      <alignment horizontal="right"/>
    </xf>
    <xf numFmtId="10" fontId="52" fillId="0" borderId="0" xfId="0" applyNumberFormat="1" applyFont="1" applyAlignment="1">
      <alignment horizontal="center"/>
    </xf>
    <xf numFmtId="0" fontId="52" fillId="0" borderId="47" xfId="0" applyFont="1" applyBorder="1" applyAlignment="1">
      <alignment horizontal="center"/>
    </xf>
    <xf numFmtId="0" fontId="52" fillId="0" borderId="44" xfId="0" applyFont="1" applyBorder="1" applyAlignment="1">
      <alignment horizontal="center"/>
    </xf>
    <xf numFmtId="0" fontId="52" fillId="0" borderId="44" xfId="0" applyFont="1" applyBorder="1" applyAlignment="1">
      <alignment vertical="center" wrapText="1"/>
    </xf>
    <xf numFmtId="0" fontId="52" fillId="0" borderId="48" xfId="0" applyFont="1" applyBorder="1" applyAlignment="1">
      <alignment horizontal="center"/>
    </xf>
    <xf numFmtId="9" fontId="52" fillId="0" borderId="47" xfId="3" applyFont="1" applyBorder="1" applyAlignment="1">
      <alignment wrapText="1"/>
    </xf>
    <xf numFmtId="0" fontId="52" fillId="0" borderId="48" xfId="0" applyFont="1" applyBorder="1" applyAlignment="1">
      <alignment vertical="center" wrapText="1"/>
    </xf>
    <xf numFmtId="0" fontId="52" fillId="0" borderId="44" xfId="0" applyFont="1" applyBorder="1" applyAlignment="1">
      <alignment wrapText="1"/>
    </xf>
    <xf numFmtId="0" fontId="52" fillId="0" borderId="47" xfId="0" applyFont="1" applyBorder="1" applyAlignment="1">
      <alignment vertical="center" wrapText="1"/>
    </xf>
    <xf numFmtId="0" fontId="52" fillId="0" borderId="5" xfId="0" applyFont="1" applyBorder="1" applyAlignment="1">
      <alignment horizontal="center"/>
    </xf>
    <xf numFmtId="0" fontId="52" fillId="0" borderId="20" xfId="0" applyFont="1" applyBorder="1" applyAlignment="1">
      <alignment horizontal="center"/>
    </xf>
    <xf numFmtId="0" fontId="52" fillId="23" borderId="4" xfId="0" applyFont="1" applyFill="1" applyBorder="1" applyAlignment="1">
      <alignment horizontal="center"/>
    </xf>
    <xf numFmtId="0" fontId="52" fillId="4" borderId="4" xfId="0" applyFont="1" applyFill="1" applyBorder="1" applyAlignment="1">
      <alignment horizontal="center"/>
    </xf>
    <xf numFmtId="0" fontId="52" fillId="0" borderId="0" xfId="0" applyFont="1" applyAlignment="1">
      <alignment wrapText="1"/>
    </xf>
    <xf numFmtId="0" fontId="53" fillId="0" borderId="0" xfId="0" applyFont="1" applyAlignment="1">
      <alignment wrapText="1"/>
    </xf>
    <xf numFmtId="0" fontId="63" fillId="25" borderId="3" xfId="0" applyFont="1" applyFill="1" applyBorder="1" applyAlignment="1">
      <alignment horizontal="left" vertical="center"/>
    </xf>
    <xf numFmtId="0" fontId="63" fillId="25" borderId="3" xfId="0" applyFont="1" applyFill="1" applyBorder="1" applyAlignment="1">
      <alignment horizontal="center" vertical="center"/>
    </xf>
    <xf numFmtId="0" fontId="63" fillId="0" borderId="3" xfId="0" applyFont="1" applyBorder="1" applyAlignment="1">
      <alignment horizontal="center" vertical="center"/>
    </xf>
    <xf numFmtId="0" fontId="63" fillId="0" borderId="3" xfId="2" applyNumberFormat="1" applyFont="1" applyBorder="1" applyAlignment="1">
      <alignment horizontal="center" vertical="center"/>
    </xf>
    <xf numFmtId="0" fontId="63" fillId="0" borderId="3" xfId="0" applyFont="1" applyBorder="1" applyAlignment="1">
      <alignment horizontal="left" vertical="center"/>
    </xf>
    <xf numFmtId="165" fontId="63" fillId="0" borderId="3" xfId="3" applyNumberFormat="1" applyFont="1" applyBorder="1" applyAlignment="1">
      <alignment horizontal="center" vertical="center"/>
    </xf>
    <xf numFmtId="195" fontId="63" fillId="0" borderId="3" xfId="0" applyNumberFormat="1" applyFont="1" applyBorder="1" applyAlignment="1">
      <alignment horizontal="center"/>
    </xf>
    <xf numFmtId="196" fontId="63" fillId="0" borderId="3" xfId="0" applyNumberFormat="1" applyFont="1" applyBorder="1" applyAlignment="1">
      <alignment horizontal="center"/>
    </xf>
    <xf numFmtId="165" fontId="63" fillId="23" borderId="3" xfId="3" applyNumberFormat="1" applyFont="1" applyFill="1" applyBorder="1" applyAlignment="1">
      <alignment horizontal="center"/>
    </xf>
    <xf numFmtId="10" fontId="63" fillId="0" borderId="3" xfId="0" applyNumberFormat="1" applyFont="1" applyBorder="1" applyAlignment="1">
      <alignment horizontal="center"/>
    </xf>
    <xf numFmtId="0" fontId="64" fillId="0" borderId="3" xfId="0" applyFont="1" applyBorder="1" applyAlignment="1">
      <alignment horizontal="center"/>
    </xf>
    <xf numFmtId="14" fontId="64" fillId="0" borderId="3" xfId="0" applyNumberFormat="1" applyFont="1" applyBorder="1" applyAlignment="1">
      <alignment horizontal="center"/>
    </xf>
    <xf numFmtId="10" fontId="64" fillId="0" borderId="3" xfId="3" applyNumberFormat="1" applyFont="1" applyBorder="1" applyAlignment="1">
      <alignment horizontal="center"/>
    </xf>
    <xf numFmtId="195" fontId="63" fillId="23" borderId="3" xfId="0" applyNumberFormat="1" applyFont="1" applyFill="1" applyBorder="1" applyAlignment="1">
      <alignment horizontal="center"/>
    </xf>
    <xf numFmtId="9" fontId="63" fillId="23" borderId="23" xfId="3" applyFont="1" applyFill="1" applyBorder="1" applyAlignment="1">
      <alignment horizontal="center"/>
    </xf>
    <xf numFmtId="195" fontId="63" fillId="23" borderId="3" xfId="3" applyNumberFormat="1" applyFont="1" applyFill="1" applyBorder="1" applyAlignment="1">
      <alignment horizontal="center"/>
    </xf>
    <xf numFmtId="195" fontId="66" fillId="23" borderId="0" xfId="0" applyNumberFormat="1" applyFont="1" applyFill="1" applyAlignment="1">
      <alignment horizontal="center"/>
    </xf>
    <xf numFmtId="43" fontId="63" fillId="0" borderId="23" xfId="1" applyFont="1" applyBorder="1" applyAlignment="1">
      <alignment horizontal="center"/>
    </xf>
    <xf numFmtId="9" fontId="63" fillId="0" borderId="25" xfId="3" applyFont="1" applyBorder="1" applyAlignment="1">
      <alignment horizontal="center"/>
    </xf>
    <xf numFmtId="9" fontId="63" fillId="0" borderId="3" xfId="3" applyFont="1" applyBorder="1" applyAlignment="1">
      <alignment horizontal="center"/>
    </xf>
    <xf numFmtId="185" fontId="63" fillId="0" borderId="13" xfId="2" applyNumberFormat="1" applyFont="1" applyBorder="1" applyAlignment="1">
      <alignment horizontal="center" vertical="center"/>
    </xf>
    <xf numFmtId="185" fontId="63" fillId="0" borderId="0" xfId="2" applyNumberFormat="1" applyFont="1" applyAlignment="1">
      <alignment horizontal="center" vertical="center"/>
    </xf>
    <xf numFmtId="197" fontId="63" fillId="0" borderId="3" xfId="2" applyNumberFormat="1" applyFont="1" applyBorder="1" applyAlignment="1">
      <alignment horizontal="center" vertical="center"/>
    </xf>
    <xf numFmtId="197" fontId="63" fillId="0" borderId="26" xfId="2" applyNumberFormat="1" applyFont="1" applyBorder="1" applyAlignment="1">
      <alignment horizontal="center" vertical="center"/>
    </xf>
    <xf numFmtId="198" fontId="63" fillId="0" borderId="3" xfId="0" applyNumberFormat="1" applyFont="1" applyBorder="1" applyAlignment="1">
      <alignment horizontal="center"/>
    </xf>
    <xf numFmtId="167" fontId="58" fillId="0" borderId="3" xfId="1" applyNumberFormat="1" applyFont="1" applyBorder="1" applyAlignment="1">
      <alignment horizontal="center"/>
    </xf>
    <xf numFmtId="167" fontId="58" fillId="23" borderId="3" xfId="1" applyNumberFormat="1" applyFont="1" applyFill="1" applyBorder="1"/>
    <xf numFmtId="167" fontId="58" fillId="0" borderId="3" xfId="1" applyNumberFormat="1" applyFont="1" applyBorder="1"/>
    <xf numFmtId="0" fontId="67" fillId="0" borderId="0" xfId="0" applyFont="1"/>
    <xf numFmtId="185" fontId="63" fillId="0" borderId="25" xfId="2" applyNumberFormat="1" applyFont="1" applyBorder="1" applyAlignment="1">
      <alignment horizontal="center" vertical="center"/>
    </xf>
    <xf numFmtId="10" fontId="53" fillId="0" borderId="0" xfId="3" applyNumberFormat="1" applyFont="1" applyAlignment="1">
      <alignment horizontal="center"/>
    </xf>
    <xf numFmtId="3" fontId="53" fillId="0" borderId="0" xfId="1" applyNumberFormat="1" applyFont="1"/>
    <xf numFmtId="167" fontId="53" fillId="0" borderId="0" xfId="1" applyNumberFormat="1" applyFont="1" applyAlignment="1">
      <alignment horizontal="center"/>
    </xf>
    <xf numFmtId="167" fontId="53" fillId="0" borderId="0" xfId="1" applyNumberFormat="1" applyFont="1"/>
    <xf numFmtId="10" fontId="53" fillId="0" borderId="0" xfId="3" applyNumberFormat="1" applyFont="1"/>
    <xf numFmtId="4" fontId="53" fillId="0" borderId="0" xfId="0" applyNumberFormat="1" applyFont="1"/>
    <xf numFmtId="4" fontId="68" fillId="0" borderId="0" xfId="0" applyNumberFormat="1" applyFont="1"/>
    <xf numFmtId="43" fontId="53" fillId="0" borderId="0" xfId="0" applyNumberFormat="1" applyFont="1" applyAlignment="1">
      <alignment horizontal="center"/>
    </xf>
    <xf numFmtId="43" fontId="53" fillId="0" borderId="0" xfId="0" applyNumberFormat="1" applyFont="1"/>
    <xf numFmtId="43" fontId="58" fillId="0" borderId="0" xfId="0" applyNumberFormat="1" applyFont="1"/>
    <xf numFmtId="174" fontId="53" fillId="0" borderId="0" xfId="3" applyNumberFormat="1" applyFont="1" applyAlignment="1">
      <alignment horizontal="center"/>
    </xf>
    <xf numFmtId="10" fontId="61" fillId="0" borderId="0" xfId="3" applyNumberFormat="1" applyFont="1"/>
    <xf numFmtId="44" fontId="53" fillId="0" borderId="0" xfId="2" applyFont="1"/>
    <xf numFmtId="0" fontId="52" fillId="27" borderId="3" xfId="0" applyFont="1" applyFill="1" applyBorder="1" applyAlignment="1">
      <alignment horizontal="center" vertical="center" wrapText="1"/>
    </xf>
    <xf numFmtId="195" fontId="63" fillId="25" borderId="3" xfId="0" applyNumberFormat="1" applyFont="1" applyFill="1" applyBorder="1" applyAlignment="1">
      <alignment horizontal="center"/>
    </xf>
    <xf numFmtId="196" fontId="63" fillId="25" borderId="3" xfId="0" applyNumberFormat="1" applyFont="1" applyFill="1" applyBorder="1" applyAlignment="1">
      <alignment horizontal="center"/>
    </xf>
    <xf numFmtId="9" fontId="63" fillId="25" borderId="3" xfId="3" applyFont="1" applyFill="1" applyBorder="1" applyAlignment="1">
      <alignment horizontal="center"/>
    </xf>
    <xf numFmtId="0" fontId="58" fillId="28" borderId="3" xfId="0" applyFont="1" applyFill="1" applyBorder="1" applyAlignment="1" applyProtection="1">
      <alignment horizontal="center"/>
      <protection locked="0"/>
    </xf>
    <xf numFmtId="0" fontId="58" fillId="25" borderId="3" xfId="0" applyFont="1" applyFill="1" applyBorder="1" applyAlignment="1">
      <alignment horizontal="center" vertical="center"/>
    </xf>
    <xf numFmtId="0" fontId="63" fillId="29" borderId="3" xfId="0" applyFont="1" applyFill="1" applyBorder="1" applyAlignment="1">
      <alignment horizontal="center" vertical="center"/>
    </xf>
    <xf numFmtId="0" fontId="56" fillId="26" borderId="4" xfId="0" applyFont="1" applyFill="1" applyBorder="1"/>
    <xf numFmtId="0" fontId="63" fillId="26" borderId="27" xfId="2" applyNumberFormat="1" applyFont="1" applyFill="1" applyBorder="1" applyAlignment="1">
      <alignment horizontal="center" vertical="center"/>
    </xf>
    <xf numFmtId="0" fontId="63" fillId="26" borderId="28" xfId="0" applyFont="1" applyFill="1" applyBorder="1" applyAlignment="1">
      <alignment horizontal="center" vertical="center"/>
    </xf>
    <xf numFmtId="9" fontId="63" fillId="26" borderId="27" xfId="3" applyFont="1" applyFill="1" applyBorder="1" applyAlignment="1">
      <alignment horizontal="center" vertical="center"/>
    </xf>
    <xf numFmtId="196" fontId="63" fillId="26" borderId="28" xfId="0" applyNumberFormat="1" applyFont="1" applyFill="1" applyBorder="1" applyAlignment="1">
      <alignment horizontal="center"/>
    </xf>
    <xf numFmtId="167" fontId="68" fillId="26" borderId="4" xfId="0" applyNumberFormat="1" applyFont="1" applyFill="1" applyBorder="1"/>
    <xf numFmtId="167" fontId="68" fillId="26" borderId="0" xfId="0" applyNumberFormat="1" applyFont="1" applyFill="1"/>
    <xf numFmtId="196" fontId="63" fillId="26" borderId="28" xfId="3" applyNumberFormat="1" applyFont="1" applyFill="1" applyBorder="1" applyAlignment="1">
      <alignment horizontal="center"/>
    </xf>
    <xf numFmtId="43" fontId="63" fillId="26" borderId="28" xfId="1" applyFont="1" applyFill="1" applyBorder="1" applyAlignment="1">
      <alignment horizontal="center"/>
    </xf>
    <xf numFmtId="195" fontId="63" fillId="26" borderId="28" xfId="0" applyNumberFormat="1" applyFont="1" applyFill="1" applyBorder="1" applyAlignment="1">
      <alignment horizontal="center"/>
    </xf>
    <xf numFmtId="195" fontId="63" fillId="26" borderId="0" xfId="0" applyNumberFormat="1" applyFont="1" applyFill="1" applyAlignment="1">
      <alignment horizontal="center"/>
    </xf>
    <xf numFmtId="43" fontId="68" fillId="26" borderId="4" xfId="0" applyNumberFormat="1" applyFont="1" applyFill="1" applyBorder="1" applyAlignment="1">
      <alignment horizontal="center"/>
    </xf>
    <xf numFmtId="0" fontId="63" fillId="26" borderId="0" xfId="2" applyNumberFormat="1" applyFont="1" applyFill="1" applyAlignment="1">
      <alignment horizontal="center" vertical="center"/>
    </xf>
    <xf numFmtId="0" fontId="68" fillId="26" borderId="4" xfId="0" applyFont="1" applyFill="1" applyBorder="1"/>
    <xf numFmtId="0" fontId="56" fillId="26" borderId="4" xfId="0" applyFont="1" applyFill="1" applyBorder="1" applyAlignment="1">
      <alignment horizontal="center"/>
    </xf>
    <xf numFmtId="9" fontId="63" fillId="26" borderId="28" xfId="3" applyFont="1" applyFill="1" applyBorder="1" applyAlignment="1">
      <alignment horizontal="center"/>
    </xf>
    <xf numFmtId="195" fontId="63" fillId="26" borderId="29" xfId="0" applyNumberFormat="1" applyFont="1" applyFill="1" applyBorder="1" applyAlignment="1">
      <alignment horizontal="center"/>
    </xf>
    <xf numFmtId="0" fontId="68" fillId="26" borderId="0" xfId="0" applyFont="1" applyFill="1"/>
    <xf numFmtId="10" fontId="63" fillId="26" borderId="28" xfId="0" applyNumberFormat="1" applyFont="1" applyFill="1" applyBorder="1" applyAlignment="1">
      <alignment horizontal="center"/>
    </xf>
    <xf numFmtId="10" fontId="63" fillId="26" borderId="0" xfId="0" applyNumberFormat="1" applyFont="1" applyFill="1" applyAlignment="1">
      <alignment horizontal="center"/>
    </xf>
    <xf numFmtId="0" fontId="68" fillId="26" borderId="21" xfId="0" applyFont="1" applyFill="1" applyBorder="1"/>
    <xf numFmtId="0" fontId="68" fillId="26" borderId="13" xfId="0" applyFont="1" applyFill="1" applyBorder="1"/>
    <xf numFmtId="2" fontId="63" fillId="26" borderId="28" xfId="2" applyNumberFormat="1" applyFont="1" applyFill="1" applyBorder="1" applyAlignment="1">
      <alignment horizontal="center" vertical="center"/>
    </xf>
    <xf numFmtId="196" fontId="63" fillId="26" borderId="27" xfId="0" applyNumberFormat="1" applyFont="1" applyFill="1" applyBorder="1" applyAlignment="1">
      <alignment horizontal="center"/>
    </xf>
    <xf numFmtId="167" fontId="58" fillId="26" borderId="30" xfId="1" applyNumberFormat="1" applyFont="1" applyFill="1" applyBorder="1"/>
    <xf numFmtId="167" fontId="58" fillId="26" borderId="0" xfId="1" applyNumberFormat="1" applyFont="1" applyFill="1"/>
    <xf numFmtId="0" fontId="58" fillId="26" borderId="4" xfId="0" applyFont="1" applyFill="1" applyBorder="1" applyAlignment="1">
      <alignment horizontal="center"/>
    </xf>
    <xf numFmtId="165" fontId="58" fillId="26" borderId="4" xfId="3" applyNumberFormat="1" applyFont="1" applyFill="1" applyBorder="1" applyAlignment="1">
      <alignment horizontal="center"/>
    </xf>
    <xf numFmtId="0" fontId="58" fillId="26" borderId="4" xfId="0" applyFont="1" applyFill="1" applyBorder="1"/>
    <xf numFmtId="167" fontId="58" fillId="26" borderId="5" xfId="1" applyNumberFormat="1" applyFont="1" applyFill="1" applyBorder="1"/>
    <xf numFmtId="167" fontId="58" fillId="26" borderId="19" xfId="1" applyNumberFormat="1" applyFont="1" applyFill="1" applyBorder="1"/>
    <xf numFmtId="0" fontId="58" fillId="26" borderId="6" xfId="0" applyFont="1" applyFill="1" applyBorder="1"/>
    <xf numFmtId="0" fontId="53" fillId="26" borderId="0" xfId="0" applyFont="1" applyFill="1"/>
    <xf numFmtId="0" fontId="56" fillId="26" borderId="8" xfId="0" applyFont="1" applyFill="1" applyBorder="1" applyAlignment="1">
      <alignment horizontal="left"/>
    </xf>
    <xf numFmtId="0" fontId="56" fillId="26" borderId="9" xfId="0" applyFont="1" applyFill="1" applyBorder="1" applyAlignment="1">
      <alignment horizontal="left" wrapText="1"/>
    </xf>
    <xf numFmtId="0" fontId="52" fillId="26" borderId="0" xfId="0" applyFont="1" applyFill="1" applyAlignment="1">
      <alignment horizontal="left" wrapText="1"/>
    </xf>
    <xf numFmtId="0" fontId="52" fillId="27" borderId="1" xfId="0" applyFont="1" applyFill="1" applyBorder="1" applyAlignment="1">
      <alignment horizontal="center" vertical="center" wrapText="1"/>
    </xf>
    <xf numFmtId="195" fontId="63" fillId="0" borderId="23" xfId="0" applyNumberFormat="1" applyFont="1" applyBorder="1" applyAlignment="1">
      <alignment horizontal="center"/>
    </xf>
    <xf numFmtId="0" fontId="52" fillId="0" borderId="18" xfId="0" applyFont="1" applyBorder="1"/>
    <xf numFmtId="0" fontId="52" fillId="0" borderId="3" xfId="0" applyFont="1" applyBorder="1" applyAlignment="1">
      <alignment horizontal="center" wrapText="1"/>
    </xf>
    <xf numFmtId="0" fontId="52" fillId="0" borderId="3" xfId="0" applyFont="1" applyBorder="1" applyAlignment="1">
      <alignment wrapText="1"/>
    </xf>
    <xf numFmtId="0" fontId="52" fillId="0" borderId="23" xfId="0" applyFont="1" applyBorder="1" applyAlignment="1">
      <alignment horizontal="center"/>
    </xf>
    <xf numFmtId="0" fontId="56" fillId="4" borderId="4" xfId="0" applyFont="1" applyFill="1" applyBorder="1" applyAlignment="1">
      <alignment horizontal="center"/>
    </xf>
    <xf numFmtId="0" fontId="54" fillId="4" borderId="4" xfId="0" applyFont="1" applyFill="1" applyBorder="1" applyAlignment="1">
      <alignment horizontal="center"/>
    </xf>
    <xf numFmtId="0" fontId="56" fillId="0" borderId="4" xfId="0" applyFont="1" applyBorder="1" applyAlignment="1">
      <alignment horizontal="center"/>
    </xf>
    <xf numFmtId="0" fontId="52" fillId="0" borderId="22" xfId="0" applyFont="1" applyBorder="1" applyAlignment="1">
      <alignment horizontal="center"/>
    </xf>
    <xf numFmtId="0" fontId="53" fillId="26" borderId="0" xfId="0" applyFont="1" applyFill="1" applyAlignment="1">
      <alignment horizontal="center"/>
    </xf>
    <xf numFmtId="199" fontId="63" fillId="25" borderId="23" xfId="2" applyNumberFormat="1" applyFont="1" applyFill="1" applyBorder="1" applyAlignment="1">
      <alignment horizontal="center" vertical="center"/>
    </xf>
    <xf numFmtId="0" fontId="63" fillId="25" borderId="23" xfId="2" applyNumberFormat="1" applyFont="1" applyFill="1" applyBorder="1" applyAlignment="1">
      <alignment horizontal="center" vertical="center"/>
    </xf>
    <xf numFmtId="185" fontId="63" fillId="25" borderId="23" xfId="1" applyNumberFormat="1" applyFont="1" applyFill="1" applyBorder="1" applyAlignment="1">
      <alignment horizontal="center" vertical="center"/>
    </xf>
    <xf numFmtId="0" fontId="63" fillId="25" borderId="23" xfId="2" applyNumberFormat="1" applyFont="1" applyFill="1" applyBorder="1" applyAlignment="1">
      <alignment vertical="center"/>
    </xf>
    <xf numFmtId="174" fontId="63" fillId="25" borderId="23" xfId="3" applyNumberFormat="1" applyFont="1" applyFill="1" applyBorder="1" applyAlignment="1">
      <alignment horizontal="center" vertical="center"/>
    </xf>
    <xf numFmtId="0" fontId="65" fillId="25" borderId="23" xfId="2" applyNumberFormat="1" applyFont="1" applyFill="1" applyBorder="1" applyAlignment="1">
      <alignment horizontal="center" vertical="center"/>
    </xf>
    <xf numFmtId="199" fontId="63" fillId="25" borderId="6" xfId="2" applyNumberFormat="1" applyFont="1" applyFill="1" applyBorder="1" applyAlignment="1">
      <alignment horizontal="center" vertical="center"/>
    </xf>
    <xf numFmtId="199" fontId="63" fillId="25" borderId="4" xfId="2" applyNumberFormat="1" applyFont="1" applyFill="1" applyBorder="1" applyAlignment="1">
      <alignment horizontal="center" vertical="center"/>
    </xf>
    <xf numFmtId="199" fontId="63" fillId="25" borderId="3" xfId="2" applyNumberFormat="1" applyFont="1" applyFill="1" applyBorder="1" applyAlignment="1">
      <alignment horizontal="center" vertical="center"/>
    </xf>
    <xf numFmtId="0" fontId="63" fillId="25" borderId="3" xfId="2" applyNumberFormat="1" applyFont="1" applyFill="1" applyBorder="1" applyAlignment="1">
      <alignment horizontal="center" vertical="center"/>
    </xf>
    <xf numFmtId="185" fontId="63" fillId="25" borderId="3" xfId="1" applyNumberFormat="1" applyFont="1" applyFill="1" applyBorder="1" applyAlignment="1">
      <alignment horizontal="center" vertical="center"/>
    </xf>
    <xf numFmtId="0" fontId="63" fillId="25" borderId="3" xfId="2" applyNumberFormat="1" applyFont="1" applyFill="1" applyBorder="1" applyAlignment="1">
      <alignment vertical="center"/>
    </xf>
    <xf numFmtId="174" fontId="63" fillId="25" borderId="3" xfId="3" applyNumberFormat="1" applyFont="1" applyFill="1" applyBorder="1" applyAlignment="1">
      <alignment horizontal="center" vertical="center"/>
    </xf>
    <xf numFmtId="0" fontId="65" fillId="25" borderId="3" xfId="2" applyNumberFormat="1" applyFont="1" applyFill="1" applyBorder="1" applyAlignment="1">
      <alignment horizontal="center" vertical="center"/>
    </xf>
    <xf numFmtId="199" fontId="63" fillId="25" borderId="1" xfId="2" applyNumberFormat="1" applyFont="1" applyFill="1" applyBorder="1" applyAlignment="1">
      <alignment horizontal="center" vertical="center"/>
    </xf>
    <xf numFmtId="43" fontId="63" fillId="25" borderId="24" xfId="1" applyFont="1" applyFill="1" applyBorder="1" applyAlignment="1">
      <alignment horizontal="center"/>
    </xf>
    <xf numFmtId="195" fontId="63" fillId="29" borderId="3" xfId="3" applyNumberFormat="1" applyFont="1" applyFill="1" applyBorder="1" applyAlignment="1">
      <alignment horizontal="center"/>
    </xf>
    <xf numFmtId="167" fontId="63" fillId="25" borderId="3" xfId="1" applyNumberFormat="1" applyFont="1" applyFill="1" applyBorder="1" applyAlignment="1">
      <alignment horizontal="center"/>
    </xf>
    <xf numFmtId="167" fontId="63" fillId="25" borderId="13" xfId="1" applyNumberFormat="1" applyFont="1" applyFill="1" applyBorder="1" applyAlignment="1">
      <alignment horizontal="center"/>
    </xf>
    <xf numFmtId="14" fontId="58" fillId="0" borderId="34" xfId="0" applyNumberFormat="1" applyFont="1" applyBorder="1" applyAlignment="1">
      <alignment horizontal="center"/>
    </xf>
    <xf numFmtId="164" fontId="52" fillId="0" borderId="18" xfId="2" applyNumberFormat="1" applyFont="1" applyBorder="1" applyAlignment="1">
      <alignment horizontal="center"/>
    </xf>
    <xf numFmtId="2" fontId="63" fillId="29" borderId="3" xfId="2" applyNumberFormat="1" applyFont="1" applyFill="1" applyBorder="1" applyAlignment="1">
      <alignment horizontal="center" vertical="center"/>
    </xf>
    <xf numFmtId="0" fontId="54" fillId="3" borderId="3" xfId="0" applyFont="1" applyFill="1" applyBorder="1" applyAlignment="1">
      <alignment horizontal="center" vertical="center" wrapText="1"/>
    </xf>
    <xf numFmtId="0" fontId="52" fillId="3" borderId="3" xfId="0" applyFont="1" applyFill="1" applyBorder="1" applyAlignment="1">
      <alignment horizontal="center" vertical="center" wrapText="1"/>
    </xf>
    <xf numFmtId="0" fontId="6" fillId="26" borderId="0" xfId="0" applyFont="1" applyFill="1"/>
    <xf numFmtId="0" fontId="4" fillId="26" borderId="0" xfId="0" applyFont="1" applyFill="1"/>
    <xf numFmtId="0" fontId="61" fillId="0" borderId="0" xfId="0" applyFont="1" applyAlignment="1">
      <alignment horizontal="center"/>
    </xf>
    <xf numFmtId="0" fontId="61" fillId="0" borderId="0" xfId="0" applyFont="1" applyAlignment="1">
      <alignment horizontal="left"/>
    </xf>
    <xf numFmtId="0" fontId="53" fillId="0" borderId="0" xfId="0" applyFont="1" applyAlignment="1">
      <alignment horizontal="center" vertical="center"/>
    </xf>
    <xf numFmtId="11" fontId="53" fillId="0" borderId="0" xfId="0" applyNumberFormat="1" applyFont="1"/>
    <xf numFmtId="0" fontId="69" fillId="0" borderId="0" xfId="0" applyFont="1" applyAlignment="1">
      <alignment horizontal="center"/>
    </xf>
    <xf numFmtId="0" fontId="58" fillId="25" borderId="3" xfId="0" applyFont="1" applyFill="1" applyBorder="1" applyAlignment="1">
      <alignment horizontal="left" vertical="center"/>
    </xf>
    <xf numFmtId="14" fontId="58" fillId="25" borderId="3" xfId="0" applyNumberFormat="1" applyFont="1" applyFill="1" applyBorder="1" applyAlignment="1">
      <alignment horizontal="center" vertical="center"/>
    </xf>
    <xf numFmtId="167" fontId="67" fillId="25" borderId="3" xfId="1" applyNumberFormat="1" applyFont="1" applyFill="1" applyBorder="1" applyAlignment="1">
      <alignment horizontal="center" vertical="center"/>
    </xf>
    <xf numFmtId="43" fontId="67" fillId="25" borderId="3" xfId="1" applyFont="1" applyFill="1" applyBorder="1" applyAlignment="1">
      <alignment horizontal="center" vertical="center"/>
    </xf>
    <xf numFmtId="167" fontId="67" fillId="0" borderId="3" xfId="1" applyNumberFormat="1" applyFont="1" applyBorder="1" applyAlignment="1">
      <alignment horizontal="center" vertical="center"/>
    </xf>
    <xf numFmtId="200" fontId="58" fillId="25" borderId="3" xfId="1" applyNumberFormat="1" applyFont="1" applyFill="1" applyBorder="1" applyAlignment="1">
      <alignment horizontal="center" vertical="center"/>
    </xf>
    <xf numFmtId="43" fontId="67" fillId="0" borderId="3" xfId="1" applyFont="1" applyBorder="1" applyAlignment="1">
      <alignment horizontal="center" vertical="center"/>
    </xf>
    <xf numFmtId="10" fontId="58" fillId="25" borderId="3" xfId="3" applyNumberFormat="1" applyFont="1" applyFill="1" applyBorder="1" applyAlignment="1">
      <alignment horizontal="center"/>
    </xf>
    <xf numFmtId="43" fontId="58" fillId="25" borderId="3" xfId="1" applyFont="1" applyFill="1" applyBorder="1" applyAlignment="1">
      <alignment horizontal="center" vertical="center"/>
    </xf>
    <xf numFmtId="0" fontId="53" fillId="0" borderId="0" xfId="0" applyFont="1" applyAlignment="1">
      <alignment horizontal="left"/>
    </xf>
    <xf numFmtId="0" fontId="53" fillId="0" borderId="2" xfId="0" applyFont="1" applyBorder="1" applyAlignment="1">
      <alignment horizontal="center"/>
    </xf>
    <xf numFmtId="0" fontId="53" fillId="0" borderId="2" xfId="0" applyFont="1" applyBorder="1" applyAlignment="1">
      <alignment wrapText="1"/>
    </xf>
    <xf numFmtId="185" fontId="58" fillId="25" borderId="3" xfId="1" applyNumberFormat="1" applyFont="1" applyFill="1" applyBorder="1" applyAlignment="1">
      <alignment horizontal="center" vertical="center"/>
    </xf>
    <xf numFmtId="181" fontId="71" fillId="0" borderId="3" xfId="1" applyNumberFormat="1" applyFont="1" applyBorder="1" applyAlignment="1">
      <alignment horizontal="center" vertical="center"/>
    </xf>
    <xf numFmtId="43" fontId="71" fillId="0" borderId="3" xfId="1" applyFont="1" applyBorder="1" applyAlignment="1">
      <alignment horizontal="center" vertical="center"/>
    </xf>
    <xf numFmtId="0" fontId="59" fillId="4" borderId="0" xfId="0" applyFont="1" applyFill="1"/>
    <xf numFmtId="9" fontId="54" fillId="0" borderId="51" xfId="3" applyFont="1" applyBorder="1" applyAlignment="1">
      <alignment horizontal="center" vertical="center"/>
    </xf>
    <xf numFmtId="9" fontId="57" fillId="0" borderId="51" xfId="3" applyFont="1" applyBorder="1" applyAlignment="1">
      <alignment horizontal="center" vertical="center"/>
    </xf>
    <xf numFmtId="0" fontId="53" fillId="4" borderId="0" xfId="0" applyFont="1" applyFill="1" applyAlignment="1">
      <alignment horizontal="left" wrapText="1"/>
    </xf>
    <xf numFmtId="164" fontId="54" fillId="0" borderId="51" xfId="2" applyNumberFormat="1" applyFont="1" applyBorder="1" applyAlignment="1">
      <alignment horizontal="center" vertical="center"/>
    </xf>
    <xf numFmtId="164" fontId="57" fillId="0" borderId="51" xfId="2" applyNumberFormat="1" applyFont="1" applyBorder="1" applyAlignment="1">
      <alignment horizontal="center" vertical="center"/>
    </xf>
    <xf numFmtId="4" fontId="53" fillId="4" borderId="0" xfId="0" applyNumberFormat="1" applyFont="1" applyFill="1"/>
    <xf numFmtId="0" fontId="72" fillId="24" borderId="0" xfId="16" applyFont="1" applyAlignment="1">
      <alignment horizontal="center"/>
    </xf>
    <xf numFmtId="0" fontId="73" fillId="0" borderId="10" xfId="0" applyFont="1" applyBorder="1"/>
    <xf numFmtId="0" fontId="73" fillId="0" borderId="11" xfId="0" applyFont="1" applyBorder="1"/>
    <xf numFmtId="0" fontId="73" fillId="0" borderId="12" xfId="0" applyFont="1" applyBorder="1"/>
    <xf numFmtId="0" fontId="61" fillId="0" borderId="3" xfId="0" applyFont="1" applyBorder="1" applyAlignment="1">
      <alignment horizontal="center" vertical="center" wrapText="1"/>
    </xf>
    <xf numFmtId="0" fontId="61" fillId="0" borderId="0" xfId="0" applyFont="1" applyAlignment="1">
      <alignment wrapText="1"/>
    </xf>
    <xf numFmtId="0" fontId="74" fillId="13" borderId="42" xfId="15" applyFont="1" applyBorder="1"/>
    <xf numFmtId="44" fontId="74" fillId="13" borderId="42" xfId="15" applyNumberFormat="1" applyFont="1" applyBorder="1" applyAlignment="1">
      <alignment horizontal="right"/>
    </xf>
    <xf numFmtId="0" fontId="74" fillId="13" borderId="42" xfId="15" applyFont="1" applyBorder="1" applyAlignment="1">
      <alignment horizontal="right"/>
    </xf>
    <xf numFmtId="9" fontId="74" fillId="13" borderId="42" xfId="15" applyNumberFormat="1" applyFont="1" applyBorder="1" applyAlignment="1">
      <alignment horizontal="right"/>
    </xf>
    <xf numFmtId="0" fontId="74" fillId="13" borderId="42" xfId="15" applyFont="1" applyBorder="1" applyAlignment="1">
      <alignment horizontal="left"/>
    </xf>
    <xf numFmtId="0" fontId="75" fillId="0" borderId="0" xfId="0" applyFont="1"/>
    <xf numFmtId="0" fontId="74" fillId="13" borderId="39" xfId="15" applyFont="1"/>
    <xf numFmtId="0" fontId="61" fillId="0" borderId="11" xfId="0" applyFont="1" applyBorder="1"/>
    <xf numFmtId="0" fontId="61" fillId="0" borderId="12" xfId="0" applyFont="1" applyBorder="1"/>
    <xf numFmtId="0" fontId="61" fillId="0" borderId="0" xfId="0" applyFont="1" applyAlignment="1">
      <alignment horizontal="right"/>
    </xf>
    <xf numFmtId="0" fontId="61" fillId="0" borderId="23" xfId="0" applyFont="1" applyBorder="1" applyAlignment="1">
      <alignment horizontal="center"/>
    </xf>
    <xf numFmtId="0" fontId="70" fillId="0" borderId="3" xfId="0" applyFont="1" applyBorder="1" applyAlignment="1">
      <alignment horizontal="justify" vertical="center" wrapText="1"/>
    </xf>
    <xf numFmtId="6" fontId="74" fillId="13" borderId="39" xfId="15" applyNumberFormat="1" applyFont="1" applyAlignment="1">
      <alignment horizontal="center"/>
    </xf>
    <xf numFmtId="0" fontId="74" fillId="13" borderId="39" xfId="15" applyFont="1" applyAlignment="1">
      <alignment horizontal="center"/>
    </xf>
    <xf numFmtId="10" fontId="74" fillId="13" borderId="39" xfId="15" applyNumberFormat="1" applyFont="1" applyAlignment="1">
      <alignment horizontal="center" vertical="center" wrapText="1"/>
    </xf>
    <xf numFmtId="9" fontId="74" fillId="13" borderId="39" xfId="15" applyNumberFormat="1" applyFont="1" applyAlignment="1">
      <alignment horizontal="center" vertical="center" wrapText="1"/>
    </xf>
    <xf numFmtId="0" fontId="61" fillId="0" borderId="3" xfId="0" applyFont="1" applyBorder="1" applyAlignment="1">
      <alignment horizontal="center"/>
    </xf>
    <xf numFmtId="165" fontId="74" fillId="13" borderId="39" xfId="15" applyNumberFormat="1" applyFont="1" applyAlignment="1">
      <alignment horizontal="center" vertical="center" wrapText="1"/>
    </xf>
    <xf numFmtId="165" fontId="61" fillId="0" borderId="0" xfId="0" applyNumberFormat="1" applyFont="1"/>
    <xf numFmtId="0" fontId="70" fillId="20" borderId="14" xfId="0" applyFont="1" applyFill="1" applyBorder="1" applyAlignment="1">
      <alignment horizontal="justify" vertical="center" wrapText="1"/>
    </xf>
    <xf numFmtId="0" fontId="74" fillId="20" borderId="40" xfId="15" applyFont="1" applyFill="1" applyBorder="1" applyAlignment="1">
      <alignment horizontal="center"/>
    </xf>
    <xf numFmtId="0" fontId="61" fillId="20" borderId="0" xfId="0" applyFont="1" applyFill="1"/>
    <xf numFmtId="0" fontId="70" fillId="20" borderId="5" xfId="0" applyFont="1" applyFill="1" applyBorder="1" applyAlignment="1">
      <alignment horizontal="justify" vertical="center" wrapText="1"/>
    </xf>
    <xf numFmtId="9" fontId="74" fillId="20" borderId="39" xfId="15" applyNumberFormat="1" applyFont="1" applyFill="1" applyAlignment="1">
      <alignment horizontal="center"/>
    </xf>
    <xf numFmtId="0" fontId="61" fillId="20" borderId="19" xfId="0" applyFont="1" applyFill="1" applyBorder="1"/>
    <xf numFmtId="0" fontId="70" fillId="20" borderId="6" xfId="0" applyFont="1" applyFill="1" applyBorder="1" applyAlignment="1">
      <alignment horizontal="justify" vertical="center" wrapText="1"/>
    </xf>
    <xf numFmtId="201" fontId="74" fillId="20" borderId="41" xfId="15" applyNumberFormat="1" applyFont="1" applyFill="1" applyBorder="1" applyAlignment="1">
      <alignment horizontal="center"/>
    </xf>
    <xf numFmtId="0" fontId="61" fillId="20" borderId="4" xfId="0" applyFont="1" applyFill="1" applyBorder="1"/>
    <xf numFmtId="0" fontId="61" fillId="20" borderId="13" xfId="0" applyFont="1" applyFill="1" applyBorder="1"/>
    <xf numFmtId="0" fontId="70" fillId="0" borderId="0" xfId="0" applyFont="1" applyAlignment="1">
      <alignment horizontal="justify" vertical="center" wrapText="1"/>
    </xf>
    <xf numFmtId="0" fontId="61" fillId="0" borderId="20" xfId="0" applyFont="1" applyBorder="1" applyAlignment="1">
      <alignment horizontal="center"/>
    </xf>
    <xf numFmtId="0" fontId="61" fillId="0" borderId="3" xfId="0" applyFont="1" applyBorder="1"/>
    <xf numFmtId="0" fontId="74" fillId="13" borderId="3" xfId="15" applyFont="1" applyBorder="1" applyAlignment="1">
      <alignment horizontal="center"/>
    </xf>
    <xf numFmtId="165" fontId="74" fillId="13" borderId="3" xfId="15" applyNumberFormat="1" applyFont="1" applyBorder="1" applyAlignment="1">
      <alignment horizontal="center" vertical="center" wrapText="1"/>
    </xf>
    <xf numFmtId="0" fontId="53" fillId="0" borderId="3" xfId="0" applyFont="1" applyBorder="1"/>
    <xf numFmtId="2" fontId="74" fillId="13" borderId="3" xfId="15" applyNumberFormat="1" applyFont="1" applyBorder="1" applyAlignment="1">
      <alignment horizontal="center" vertical="center" wrapText="1"/>
    </xf>
    <xf numFmtId="165" fontId="74" fillId="13" borderId="3" xfId="3" applyNumberFormat="1" applyFont="1" applyFill="1" applyBorder="1" applyAlignment="1">
      <alignment horizontal="center" vertical="center" wrapText="1"/>
    </xf>
    <xf numFmtId="0" fontId="53" fillId="0" borderId="18" xfId="0" applyFont="1" applyBorder="1"/>
    <xf numFmtId="2" fontId="74" fillId="13" borderId="18" xfId="15" applyNumberFormat="1" applyFont="1" applyBorder="1" applyAlignment="1">
      <alignment horizontal="center" vertical="center" wrapText="1"/>
    </xf>
    <xf numFmtId="165" fontId="74" fillId="13" borderId="18" xfId="3" applyNumberFormat="1" applyFont="1" applyFill="1" applyBorder="1" applyAlignment="1">
      <alignment horizontal="center" vertical="center" wrapText="1"/>
    </xf>
    <xf numFmtId="0" fontId="53" fillId="0" borderId="10" xfId="0" applyFont="1" applyBorder="1"/>
    <xf numFmtId="0" fontId="61" fillId="0" borderId="11" xfId="0" applyFont="1" applyBorder="1" applyAlignment="1">
      <alignment horizontal="right"/>
    </xf>
    <xf numFmtId="2" fontId="74" fillId="13" borderId="45" xfId="15" applyNumberFormat="1" applyFont="1" applyBorder="1" applyAlignment="1">
      <alignment horizontal="center" vertical="center" wrapText="1"/>
    </xf>
    <xf numFmtId="165" fontId="74" fillId="13" borderId="46" xfId="3" applyNumberFormat="1" applyFont="1" applyFill="1" applyBorder="1" applyAlignment="1">
      <alignment horizontal="center" vertical="center" wrapText="1"/>
    </xf>
    <xf numFmtId="2" fontId="74" fillId="13" borderId="0" xfId="15" applyNumberFormat="1" applyFont="1" applyBorder="1" applyAlignment="1">
      <alignment horizontal="center" vertical="center" wrapText="1"/>
    </xf>
    <xf numFmtId="165" fontId="74" fillId="13" borderId="0" xfId="3" applyNumberFormat="1" applyFont="1" applyFill="1" applyAlignment="1">
      <alignment horizontal="center" vertical="center" wrapText="1"/>
    </xf>
    <xf numFmtId="0" fontId="76" fillId="0" borderId="0" xfId="0" applyFont="1"/>
    <xf numFmtId="185" fontId="74" fillId="13" borderId="39" xfId="15" applyNumberFormat="1" applyFont="1"/>
    <xf numFmtId="165" fontId="74" fillId="13" borderId="39" xfId="15" applyNumberFormat="1" applyFont="1" applyAlignment="1">
      <alignment horizontal="center"/>
    </xf>
    <xf numFmtId="164" fontId="74" fillId="13" borderId="39" xfId="15" applyNumberFormat="1" applyFont="1"/>
    <xf numFmtId="165" fontId="61" fillId="0" borderId="0" xfId="3" applyNumberFormat="1" applyFont="1"/>
    <xf numFmtId="0" fontId="36" fillId="0" borderId="0" xfId="0" applyFont="1"/>
    <xf numFmtId="202" fontId="36" fillId="0" borderId="0" xfId="0" applyNumberFormat="1" applyFont="1"/>
    <xf numFmtId="0" fontId="53" fillId="0" borderId="0" xfId="0" applyFont="1" applyAlignment="1">
      <alignment vertical="center" wrapText="1"/>
    </xf>
    <xf numFmtId="0" fontId="53" fillId="0" borderId="0" xfId="0" applyFont="1" applyAlignment="1">
      <alignment horizontal="center" vertical="center" wrapText="1"/>
    </xf>
    <xf numFmtId="0" fontId="52" fillId="0" borderId="0" xfId="0" applyFont="1" applyAlignment="1">
      <alignment horizontal="center" vertical="center" wrapText="1"/>
    </xf>
    <xf numFmtId="10" fontId="58" fillId="25" borderId="3" xfId="3" applyNumberFormat="1" applyFont="1" applyFill="1" applyBorder="1" applyAlignment="1">
      <alignment horizontal="center" vertical="center" wrapText="1"/>
    </xf>
    <xf numFmtId="0" fontId="0" fillId="0" borderId="0" xfId="0" applyAlignment="1">
      <alignment vertical="center" wrapText="1"/>
    </xf>
    <xf numFmtId="0" fontId="3" fillId="20" borderId="0" xfId="0" applyFont="1" applyFill="1"/>
    <xf numFmtId="0" fontId="52" fillId="27" borderId="1" xfId="0" applyFont="1" applyFill="1" applyBorder="1"/>
    <xf numFmtId="0" fontId="52" fillId="27" borderId="2" xfId="0" applyFont="1" applyFill="1" applyBorder="1"/>
    <xf numFmtId="200" fontId="53" fillId="0" borderId="0" xfId="0" applyNumberFormat="1" applyFont="1"/>
    <xf numFmtId="10" fontId="59" fillId="25" borderId="3" xfId="3" applyNumberFormat="1" applyFont="1" applyFill="1" applyBorder="1" applyAlignment="1">
      <alignment horizontal="center" vertical="center"/>
    </xf>
    <xf numFmtId="180" fontId="7" fillId="0" borderId="0" xfId="0" applyNumberFormat="1" applyFont="1" applyAlignment="1">
      <alignment horizontal="center"/>
    </xf>
    <xf numFmtId="180" fontId="4" fillId="0" borderId="0" xfId="0" applyNumberFormat="1" applyFont="1"/>
    <xf numFmtId="180" fontId="7" fillId="0" borderId="0" xfId="0" applyNumberFormat="1" applyFont="1" applyAlignment="1">
      <alignment horizontal="right"/>
    </xf>
    <xf numFmtId="180" fontId="7" fillId="22" borderId="0" xfId="0" applyNumberFormat="1" applyFont="1" applyFill="1" applyAlignment="1">
      <alignment horizontal="center"/>
    </xf>
    <xf numFmtId="180" fontId="4" fillId="22" borderId="0" xfId="0" applyNumberFormat="1" applyFont="1" applyFill="1"/>
    <xf numFmtId="180" fontId="7" fillId="22" borderId="0" xfId="0" applyNumberFormat="1" applyFont="1" applyFill="1" applyAlignment="1">
      <alignment horizontal="right"/>
    </xf>
    <xf numFmtId="180" fontId="7" fillId="0" borderId="0" xfId="0" quotePrefix="1" applyNumberFormat="1" applyFont="1" applyAlignment="1">
      <alignment horizontal="right"/>
    </xf>
    <xf numFmtId="180" fontId="35" fillId="21" borderId="0" xfId="0" applyNumberFormat="1" applyFont="1" applyFill="1" applyAlignment="1">
      <alignment horizontal="left"/>
    </xf>
    <xf numFmtId="200" fontId="0" fillId="0" borderId="0" xfId="0" applyNumberFormat="1"/>
    <xf numFmtId="200" fontId="36" fillId="0" borderId="0" xfId="0" applyNumberFormat="1" applyFont="1"/>
    <xf numFmtId="182" fontId="0" fillId="0" borderId="0" xfId="0" applyNumberFormat="1"/>
    <xf numFmtId="191" fontId="44" fillId="0" borderId="0" xfId="0" applyNumberFormat="1" applyFont="1" applyAlignment="1">
      <alignment horizontal="right"/>
    </xf>
    <xf numFmtId="190" fontId="49" fillId="0" borderId="0" xfId="0" applyNumberFormat="1" applyFont="1" applyAlignment="1">
      <alignment horizontal="right"/>
    </xf>
    <xf numFmtId="191" fontId="49" fillId="0" borderId="0" xfId="0" applyNumberFormat="1" applyFont="1" applyAlignment="1">
      <alignment horizontal="right"/>
    </xf>
    <xf numFmtId="181" fontId="44" fillId="0" borderId="0" xfId="0" applyNumberFormat="1" applyFont="1" applyAlignment="1">
      <alignment horizontal="right"/>
    </xf>
    <xf numFmtId="181" fontId="49" fillId="0" borderId="0" xfId="0" applyNumberFormat="1" applyFont="1" applyAlignment="1">
      <alignment horizontal="right"/>
    </xf>
    <xf numFmtId="191" fontId="47" fillId="0" borderId="0" xfId="0" applyNumberFormat="1" applyFont="1" applyAlignment="1">
      <alignment horizontal="right"/>
    </xf>
    <xf numFmtId="193" fontId="46" fillId="0" borderId="0" xfId="0" applyNumberFormat="1" applyFont="1" applyAlignment="1">
      <alignment horizontal="right"/>
    </xf>
    <xf numFmtId="193" fontId="47" fillId="0" borderId="0" xfId="0" applyNumberFormat="1" applyFont="1" applyAlignment="1">
      <alignment horizontal="right"/>
    </xf>
    <xf numFmtId="193" fontId="36" fillId="0" borderId="0" xfId="0" applyNumberFormat="1" applyFont="1" applyAlignment="1">
      <alignment horizontal="right"/>
    </xf>
    <xf numFmtId="193" fontId="51" fillId="0" borderId="0" xfId="0" applyNumberFormat="1" applyFont="1" applyAlignment="1">
      <alignment horizontal="right"/>
    </xf>
    <xf numFmtId="181" fontId="47" fillId="0" borderId="0" xfId="0" applyNumberFormat="1" applyFont="1" applyAlignment="1">
      <alignment horizontal="right"/>
    </xf>
    <xf numFmtId="199" fontId="52" fillId="0" borderId="0" xfId="0" applyNumberFormat="1" applyFont="1" applyAlignment="1">
      <alignment horizontal="center"/>
    </xf>
    <xf numFmtId="203" fontId="52" fillId="0" borderId="0" xfId="0" applyNumberFormat="1" applyFont="1" applyAlignment="1">
      <alignment horizontal="center"/>
    </xf>
    <xf numFmtId="2" fontId="63" fillId="0" borderId="53" xfId="2" applyNumberFormat="1" applyFont="1" applyBorder="1" applyAlignment="1">
      <alignment horizontal="center" vertical="center"/>
    </xf>
    <xf numFmtId="2" fontId="63" fillId="0" borderId="3" xfId="2" applyNumberFormat="1" applyFont="1" applyBorder="1" applyAlignment="1">
      <alignment horizontal="center" vertical="center"/>
    </xf>
    <xf numFmtId="2" fontId="63" fillId="29" borderId="18" xfId="2" applyNumberFormat="1" applyFont="1" applyFill="1" applyBorder="1" applyAlignment="1">
      <alignment horizontal="center" vertical="center"/>
    </xf>
    <xf numFmtId="185" fontId="63" fillId="0" borderId="3" xfId="2" applyNumberFormat="1" applyFont="1" applyBorder="1" applyAlignment="1">
      <alignment horizontal="center" vertical="center"/>
    </xf>
    <xf numFmtId="185" fontId="63" fillId="0" borderId="23" xfId="2" applyNumberFormat="1" applyFont="1" applyBorder="1" applyAlignment="1">
      <alignment horizontal="center" vertical="center"/>
    </xf>
    <xf numFmtId="195" fontId="66" fillId="25" borderId="3" xfId="0" applyNumberFormat="1" applyFont="1" applyFill="1" applyBorder="1" applyAlignment="1">
      <alignment horizontal="center"/>
    </xf>
    <xf numFmtId="0" fontId="52" fillId="27" borderId="54" xfId="0" applyFont="1" applyFill="1" applyBorder="1" applyAlignment="1">
      <alignment horizontal="center" vertical="center" wrapText="1"/>
    </xf>
    <xf numFmtId="9" fontId="52" fillId="0" borderId="16" xfId="3" applyFont="1" applyBorder="1" applyAlignment="1">
      <alignment wrapText="1"/>
    </xf>
    <xf numFmtId="9" fontId="52" fillId="0" borderId="44" xfId="3" applyFont="1" applyBorder="1" applyAlignment="1">
      <alignment wrapText="1"/>
    </xf>
    <xf numFmtId="167" fontId="63" fillId="25" borderId="4" xfId="1" applyNumberFormat="1" applyFont="1" applyFill="1" applyBorder="1" applyAlignment="1">
      <alignment horizontal="center"/>
    </xf>
    <xf numFmtId="0" fontId="52" fillId="27" borderId="26" xfId="0" applyFont="1" applyFill="1" applyBorder="1" applyAlignment="1">
      <alignment horizontal="center" vertical="center" wrapText="1"/>
    </xf>
    <xf numFmtId="196" fontId="63" fillId="0" borderId="25" xfId="0" applyNumberFormat="1" applyFont="1" applyBorder="1" applyAlignment="1">
      <alignment horizontal="center"/>
    </xf>
    <xf numFmtId="185" fontId="63" fillId="0" borderId="26" xfId="2" applyNumberFormat="1" applyFont="1" applyBorder="1" applyAlignment="1">
      <alignment horizontal="center" vertical="center"/>
    </xf>
    <xf numFmtId="3" fontId="53" fillId="0" borderId="0" xfId="0" applyNumberFormat="1" applyFont="1"/>
    <xf numFmtId="194" fontId="53" fillId="0" borderId="0" xfId="0" applyNumberFormat="1" applyFont="1"/>
    <xf numFmtId="181" fontId="53" fillId="0" borderId="0" xfId="0" applyNumberFormat="1" applyFont="1"/>
    <xf numFmtId="200" fontId="49" fillId="0" borderId="0" xfId="0" applyNumberFormat="1" applyFont="1"/>
    <xf numFmtId="167" fontId="49" fillId="0" borderId="0" xfId="1" applyNumberFormat="1" applyFont="1"/>
    <xf numFmtId="0" fontId="35" fillId="21" borderId="0" xfId="0" applyFont="1" applyFill="1" applyAlignment="1">
      <alignment horizontal="centerContinuous"/>
    </xf>
    <xf numFmtId="10" fontId="0" fillId="0" borderId="0" xfId="3" applyNumberFormat="1" applyFont="1"/>
    <xf numFmtId="10" fontId="0" fillId="0" borderId="0" xfId="0" applyNumberFormat="1"/>
    <xf numFmtId="180" fontId="37" fillId="0" borderId="0" xfId="0" applyNumberFormat="1" applyFont="1"/>
    <xf numFmtId="200" fontId="42" fillId="0" borderId="0" xfId="0" applyNumberFormat="1" applyFont="1"/>
    <xf numFmtId="0" fontId="37" fillId="0" borderId="0" xfId="0" applyFont="1"/>
    <xf numFmtId="0" fontId="14" fillId="0" borderId="0" xfId="0" applyFont="1"/>
    <xf numFmtId="10" fontId="59" fillId="0" borderId="3" xfId="3" applyNumberFormat="1" applyFont="1" applyBorder="1" applyAlignment="1">
      <alignment horizontal="center" vertical="center"/>
    </xf>
    <xf numFmtId="10" fontId="58" fillId="0" borderId="3" xfId="3" applyNumberFormat="1" applyFont="1" applyBorder="1" applyAlignment="1">
      <alignment horizontal="center" vertical="center" wrapText="1"/>
    </xf>
    <xf numFmtId="10" fontId="55" fillId="0" borderId="3" xfId="3" applyNumberFormat="1" applyFont="1" applyBorder="1" applyAlignment="1">
      <alignment horizontal="center" vertical="center" wrapText="1"/>
    </xf>
    <xf numFmtId="10" fontId="77" fillId="0" borderId="3" xfId="3" applyNumberFormat="1" applyFont="1" applyBorder="1" applyAlignment="1">
      <alignment horizontal="center" vertical="center"/>
    </xf>
    <xf numFmtId="10" fontId="58" fillId="0" borderId="3" xfId="3" applyNumberFormat="1" applyFont="1" applyBorder="1" applyAlignment="1">
      <alignment horizontal="center"/>
    </xf>
    <xf numFmtId="14" fontId="52" fillId="25" borderId="3" xfId="0" applyNumberFormat="1" applyFont="1" applyFill="1" applyBorder="1" applyAlignment="1" applyProtection="1">
      <alignment horizontal="center"/>
      <protection locked="0"/>
    </xf>
    <xf numFmtId="164" fontId="57" fillId="25" borderId="3" xfId="2" applyNumberFormat="1" applyFont="1" applyFill="1" applyBorder="1" applyAlignment="1" applyProtection="1">
      <alignment horizontal="center" vertical="center"/>
      <protection locked="0"/>
    </xf>
    <xf numFmtId="164" fontId="54" fillId="4" borderId="3" xfId="2" applyNumberFormat="1" applyFont="1" applyFill="1" applyBorder="1" applyAlignment="1">
      <alignment horizontal="center" vertical="center"/>
    </xf>
    <xf numFmtId="0" fontId="63" fillId="0" borderId="3" xfId="2" applyNumberFormat="1" applyFont="1" applyBorder="1" applyAlignment="1" applyProtection="1">
      <alignment horizontal="center" vertical="center"/>
      <protection locked="0"/>
    </xf>
    <xf numFmtId="0" fontId="63" fillId="26" borderId="27" xfId="2" applyNumberFormat="1" applyFont="1" applyFill="1" applyBorder="1" applyAlignment="1" applyProtection="1">
      <alignment horizontal="center" vertical="center"/>
      <protection locked="0"/>
    </xf>
    <xf numFmtId="0" fontId="53" fillId="0" borderId="0" xfId="0" applyFont="1" applyProtection="1">
      <protection locked="0"/>
    </xf>
    <xf numFmtId="0" fontId="52" fillId="0" borderId="0" xfId="0" applyFont="1" applyProtection="1">
      <protection locked="0"/>
    </xf>
    <xf numFmtId="0" fontId="0" fillId="0" borderId="0" xfId="0" applyProtection="1">
      <protection locked="0"/>
    </xf>
    <xf numFmtId="2" fontId="63" fillId="25" borderId="3" xfId="2" applyNumberFormat="1" applyFont="1" applyFill="1" applyBorder="1" applyAlignment="1" applyProtection="1">
      <alignment horizontal="center" vertical="center"/>
      <protection locked="0"/>
    </xf>
    <xf numFmtId="167" fontId="63" fillId="25" borderId="3" xfId="1" applyNumberFormat="1" applyFont="1" applyFill="1" applyBorder="1" applyAlignment="1" applyProtection="1">
      <alignment horizontal="center"/>
      <protection locked="0"/>
    </xf>
    <xf numFmtId="0" fontId="68" fillId="26" borderId="4" xfId="0" applyFont="1" applyFill="1" applyBorder="1" applyProtection="1">
      <protection locked="0"/>
    </xf>
    <xf numFmtId="2" fontId="63" fillId="26" borderId="28" xfId="2" applyNumberFormat="1" applyFont="1" applyFill="1" applyBorder="1" applyAlignment="1" applyProtection="1">
      <alignment horizontal="center" vertical="center"/>
      <protection locked="0"/>
    </xf>
    <xf numFmtId="167" fontId="53" fillId="0" borderId="0" xfId="1" applyNumberFormat="1" applyFont="1" applyProtection="1">
      <protection locked="0"/>
    </xf>
    <xf numFmtId="0" fontId="4" fillId="0" borderId="0" xfId="0" applyFont="1" applyProtection="1">
      <protection locked="0"/>
    </xf>
    <xf numFmtId="167" fontId="63" fillId="25" borderId="26" xfId="1" applyNumberFormat="1" applyFont="1" applyFill="1" applyBorder="1" applyAlignment="1" applyProtection="1">
      <alignment horizontal="center"/>
      <protection locked="0"/>
    </xf>
    <xf numFmtId="0" fontId="58" fillId="25" borderId="3" xfId="0" applyFont="1" applyFill="1" applyBorder="1" applyAlignment="1" applyProtection="1">
      <alignment horizontal="left" vertical="center"/>
      <protection locked="0"/>
    </xf>
    <xf numFmtId="0" fontId="58" fillId="25" borderId="3" xfId="0" applyFont="1" applyFill="1" applyBorder="1" applyAlignment="1" applyProtection="1">
      <alignment horizontal="center" vertical="center"/>
      <protection locked="0"/>
    </xf>
    <xf numFmtId="14" fontId="58" fillId="25" borderId="3" xfId="0" applyNumberFormat="1" applyFont="1" applyFill="1" applyBorder="1" applyAlignment="1" applyProtection="1">
      <alignment horizontal="center" vertical="center"/>
      <protection locked="0"/>
    </xf>
    <xf numFmtId="167" fontId="58" fillId="25" borderId="3" xfId="1" applyNumberFormat="1" applyFont="1" applyFill="1" applyBorder="1" applyAlignment="1" applyProtection="1">
      <alignment horizontal="center" vertical="center"/>
      <protection locked="0"/>
    </xf>
    <xf numFmtId="43" fontId="58" fillId="25" borderId="3" xfId="1" applyFont="1" applyFill="1" applyBorder="1" applyAlignment="1" applyProtection="1">
      <alignment horizontal="center" vertical="center"/>
      <protection locked="0"/>
    </xf>
    <xf numFmtId="200" fontId="58" fillId="25" borderId="3" xfId="1" applyNumberFormat="1" applyFont="1" applyFill="1" applyBorder="1" applyAlignment="1" applyProtection="1">
      <alignment horizontal="center" vertical="center"/>
      <protection locked="0"/>
    </xf>
    <xf numFmtId="185" fontId="58" fillId="25" borderId="3" xfId="1" applyNumberFormat="1" applyFont="1" applyFill="1" applyBorder="1" applyAlignment="1" applyProtection="1">
      <alignment horizontal="center" vertical="center"/>
      <protection locked="0"/>
    </xf>
    <xf numFmtId="14" fontId="57" fillId="25" borderId="3" xfId="0" applyNumberFormat="1" applyFont="1" applyFill="1" applyBorder="1" applyAlignment="1" applyProtection="1">
      <alignment horizontal="center" vertical="center"/>
      <protection locked="0"/>
    </xf>
    <xf numFmtId="0" fontId="59" fillId="4" borderId="0" xfId="0" applyFont="1" applyFill="1" applyProtection="1">
      <protection locked="0"/>
    </xf>
    <xf numFmtId="0" fontId="53" fillId="4" borderId="0" xfId="0" applyFont="1" applyFill="1" applyProtection="1">
      <protection locked="0"/>
    </xf>
    <xf numFmtId="0" fontId="35" fillId="21" borderId="0" xfId="0" applyFont="1" applyFill="1" applyAlignment="1">
      <alignment horizontal="center" wrapText="1"/>
    </xf>
    <xf numFmtId="185" fontId="36" fillId="0" borderId="0" xfId="1" applyNumberFormat="1" applyFont="1"/>
    <xf numFmtId="3" fontId="0" fillId="0" borderId="0" xfId="0" applyNumberFormat="1"/>
    <xf numFmtId="167" fontId="36" fillId="0" borderId="0" xfId="1" applyNumberFormat="1" applyFont="1"/>
    <xf numFmtId="8" fontId="0" fillId="0" borderId="0" xfId="0" applyNumberFormat="1"/>
    <xf numFmtId="167" fontId="0" fillId="0" borderId="0" xfId="1" applyNumberFormat="1" applyFont="1"/>
    <xf numFmtId="43" fontId="4" fillId="0" borderId="0" xfId="0" applyNumberFormat="1" applyFont="1"/>
    <xf numFmtId="0" fontId="63" fillId="4" borderId="3" xfId="2" applyNumberFormat="1" applyFont="1" applyFill="1" applyBorder="1" applyAlignment="1" applyProtection="1">
      <alignment horizontal="center" vertical="center"/>
      <protection locked="0"/>
    </xf>
    <xf numFmtId="2" fontId="63" fillId="30" borderId="3" xfId="2" applyNumberFormat="1" applyFont="1" applyFill="1" applyBorder="1" applyAlignment="1" applyProtection="1">
      <alignment horizontal="center" vertical="center"/>
      <protection locked="0"/>
    </xf>
    <xf numFmtId="10" fontId="64" fillId="31" borderId="3" xfId="3" applyNumberFormat="1" applyFont="1" applyFill="1" applyBorder="1" applyAlignment="1">
      <alignment horizontal="center"/>
    </xf>
    <xf numFmtId="185" fontId="36" fillId="0" borderId="0" xfId="1" applyNumberFormat="1" applyFont="1" applyAlignment="1">
      <alignment horizontal="right"/>
    </xf>
    <xf numFmtId="49" fontId="44" fillId="0" borderId="32" xfId="0" applyNumberFormat="1" applyFont="1" applyBorder="1" applyAlignment="1">
      <alignment horizontal="left"/>
    </xf>
    <xf numFmtId="49" fontId="44" fillId="0" borderId="32" xfId="0" applyNumberFormat="1" applyFont="1" applyBorder="1" applyAlignment="1">
      <alignment horizontal="center"/>
    </xf>
    <xf numFmtId="49" fontId="36" fillId="0" borderId="32" xfId="0" applyNumberFormat="1" applyFont="1" applyBorder="1" applyAlignment="1">
      <alignment horizontal="center"/>
    </xf>
    <xf numFmtId="0" fontId="44" fillId="0" borderId="32" xfId="0" applyFont="1" applyBorder="1" applyAlignment="1">
      <alignment horizontal="center"/>
    </xf>
    <xf numFmtId="192" fontId="36" fillId="0" borderId="32" xfId="0" applyNumberFormat="1" applyFont="1" applyBorder="1" applyAlignment="1">
      <alignment horizontal="right"/>
    </xf>
    <xf numFmtId="164" fontId="53" fillId="4" borderId="0" xfId="0" applyNumberFormat="1" applyFont="1" applyFill="1"/>
    <xf numFmtId="43" fontId="0" fillId="0" borderId="0" xfId="1" applyFont="1"/>
    <xf numFmtId="0" fontId="14" fillId="32" borderId="0" xfId="0" applyFont="1" applyFill="1"/>
    <xf numFmtId="0" fontId="32" fillId="0" borderId="0" xfId="0" applyFont="1"/>
    <xf numFmtId="18" fontId="0" fillId="0" borderId="0" xfId="0" applyNumberFormat="1"/>
    <xf numFmtId="0" fontId="14" fillId="33" borderId="0" xfId="0" applyFont="1" applyFill="1"/>
    <xf numFmtId="0" fontId="78" fillId="34" borderId="0" xfId="0" applyFont="1" applyFill="1"/>
    <xf numFmtId="204" fontId="0" fillId="0" borderId="0" xfId="0" applyNumberFormat="1"/>
    <xf numFmtId="0" fontId="79" fillId="34" borderId="0" xfId="0" applyFont="1" applyFill="1"/>
    <xf numFmtId="0" fontId="79" fillId="26" borderId="0" xfId="0" applyFont="1" applyFill="1"/>
    <xf numFmtId="195" fontId="0" fillId="0" borderId="0" xfId="0" applyNumberFormat="1"/>
    <xf numFmtId="0" fontId="0" fillId="25" borderId="0" xfId="0" applyFill="1" applyAlignment="1">
      <alignment horizontal="center"/>
    </xf>
    <xf numFmtId="0" fontId="36" fillId="25" borderId="0" xfId="0" applyFont="1" applyFill="1"/>
    <xf numFmtId="180" fontId="36" fillId="25" borderId="0" xfId="0" applyNumberFormat="1" applyFont="1" applyFill="1" applyAlignment="1">
      <alignment horizontal="center"/>
    </xf>
    <xf numFmtId="167" fontId="49" fillId="25" borderId="0" xfId="1" applyNumberFormat="1" applyFont="1" applyFill="1"/>
    <xf numFmtId="180" fontId="37" fillId="25" borderId="0" xfId="0" applyNumberFormat="1" applyFont="1" applyFill="1"/>
    <xf numFmtId="167" fontId="36" fillId="25" borderId="0" xfId="1" applyNumberFormat="1" applyFont="1" applyFill="1"/>
    <xf numFmtId="181" fontId="0" fillId="25" borderId="0" xfId="0" applyNumberFormat="1" applyFill="1" applyAlignment="1">
      <alignment horizontal="right"/>
    </xf>
    <xf numFmtId="185" fontId="36" fillId="25" borderId="0" xfId="1" applyNumberFormat="1" applyFont="1" applyFill="1" applyAlignment="1">
      <alignment horizontal="right"/>
    </xf>
    <xf numFmtId="0" fontId="39" fillId="25" borderId="0" xfId="0" applyFont="1" applyFill="1"/>
    <xf numFmtId="180" fontId="0" fillId="25" borderId="0" xfId="0" applyNumberFormat="1" applyFill="1"/>
    <xf numFmtId="0" fontId="0" fillId="25" borderId="0" xfId="0" applyFill="1"/>
    <xf numFmtId="200" fontId="36" fillId="25" borderId="0" xfId="0" applyNumberFormat="1" applyFont="1" applyFill="1"/>
    <xf numFmtId="200" fontId="49" fillId="25" borderId="0" xfId="0" applyNumberFormat="1" applyFont="1" applyFill="1"/>
    <xf numFmtId="10" fontId="0" fillId="25" borderId="0" xfId="3" applyNumberFormat="1" applyFont="1" applyFill="1"/>
    <xf numFmtId="9" fontId="0" fillId="25" borderId="0" xfId="3" applyFont="1" applyFill="1"/>
    <xf numFmtId="0" fontId="0" fillId="2" borderId="0" xfId="0" applyFill="1"/>
    <xf numFmtId="192" fontId="36" fillId="35" borderId="32" xfId="0" applyNumberFormat="1" applyFont="1" applyFill="1" applyBorder="1" applyAlignment="1">
      <alignment horizontal="right"/>
    </xf>
    <xf numFmtId="0" fontId="46" fillId="35" borderId="32" xfId="0" applyFont="1" applyFill="1" applyBorder="1" applyAlignment="1">
      <alignment horizontal="center"/>
    </xf>
    <xf numFmtId="192" fontId="46" fillId="35" borderId="32" xfId="0" applyNumberFormat="1" applyFont="1" applyFill="1" applyBorder="1" applyAlignment="1">
      <alignment horizontal="center"/>
    </xf>
    <xf numFmtId="49" fontId="46" fillId="35" borderId="32" xfId="0" applyNumberFormat="1" applyFont="1" applyFill="1" applyBorder="1" applyAlignment="1">
      <alignment horizontal="center"/>
    </xf>
    <xf numFmtId="14" fontId="44" fillId="35" borderId="0" xfId="0" applyNumberFormat="1" applyFont="1" applyFill="1" applyAlignment="1">
      <alignment horizontal="center"/>
    </xf>
    <xf numFmtId="0" fontId="23" fillId="36" borderId="0" xfId="0" applyFont="1" applyFill="1" applyAlignment="1">
      <alignment horizontal="center"/>
    </xf>
    <xf numFmtId="0" fontId="79" fillId="37" borderId="0" xfId="0" applyFont="1" applyFill="1"/>
    <xf numFmtId="0" fontId="80" fillId="0" borderId="0" xfId="0" applyFont="1"/>
    <xf numFmtId="0" fontId="82" fillId="0" borderId="0" xfId="0" applyFont="1"/>
    <xf numFmtId="0" fontId="83" fillId="0" borderId="0" xfId="0" applyFont="1"/>
    <xf numFmtId="0" fontId="84" fillId="0" borderId="0" xfId="0" applyFont="1"/>
    <xf numFmtId="195" fontId="0" fillId="32" borderId="0" xfId="0" applyNumberFormat="1" applyFill="1"/>
    <xf numFmtId="0" fontId="85" fillId="0" borderId="0" xfId="0" applyFont="1"/>
    <xf numFmtId="10" fontId="0" fillId="38" borderId="0" xfId="0" applyNumberFormat="1" applyFill="1"/>
    <xf numFmtId="0" fontId="33" fillId="0" borderId="0" xfId="0" applyFont="1"/>
    <xf numFmtId="165" fontId="33" fillId="0" borderId="0" xfId="0" applyNumberFormat="1" applyFont="1"/>
    <xf numFmtId="197" fontId="33" fillId="0" borderId="0" xfId="0" applyNumberFormat="1" applyFont="1"/>
    <xf numFmtId="0" fontId="81" fillId="38" borderId="0" xfId="0" applyFont="1" applyFill="1" applyAlignment="1">
      <alignment horizontal="center"/>
    </xf>
    <xf numFmtId="195" fontId="33" fillId="0" borderId="0" xfId="0" applyNumberFormat="1" applyFont="1" applyAlignment="1">
      <alignment horizontal="right"/>
    </xf>
    <xf numFmtId="165" fontId="33" fillId="0" borderId="0" xfId="0" applyNumberFormat="1" applyFont="1" applyAlignment="1">
      <alignment horizontal="right"/>
    </xf>
    <xf numFmtId="0" fontId="79" fillId="37" borderId="0" xfId="0" applyFont="1" applyFill="1" applyAlignment="1">
      <alignment horizontal="center"/>
    </xf>
    <xf numFmtId="0" fontId="42" fillId="40" borderId="0" xfId="0" applyFont="1" applyFill="1"/>
    <xf numFmtId="0" fontId="42" fillId="40" borderId="0" xfId="0" applyFont="1" applyFill="1" applyAlignment="1">
      <alignment horizontal="right"/>
    </xf>
    <xf numFmtId="0" fontId="86" fillId="41" borderId="0" xfId="0" applyFont="1" applyFill="1"/>
    <xf numFmtId="0" fontId="0" fillId="42" borderId="0" xfId="0" applyFill="1"/>
    <xf numFmtId="195" fontId="0" fillId="42" borderId="0" xfId="0" applyNumberFormat="1" applyFill="1"/>
    <xf numFmtId="2" fontId="0" fillId="42" borderId="0" xfId="0" applyNumberFormat="1" applyFill="1"/>
    <xf numFmtId="10" fontId="0" fillId="42" borderId="0" xfId="0" applyNumberFormat="1" applyFill="1"/>
    <xf numFmtId="204" fontId="0" fillId="42" borderId="0" xfId="0" applyNumberFormat="1" applyFill="1"/>
    <xf numFmtId="195" fontId="0" fillId="43" borderId="0" xfId="0" applyNumberFormat="1" applyFill="1"/>
    <xf numFmtId="0" fontId="14" fillId="44" borderId="0" xfId="0" applyFont="1" applyFill="1" applyAlignment="1">
      <alignment horizontal="center"/>
    </xf>
    <xf numFmtId="0" fontId="23" fillId="21" borderId="0" xfId="0" applyFont="1" applyFill="1" applyAlignment="1">
      <alignment horizontal="center"/>
    </xf>
    <xf numFmtId="0" fontId="0" fillId="33" borderId="0" xfId="0" applyFill="1"/>
    <xf numFmtId="0" fontId="0" fillId="45" borderId="0" xfId="0" applyFill="1"/>
    <xf numFmtId="0" fontId="14" fillId="46" borderId="0" xfId="0" applyFont="1" applyFill="1"/>
    <xf numFmtId="0" fontId="79" fillId="21" borderId="0" xfId="0" applyFont="1" applyFill="1" applyAlignment="1">
      <alignment horizontal="center"/>
    </xf>
    <xf numFmtId="0" fontId="78" fillId="37" borderId="0" xfId="0" applyFont="1" applyFill="1"/>
    <xf numFmtId="0" fontId="87" fillId="0" borderId="0" xfId="0" applyFont="1"/>
    <xf numFmtId="0" fontId="0" fillId="32" borderId="0" xfId="0" applyFill="1"/>
    <xf numFmtId="0" fontId="0" fillId="47" borderId="0" xfId="0" applyFill="1"/>
    <xf numFmtId="0" fontId="0" fillId="48" borderId="0" xfId="0" applyFill="1"/>
    <xf numFmtId="0" fontId="0" fillId="46" borderId="0" xfId="0" applyFill="1"/>
    <xf numFmtId="0" fontId="78" fillId="21" borderId="0" xfId="0" applyFont="1" applyFill="1" applyAlignment="1">
      <alignment horizontal="center"/>
    </xf>
    <xf numFmtId="0" fontId="88" fillId="0" borderId="0" xfId="0" applyFont="1"/>
    <xf numFmtId="0" fontId="14" fillId="45" borderId="0" xfId="0" applyFont="1" applyFill="1" applyAlignment="1">
      <alignment horizontal="center"/>
    </xf>
    <xf numFmtId="0" fontId="0" fillId="45" borderId="0" xfId="0" applyFill="1" applyAlignment="1">
      <alignment horizontal="center"/>
    </xf>
    <xf numFmtId="0" fontId="89" fillId="0" borderId="0" xfId="0" applyFont="1" applyAlignment="1">
      <alignment horizontal="center"/>
    </xf>
    <xf numFmtId="0" fontId="78" fillId="37" borderId="0" xfId="0" applyFont="1" applyFill="1" applyAlignment="1">
      <alignment horizontal="center"/>
    </xf>
    <xf numFmtId="0" fontId="0" fillId="32" borderId="0" xfId="0" applyFill="1" applyAlignment="1">
      <alignment horizontal="center"/>
    </xf>
    <xf numFmtId="0" fontId="0" fillId="33" borderId="0" xfId="0" applyFill="1" applyAlignment="1">
      <alignment horizontal="center"/>
    </xf>
    <xf numFmtId="0" fontId="14" fillId="47" borderId="0" xfId="0" applyFont="1" applyFill="1" applyAlignment="1">
      <alignment horizontal="center"/>
    </xf>
    <xf numFmtId="0" fontId="0" fillId="47" borderId="0" xfId="0" applyFill="1" applyAlignment="1">
      <alignment horizontal="center"/>
    </xf>
    <xf numFmtId="0" fontId="0" fillId="0" borderId="0" xfId="0" applyAlignment="1">
      <alignment wrapText="1"/>
    </xf>
    <xf numFmtId="0" fontId="14" fillId="32" borderId="0" xfId="0" applyFont="1" applyFill="1" applyAlignment="1">
      <alignment wrapText="1"/>
    </xf>
    <xf numFmtId="0" fontId="14" fillId="0" borderId="0" xfId="0" applyFont="1" applyAlignment="1">
      <alignment wrapText="1"/>
    </xf>
    <xf numFmtId="0" fontId="0" fillId="46" borderId="0" xfId="0" applyFill="1" applyAlignment="1">
      <alignment wrapText="1"/>
    </xf>
    <xf numFmtId="0" fontId="0" fillId="33" borderId="0" xfId="0" applyFill="1" applyAlignment="1">
      <alignment horizontal="center" wrapText="1"/>
    </xf>
    <xf numFmtId="204" fontId="14" fillId="33" borderId="0" xfId="0" applyNumberFormat="1" applyFont="1" applyFill="1"/>
    <xf numFmtId="0" fontId="0" fillId="0" borderId="0" xfId="0" applyAlignment="1">
      <alignment horizontal="centerContinuous"/>
    </xf>
    <xf numFmtId="0" fontId="0" fillId="0" borderId="0" xfId="0" applyAlignment="1">
      <alignment horizontal="centerContinuous" wrapText="1"/>
    </xf>
    <xf numFmtId="0" fontId="32" fillId="0" borderId="0" xfId="0" applyFont="1" applyAlignment="1">
      <alignment horizontal="centerContinuous"/>
    </xf>
    <xf numFmtId="0" fontId="0" fillId="37" borderId="0" xfId="0" applyFill="1"/>
    <xf numFmtId="0" fontId="90" fillId="0" borderId="0" xfId="0" applyFont="1"/>
    <xf numFmtId="205" fontId="33" fillId="0" borderId="0" xfId="0" applyNumberFormat="1" applyFont="1" applyAlignment="1">
      <alignment horizontal="right"/>
    </xf>
    <xf numFmtId="0" fontId="91" fillId="49" borderId="0" xfId="0" applyFont="1" applyFill="1"/>
    <xf numFmtId="0" fontId="92" fillId="49" borderId="0" xfId="0" applyFont="1" applyFill="1"/>
    <xf numFmtId="0" fontId="91" fillId="33" borderId="0" xfId="0" applyFont="1" applyFill="1"/>
    <xf numFmtId="0" fontId="95" fillId="37" borderId="55" xfId="0" applyFont="1" applyFill="1" applyBorder="1" applyAlignment="1">
      <alignment horizontal="center"/>
    </xf>
    <xf numFmtId="0" fontId="96" fillId="37" borderId="57" xfId="0" applyFont="1" applyFill="1" applyBorder="1"/>
    <xf numFmtId="0" fontId="96" fillId="34" borderId="57" xfId="0" applyFont="1" applyFill="1" applyBorder="1"/>
    <xf numFmtId="0" fontId="95" fillId="37" borderId="56" xfId="0" applyFont="1" applyFill="1" applyBorder="1" applyAlignment="1">
      <alignment horizontal="center"/>
    </xf>
    <xf numFmtId="195" fontId="94" fillId="39" borderId="0" xfId="0" applyNumberFormat="1" applyFont="1" applyFill="1"/>
    <xf numFmtId="195" fontId="97" fillId="39" borderId="0" xfId="0" applyNumberFormat="1" applyFont="1" applyFill="1"/>
    <xf numFmtId="0" fontId="33" fillId="50" borderId="0" xfId="0" applyFont="1" applyFill="1"/>
    <xf numFmtId="195" fontId="33" fillId="50" borderId="0" xfId="0" applyNumberFormat="1" applyFont="1" applyFill="1"/>
    <xf numFmtId="197" fontId="33" fillId="50" borderId="0" xfId="0" applyNumberFormat="1" applyFont="1" applyFill="1"/>
    <xf numFmtId="0" fontId="93" fillId="41" borderId="58" xfId="0" applyFont="1" applyFill="1" applyBorder="1"/>
    <xf numFmtId="0" fontId="98" fillId="0" borderId="0" xfId="0" applyFont="1"/>
    <xf numFmtId="0" fontId="99" fillId="50" borderId="0" xfId="0" applyFont="1" applyFill="1"/>
    <xf numFmtId="0" fontId="100" fillId="0" borderId="0" xfId="0" applyFont="1"/>
    <xf numFmtId="0" fontId="101" fillId="0" borderId="0" xfId="0" applyFont="1"/>
    <xf numFmtId="0" fontId="102" fillId="0" borderId="0" xfId="0" applyFont="1"/>
    <xf numFmtId="0" fontId="103" fillId="0" borderId="0" xfId="0" applyFont="1"/>
    <xf numFmtId="0" fontId="105" fillId="54" borderId="0" xfId="0" applyFont="1" applyFill="1"/>
    <xf numFmtId="0" fontId="0" fillId="54" borderId="0" xfId="0" applyFill="1"/>
    <xf numFmtId="0" fontId="14" fillId="54" borderId="0" xfId="0" applyFont="1" applyFill="1"/>
    <xf numFmtId="0" fontId="106" fillId="0" borderId="0" xfId="0" applyFont="1"/>
    <xf numFmtId="0" fontId="107" fillId="0" borderId="0" xfId="0" applyFont="1"/>
    <xf numFmtId="0" fontId="108" fillId="0" borderId="0" xfId="0" applyFont="1"/>
    <xf numFmtId="22" fontId="108" fillId="0" borderId="0" xfId="0" applyNumberFormat="1" applyFont="1"/>
    <xf numFmtId="6" fontId="108" fillId="0" borderId="0" xfId="0" applyNumberFormat="1" applyFont="1"/>
    <xf numFmtId="0" fontId="109" fillId="0" borderId="0" xfId="0" applyFont="1"/>
    <xf numFmtId="0" fontId="110" fillId="0" borderId="0" xfId="0" applyFont="1"/>
    <xf numFmtId="0" fontId="104" fillId="53" borderId="59" xfId="0" applyFont="1" applyFill="1" applyBorder="1" applyAlignment="1">
      <alignment horizontal="center"/>
    </xf>
    <xf numFmtId="0" fontId="104" fillId="53" borderId="59" xfId="0" applyFont="1" applyFill="1" applyBorder="1"/>
    <xf numFmtId="0" fontId="104" fillId="53" borderId="59" xfId="0" applyFont="1" applyFill="1" applyBorder="1" applyAlignment="1">
      <alignment horizontal="center" wrapText="1"/>
    </xf>
    <xf numFmtId="0" fontId="0" fillId="54" borderId="0" xfId="0" applyFill="1" applyAlignment="1">
      <alignment wrapText="1"/>
    </xf>
    <xf numFmtId="0" fontId="14" fillId="54" borderId="0" xfId="0" applyFont="1" applyFill="1" applyAlignment="1">
      <alignment wrapText="1"/>
    </xf>
    <xf numFmtId="0" fontId="108" fillId="0" borderId="0" xfId="0" applyFont="1" applyAlignment="1">
      <alignment wrapText="1"/>
    </xf>
    <xf numFmtId="0" fontId="109" fillId="0" borderId="0" xfId="0" applyFont="1" applyAlignment="1">
      <alignment wrapText="1"/>
    </xf>
    <xf numFmtId="0" fontId="104" fillId="53" borderId="59" xfId="0" applyFont="1" applyFill="1" applyBorder="1" applyAlignment="1">
      <alignment wrapText="1"/>
    </xf>
    <xf numFmtId="10" fontId="0" fillId="0" borderId="0" xfId="0" applyNumberFormat="1" applyAlignment="1">
      <alignment wrapText="1"/>
    </xf>
    <xf numFmtId="0" fontId="0" fillId="0" borderId="0" xfId="0" quotePrefix="1" applyAlignment="1">
      <alignment wrapText="1"/>
    </xf>
    <xf numFmtId="44" fontId="58" fillId="4" borderId="60" xfId="2" applyFont="1" applyFill="1" applyBorder="1" applyAlignment="1">
      <alignment horizontal="center"/>
    </xf>
    <xf numFmtId="164" fontId="52" fillId="0" borderId="60" xfId="2" applyNumberFormat="1" applyFont="1" applyBorder="1" applyAlignment="1">
      <alignment horizontal="center"/>
    </xf>
    <xf numFmtId="0" fontId="52" fillId="27" borderId="61" xfId="0" applyFont="1" applyFill="1" applyBorder="1"/>
    <xf numFmtId="0" fontId="52" fillId="0" borderId="60" xfId="0" applyFont="1" applyBorder="1" applyAlignment="1">
      <alignment horizontal="center"/>
    </xf>
    <xf numFmtId="0" fontId="52" fillId="27" borderId="61" xfId="0" applyFont="1" applyFill="1" applyBorder="1" applyAlignment="1">
      <alignment horizontal="center" vertical="center" wrapText="1"/>
    </xf>
    <xf numFmtId="185" fontId="63" fillId="0" borderId="61" xfId="2" applyNumberFormat="1" applyFont="1" applyBorder="1" applyAlignment="1">
      <alignment horizontal="center" vertical="center"/>
    </xf>
    <xf numFmtId="2" fontId="63" fillId="29" borderId="60" xfId="2" applyNumberFormat="1" applyFont="1" applyFill="1" applyBorder="1" applyAlignment="1">
      <alignment horizontal="center" vertical="center"/>
    </xf>
    <xf numFmtId="10" fontId="63" fillId="0" borderId="61" xfId="0" applyNumberFormat="1" applyFont="1" applyBorder="1" applyAlignment="1">
      <alignment horizontal="center"/>
    </xf>
    <xf numFmtId="196" fontId="63" fillId="0" borderId="61" xfId="0" applyNumberFormat="1" applyFont="1" applyBorder="1" applyAlignment="1">
      <alignment horizontal="center"/>
    </xf>
    <xf numFmtId="167" fontId="58" fillId="0" borderId="61" xfId="1" applyNumberFormat="1" applyFont="1" applyBorder="1"/>
    <xf numFmtId="0" fontId="4" fillId="0" borderId="60" xfId="0" applyFont="1" applyBorder="1" applyAlignment="1">
      <alignment horizontal="center"/>
    </xf>
    <xf numFmtId="167" fontId="4" fillId="0" borderId="60" xfId="1" applyNumberFormat="1" applyFont="1" applyBorder="1" applyAlignment="1">
      <alignment horizontal="center"/>
    </xf>
    <xf numFmtId="165" fontId="4" fillId="0" borderId="60" xfId="3" applyNumberFormat="1" applyFont="1" applyBorder="1" applyAlignment="1">
      <alignment horizontal="center"/>
    </xf>
    <xf numFmtId="0" fontId="41" fillId="0" borderId="60" xfId="0" applyFont="1" applyBorder="1" applyAlignment="1">
      <alignment horizontal="center"/>
    </xf>
    <xf numFmtId="0" fontId="7" fillId="0" borderId="60" xfId="4" applyBorder="1" applyAlignment="1">
      <alignment horizontal="left"/>
    </xf>
    <xf numFmtId="41" fontId="4" fillId="0" borderId="60" xfId="0" applyNumberFormat="1" applyFont="1" applyBorder="1" applyAlignment="1">
      <alignment horizontal="center"/>
    </xf>
    <xf numFmtId="9" fontId="22" fillId="17" borderId="60" xfId="3" applyFont="1" applyFill="1" applyBorder="1" applyAlignment="1">
      <alignment horizontal="center" readingOrder="1"/>
    </xf>
    <xf numFmtId="9" fontId="22" fillId="17" borderId="60" xfId="3" applyFont="1" applyFill="1" applyBorder="1" applyAlignment="1">
      <alignment horizontal="center" wrapText="1" readingOrder="1"/>
    </xf>
    <xf numFmtId="0" fontId="22" fillId="17" borderId="60" xfId="3" applyNumberFormat="1" applyFont="1" applyFill="1" applyBorder="1" applyAlignment="1">
      <alignment horizontal="center" wrapText="1" readingOrder="1"/>
    </xf>
    <xf numFmtId="9" fontId="22" fillId="17" borderId="60" xfId="3" applyFont="1" applyFill="1" applyBorder="1" applyAlignment="1">
      <alignment horizontal="centerContinuous" wrapText="1" readingOrder="1"/>
    </xf>
    <xf numFmtId="9" fontId="21" fillId="17" borderId="60" xfId="3" applyFont="1" applyFill="1" applyBorder="1" applyAlignment="1">
      <alignment horizontal="centerContinuous" readingOrder="1"/>
    </xf>
    <xf numFmtId="9" fontId="23" fillId="17" borderId="60" xfId="3" applyFont="1" applyFill="1" applyBorder="1" applyAlignment="1">
      <alignment horizontal="centerContinuous" readingOrder="1"/>
    </xf>
    <xf numFmtId="0" fontId="61" fillId="20" borderId="60" xfId="0" applyFont="1" applyFill="1" applyBorder="1"/>
    <xf numFmtId="0" fontId="61" fillId="20" borderId="62" xfId="0" applyFont="1" applyFill="1" applyBorder="1"/>
    <xf numFmtId="0" fontId="42" fillId="0" borderId="60" xfId="0" applyFont="1" applyBorder="1"/>
    <xf numFmtId="180" fontId="42" fillId="0" borderId="60" xfId="0" applyNumberFormat="1" applyFont="1" applyBorder="1"/>
    <xf numFmtId="181" fontId="42" fillId="0" borderId="60" xfId="0" applyNumberFormat="1" applyFont="1" applyBorder="1" applyAlignment="1">
      <alignment horizontal="right"/>
    </xf>
    <xf numFmtId="181" fontId="42" fillId="0" borderId="60" xfId="0" applyNumberFormat="1" applyFont="1" applyBorder="1"/>
    <xf numFmtId="200" fontId="42" fillId="0" borderId="60" xfId="0" applyNumberFormat="1" applyFont="1" applyBorder="1"/>
    <xf numFmtId="180" fontId="0" fillId="0" borderId="60" xfId="0" applyNumberFormat="1" applyBorder="1"/>
    <xf numFmtId="9" fontId="0" fillId="0" borderId="60" xfId="0" applyNumberFormat="1" applyBorder="1"/>
    <xf numFmtId="0" fontId="14" fillId="0" borderId="60" xfId="0" applyFont="1" applyBorder="1" applyAlignment="1">
      <alignment vertical="center"/>
    </xf>
    <xf numFmtId="183" fontId="14" fillId="0" borderId="60" xfId="0" applyNumberFormat="1" applyFont="1" applyBorder="1" applyAlignment="1">
      <alignment vertical="center"/>
    </xf>
    <xf numFmtId="195" fontId="1" fillId="51" borderId="0" xfId="0" applyNumberFormat="1" applyFont="1" applyFill="1"/>
    <xf numFmtId="195" fontId="1" fillId="45" borderId="0" xfId="0" applyNumberFormat="1" applyFont="1" applyFill="1"/>
    <xf numFmtId="49" fontId="54" fillId="25" borderId="3" xfId="0" applyNumberFormat="1" applyFont="1" applyFill="1" applyBorder="1" applyAlignment="1">
      <alignment horizontal="left" vertical="center"/>
    </xf>
    <xf numFmtId="0" fontId="0" fillId="0" borderId="2" xfId="0" applyBorder="1"/>
    <xf numFmtId="0" fontId="0" fillId="0" borderId="61" xfId="0" applyBorder="1"/>
    <xf numFmtId="0" fontId="58" fillId="0" borderId="4" xfId="0" applyFont="1" applyBorder="1" applyAlignment="1">
      <alignment horizontal="left" vertical="top" wrapText="1"/>
    </xf>
    <xf numFmtId="0" fontId="0" fillId="0" borderId="4" xfId="0" applyBorder="1"/>
    <xf numFmtId="0" fontId="53" fillId="15" borderId="0" xfId="0" applyFont="1" applyFill="1" applyAlignment="1">
      <alignment horizontal="left" vertical="top" wrapText="1"/>
    </xf>
    <xf numFmtId="0" fontId="53" fillId="0" borderId="0" xfId="0" applyFont="1"/>
    <xf numFmtId="0" fontId="53" fillId="0" borderId="0" xfId="0" applyFont="1" applyAlignment="1">
      <alignment horizontal="left" vertical="top" wrapText="1"/>
    </xf>
    <xf numFmtId="0" fontId="62" fillId="23" borderId="3" xfId="0" applyFont="1" applyFill="1" applyBorder="1" applyAlignment="1">
      <alignment horizontal="center"/>
    </xf>
    <xf numFmtId="0" fontId="56" fillId="26" borderId="31" xfId="0" applyFont="1" applyFill="1" applyBorder="1" applyAlignment="1">
      <alignment horizontal="left" wrapText="1"/>
    </xf>
    <xf numFmtId="0" fontId="52" fillId="27" borderId="3" xfId="0" applyFont="1" applyFill="1" applyBorder="1" applyAlignment="1">
      <alignment horizontal="center" vertical="center" wrapText="1"/>
    </xf>
    <xf numFmtId="0" fontId="0" fillId="0" borderId="60" xfId="0" applyBorder="1"/>
    <xf numFmtId="0" fontId="0" fillId="0" borderId="62" xfId="0" applyBorder="1"/>
    <xf numFmtId="0" fontId="0" fillId="0" borderId="5" xfId="0" applyBorder="1"/>
    <xf numFmtId="0" fontId="52" fillId="0" borderId="0" xfId="0" applyFont="1"/>
    <xf numFmtId="0" fontId="0" fillId="0" borderId="19" xfId="0" applyBorder="1"/>
    <xf numFmtId="0" fontId="0" fillId="0" borderId="6" xfId="0" applyBorder="1"/>
    <xf numFmtId="0" fontId="0" fillId="0" borderId="13" xfId="0" applyBorder="1"/>
    <xf numFmtId="0" fontId="52" fillId="27" borderId="3" xfId="0" applyFont="1" applyFill="1" applyBorder="1" applyAlignment="1">
      <alignment horizontal="center"/>
    </xf>
    <xf numFmtId="0" fontId="52" fillId="0" borderId="24" xfId="0" applyFont="1" applyBorder="1" applyAlignment="1">
      <alignment horizontal="center"/>
    </xf>
    <xf numFmtId="0" fontId="56" fillId="26" borderId="33" xfId="0" applyFont="1" applyFill="1" applyBorder="1" applyAlignment="1">
      <alignment horizontal="center"/>
    </xf>
    <xf numFmtId="0" fontId="0" fillId="0" borderId="11" xfId="0" applyBorder="1"/>
    <xf numFmtId="0" fontId="0" fillId="0" borderId="12" xfId="0" applyBorder="1"/>
    <xf numFmtId="0" fontId="52" fillId="3" borderId="3" xfId="0" applyFont="1" applyFill="1" applyBorder="1" applyAlignment="1">
      <alignment horizontal="center" vertical="center"/>
    </xf>
    <xf numFmtId="0" fontId="52" fillId="27" borderId="3" xfId="0" applyFont="1" applyFill="1" applyBorder="1" applyAlignment="1">
      <alignment horizontal="center" vertical="center"/>
    </xf>
    <xf numFmtId="0" fontId="52" fillId="27" borderId="1" xfId="0" applyFont="1" applyFill="1" applyBorder="1" applyAlignment="1">
      <alignment horizontal="center" vertical="center"/>
    </xf>
    <xf numFmtId="0" fontId="52" fillId="0" borderId="33" xfId="0" applyFont="1" applyBorder="1" applyAlignment="1">
      <alignment horizontal="center"/>
    </xf>
    <xf numFmtId="0" fontId="52" fillId="0" borderId="10" xfId="0" applyFont="1" applyBorder="1" applyAlignment="1">
      <alignment horizontal="center"/>
    </xf>
    <xf numFmtId="0" fontId="52" fillId="27" borderId="23" xfId="0" applyFont="1" applyFill="1" applyBorder="1" applyAlignment="1">
      <alignment horizontal="center"/>
    </xf>
    <xf numFmtId="0" fontId="52" fillId="0" borderId="6" xfId="0" applyFont="1" applyBorder="1" applyAlignment="1">
      <alignment horizontal="center"/>
    </xf>
    <xf numFmtId="0" fontId="52" fillId="27" borderId="61" xfId="0" applyFont="1" applyFill="1" applyBorder="1" applyAlignment="1">
      <alignment horizontal="center" vertical="center"/>
    </xf>
    <xf numFmtId="0" fontId="52" fillId="0" borderId="10" xfId="0" applyFont="1" applyBorder="1" applyAlignment="1">
      <alignment horizontal="center" wrapText="1"/>
    </xf>
    <xf numFmtId="0" fontId="52" fillId="3" borderId="3" xfId="0" applyFont="1" applyFill="1" applyBorder="1" applyAlignment="1">
      <alignment horizontal="center" vertical="center" wrapText="1"/>
    </xf>
    <xf numFmtId="14" fontId="48" fillId="8" borderId="0" xfId="0" applyNumberFormat="1" applyFont="1" applyFill="1" applyAlignment="1">
      <alignment horizontal="left"/>
    </xf>
    <xf numFmtId="0" fontId="0" fillId="0" borderId="0" xfId="0"/>
    <xf numFmtId="49" fontId="45" fillId="5" borderId="0" xfId="0" applyNumberFormat="1" applyFont="1" applyFill="1" applyAlignment="1">
      <alignment horizontal="left"/>
    </xf>
    <xf numFmtId="0" fontId="53" fillId="0" borderId="0" xfId="0" applyFont="1" applyAlignment="1">
      <alignment horizontal="left" wrapText="1"/>
    </xf>
    <xf numFmtId="0" fontId="53" fillId="4" borderId="0" xfId="0" applyFont="1" applyFill="1"/>
    <xf numFmtId="0" fontId="53" fillId="0" borderId="0" xfId="0" applyFont="1" applyAlignment="1">
      <alignment horizontal="left" vertical="center" wrapText="1"/>
    </xf>
    <xf numFmtId="0" fontId="23" fillId="26" borderId="0" xfId="0" applyFont="1" applyFill="1" applyAlignment="1">
      <alignment horizontal="center"/>
    </xf>
    <xf numFmtId="0" fontId="79" fillId="52" borderId="0" xfId="0" applyFont="1" applyFill="1" applyAlignment="1">
      <alignment horizontal="left"/>
    </xf>
    <xf numFmtId="0" fontId="23" fillId="36" borderId="0" xfId="0" applyFont="1" applyFill="1" applyAlignment="1">
      <alignment horizontal="center"/>
    </xf>
    <xf numFmtId="0" fontId="0" fillId="0" borderId="0" xfId="0" applyAlignment="1">
      <alignment wrapText="1"/>
    </xf>
  </cellXfs>
  <cellStyles count="21">
    <cellStyle name="Comma" xfId="1" builtinId="3"/>
    <cellStyle name="Comma 2" xfId="20" xr:uid="{00000000-0005-0000-0000-000014000000}"/>
    <cellStyle name="Currency" xfId="2" builtinId="4"/>
    <cellStyle name="Good" xfId="16" builtinId="26"/>
    <cellStyle name="Input" xfId="15" builtinId="20"/>
    <cellStyle name="Normal" xfId="0" builtinId="0"/>
    <cellStyle name="Normal 10" xfId="13" xr:uid="{00000000-0005-0000-0000-00000D000000}"/>
    <cellStyle name="Normal 11" xfId="14" xr:uid="{00000000-0005-0000-0000-00000E000000}"/>
    <cellStyle name="Normal 12" xfId="18" xr:uid="{00000000-0005-0000-0000-000012000000}"/>
    <cellStyle name="Normal 2" xfId="5" xr:uid="{00000000-0005-0000-0000-000005000000}"/>
    <cellStyle name="Normal 2 4 2" xfId="17" xr:uid="{00000000-0005-0000-0000-000011000000}"/>
    <cellStyle name="Normal 3" xfId="6" xr:uid="{00000000-0005-0000-0000-000006000000}"/>
    <cellStyle name="Normal 4" xfId="7" xr:uid="{00000000-0005-0000-0000-000007000000}"/>
    <cellStyle name="Normal 4 8" xfId="4" xr:uid="{00000000-0005-0000-0000-000004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Percent" xfId="3" builtinId="5"/>
    <cellStyle name="Percent 2" xfId="19" xr:uid="{00000000-0005-0000-0000-000013000000}"/>
  </cellStyles>
  <dxfs count="2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152400</xdr:colOff>
      <xdr:row>2</xdr:row>
      <xdr:rowOff>19050</xdr:rowOff>
    </xdr:from>
    <xdr:to>
      <xdr:col>12</xdr:col>
      <xdr:colOff>1104900</xdr:colOff>
      <xdr:row>6</xdr:row>
      <xdr:rowOff>0</xdr:rowOff>
    </xdr:to>
    <xdr:pic>
      <xdr:nvPicPr>
        <xdr:cNvPr id="1025" name="CommandButton1">
          <a:extLst>
            <a:ext uri="{FF2B5EF4-FFF2-40B4-BE49-F238E27FC236}">
              <a16:creationId xmlns:a16="http://schemas.microsoft.com/office/drawing/2014/main" id="{30ECD31D-33E6-57E3-7574-083BB69CF9A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0050" y="342900"/>
          <a:ext cx="952500" cy="6572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675835</xdr:colOff>
      <xdr:row>0</xdr:row>
      <xdr:rowOff>40821</xdr:rowOff>
    </xdr:from>
    <xdr:to>
      <xdr:col>35</xdr:col>
      <xdr:colOff>771587</xdr:colOff>
      <xdr:row>3</xdr:row>
      <xdr:rowOff>136071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4832485" y="40821"/>
          <a:ext cx="1600702" cy="77152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9A6DC3-2488-4382-8E00-5C4C93556971}">
  <we:reference id="29673e3c-d826-4f00-92ee-162334a52b1a" version="1.0.0.8" store="EXCatalog" storeType="EXCatalog"/>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65"/>
  <sheetViews>
    <sheetView showGridLines="0" zoomScale="85" zoomScaleNormal="85" workbookViewId="0">
      <selection activeCell="M75" sqref="M75"/>
    </sheetView>
  </sheetViews>
  <sheetFormatPr defaultColWidth="8.59765625" defaultRowHeight="13.15" outlineLevelRow="1" x14ac:dyDescent="0.4"/>
  <cols>
    <col min="1" max="1" width="1.59765625" style="2" customWidth="1"/>
    <col min="2" max="2" width="14.265625" style="2" bestFit="1" customWidth="1"/>
    <col min="3" max="3" width="23.265625" style="2" bestFit="1" customWidth="1"/>
    <col min="4" max="5" width="8.59765625" style="2" customWidth="1"/>
    <col min="6" max="6" width="18.86328125" style="2" customWidth="1"/>
    <col min="7" max="7" width="8.59765625" style="2" customWidth="1"/>
    <col min="8" max="8" width="2.265625" style="2" bestFit="1" customWidth="1"/>
    <col min="9" max="10" width="15.59765625" style="2" customWidth="1"/>
    <col min="11" max="11" width="21.59765625" style="2" bestFit="1" customWidth="1"/>
    <col min="12" max="12" width="24.59765625" style="3" customWidth="1"/>
    <col min="13" max="13" width="43.59765625" style="2" customWidth="1"/>
    <col min="14" max="14" width="33.265625" style="2" bestFit="1" customWidth="1"/>
    <col min="15" max="15" width="12.265625" style="2" bestFit="1" customWidth="1"/>
    <col min="16" max="16" width="11.265625" style="2" bestFit="1" customWidth="1"/>
    <col min="17" max="18" width="17.265625" style="2" bestFit="1" customWidth="1"/>
    <col min="19" max="19" width="8.59765625" style="2" customWidth="1"/>
    <col min="20" max="16384" width="8.59765625" style="2"/>
  </cols>
  <sheetData>
    <row r="1" spans="2:12" s="295" customFormat="1" ht="12.75" x14ac:dyDescent="0.35">
      <c r="L1" s="296"/>
    </row>
    <row r="2" spans="2:12" s="295" customFormat="1" ht="12.75" x14ac:dyDescent="0.35">
      <c r="L2" s="296"/>
    </row>
    <row r="3" spans="2:12" s="295" customFormat="1" ht="14.25" x14ac:dyDescent="0.45">
      <c r="B3" s="297" t="s">
        <v>0</v>
      </c>
      <c r="F3" s="883" t="s">
        <v>1</v>
      </c>
      <c r="G3" s="884"/>
      <c r="H3" s="884"/>
      <c r="I3" s="884"/>
      <c r="J3" s="885"/>
      <c r="L3" s="296"/>
    </row>
    <row r="4" spans="2:12" s="295" customFormat="1" ht="12.75" x14ac:dyDescent="0.35">
      <c r="L4" s="296"/>
    </row>
    <row r="5" spans="2:12" s="295" customFormat="1" x14ac:dyDescent="0.4">
      <c r="B5" s="297" t="s">
        <v>2</v>
      </c>
      <c r="F5" s="677">
        <v>46022</v>
      </c>
      <c r="G5" s="298"/>
      <c r="L5" s="296"/>
    </row>
    <row r="6" spans="2:12" s="295" customFormat="1" x14ac:dyDescent="0.4">
      <c r="B6" s="297" t="s">
        <v>3</v>
      </c>
      <c r="F6" s="299">
        <v>46570</v>
      </c>
      <c r="L6" s="296"/>
    </row>
    <row r="7" spans="2:12" s="295" customFormat="1" x14ac:dyDescent="0.4">
      <c r="B7" s="297" t="s">
        <v>4</v>
      </c>
      <c r="F7" s="299">
        <v>46934</v>
      </c>
      <c r="L7" s="296"/>
    </row>
    <row r="8" spans="2:12" s="295" customFormat="1" x14ac:dyDescent="0.4">
      <c r="B8" s="297" t="s">
        <v>5</v>
      </c>
      <c r="F8" s="677">
        <v>46022</v>
      </c>
      <c r="L8" s="296"/>
    </row>
    <row r="9" spans="2:12" s="295" customFormat="1" x14ac:dyDescent="0.4">
      <c r="B9" s="297" t="s">
        <v>6</v>
      </c>
      <c r="F9" s="299" t="s">
        <v>7</v>
      </c>
      <c r="L9" s="296"/>
    </row>
    <row r="10" spans="2:12" s="295" customFormat="1" x14ac:dyDescent="0.4">
      <c r="B10" s="297" t="s">
        <v>8</v>
      </c>
      <c r="F10" s="677" t="s">
        <v>7</v>
      </c>
      <c r="L10" s="296"/>
    </row>
    <row r="11" spans="2:12" s="295" customFormat="1" ht="12.75" x14ac:dyDescent="0.35">
      <c r="L11" s="296"/>
    </row>
    <row r="12" spans="2:12" s="295" customFormat="1" ht="12.75" x14ac:dyDescent="0.35">
      <c r="L12" s="296"/>
    </row>
    <row r="13" spans="2:12" s="295" customFormat="1" x14ac:dyDescent="0.35">
      <c r="L13" s="336" t="s">
        <v>9</v>
      </c>
    </row>
    <row r="14" spans="2:12" s="295" customFormat="1" ht="12.75" x14ac:dyDescent="0.35">
      <c r="L14" s="296"/>
    </row>
    <row r="15" spans="2:12" s="295" customFormat="1" x14ac:dyDescent="0.4">
      <c r="B15" s="337" t="s">
        <v>10</v>
      </c>
      <c r="C15" s="337"/>
      <c r="D15" s="337"/>
      <c r="E15" s="337"/>
      <c r="F15" s="337"/>
      <c r="G15" s="337"/>
      <c r="H15" s="337"/>
      <c r="I15" s="337"/>
      <c r="J15" s="337"/>
      <c r="K15" s="337"/>
      <c r="L15" s="340"/>
    </row>
    <row r="16" spans="2:12" s="295" customFormat="1" x14ac:dyDescent="0.35">
      <c r="B16" s="295" t="s">
        <v>11</v>
      </c>
      <c r="L16" s="679">
        <v>200000000</v>
      </c>
    </row>
    <row r="17" spans="1:18" s="295" customFormat="1" x14ac:dyDescent="0.35">
      <c r="L17" s="300"/>
    </row>
    <row r="18" spans="1:18" s="295" customFormat="1" ht="15" customHeight="1" x14ac:dyDescent="0.35">
      <c r="B18" s="295" t="s">
        <v>12</v>
      </c>
      <c r="L18" s="678">
        <v>5470977.5499999998</v>
      </c>
    </row>
    <row r="19" spans="1:18" s="295" customFormat="1" x14ac:dyDescent="0.35">
      <c r="B19" s="302" t="s">
        <v>13</v>
      </c>
      <c r="C19" s="302"/>
      <c r="D19" s="302"/>
      <c r="E19" s="302"/>
      <c r="F19" s="302"/>
      <c r="G19" s="302"/>
      <c r="H19" s="302"/>
      <c r="I19" s="302"/>
      <c r="J19" s="302"/>
      <c r="K19" s="302"/>
      <c r="L19" s="678">
        <v>0</v>
      </c>
    </row>
    <row r="20" spans="1:18" s="295" customFormat="1" ht="12.75" x14ac:dyDescent="0.35">
      <c r="L20" s="296"/>
    </row>
    <row r="21" spans="1:18" s="295" customFormat="1" ht="12.75" x14ac:dyDescent="0.35">
      <c r="B21" s="295" t="s">
        <v>14</v>
      </c>
      <c r="L21" s="296"/>
    </row>
    <row r="22" spans="1:18" s="295" customFormat="1" ht="24" customHeight="1" x14ac:dyDescent="0.35">
      <c r="C22" s="303" t="s">
        <v>15</v>
      </c>
      <c r="D22" s="890" t="s">
        <v>16</v>
      </c>
      <c r="E22" s="889"/>
      <c r="F22" s="889"/>
      <c r="G22" s="889"/>
      <c r="H22" s="889"/>
      <c r="I22" s="889"/>
      <c r="J22" s="889"/>
      <c r="K22" s="889"/>
      <c r="L22" s="304">
        <f>L16</f>
        <v>200000000</v>
      </c>
    </row>
    <row r="23" spans="1:18" s="295" customFormat="1" ht="54.75" customHeight="1" x14ac:dyDescent="0.35">
      <c r="C23" s="303" t="s">
        <v>17</v>
      </c>
      <c r="D23" s="890" t="s">
        <v>18</v>
      </c>
      <c r="E23" s="889"/>
      <c r="F23" s="889"/>
      <c r="G23" s="889"/>
      <c r="H23" s="889"/>
      <c r="I23" s="889"/>
      <c r="J23" s="889"/>
      <c r="K23" s="889"/>
      <c r="L23" s="304">
        <f>L35*L48-L37-L19+L18</f>
        <v>156397412.42025724</v>
      </c>
      <c r="M23" s="305"/>
    </row>
    <row r="24" spans="1:18" s="295" customFormat="1" ht="53.25" hidden="1" customHeight="1" outlineLevel="1" x14ac:dyDescent="0.35">
      <c r="A24" s="306"/>
      <c r="B24" s="306"/>
      <c r="C24" s="307"/>
      <c r="D24" s="888"/>
      <c r="E24" s="889"/>
      <c r="F24" s="889"/>
      <c r="G24" s="889"/>
      <c r="H24" s="889"/>
      <c r="I24" s="889"/>
      <c r="J24" s="889"/>
      <c r="K24" s="889"/>
      <c r="L24" s="308"/>
      <c r="M24" s="309"/>
    </row>
    <row r="25" spans="1:18" s="295" customFormat="1" ht="69.75" customHeight="1" collapsed="1" x14ac:dyDescent="0.45">
      <c r="C25" s="310" t="s">
        <v>19</v>
      </c>
      <c r="D25" s="886" t="s">
        <v>20</v>
      </c>
      <c r="E25" s="887"/>
      <c r="F25" s="887"/>
      <c r="G25" s="887"/>
      <c r="H25" s="887"/>
      <c r="I25" s="887"/>
      <c r="J25" s="887"/>
      <c r="K25" s="887"/>
      <c r="L25" s="311">
        <f>L33-L41+L18-L37-L19</f>
        <v>201222482.6163289</v>
      </c>
      <c r="M25" s="309"/>
    </row>
    <row r="26" spans="1:18" s="295" customFormat="1" ht="15" customHeight="1" x14ac:dyDescent="0.45">
      <c r="C26" s="295" t="s">
        <v>21</v>
      </c>
      <c r="L26" s="312">
        <f>MIN(L22,L23,L25)</f>
        <v>156397412.42025724</v>
      </c>
      <c r="M26" s="719"/>
      <c r="N26" s="718"/>
      <c r="P26" s="302"/>
      <c r="Q26" s="313"/>
    </row>
    <row r="27" spans="1:18" s="295" customFormat="1" ht="12.75" x14ac:dyDescent="0.35">
      <c r="L27" s="296"/>
      <c r="N27" s="302"/>
      <c r="P27" s="302"/>
      <c r="Q27" s="314"/>
    </row>
    <row r="28" spans="1:18" s="295" customFormat="1" ht="12.75" x14ac:dyDescent="0.35">
      <c r="K28" s="315" t="s">
        <v>22</v>
      </c>
      <c r="L28" s="316">
        <f>L26/L31</f>
        <v>0.45302225434856619</v>
      </c>
      <c r="N28" s="302"/>
      <c r="P28" s="302"/>
      <c r="Q28" s="314"/>
    </row>
    <row r="29" spans="1:18" s="295" customFormat="1" ht="12.75" x14ac:dyDescent="0.35">
      <c r="K29" s="315" t="s">
        <v>23</v>
      </c>
      <c r="L29" s="317">
        <f>L28/(1-L28)</f>
        <v>0.82822794519552267</v>
      </c>
      <c r="N29" s="302"/>
      <c r="P29" s="302"/>
      <c r="Q29" s="318"/>
    </row>
    <row r="30" spans="1:18" s="295" customFormat="1" x14ac:dyDescent="0.4">
      <c r="L30" s="296"/>
      <c r="N30" s="337" t="s">
        <v>24</v>
      </c>
      <c r="O30" s="337"/>
      <c r="P30" s="337"/>
      <c r="Q30" s="338"/>
      <c r="R30" s="339"/>
    </row>
    <row r="31" spans="1:18" s="295" customFormat="1" ht="12.75" x14ac:dyDescent="0.35">
      <c r="B31" s="295" t="s">
        <v>25</v>
      </c>
      <c r="L31" s="296">
        <f>Portfolio!Y61</f>
        <v>345231191.00440776</v>
      </c>
      <c r="N31" s="302"/>
      <c r="O31" s="319"/>
      <c r="P31" s="320" t="s">
        <v>26</v>
      </c>
      <c r="Q31" s="320" t="s">
        <v>27</v>
      </c>
      <c r="R31" s="321" t="s">
        <v>28</v>
      </c>
    </row>
    <row r="32" spans="1:18" s="295" customFormat="1" ht="12.75" x14ac:dyDescent="0.35">
      <c r="L32" s="296"/>
      <c r="N32" s="302" t="s">
        <v>29</v>
      </c>
      <c r="O32" s="319"/>
      <c r="P32" s="322">
        <f t="shared" ref="P32:P39" si="0">Q32/$Q$40</f>
        <v>0.33750000000000002</v>
      </c>
      <c r="Q32" s="323">
        <v>67500000</v>
      </c>
      <c r="R32" s="324">
        <f t="shared" ref="R32:R39" si="1">P32*$L$54</f>
        <v>41276250</v>
      </c>
    </row>
    <row r="33" spans="2:18" s="295" customFormat="1" ht="12.75" x14ac:dyDescent="0.35">
      <c r="B33" s="295" t="s">
        <v>30</v>
      </c>
      <c r="L33" s="296">
        <f>Portfolio!V61</f>
        <v>247996703.6486333</v>
      </c>
      <c r="N33" s="302" t="s">
        <v>31</v>
      </c>
      <c r="O33" s="319"/>
      <c r="P33" s="322">
        <f t="shared" si="0"/>
        <v>0.125</v>
      </c>
      <c r="Q33" s="323">
        <v>25000000</v>
      </c>
      <c r="R33" s="324">
        <f t="shared" si="1"/>
        <v>15287500</v>
      </c>
    </row>
    <row r="34" spans="2:18" s="295" customFormat="1" ht="12.75" x14ac:dyDescent="0.35">
      <c r="B34" s="325" t="s">
        <v>32</v>
      </c>
      <c r="C34" s="325"/>
      <c r="D34" s="325"/>
      <c r="E34" s="325"/>
      <c r="F34" s="325"/>
      <c r="G34" s="325"/>
      <c r="H34" s="325"/>
      <c r="I34" s="325"/>
      <c r="J34" s="325"/>
      <c r="K34" s="325"/>
      <c r="L34" s="326">
        <f>'Concentration Limits'!M44</f>
        <v>907879.36960942671</v>
      </c>
      <c r="N34" s="295" t="s">
        <v>33</v>
      </c>
      <c r="P34" s="322">
        <f t="shared" si="0"/>
        <v>0.1</v>
      </c>
      <c r="Q34" s="323">
        <v>20000000</v>
      </c>
      <c r="R34" s="324">
        <f t="shared" si="1"/>
        <v>12230000</v>
      </c>
    </row>
    <row r="35" spans="2:18" s="295" customFormat="1" ht="12.75" x14ac:dyDescent="0.35">
      <c r="B35" s="295" t="s">
        <v>34</v>
      </c>
      <c r="L35" s="296">
        <f>L33-L34</f>
        <v>247088824.27902389</v>
      </c>
      <c r="N35" s="302" t="s">
        <v>35</v>
      </c>
      <c r="O35" s="319"/>
      <c r="P35" s="322">
        <f t="shared" si="0"/>
        <v>0.1</v>
      </c>
      <c r="Q35" s="323">
        <v>20000000</v>
      </c>
      <c r="R35" s="324">
        <f t="shared" si="1"/>
        <v>12230000</v>
      </c>
    </row>
    <row r="36" spans="2:18" s="295" customFormat="1" ht="12.75" x14ac:dyDescent="0.35">
      <c r="L36" s="296"/>
      <c r="N36" s="302" t="s">
        <v>36</v>
      </c>
      <c r="O36" s="319"/>
      <c r="P36" s="322">
        <f t="shared" si="0"/>
        <v>0.1</v>
      </c>
      <c r="Q36" s="323">
        <v>20000000</v>
      </c>
      <c r="R36" s="324">
        <f t="shared" si="1"/>
        <v>12230000</v>
      </c>
    </row>
    <row r="37" spans="2:18" s="295" customFormat="1" ht="12.75" x14ac:dyDescent="0.35">
      <c r="B37" s="302" t="s">
        <v>37</v>
      </c>
      <c r="C37" s="302"/>
      <c r="D37" s="302"/>
      <c r="E37" s="302"/>
      <c r="F37" s="302"/>
      <c r="G37" s="302"/>
      <c r="H37" s="302"/>
      <c r="I37" s="302"/>
      <c r="J37" s="302"/>
      <c r="K37" s="302"/>
      <c r="L37" s="296">
        <f t="array" ref="L37">SUMPRODUCT(Portfolio!AB9:AB59,--(Portfolio!BU9:BU59="Yes"))-SUMPRODUCT(Portfolio!AB9:AB59,--(Portfolio!BU9:BU59="Yes"),Portfolio!AL9:AL59,Portfolio!U9:U59)</f>
        <v>0</v>
      </c>
      <c r="N37" s="302" t="s">
        <v>38</v>
      </c>
      <c r="O37" s="319"/>
      <c r="P37" s="322">
        <f t="shared" si="0"/>
        <v>8.5000000000000006E-2</v>
      </c>
      <c r="Q37" s="323">
        <v>17000000</v>
      </c>
      <c r="R37" s="324">
        <f t="shared" si="1"/>
        <v>10395500</v>
      </c>
    </row>
    <row r="38" spans="2:18" s="295" customFormat="1" ht="12.75" x14ac:dyDescent="0.35">
      <c r="B38" s="295" t="s">
        <v>39</v>
      </c>
      <c r="C38" s="302"/>
      <c r="D38" s="302"/>
      <c r="E38" s="302"/>
      <c r="F38" s="302"/>
      <c r="G38" s="302"/>
      <c r="H38" s="302"/>
      <c r="I38" s="302"/>
      <c r="J38" s="302"/>
      <c r="K38" s="302"/>
      <c r="L38" s="296">
        <f>SUMIF(Portfolio!$BU$9:$BU$98,"Yes",Portfolio!$A$9:$A$98)</f>
        <v>0</v>
      </c>
      <c r="N38" s="302" t="s">
        <v>40</v>
      </c>
      <c r="O38" s="319"/>
      <c r="P38" s="322">
        <f t="shared" si="0"/>
        <v>7.7499999999999999E-2</v>
      </c>
      <c r="Q38" s="323">
        <v>15500000</v>
      </c>
      <c r="R38" s="324">
        <f t="shared" si="1"/>
        <v>9478250</v>
      </c>
    </row>
    <row r="39" spans="2:18" s="295" customFormat="1" ht="12.75" x14ac:dyDescent="0.35">
      <c r="B39" s="302"/>
      <c r="C39" s="302"/>
      <c r="D39" s="302"/>
      <c r="E39" s="302"/>
      <c r="F39" s="302"/>
      <c r="G39" s="302"/>
      <c r="H39" s="302"/>
      <c r="I39" s="302"/>
      <c r="J39" s="302"/>
      <c r="K39" s="302"/>
      <c r="L39" s="327"/>
      <c r="N39" s="325" t="s">
        <v>41</v>
      </c>
      <c r="O39" s="325"/>
      <c r="P39" s="328">
        <f t="shared" si="0"/>
        <v>7.4999999999999997E-2</v>
      </c>
      <c r="Q39" s="329">
        <v>15000000</v>
      </c>
      <c r="R39" s="324">
        <f t="shared" si="1"/>
        <v>9172500</v>
      </c>
    </row>
    <row r="40" spans="2:18" s="295" customFormat="1" ht="12.75" x14ac:dyDescent="0.35">
      <c r="L40" s="296"/>
      <c r="N40" s="302" t="s">
        <v>42</v>
      </c>
      <c r="O40" s="302"/>
      <c r="P40" s="322">
        <f>SUM(P32:P39)</f>
        <v>0.99999999999999989</v>
      </c>
      <c r="Q40" s="330">
        <f>SUM(Q32:Q39)</f>
        <v>200000000</v>
      </c>
      <c r="R40" s="848">
        <f>SUM(R32:R39)</f>
        <v>122300000</v>
      </c>
    </row>
    <row r="41" spans="2:18" s="295" customFormat="1" ht="12.75" x14ac:dyDescent="0.35">
      <c r="B41" s="331" t="s">
        <v>43</v>
      </c>
      <c r="L41" s="296">
        <f>MAX(15000000,(LARGE(Portfolio!FJ:FJ,1)+LARGE(Portfolio!FJ:FJ,2)+LARGE(Portfolio!FJ:FJ,3)))</f>
        <v>52245198.582304403</v>
      </c>
    </row>
    <row r="42" spans="2:18" s="295" customFormat="1" ht="12.75" x14ac:dyDescent="0.35">
      <c r="B42" s="331"/>
      <c r="L42" s="296" t="str">
        <f>IF((L31-L26)&gt;L41,"Pass")</f>
        <v>Pass</v>
      </c>
      <c r="R42" s="309"/>
    </row>
    <row r="43" spans="2:18" s="295" customFormat="1" ht="12.75" hidden="1" outlineLevel="1" x14ac:dyDescent="0.35">
      <c r="B43" s="331"/>
      <c r="L43" s="296"/>
      <c r="R43" s="332">
        <v>5000000</v>
      </c>
    </row>
    <row r="44" spans="2:18" s="295" customFormat="1" ht="12.75" hidden="1" outlineLevel="1" x14ac:dyDescent="0.35">
      <c r="B44" s="302"/>
      <c r="C44" s="302"/>
      <c r="D44" s="302"/>
      <c r="E44" s="302"/>
      <c r="F44" s="302"/>
      <c r="G44" s="302"/>
      <c r="H44" s="302"/>
      <c r="I44" s="302"/>
      <c r="J44" s="302"/>
      <c r="K44" s="302"/>
      <c r="L44" s="327"/>
    </row>
    <row r="45" spans="2:18" s="295" customFormat="1" ht="12.75" hidden="1" outlineLevel="1" x14ac:dyDescent="0.35">
      <c r="B45" s="302"/>
      <c r="C45" s="302"/>
      <c r="D45" s="302"/>
      <c r="E45" s="302"/>
      <c r="F45" s="302"/>
      <c r="G45" s="302"/>
      <c r="H45" s="302"/>
      <c r="I45" s="302"/>
      <c r="J45" s="302"/>
      <c r="K45" s="302"/>
      <c r="L45" s="327"/>
    </row>
    <row r="46" spans="2:18" s="302" customFormat="1" ht="12.75" hidden="1" outlineLevel="1" x14ac:dyDescent="0.35">
      <c r="B46" s="333"/>
      <c r="N46" s="295"/>
      <c r="O46" s="295"/>
      <c r="P46" s="295"/>
      <c r="Q46" s="295"/>
      <c r="R46" s="295"/>
    </row>
    <row r="47" spans="2:18" s="295" customFormat="1" collapsed="1" x14ac:dyDescent="0.35">
      <c r="B47" s="331"/>
      <c r="L47" s="300"/>
    </row>
    <row r="48" spans="2:18" s="295" customFormat="1" ht="12.75" x14ac:dyDescent="0.35">
      <c r="B48" s="295" t="s">
        <v>44</v>
      </c>
      <c r="L48" s="316">
        <f>MIN('Concentration Limits'!G38,_xlfn.IFS('Concentration Limits'!G34&lt;'Concentration Limits'!F35,Cap_1,AND('Concentration Limits'!G34&gt;='Concentration Limits'!F35,'Concentration Limits'!G34&lt;'Concentration Limits'!F37),Cap_2,'Concentration Limits'!G34&gt;='Concentration Limits'!F37,Cap_3))</f>
        <v>0.61081853989407575</v>
      </c>
      <c r="N48" s="302"/>
      <c r="O48" s="302"/>
      <c r="P48" s="302"/>
      <c r="Q48" s="302"/>
      <c r="R48" s="302"/>
    </row>
    <row r="49" spans="2:17" s="295" customFormat="1" ht="12.75" x14ac:dyDescent="0.35">
      <c r="L49" s="296"/>
    </row>
    <row r="50" spans="2:17" s="295" customFormat="1" x14ac:dyDescent="0.4">
      <c r="B50" s="337" t="s">
        <v>45</v>
      </c>
      <c r="C50" s="337"/>
      <c r="D50" s="337"/>
      <c r="E50" s="337"/>
      <c r="F50" s="337"/>
      <c r="G50" s="337"/>
      <c r="H50" s="337"/>
      <c r="I50" s="337"/>
      <c r="J50" s="337"/>
      <c r="K50" s="337"/>
      <c r="L50" s="337"/>
    </row>
    <row r="51" spans="2:17" s="295" customFormat="1" x14ac:dyDescent="0.35">
      <c r="B51" s="295" t="s">
        <v>46</v>
      </c>
      <c r="L51" s="678">
        <v>122300000</v>
      </c>
      <c r="M51" s="660"/>
      <c r="N51" s="621"/>
      <c r="P51" s="661"/>
      <c r="Q51" s="662"/>
    </row>
    <row r="52" spans="2:17" s="295" customFormat="1" x14ac:dyDescent="0.35">
      <c r="B52" s="295" t="s">
        <v>47</v>
      </c>
      <c r="L52" s="678"/>
      <c r="M52" s="660"/>
      <c r="N52" s="621"/>
      <c r="P52" s="661"/>
      <c r="Q52" s="662"/>
    </row>
    <row r="53" spans="2:17" s="295" customFormat="1" x14ac:dyDescent="0.35">
      <c r="B53" s="295" t="s">
        <v>48</v>
      </c>
      <c r="L53" s="678"/>
      <c r="M53" s="660"/>
      <c r="N53" s="621"/>
    </row>
    <row r="54" spans="2:17" s="295" customFormat="1" ht="12.75" x14ac:dyDescent="0.35">
      <c r="B54" s="295" t="s">
        <v>49</v>
      </c>
      <c r="L54" s="296">
        <f>L51-L52+L53</f>
        <v>122300000</v>
      </c>
      <c r="M54" s="305"/>
      <c r="N54" s="621"/>
      <c r="O54" s="301"/>
      <c r="P54" s="301"/>
    </row>
    <row r="55" spans="2:17" s="295" customFormat="1" ht="12.75" x14ac:dyDescent="0.35">
      <c r="L55" s="296"/>
      <c r="M55" s="309"/>
    </row>
    <row r="56" spans="2:17" s="295" customFormat="1" x14ac:dyDescent="0.4">
      <c r="B56" s="295" t="s">
        <v>50</v>
      </c>
      <c r="C56" s="297"/>
      <c r="L56" s="334" t="b">
        <f>L26&gt;=L54</f>
        <v>1</v>
      </c>
    </row>
    <row r="57" spans="2:17" s="295" customFormat="1" ht="12.75" x14ac:dyDescent="0.35">
      <c r="L57" s="296"/>
    </row>
    <row r="58" spans="2:17" s="295" customFormat="1" ht="12.75" x14ac:dyDescent="0.35">
      <c r="B58" s="295" t="s">
        <v>51</v>
      </c>
      <c r="L58" s="335">
        <f>L54/L26</f>
        <v>0.78198224706791375</v>
      </c>
    </row>
    <row r="59" spans="2:17" s="295" customFormat="1" ht="12.75" x14ac:dyDescent="0.35">
      <c r="B59" s="295" t="s">
        <v>52</v>
      </c>
      <c r="L59" s="335">
        <f>L54/L16</f>
        <v>0.61150000000000004</v>
      </c>
    </row>
    <row r="60" spans="2:17" s="295" customFormat="1" ht="12.75" x14ac:dyDescent="0.35">
      <c r="B60" s="295" t="s">
        <v>53</v>
      </c>
      <c r="L60" s="335">
        <f>L54/L31</f>
        <v>0.35425536042726374</v>
      </c>
    </row>
    <row r="61" spans="2:17" s="295" customFormat="1" ht="15" customHeight="1" x14ac:dyDescent="0.45">
      <c r="L61" s="296"/>
      <c r="M61" s="707"/>
    </row>
    <row r="62" spans="2:17" s="295" customFormat="1" ht="12.75" x14ac:dyDescent="0.35">
      <c r="L62" s="436">
        <f>L26-L51</f>
        <v>34097412.420257241</v>
      </c>
      <c r="M62" s="437"/>
    </row>
    <row r="63" spans="2:17" x14ac:dyDescent="0.4">
      <c r="M63" s="31"/>
    </row>
    <row r="64" spans="2:17" x14ac:dyDescent="0.4">
      <c r="M64" s="31"/>
    </row>
    <row r="65" spans="13:13" x14ac:dyDescent="0.4">
      <c r="M65" s="708"/>
    </row>
  </sheetData>
  <mergeCells count="5">
    <mergeCell ref="F3:J3"/>
    <mergeCell ref="D25:K25"/>
    <mergeCell ref="D24:K24"/>
    <mergeCell ref="D22:K22"/>
    <mergeCell ref="D23:K23"/>
  </mergeCells>
  <conditionalFormatting sqref="L42:L43">
    <cfRule type="containsText" dxfId="28" priority="1" operator="containsText" text="Pass">
      <formula>NOT(ISERROR(SEARCH("Pass",L42)))</formula>
    </cfRule>
  </conditionalFormatting>
  <conditionalFormatting sqref="L55">
    <cfRule type="cellIs" dxfId="27" priority="2" operator="lessThan">
      <formula>0</formula>
    </cfRule>
  </conditionalFormatting>
  <pageMargins left="0.7" right="0.7" top="0.75" bottom="0.75" header="0.3" footer="0.3"/>
  <pageSetup scale="58"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HP207"/>
  <sheetViews>
    <sheetView topLeftCell="A8" zoomScale="85" zoomScaleNormal="85" workbookViewId="0">
      <selection activeCell="V50" sqref="V50"/>
    </sheetView>
  </sheetViews>
  <sheetFormatPr defaultRowHeight="14.25" outlineLevelCol="1" x14ac:dyDescent="0.45"/>
  <cols>
    <col min="1" max="1" width="9.265625" bestFit="1" customWidth="1"/>
    <col min="2" max="2" width="31.265625" bestFit="1" customWidth="1"/>
    <col min="3" max="3" width="17.265625" bestFit="1" customWidth="1"/>
    <col min="4" max="4" width="9.59765625" bestFit="1" customWidth="1"/>
    <col min="5" max="6" width="8" customWidth="1"/>
    <col min="7" max="7" width="10.59765625" customWidth="1"/>
    <col min="8" max="8" width="11.265625" customWidth="1"/>
    <col min="9" max="9" width="9.86328125" customWidth="1"/>
    <col min="10" max="10" width="8.265625" customWidth="1"/>
    <col min="11" max="11" width="9.265625" customWidth="1"/>
    <col min="12" max="12" width="8.265625" customWidth="1"/>
    <col min="13" max="14" width="11.59765625" customWidth="1"/>
    <col min="15" max="15" width="11" customWidth="1"/>
    <col min="16" max="16" width="9.86328125" customWidth="1" collapsed="1"/>
    <col min="17" max="17" width="11.265625" customWidth="1"/>
    <col min="18" max="18" width="35.265625" customWidth="1"/>
    <col min="19" max="19" width="7.265625" customWidth="1"/>
    <col min="20" max="20" width="20" customWidth="1"/>
    <col min="21" max="21" width="9.59765625" bestFit="1" customWidth="1"/>
    <col min="22" max="22" width="27" bestFit="1" customWidth="1"/>
    <col min="23" max="23" width="17.265625" customWidth="1"/>
    <col min="24" max="24" width="10.59765625" bestFit="1" customWidth="1"/>
    <col min="25" max="25" width="13" bestFit="1" customWidth="1"/>
    <col min="26" max="27" width="14.265625" bestFit="1" customWidth="1"/>
    <col min="28" max="28" width="11.59765625" customWidth="1"/>
    <col min="29" max="29" width="12.265625" bestFit="1" customWidth="1"/>
    <col min="30" max="30" width="1.59765625" customWidth="1"/>
    <col min="31" max="31" width="8.59765625" customWidth="1"/>
    <col min="32" max="32" width="11.59765625" customWidth="1"/>
    <col min="33" max="33" width="16.265625" customWidth="1"/>
    <col min="34" max="34" width="17" bestFit="1" customWidth="1"/>
    <col min="35" max="35" width="13" bestFit="1" customWidth="1"/>
    <col min="36" max="36" width="8.59765625" bestFit="1" customWidth="1"/>
    <col min="37" max="37" width="13.59765625" customWidth="1"/>
    <col min="38" max="38" width="10.265625" customWidth="1"/>
    <col min="39" max="40" width="1.59765625" customWidth="1"/>
    <col min="41" max="41" width="13.265625" bestFit="1" customWidth="1"/>
    <col min="42" max="42" width="12" customWidth="1"/>
    <col min="43" max="43" width="13.265625" bestFit="1" customWidth="1"/>
    <col min="44" max="46" width="1.265625" customWidth="1"/>
    <col min="47" max="49" width="12" bestFit="1" customWidth="1"/>
    <col min="50" max="52" width="1.59765625" customWidth="1"/>
    <col min="53" max="53" width="11" bestFit="1" customWidth="1"/>
    <col min="54" max="55" width="1.59765625" customWidth="1"/>
    <col min="56" max="56" width="10.265625" customWidth="1"/>
    <col min="57" max="60" width="1.265625" customWidth="1"/>
    <col min="61" max="61" width="11" customWidth="1"/>
    <col min="62" max="62" width="8.59765625" customWidth="1"/>
    <col min="63" max="63" width="13.59765625" customWidth="1"/>
    <col min="64" max="64" width="10.265625" customWidth="1"/>
    <col min="65" max="65" width="9.59765625" customWidth="1"/>
    <col min="66" max="66" width="10" hidden="1" customWidth="1" outlineLevel="1"/>
    <col min="67" max="67" width="16.265625" hidden="1" customWidth="1" outlineLevel="1"/>
    <col min="68" max="68" width="12.59765625" hidden="1" customWidth="1" outlineLevel="1"/>
    <col min="69" max="69" width="8.265625" hidden="1" customWidth="1" outlineLevel="1"/>
    <col min="70" max="70" width="24.265625" customWidth="1" collapsed="1"/>
    <col min="71" max="71" width="9.265625" customWidth="1"/>
    <col min="72" max="72" width="10.265625" customWidth="1"/>
    <col min="73" max="73" width="19" customWidth="1"/>
    <col min="74" max="74" width="12.59765625" customWidth="1"/>
    <col min="75" max="75" width="12" customWidth="1"/>
    <col min="76" max="76" width="13.86328125" bestFit="1" customWidth="1"/>
    <col min="77" max="77" width="9" customWidth="1"/>
    <col min="78" max="78" width="10.59765625" customWidth="1"/>
    <col min="79" max="79" width="8.59765625" customWidth="1"/>
    <col min="80" max="80" width="11.86328125" customWidth="1"/>
    <col min="81" max="81" width="14" customWidth="1"/>
    <col min="82" max="82" width="13" customWidth="1"/>
    <col min="83" max="83" width="6.59765625" hidden="1" customWidth="1"/>
    <col min="84" max="84" width="8" hidden="1" customWidth="1"/>
    <col min="85" max="85" width="10.59765625" hidden="1" customWidth="1"/>
    <col min="86" max="86" width="11" hidden="1" customWidth="1"/>
    <col min="87" max="87" width="2.59765625" hidden="1" customWidth="1"/>
    <col min="88" max="88" width="23.265625" bestFit="1" customWidth="1"/>
    <col min="89" max="89" width="12" customWidth="1"/>
    <col min="90" max="90" width="12.59765625" customWidth="1"/>
    <col min="91" max="91" width="9.265625" hidden="1" customWidth="1" outlineLevel="1"/>
    <col min="92" max="92" width="10.265625" hidden="1" customWidth="1" outlineLevel="1"/>
    <col min="93" max="93" width="9" hidden="1" customWidth="1" outlineLevel="1"/>
    <col min="94" max="94" width="9.265625" hidden="1" customWidth="1" outlineLevel="1"/>
    <col min="95" max="96" width="9.59765625" hidden="1" customWidth="1" outlineLevel="1"/>
    <col min="97" max="97" width="12.59765625" customWidth="1" collapsed="1"/>
    <col min="98" max="98" width="11.265625" customWidth="1"/>
    <col min="99" max="99" width="12.59765625" customWidth="1"/>
    <col min="100" max="100" width="11.59765625" customWidth="1"/>
    <col min="101" max="101" width="13.265625" customWidth="1"/>
    <col min="102" max="102" width="10" hidden="1" customWidth="1"/>
    <col min="103" max="103" width="12.59765625" customWidth="1"/>
    <col min="104" max="104" width="11.86328125" hidden="1" customWidth="1"/>
    <col min="105" max="105" width="11.265625" hidden="1" customWidth="1"/>
    <col min="106" max="106" width="10.265625" hidden="1" customWidth="1"/>
    <col min="107" max="107" width="15.265625" hidden="1" customWidth="1"/>
    <col min="108" max="108" width="11.59765625" customWidth="1"/>
    <col min="109" max="109" width="13.59765625" bestFit="1" customWidth="1"/>
    <col min="110" max="110" width="18" hidden="1" customWidth="1"/>
    <col min="111" max="111" width="10.265625" hidden="1" customWidth="1"/>
    <col min="112" max="112" width="6.59765625" hidden="1" customWidth="1"/>
    <col min="113" max="115" width="14.59765625" customWidth="1"/>
    <col min="116" max="116" width="10.265625" customWidth="1"/>
    <col min="117" max="117" width="11.265625" bestFit="1" customWidth="1"/>
    <col min="118" max="118" width="2.59765625" hidden="1" customWidth="1"/>
    <col min="119" max="120" width="14.265625" customWidth="1"/>
    <col min="121" max="121" width="12.265625" customWidth="1"/>
    <col min="122" max="122" width="8" bestFit="1" customWidth="1"/>
    <col min="123" max="123" width="7.265625" customWidth="1"/>
    <col min="124" max="124" width="6.59765625" customWidth="1"/>
    <col min="125" max="127" width="12.59765625" style="2" customWidth="1"/>
    <col min="128" max="128" width="9.86328125" style="2" bestFit="1" customWidth="1"/>
    <col min="129" max="129" width="12.59765625" style="2" customWidth="1"/>
    <col min="130" max="130" width="17.265625" bestFit="1" customWidth="1"/>
    <col min="131" max="131" width="15.265625" customWidth="1"/>
    <col min="132" max="132" width="10.59765625" customWidth="1"/>
    <col min="133" max="133" width="16.59765625" customWidth="1"/>
    <col min="134" max="134" width="16" customWidth="1"/>
    <col min="135" max="136" width="13.265625" customWidth="1"/>
    <col min="137" max="137" width="12" customWidth="1"/>
    <col min="138" max="139" width="10.59765625" customWidth="1"/>
    <col min="140" max="140" width="16.265625" customWidth="1"/>
    <col min="141" max="141" width="15.59765625" bestFit="1" customWidth="1"/>
    <col min="142" max="145" width="15.265625" customWidth="1"/>
    <col min="146" max="146" width="14" bestFit="1" customWidth="1"/>
    <col min="147" max="147" width="15.265625" customWidth="1"/>
    <col min="148" max="148" width="11.59765625" bestFit="1" customWidth="1"/>
    <col min="149" max="151" width="15.265625" customWidth="1"/>
    <col min="152" max="152" width="11.59765625" bestFit="1" customWidth="1"/>
    <col min="153" max="153" width="12" bestFit="1" customWidth="1"/>
    <col min="154" max="154" width="8.59765625" bestFit="1" customWidth="1"/>
    <col min="155" max="155" width="12" bestFit="1" customWidth="1"/>
    <col min="156" max="156" width="15.265625" customWidth="1"/>
    <col min="157" max="158" width="11.59765625" bestFit="1" customWidth="1"/>
    <col min="159" max="159" width="8.265625" customWidth="1"/>
    <col min="160" max="160" width="12" bestFit="1" customWidth="1"/>
    <col min="161" max="161" width="12.59765625" hidden="1" customWidth="1" outlineLevel="1"/>
    <col min="162" max="162" width="11.59765625" hidden="1" customWidth="1" outlineLevel="1"/>
    <col min="163" max="163" width="11.265625" hidden="1" customWidth="1" outlineLevel="1"/>
    <col min="164" max="164" width="16.59765625" bestFit="1" customWidth="1" collapsed="1"/>
    <col min="165" max="165" width="12" bestFit="1" customWidth="1"/>
    <col min="166" max="168" width="13.86328125" customWidth="1"/>
    <col min="169" max="171" width="10.59765625" hidden="1" customWidth="1" outlineLevel="1"/>
    <col min="172" max="172" width="10.59765625" bestFit="1" customWidth="1" collapsed="1"/>
    <col min="173" max="175" width="12" bestFit="1" customWidth="1"/>
    <col min="176" max="176" width="9.265625" customWidth="1"/>
    <col min="177" max="177" width="10.265625" customWidth="1"/>
    <col min="178" max="180" width="12" bestFit="1" customWidth="1"/>
    <col min="181" max="181" width="10.59765625" bestFit="1" customWidth="1"/>
    <col min="182" max="182" width="9.265625" customWidth="1"/>
    <col min="183" max="185" width="12" bestFit="1" customWidth="1"/>
    <col min="186" max="186" width="14" customWidth="1"/>
    <col min="187" max="187" width="9.265625" customWidth="1"/>
    <col min="188" max="189" width="12" bestFit="1" customWidth="1"/>
    <col min="190" max="190" width="7" customWidth="1"/>
    <col min="191" max="191" width="8.59765625" bestFit="1" customWidth="1"/>
    <col min="192" max="193" width="12" bestFit="1" customWidth="1"/>
    <col min="194" max="194" width="11" customWidth="1"/>
    <col min="195" max="195" width="11.59765625" customWidth="1"/>
    <col min="196" max="196" width="8" customWidth="1"/>
    <col min="197" max="198" width="12" bestFit="1" customWidth="1"/>
    <col min="199" max="199" width="11" customWidth="1"/>
    <col min="200" max="200" width="7.59765625" customWidth="1"/>
    <col min="201" max="201" width="8" customWidth="1"/>
    <col min="202" max="202" width="12" bestFit="1" customWidth="1"/>
    <col min="203" max="203" width="12" customWidth="1"/>
    <col min="204" max="204" width="12.59765625" customWidth="1"/>
    <col min="205" max="205" width="12" bestFit="1" customWidth="1"/>
    <col min="206" max="206" width="9" bestFit="1" customWidth="1"/>
    <col min="207" max="207" width="12" bestFit="1" customWidth="1"/>
    <col min="208" max="208" width="14.59765625" customWidth="1"/>
    <col min="209" max="209" width="12.265625" customWidth="1"/>
    <col min="210" max="210" width="12" bestFit="1" customWidth="1"/>
    <col min="211" max="211" width="9" customWidth="1"/>
    <col min="212" max="212" width="13" customWidth="1"/>
    <col min="213" max="213" width="12" bestFit="1" customWidth="1"/>
    <col min="214" max="214" width="15.59765625" bestFit="1" customWidth="1"/>
    <col min="215" max="215" width="12" bestFit="1" customWidth="1"/>
    <col min="216" max="216" width="10.265625" customWidth="1"/>
    <col min="217" max="220" width="1.265625" customWidth="1" outlineLevel="1"/>
    <col min="221" max="221" width="11" bestFit="1" customWidth="1"/>
    <col min="222" max="222" width="8.59765625" bestFit="1" customWidth="1"/>
    <col min="223" max="223" width="27.59765625" bestFit="1" customWidth="1"/>
  </cols>
  <sheetData>
    <row r="1" spans="1:223" s="295" customFormat="1" ht="10.5" customHeight="1" x14ac:dyDescent="0.4">
      <c r="C1" s="341"/>
      <c r="AE1" s="342"/>
      <c r="AF1" s="342"/>
      <c r="AG1" s="343"/>
      <c r="AH1" s="343"/>
      <c r="AI1" s="343"/>
      <c r="AJ1" s="343"/>
      <c r="AK1" s="343"/>
      <c r="AL1" s="342"/>
      <c r="AM1" s="342"/>
      <c r="AN1" s="342"/>
      <c r="AO1" s="342"/>
      <c r="AP1" s="342"/>
      <c r="AQ1" s="342"/>
      <c r="AR1" s="342"/>
      <c r="AS1" s="342"/>
      <c r="AT1" s="342"/>
      <c r="AU1" s="342"/>
      <c r="AV1" s="342"/>
      <c r="AW1" s="342"/>
      <c r="AX1" s="342"/>
      <c r="AY1" s="342"/>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DR1" s="342"/>
      <c r="DS1" s="342"/>
      <c r="DT1" s="342"/>
      <c r="DU1" s="344"/>
      <c r="DV1" s="344"/>
      <c r="DW1" s="344"/>
      <c r="DX1" s="344"/>
      <c r="DY1" s="344"/>
      <c r="FE1" s="342"/>
      <c r="FF1" s="342"/>
      <c r="FG1" s="342"/>
      <c r="FH1" s="335"/>
      <c r="HO1" s="343"/>
    </row>
    <row r="2" spans="1:223" s="295" customFormat="1" ht="9.75" customHeight="1" x14ac:dyDescent="0.4">
      <c r="AE2" s="342"/>
      <c r="AF2" s="342"/>
      <c r="AG2" s="343"/>
      <c r="AH2" s="343"/>
      <c r="AI2" s="343"/>
      <c r="AJ2" s="343"/>
      <c r="AK2" s="343"/>
      <c r="AL2" s="342"/>
      <c r="AM2" s="345"/>
      <c r="AN2" s="345"/>
      <c r="AO2" s="346"/>
      <c r="AP2" s="346"/>
      <c r="AQ2" s="346"/>
      <c r="AR2" s="346"/>
      <c r="AS2" s="345"/>
      <c r="AT2" s="345"/>
      <c r="AU2" s="346"/>
      <c r="AV2" s="346"/>
      <c r="AW2" s="346"/>
      <c r="AX2" s="346"/>
      <c r="AY2" s="346"/>
      <c r="AZ2" s="345"/>
      <c r="BA2" s="343"/>
      <c r="BB2" s="343"/>
      <c r="BC2" s="343"/>
      <c r="BD2" s="343"/>
      <c r="BE2" s="343"/>
      <c r="BF2" s="343"/>
      <c r="BG2" s="343"/>
      <c r="BH2" s="343"/>
      <c r="BI2" s="343"/>
      <c r="BJ2" s="343"/>
      <c r="BK2" s="343"/>
      <c r="BL2" s="343"/>
      <c r="BM2" s="342"/>
      <c r="BN2" s="342"/>
      <c r="BO2" s="342"/>
      <c r="BP2" s="342"/>
      <c r="BQ2" s="342"/>
      <c r="BU2" s="342"/>
      <c r="BV2" s="342"/>
      <c r="BW2" s="342"/>
      <c r="BX2" s="342"/>
      <c r="DW2" s="347"/>
      <c r="HO2" s="343"/>
    </row>
    <row r="3" spans="1:223" s="295" customFormat="1" ht="13.5" thickBot="1" x14ac:dyDescent="0.45">
      <c r="AE3" s="342"/>
      <c r="AF3" s="342"/>
      <c r="AG3" s="892" t="s">
        <v>54</v>
      </c>
      <c r="AH3" s="889"/>
      <c r="AI3" s="889"/>
      <c r="AJ3" s="889"/>
      <c r="AK3" s="889"/>
      <c r="AL3" s="500"/>
      <c r="AM3" s="487" t="s">
        <v>55</v>
      </c>
      <c r="AN3" s="488"/>
      <c r="AO3" s="488"/>
      <c r="AP3" s="488"/>
      <c r="AQ3" s="488"/>
      <c r="AR3" s="488"/>
      <c r="AS3" s="487" t="s">
        <v>56</v>
      </c>
      <c r="AT3" s="488"/>
      <c r="AU3" s="488"/>
      <c r="AV3" s="488"/>
      <c r="AW3" s="488"/>
      <c r="AX3" s="488"/>
      <c r="AY3" s="487" t="s">
        <v>57</v>
      </c>
      <c r="AZ3" s="487"/>
      <c r="BA3" s="489"/>
      <c r="BB3" s="489"/>
      <c r="BC3" s="489"/>
      <c r="BD3" s="489"/>
      <c r="BE3" s="489"/>
      <c r="BF3" s="489"/>
      <c r="BG3" s="489"/>
      <c r="BH3" s="489"/>
      <c r="BI3" s="489"/>
      <c r="BJ3" s="348"/>
      <c r="BK3" s="348"/>
      <c r="BL3" s="348"/>
      <c r="BM3" s="342"/>
      <c r="BN3" s="342"/>
      <c r="BO3" s="342"/>
      <c r="BP3" s="342"/>
      <c r="BQ3" s="342"/>
      <c r="BU3" s="342"/>
      <c r="BV3" s="342"/>
      <c r="BW3" s="342"/>
      <c r="BX3" s="342"/>
      <c r="DR3" s="342"/>
      <c r="DS3" s="342"/>
      <c r="DT3" s="342"/>
      <c r="DU3" s="342"/>
      <c r="DV3" s="342"/>
      <c r="DW3" s="349"/>
      <c r="DX3" s="342"/>
      <c r="DY3" s="342"/>
      <c r="EC3" s="344"/>
      <c r="ED3" s="344"/>
      <c r="EE3" s="344"/>
      <c r="EK3" s="350">
        <f>SUM(EK9:EK20)</f>
        <v>62238487.672645375</v>
      </c>
      <c r="EL3" s="350"/>
      <c r="EM3" s="350"/>
      <c r="EN3" s="350"/>
      <c r="EO3" s="350"/>
      <c r="EP3" s="350"/>
      <c r="ES3" s="347"/>
      <c r="FE3" s="342"/>
      <c r="FF3" s="342"/>
      <c r="FG3" s="342"/>
      <c r="FH3" s="335"/>
      <c r="GT3" s="350"/>
    </row>
    <row r="4" spans="1:223" s="295" customFormat="1" ht="14.65" thickBot="1" x14ac:dyDescent="0.5">
      <c r="B4" s="451" t="s">
        <v>58</v>
      </c>
      <c r="W4" s="351"/>
      <c r="X4" s="351"/>
      <c r="Y4" s="351"/>
      <c r="Z4" s="351"/>
      <c r="AA4" s="351"/>
      <c r="AB4" s="351"/>
      <c r="AC4" s="351"/>
      <c r="AD4" s="351"/>
      <c r="AE4" s="342"/>
      <c r="AF4" s="342"/>
      <c r="AG4" s="344"/>
      <c r="AH4" s="344"/>
      <c r="AI4" s="344"/>
      <c r="AJ4" s="344"/>
      <c r="AK4" s="344"/>
      <c r="AL4" s="342"/>
      <c r="AM4" s="344"/>
      <c r="AN4" s="344"/>
      <c r="AO4" s="344"/>
      <c r="AP4" s="344"/>
      <c r="AQ4" s="344"/>
      <c r="AR4" s="344"/>
      <c r="AS4" s="352"/>
      <c r="AT4" s="344"/>
      <c r="AU4" s="344"/>
      <c r="AV4" s="344"/>
      <c r="AW4" s="344"/>
      <c r="AX4" s="344"/>
      <c r="AY4" s="344"/>
      <c r="AZ4" s="344"/>
      <c r="BA4" s="344"/>
      <c r="BB4" s="344"/>
      <c r="BC4" s="344"/>
      <c r="BD4" s="344"/>
      <c r="BE4" s="344"/>
      <c r="BF4" s="344"/>
      <c r="BG4" s="344"/>
      <c r="BH4" s="344"/>
      <c r="BI4" s="343"/>
      <c r="BJ4" s="343"/>
      <c r="BK4" s="343"/>
      <c r="BL4" s="343"/>
      <c r="BM4" s="342"/>
      <c r="BN4" s="342"/>
      <c r="BO4" s="342"/>
      <c r="BP4" s="342"/>
      <c r="BQ4" s="342"/>
      <c r="BU4" s="342"/>
      <c r="BV4" s="342"/>
      <c r="BW4" s="342"/>
      <c r="BX4" s="342"/>
      <c r="CM4" s="344"/>
      <c r="CN4" s="344"/>
      <c r="CO4" s="344"/>
      <c r="CP4" s="344"/>
      <c r="CQ4" s="344"/>
      <c r="CR4" s="344"/>
      <c r="CV4" s="344"/>
      <c r="CW4" s="344"/>
      <c r="CX4" s="344"/>
      <c r="DD4" s="342"/>
      <c r="DE4" s="344"/>
      <c r="DF4" s="344"/>
      <c r="DG4" s="344"/>
      <c r="DH4" s="344"/>
      <c r="DI4" s="344"/>
      <c r="DJ4" s="344"/>
      <c r="DK4" s="344"/>
      <c r="DL4" s="342"/>
      <c r="DM4" s="344"/>
      <c r="DN4" s="344"/>
      <c r="DO4" s="344"/>
      <c r="DP4" s="344"/>
      <c r="DQ4" s="344"/>
      <c r="DR4" s="342"/>
      <c r="DS4" s="342"/>
      <c r="DT4" s="342"/>
      <c r="DU4" s="903" t="s">
        <v>59</v>
      </c>
      <c r="DV4" s="904"/>
      <c r="DW4" s="904"/>
      <c r="DX4" s="904"/>
      <c r="DY4" s="904"/>
      <c r="DZ4" s="904"/>
      <c r="EA4" s="904"/>
      <c r="EB4" s="904"/>
      <c r="EC4" s="904"/>
      <c r="ED4" s="904"/>
      <c r="EE4" s="904"/>
      <c r="EF4" s="904"/>
      <c r="EG4" s="904"/>
      <c r="EH4" s="905"/>
      <c r="EI4" s="520"/>
      <c r="EJ4" s="520"/>
      <c r="EK4" s="520"/>
      <c r="EL4" s="353"/>
      <c r="EM4" s="353"/>
      <c r="EN4" s="353"/>
      <c r="EO4" s="353"/>
      <c r="EP4" s="353"/>
      <c r="EQ4" s="353"/>
      <c r="ER4" s="353"/>
      <c r="ES4" s="353"/>
      <c r="ET4" s="353"/>
      <c r="EV4" s="353"/>
      <c r="EW4" s="353"/>
      <c r="EX4" s="353"/>
      <c r="EY4" s="353"/>
      <c r="EZ4" s="354"/>
      <c r="FA4" s="353"/>
      <c r="FB4" s="353"/>
      <c r="FC4" s="353"/>
      <c r="FD4" s="353"/>
      <c r="FE4" s="342"/>
      <c r="FF4" s="342"/>
      <c r="FG4" s="342"/>
      <c r="FH4" s="355"/>
      <c r="FI4" s="325"/>
      <c r="FJ4" s="356"/>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row>
    <row r="5" spans="1:223" s="297" customFormat="1" ht="45" customHeight="1" thickBot="1" x14ac:dyDescent="0.5">
      <c r="A5" s="358" t="s">
        <v>60</v>
      </c>
      <c r="B5" s="452" t="s">
        <v>9</v>
      </c>
      <c r="D5" s="359"/>
      <c r="E5" s="359"/>
      <c r="F5" s="359"/>
      <c r="G5" s="359"/>
      <c r="H5" s="359"/>
      <c r="I5" s="359"/>
      <c r="J5" s="359"/>
      <c r="K5" s="359"/>
      <c r="L5" s="359"/>
      <c r="M5" s="359"/>
      <c r="N5" s="359"/>
      <c r="O5" s="359"/>
      <c r="P5" s="359"/>
      <c r="Q5" s="359"/>
      <c r="R5" s="359"/>
      <c r="S5" s="359"/>
      <c r="T5" s="360"/>
      <c r="U5" s="359"/>
      <c r="V5" s="361"/>
      <c r="W5" s="344"/>
      <c r="X5" s="344"/>
      <c r="Z5" s="344"/>
      <c r="AA5" s="344"/>
      <c r="AB5" s="344"/>
      <c r="AC5" s="344"/>
      <c r="AD5" s="344"/>
      <c r="AE5" s="344"/>
      <c r="AF5" s="344"/>
      <c r="AG5" s="344"/>
      <c r="AH5" s="344"/>
      <c r="AI5" s="344"/>
      <c r="AJ5" s="344"/>
      <c r="AK5" s="344"/>
      <c r="AL5" s="344"/>
      <c r="AM5" s="344"/>
      <c r="AN5" s="344"/>
      <c r="AO5" s="344"/>
      <c r="AP5" s="344"/>
      <c r="AQ5" s="344"/>
      <c r="AR5" s="344"/>
      <c r="AS5" s="352"/>
      <c r="AT5" s="344"/>
      <c r="AU5" s="344"/>
      <c r="AV5" s="344"/>
      <c r="AW5" s="344"/>
      <c r="AX5" s="344"/>
      <c r="AY5" s="362"/>
      <c r="AZ5" s="344"/>
      <c r="BA5" s="344"/>
      <c r="BB5" s="344"/>
      <c r="BC5" s="344"/>
      <c r="BD5" s="344"/>
      <c r="BE5" s="344"/>
      <c r="BF5" s="344"/>
      <c r="BG5" s="344"/>
      <c r="BH5" s="344"/>
      <c r="BK5" s="359"/>
      <c r="BM5" s="645"/>
      <c r="BN5" s="891" t="s">
        <v>61</v>
      </c>
      <c r="BO5" s="884"/>
      <c r="BP5" s="884"/>
      <c r="BQ5" s="885"/>
      <c r="BR5" s="295"/>
      <c r="BU5" s="359"/>
      <c r="BV5" s="359"/>
      <c r="BW5" s="359"/>
      <c r="BX5" s="359"/>
      <c r="CK5" s="909" t="s">
        <v>62</v>
      </c>
      <c r="CL5" s="904"/>
      <c r="CM5" s="904"/>
      <c r="CN5" s="904"/>
      <c r="CO5" s="904"/>
      <c r="CP5" s="904"/>
      <c r="CQ5" s="904"/>
      <c r="CR5" s="904"/>
      <c r="CS5" s="904"/>
      <c r="CT5" s="905"/>
      <c r="CU5" s="910" t="s">
        <v>63</v>
      </c>
      <c r="CV5" s="904"/>
      <c r="CW5" s="904"/>
      <c r="CX5" s="904"/>
      <c r="CY5" s="904"/>
      <c r="CZ5" s="914" t="s">
        <v>64</v>
      </c>
      <c r="DA5" s="904"/>
      <c r="DB5" s="904"/>
      <c r="DC5" s="904"/>
      <c r="DD5" s="904"/>
      <c r="DE5" s="904"/>
      <c r="DF5" s="909" t="s">
        <v>65</v>
      </c>
      <c r="DG5" s="904"/>
      <c r="DH5" s="904"/>
      <c r="DI5" s="904"/>
      <c r="DJ5" s="904"/>
      <c r="DK5" s="904"/>
      <c r="DL5" s="904"/>
      <c r="DM5" s="905"/>
      <c r="DO5" s="909" t="s">
        <v>66</v>
      </c>
      <c r="DP5" s="904"/>
      <c r="DQ5" s="905"/>
      <c r="DR5" s="344"/>
      <c r="DS5" s="344"/>
      <c r="DT5" s="344"/>
      <c r="DU5" s="902" t="s">
        <v>67</v>
      </c>
      <c r="DV5" s="887"/>
      <c r="DW5" s="900"/>
      <c r="DX5" s="365" t="s">
        <v>17</v>
      </c>
      <c r="DY5" s="364" t="s">
        <v>68</v>
      </c>
      <c r="DZ5" s="912" t="s">
        <v>69</v>
      </c>
      <c r="EA5" s="887"/>
      <c r="EB5" s="887"/>
      <c r="EC5" s="887"/>
      <c r="ED5" s="887"/>
      <c r="EE5" s="887"/>
      <c r="EF5" s="887"/>
      <c r="EG5" s="365" t="s">
        <v>70</v>
      </c>
      <c r="EH5" s="365" t="s">
        <v>71</v>
      </c>
      <c r="EI5" s="492"/>
      <c r="EJ5" s="492"/>
      <c r="EK5" s="521"/>
      <c r="EL5" s="906" t="s">
        <v>72</v>
      </c>
      <c r="EM5" s="894"/>
      <c r="EN5" s="894"/>
      <c r="EO5" s="894"/>
      <c r="EP5" s="895"/>
      <c r="EQ5" s="906" t="s">
        <v>73</v>
      </c>
      <c r="ER5" s="894"/>
      <c r="ES5" s="894"/>
      <c r="ET5" s="895"/>
      <c r="EU5" s="893" t="s">
        <v>74</v>
      </c>
      <c r="EV5" s="894"/>
      <c r="EW5" s="894"/>
      <c r="EX5" s="894"/>
      <c r="EY5" s="895"/>
      <c r="EZ5" s="906" t="s">
        <v>75</v>
      </c>
      <c r="FA5" s="894"/>
      <c r="FB5" s="894"/>
      <c r="FC5" s="894"/>
      <c r="FD5" s="895"/>
      <c r="FE5" s="366"/>
      <c r="FF5" s="849"/>
      <c r="FG5" s="849"/>
      <c r="FH5" s="913" t="s">
        <v>76</v>
      </c>
      <c r="FI5" s="894"/>
      <c r="FJ5" s="894"/>
      <c r="FK5" s="894"/>
      <c r="FL5" s="894"/>
      <c r="FM5" s="894"/>
      <c r="FN5" s="894"/>
      <c r="FO5" s="894"/>
      <c r="FP5" s="894"/>
      <c r="FQ5" s="895"/>
      <c r="FR5" s="906" t="s">
        <v>77</v>
      </c>
      <c r="FS5" s="894"/>
      <c r="FT5" s="894"/>
      <c r="FU5" s="894"/>
      <c r="FV5" s="895"/>
      <c r="FW5" s="906" t="s">
        <v>78</v>
      </c>
      <c r="FX5" s="894"/>
      <c r="FY5" s="894"/>
      <c r="FZ5" s="894"/>
      <c r="GA5" s="895"/>
      <c r="GB5" s="906" t="s">
        <v>79</v>
      </c>
      <c r="GC5" s="894"/>
      <c r="GD5" s="894"/>
      <c r="GE5" s="894"/>
      <c r="GF5" s="895"/>
      <c r="GG5" s="906" t="s">
        <v>80</v>
      </c>
      <c r="GH5" s="894"/>
      <c r="GI5" s="894"/>
      <c r="GJ5" s="895"/>
      <c r="GK5" s="907" t="s">
        <v>81</v>
      </c>
      <c r="GL5" s="894"/>
      <c r="GM5" s="894"/>
      <c r="GN5" s="894"/>
      <c r="GO5" s="895"/>
      <c r="GP5" s="906" t="s">
        <v>82</v>
      </c>
      <c r="GQ5" s="894"/>
      <c r="GR5" s="894"/>
      <c r="GS5" s="894"/>
      <c r="GT5" s="895"/>
      <c r="GU5" s="908" t="s">
        <v>83</v>
      </c>
      <c r="GV5" s="894"/>
      <c r="GW5" s="894"/>
      <c r="GX5" s="894"/>
      <c r="GY5" s="894"/>
      <c r="GZ5" s="907" t="s">
        <v>84</v>
      </c>
      <c r="HA5" s="894"/>
      <c r="HB5" s="894"/>
      <c r="HC5" s="894"/>
      <c r="HD5" s="895"/>
      <c r="HE5" s="619"/>
      <c r="HF5" s="620"/>
      <c r="HG5" s="620"/>
      <c r="HH5" s="620"/>
      <c r="HI5" s="620"/>
      <c r="HJ5" s="620"/>
      <c r="HK5" s="620"/>
      <c r="HL5" s="620"/>
      <c r="HM5" s="850"/>
    </row>
    <row r="6" spans="1:223" s="297" customFormat="1" ht="12.75" customHeight="1" x14ac:dyDescent="0.45">
      <c r="C6" s="344"/>
      <c r="D6" s="344"/>
      <c r="E6" s="344"/>
      <c r="F6" s="344"/>
      <c r="G6" s="344"/>
      <c r="H6" s="344"/>
      <c r="I6" s="344"/>
      <c r="J6" s="344"/>
      <c r="K6" s="344"/>
      <c r="L6" s="344"/>
      <c r="M6" s="344"/>
      <c r="N6" s="344"/>
      <c r="O6" s="344"/>
      <c r="P6" s="344"/>
      <c r="Q6" s="344"/>
      <c r="R6" s="344"/>
      <c r="S6" s="344"/>
      <c r="T6" s="352"/>
      <c r="U6" s="344"/>
      <c r="V6" s="344"/>
      <c r="W6" s="344"/>
      <c r="X6" s="344"/>
      <c r="Y6" s="344"/>
      <c r="Z6" s="344"/>
      <c r="AA6" s="344"/>
      <c r="AB6" s="344"/>
      <c r="AC6" s="344"/>
      <c r="AD6" s="344"/>
      <c r="AE6" s="344"/>
      <c r="AF6" s="352"/>
      <c r="AG6" s="344"/>
      <c r="AH6" s="344"/>
      <c r="AI6" s="344"/>
      <c r="AJ6" s="344"/>
      <c r="AK6" s="344"/>
      <c r="AL6" s="344"/>
      <c r="AM6" s="367"/>
      <c r="AN6" s="344"/>
      <c r="AO6" s="344"/>
      <c r="AP6" s="344"/>
      <c r="AQ6" s="368"/>
      <c r="AR6" s="368"/>
      <c r="AS6" s="367"/>
      <c r="AT6" s="344"/>
      <c r="AU6" s="344"/>
      <c r="AV6" s="344"/>
      <c r="AW6" s="368"/>
      <c r="AX6" s="368"/>
      <c r="AY6" s="345"/>
      <c r="AZ6" s="369"/>
      <c r="BA6" s="369"/>
      <c r="BB6" s="369"/>
      <c r="BC6" s="369"/>
      <c r="BD6" s="369"/>
      <c r="BE6" s="368"/>
      <c r="BF6" s="368"/>
      <c r="BG6" s="368"/>
      <c r="BH6" s="368"/>
      <c r="BI6" s="368"/>
      <c r="BM6" s="646"/>
      <c r="BN6" s="370"/>
      <c r="BO6" s="370"/>
      <c r="BP6" s="370"/>
      <c r="BQ6" s="370"/>
      <c r="BR6" s="344"/>
      <c r="BS6" s="344"/>
      <c r="BT6" s="344"/>
      <c r="BU6" s="344"/>
      <c r="BV6" s="344"/>
      <c r="BW6" s="344"/>
      <c r="BX6" s="344"/>
      <c r="BY6" s="344"/>
      <c r="BZ6" s="344"/>
      <c r="CA6" s="344"/>
      <c r="CB6" s="344"/>
      <c r="CC6" s="344"/>
      <c r="CD6" s="344"/>
      <c r="CE6" s="344"/>
      <c r="CF6" s="344"/>
      <c r="CG6" s="344"/>
      <c r="CH6" s="344"/>
      <c r="CI6" s="344"/>
      <c r="CJ6" s="344"/>
      <c r="CK6" s="371"/>
      <c r="CL6" s="372"/>
      <c r="CM6" s="372"/>
      <c r="CN6" s="372"/>
      <c r="CO6" s="372"/>
      <c r="CP6" s="372"/>
      <c r="CQ6" s="372"/>
      <c r="CR6" s="372"/>
      <c r="CS6" s="373"/>
      <c r="CT6" s="374"/>
      <c r="CU6" s="375"/>
      <c r="CV6" s="372"/>
      <c r="CW6" s="372"/>
      <c r="CX6" s="372"/>
      <c r="CY6" s="376"/>
      <c r="CZ6" s="654"/>
      <c r="DA6" s="377"/>
      <c r="DB6" s="377"/>
      <c r="DC6" s="377"/>
      <c r="DD6" s="377"/>
      <c r="DE6" s="376"/>
      <c r="DF6" s="378"/>
      <c r="DG6" s="373"/>
      <c r="DH6" s="373"/>
      <c r="DI6" s="373"/>
      <c r="DJ6" s="373"/>
      <c r="DK6" s="373"/>
      <c r="DL6" s="373"/>
      <c r="DM6" s="376"/>
      <c r="DN6" s="344"/>
      <c r="DO6" s="379"/>
      <c r="DP6" s="380"/>
      <c r="DQ6" s="381"/>
      <c r="DR6" s="344"/>
      <c r="DS6" s="344"/>
      <c r="DT6" s="344"/>
      <c r="DU6" s="382" t="s">
        <v>85</v>
      </c>
      <c r="DV6" s="344" t="s">
        <v>86</v>
      </c>
      <c r="DW6" s="383" t="s">
        <v>87</v>
      </c>
      <c r="DX6" s="344"/>
      <c r="DY6" s="344"/>
      <c r="DZ6" s="384"/>
      <c r="EA6" s="851"/>
      <c r="EB6" s="851"/>
      <c r="EC6" s="851"/>
      <c r="ED6" s="851"/>
      <c r="EE6" s="851"/>
      <c r="EF6" s="385"/>
      <c r="EG6" s="851"/>
      <c r="EH6" s="384"/>
      <c r="EI6" s="399"/>
      <c r="EJ6" s="399"/>
      <c r="EK6" s="399"/>
      <c r="EL6" s="896"/>
      <c r="EM6" s="897"/>
      <c r="EN6" s="897"/>
      <c r="EO6" s="897"/>
      <c r="EP6" s="898"/>
      <c r="EQ6" s="896"/>
      <c r="ER6" s="897"/>
      <c r="ES6" s="897"/>
      <c r="ET6" s="898"/>
      <c r="EU6" s="896"/>
      <c r="EV6" s="897"/>
      <c r="EW6" s="897"/>
      <c r="EX6" s="897"/>
      <c r="EY6" s="898"/>
      <c r="EZ6" s="896"/>
      <c r="FA6" s="897"/>
      <c r="FB6" s="897"/>
      <c r="FC6" s="897"/>
      <c r="FD6" s="898"/>
      <c r="FE6" s="386"/>
      <c r="FF6" s="387"/>
      <c r="FG6" s="387"/>
      <c r="FH6" s="897"/>
      <c r="FI6" s="897"/>
      <c r="FJ6" s="897"/>
      <c r="FK6" s="897"/>
      <c r="FL6" s="897"/>
      <c r="FM6" s="897"/>
      <c r="FN6" s="897"/>
      <c r="FO6" s="897"/>
      <c r="FP6" s="897"/>
      <c r="FQ6" s="898"/>
      <c r="FR6" s="896"/>
      <c r="FS6" s="897"/>
      <c r="FT6" s="897"/>
      <c r="FU6" s="897"/>
      <c r="FV6" s="898"/>
      <c r="FW6" s="896"/>
      <c r="FX6" s="897"/>
      <c r="FY6" s="897"/>
      <c r="FZ6" s="897"/>
      <c r="GA6" s="898"/>
      <c r="GB6" s="896"/>
      <c r="GC6" s="897"/>
      <c r="GD6" s="897"/>
      <c r="GE6" s="897"/>
      <c r="GF6" s="898"/>
      <c r="GG6" s="896"/>
      <c r="GH6" s="897"/>
      <c r="GI6" s="897"/>
      <c r="GJ6" s="898"/>
      <c r="GK6" s="896"/>
      <c r="GL6" s="897"/>
      <c r="GM6" s="897"/>
      <c r="GN6" s="897"/>
      <c r="GO6" s="898"/>
      <c r="GP6" s="896"/>
      <c r="GQ6" s="897"/>
      <c r="GR6" s="897"/>
      <c r="GS6" s="897"/>
      <c r="GT6" s="898"/>
      <c r="GU6" s="896"/>
      <c r="GV6" s="897"/>
      <c r="GW6" s="897"/>
      <c r="GX6" s="897"/>
      <c r="GY6" s="897"/>
      <c r="GZ6" s="896"/>
      <c r="HA6" s="897"/>
      <c r="HB6" s="897"/>
      <c r="HC6" s="897"/>
      <c r="HD6" s="898"/>
      <c r="HE6" s="911" t="s">
        <v>88</v>
      </c>
      <c r="HF6" s="887"/>
      <c r="HG6" s="887"/>
      <c r="HH6" s="887"/>
      <c r="HI6" s="887"/>
      <c r="HJ6" s="887"/>
      <c r="HK6" s="887"/>
      <c r="HL6" s="887"/>
      <c r="HM6" s="900"/>
      <c r="HN6" s="344"/>
    </row>
    <row r="7" spans="1:223" s="297" customFormat="1" ht="13.5" customHeight="1" thickBot="1" x14ac:dyDescent="0.5">
      <c r="C7" s="344"/>
      <c r="D7" s="344"/>
      <c r="E7" s="344"/>
      <c r="F7" s="344"/>
      <c r="G7" s="344"/>
      <c r="H7" s="344"/>
      <c r="I7" s="344"/>
      <c r="J7" s="344"/>
      <c r="K7" s="344"/>
      <c r="L7" s="344"/>
      <c r="M7" s="344" t="s">
        <v>89</v>
      </c>
      <c r="N7" s="344"/>
      <c r="O7" s="344"/>
      <c r="P7" s="344"/>
      <c r="Q7" s="344"/>
      <c r="R7" s="344"/>
      <c r="S7" s="344"/>
      <c r="T7" s="345"/>
      <c r="U7" s="344"/>
      <c r="V7" s="388" t="s">
        <v>90</v>
      </c>
      <c r="W7" s="344"/>
      <c r="X7" s="344"/>
      <c r="Y7" s="344"/>
      <c r="Z7" s="344"/>
      <c r="AA7" s="344"/>
      <c r="AB7" s="344"/>
      <c r="AC7" s="344"/>
      <c r="AD7" s="344"/>
      <c r="AE7" s="344"/>
      <c r="AF7" s="344"/>
      <c r="AG7" s="344"/>
      <c r="AH7" s="344"/>
      <c r="AI7" s="344"/>
      <c r="AJ7" s="344"/>
      <c r="AK7" s="344"/>
      <c r="AL7" s="389"/>
      <c r="AM7" s="344"/>
      <c r="AN7" s="344"/>
      <c r="AO7" s="344"/>
      <c r="AP7" s="365"/>
      <c r="AQ7" s="496"/>
      <c r="AR7" s="496"/>
      <c r="AS7" s="363"/>
      <c r="AT7" s="363"/>
      <c r="AU7" s="363"/>
      <c r="AV7" s="363"/>
      <c r="AW7" s="496"/>
      <c r="AX7" s="496"/>
      <c r="AY7" s="497"/>
      <c r="AZ7" s="401"/>
      <c r="BA7" s="401"/>
      <c r="BB7" s="401"/>
      <c r="BC7" s="401"/>
      <c r="BD7" s="401"/>
      <c r="BE7" s="496"/>
      <c r="BF7" s="496"/>
      <c r="BG7" s="498"/>
      <c r="BH7" s="498"/>
      <c r="BI7" s="496"/>
      <c r="BJ7" s="357"/>
      <c r="BK7" s="357"/>
      <c r="BL7" s="363"/>
      <c r="BM7" s="363"/>
      <c r="BN7" s="400"/>
      <c r="BO7" s="400"/>
      <c r="BP7" s="400"/>
      <c r="BQ7" s="400"/>
      <c r="BR7" s="357"/>
      <c r="BS7" s="363"/>
      <c r="BT7" s="363"/>
      <c r="BU7" s="363"/>
      <c r="BV7" s="363"/>
      <c r="BW7" s="363"/>
      <c r="BX7" s="363"/>
      <c r="BY7" s="363"/>
      <c r="BZ7" s="363"/>
      <c r="CA7" s="363"/>
      <c r="CB7" s="363"/>
      <c r="CC7" s="363"/>
      <c r="CD7" s="363"/>
      <c r="CE7" s="363"/>
      <c r="CF7" s="363"/>
      <c r="CG7" s="363"/>
      <c r="CH7" s="363"/>
      <c r="CI7" s="363"/>
      <c r="CJ7" s="499"/>
      <c r="CK7" s="390"/>
      <c r="CL7" s="391"/>
      <c r="CM7" s="391"/>
      <c r="CN7" s="391"/>
      <c r="CO7" s="391"/>
      <c r="CP7" s="391"/>
      <c r="CQ7" s="391"/>
      <c r="CR7" s="391"/>
      <c r="CS7" s="392"/>
      <c r="CT7" s="393"/>
      <c r="CU7" s="394"/>
      <c r="CV7" s="391"/>
      <c r="CW7" s="391"/>
      <c r="CX7" s="391"/>
      <c r="CY7" s="395"/>
      <c r="CZ7" s="655"/>
      <c r="DA7" s="396"/>
      <c r="DB7" s="396"/>
      <c r="DC7" s="396"/>
      <c r="DD7" s="396"/>
      <c r="DE7" s="395"/>
      <c r="DF7" s="397"/>
      <c r="DG7" s="392"/>
      <c r="DH7" s="392"/>
      <c r="DI7" s="392"/>
      <c r="DJ7" s="392"/>
      <c r="DK7" s="392"/>
      <c r="DL7" s="392"/>
      <c r="DM7" s="395"/>
      <c r="DN7" s="344"/>
      <c r="DO7" s="397"/>
      <c r="DP7" s="392"/>
      <c r="DQ7" s="395"/>
      <c r="DR7" s="344"/>
      <c r="DS7" s="344"/>
      <c r="DT7" s="344"/>
      <c r="DU7" s="382"/>
      <c r="DV7" s="344"/>
      <c r="DW7" s="383"/>
      <c r="DX7" s="344"/>
      <c r="DY7" s="344"/>
      <c r="DZ7" s="398"/>
      <c r="EA7" s="344"/>
      <c r="EB7" s="344"/>
      <c r="EC7" s="344"/>
      <c r="ED7" s="344"/>
      <c r="EE7" s="344"/>
      <c r="EF7" s="399"/>
      <c r="EG7" s="398"/>
      <c r="EH7" s="398"/>
      <c r="EI7" s="495"/>
      <c r="EJ7" s="495"/>
      <c r="EK7" s="495"/>
      <c r="EL7" s="899"/>
      <c r="EM7" s="887"/>
      <c r="EN7" s="887"/>
      <c r="EO7" s="887"/>
      <c r="EP7" s="900"/>
      <c r="EQ7" s="899"/>
      <c r="ER7" s="887"/>
      <c r="ES7" s="887"/>
      <c r="ET7" s="900"/>
      <c r="EU7" s="899"/>
      <c r="EV7" s="887"/>
      <c r="EW7" s="887"/>
      <c r="EX7" s="887"/>
      <c r="EY7" s="900"/>
      <c r="EZ7" s="899"/>
      <c r="FA7" s="887"/>
      <c r="FB7" s="887"/>
      <c r="FC7" s="887"/>
      <c r="FD7" s="900"/>
      <c r="FE7" s="365"/>
      <c r="FF7" s="363"/>
      <c r="FG7" s="363"/>
      <c r="FH7" s="887"/>
      <c r="FI7" s="887"/>
      <c r="FJ7" s="887"/>
      <c r="FK7" s="887"/>
      <c r="FL7" s="887"/>
      <c r="FM7" s="887"/>
      <c r="FN7" s="887"/>
      <c r="FO7" s="887"/>
      <c r="FP7" s="887"/>
      <c r="FQ7" s="900"/>
      <c r="FR7" s="899"/>
      <c r="FS7" s="887"/>
      <c r="FT7" s="887"/>
      <c r="FU7" s="887"/>
      <c r="FV7" s="900"/>
      <c r="FW7" s="899"/>
      <c r="FX7" s="887"/>
      <c r="FY7" s="887"/>
      <c r="FZ7" s="887"/>
      <c r="GA7" s="900"/>
      <c r="GB7" s="899"/>
      <c r="GC7" s="887"/>
      <c r="GD7" s="887"/>
      <c r="GE7" s="887"/>
      <c r="GF7" s="900"/>
      <c r="GG7" s="899"/>
      <c r="GH7" s="887"/>
      <c r="GI7" s="887"/>
      <c r="GJ7" s="900"/>
      <c r="GK7" s="899"/>
      <c r="GL7" s="887"/>
      <c r="GM7" s="887"/>
      <c r="GN7" s="887"/>
      <c r="GO7" s="900"/>
      <c r="GP7" s="899"/>
      <c r="GQ7" s="887"/>
      <c r="GR7" s="887"/>
      <c r="GS7" s="887"/>
      <c r="GT7" s="900"/>
      <c r="GU7" s="899"/>
      <c r="GV7" s="887"/>
      <c r="GW7" s="887"/>
      <c r="GX7" s="887"/>
      <c r="GY7" s="887"/>
      <c r="GZ7" s="899"/>
      <c r="HA7" s="887"/>
      <c r="HB7" s="887"/>
      <c r="HC7" s="887"/>
      <c r="HD7" s="900"/>
      <c r="HE7" s="901" t="s">
        <v>91</v>
      </c>
      <c r="HF7" s="885"/>
      <c r="HG7" s="901" t="s">
        <v>92</v>
      </c>
      <c r="HH7" s="884"/>
      <c r="HI7" s="884"/>
      <c r="HJ7" s="884"/>
      <c r="HK7" s="884"/>
      <c r="HL7" s="884"/>
      <c r="HM7" s="885"/>
      <c r="HN7" s="344"/>
    </row>
    <row r="8" spans="1:223" s="403" customFormat="1" ht="65.25" customHeight="1" x14ac:dyDescent="0.4">
      <c r="A8" s="447" t="s">
        <v>93</v>
      </c>
      <c r="B8" s="447" t="s">
        <v>94</v>
      </c>
      <c r="C8" s="447" t="s">
        <v>95</v>
      </c>
      <c r="D8" s="447" t="s">
        <v>96</v>
      </c>
      <c r="E8" s="447" t="s">
        <v>97</v>
      </c>
      <c r="F8" s="447" t="s">
        <v>98</v>
      </c>
      <c r="G8" s="447" t="s">
        <v>99</v>
      </c>
      <c r="H8" s="447" t="s">
        <v>100</v>
      </c>
      <c r="I8" s="447" t="s">
        <v>101</v>
      </c>
      <c r="J8" s="447" t="s">
        <v>102</v>
      </c>
      <c r="K8" s="447" t="s">
        <v>103</v>
      </c>
      <c r="L8" s="447" t="s">
        <v>104</v>
      </c>
      <c r="M8" s="447" t="s">
        <v>105</v>
      </c>
      <c r="N8" s="447" t="s">
        <v>106</v>
      </c>
      <c r="O8" s="447" t="s">
        <v>107</v>
      </c>
      <c r="P8" s="447" t="s">
        <v>108</v>
      </c>
      <c r="Q8" s="447" t="s">
        <v>109</v>
      </c>
      <c r="R8" s="447" t="s">
        <v>110</v>
      </c>
      <c r="S8" s="447"/>
      <c r="T8" s="447" t="s">
        <v>111</v>
      </c>
      <c r="U8" s="447" t="s">
        <v>112</v>
      </c>
      <c r="V8" s="447" t="s">
        <v>113</v>
      </c>
      <c r="W8" s="447" t="s">
        <v>114</v>
      </c>
      <c r="X8" s="447" t="s">
        <v>115</v>
      </c>
      <c r="Y8" s="447" t="s">
        <v>116</v>
      </c>
      <c r="Z8" s="447" t="s">
        <v>117</v>
      </c>
      <c r="AA8" s="447" t="s">
        <v>118</v>
      </c>
      <c r="AB8" s="447" t="s">
        <v>119</v>
      </c>
      <c r="AC8" s="447" t="s">
        <v>120</v>
      </c>
      <c r="AD8" s="447"/>
      <c r="AE8" s="447" t="s">
        <v>121</v>
      </c>
      <c r="AF8" s="447" t="s">
        <v>122</v>
      </c>
      <c r="AG8" s="447" t="s">
        <v>123</v>
      </c>
      <c r="AH8" s="447" t="s">
        <v>124</v>
      </c>
      <c r="AI8" s="447" t="s">
        <v>125</v>
      </c>
      <c r="AJ8" s="447" t="s">
        <v>126</v>
      </c>
      <c r="AK8" s="447" t="s">
        <v>127</v>
      </c>
      <c r="AL8" s="447" t="s">
        <v>128</v>
      </c>
      <c r="AM8" s="447"/>
      <c r="AN8" s="447"/>
      <c r="AO8" s="490" t="s">
        <v>129</v>
      </c>
      <c r="AP8" s="490" t="s">
        <v>130</v>
      </c>
      <c r="AQ8" s="490" t="s">
        <v>131</v>
      </c>
      <c r="AR8" s="490"/>
      <c r="AS8" s="490"/>
      <c r="AT8" s="490"/>
      <c r="AU8" s="490" t="s">
        <v>132</v>
      </c>
      <c r="AV8" s="490" t="s">
        <v>133</v>
      </c>
      <c r="AW8" s="490" t="s">
        <v>134</v>
      </c>
      <c r="AX8" s="490"/>
      <c r="AY8" s="490"/>
      <c r="AZ8" s="490"/>
      <c r="BA8" s="490" t="s">
        <v>135</v>
      </c>
      <c r="BB8" s="490"/>
      <c r="BC8" s="490"/>
      <c r="BD8" s="490" t="s">
        <v>136</v>
      </c>
      <c r="BE8" s="490"/>
      <c r="BF8" s="490"/>
      <c r="BG8" s="490"/>
      <c r="BH8" s="490"/>
      <c r="BI8" s="490" t="s">
        <v>137</v>
      </c>
      <c r="BJ8" s="490" t="s">
        <v>138</v>
      </c>
      <c r="BK8" s="447" t="s">
        <v>139</v>
      </c>
      <c r="BL8" s="447" t="s">
        <v>140</v>
      </c>
      <c r="BM8" s="447" t="s">
        <v>141</v>
      </c>
      <c r="BN8" s="447" t="s">
        <v>142</v>
      </c>
      <c r="BO8" s="447" t="s">
        <v>143</v>
      </c>
      <c r="BP8" s="447" t="s">
        <v>144</v>
      </c>
      <c r="BQ8" s="447" t="s">
        <v>145</v>
      </c>
      <c r="BR8" s="447" t="s">
        <v>146</v>
      </c>
      <c r="BS8" s="447" t="s">
        <v>147</v>
      </c>
      <c r="BT8" s="447" t="s">
        <v>148</v>
      </c>
      <c r="BU8" s="447" t="s">
        <v>149</v>
      </c>
      <c r="BV8" s="447" t="s">
        <v>150</v>
      </c>
      <c r="BW8" s="447" t="s">
        <v>151</v>
      </c>
      <c r="BX8" s="447" t="s">
        <v>152</v>
      </c>
      <c r="BY8" s="447" t="s">
        <v>153</v>
      </c>
      <c r="BZ8" s="447" t="s">
        <v>154</v>
      </c>
      <c r="CA8" s="447" t="s">
        <v>155</v>
      </c>
      <c r="CB8" s="447" t="s">
        <v>156</v>
      </c>
      <c r="CC8" s="447" t="s">
        <v>157</v>
      </c>
      <c r="CD8" s="447" t="s">
        <v>158</v>
      </c>
      <c r="CE8" s="447" t="s">
        <v>159</v>
      </c>
      <c r="CF8" s="447" t="s">
        <v>160</v>
      </c>
      <c r="CG8" s="447" t="s">
        <v>161</v>
      </c>
      <c r="CH8" s="447" t="s">
        <v>162</v>
      </c>
      <c r="CI8" s="447" t="s">
        <v>163</v>
      </c>
      <c r="CJ8" s="447" t="s">
        <v>164</v>
      </c>
      <c r="CK8" s="447" t="s">
        <v>165</v>
      </c>
      <c r="CL8" s="447" t="s">
        <v>166</v>
      </c>
      <c r="CM8" s="447" t="s">
        <v>167</v>
      </c>
      <c r="CN8" s="447" t="s">
        <v>168</v>
      </c>
      <c r="CO8" s="447" t="s">
        <v>169</v>
      </c>
      <c r="CP8" s="447" t="s">
        <v>170</v>
      </c>
      <c r="CQ8" s="447" t="s">
        <v>171</v>
      </c>
      <c r="CR8" s="447" t="s">
        <v>172</v>
      </c>
      <c r="CS8" s="447" t="s">
        <v>173</v>
      </c>
      <c r="CT8" s="653" t="s">
        <v>174</v>
      </c>
      <c r="CU8" s="852" t="s">
        <v>175</v>
      </c>
      <c r="CV8" s="447" t="s">
        <v>176</v>
      </c>
      <c r="CW8" s="447" t="s">
        <v>177</v>
      </c>
      <c r="CX8" s="447" t="s">
        <v>178</v>
      </c>
      <c r="CY8" s="657" t="s">
        <v>179</v>
      </c>
      <c r="CZ8" s="852" t="s">
        <v>180</v>
      </c>
      <c r="DA8" s="447" t="s">
        <v>181</v>
      </c>
      <c r="DB8" s="447" t="s">
        <v>182</v>
      </c>
      <c r="DC8" s="447" t="s">
        <v>183</v>
      </c>
      <c r="DD8" s="447" t="s">
        <v>184</v>
      </c>
      <c r="DE8" s="653" t="s">
        <v>185</v>
      </c>
      <c r="DF8" s="852" t="s">
        <v>186</v>
      </c>
      <c r="DG8" s="447" t="s">
        <v>187</v>
      </c>
      <c r="DH8" s="447" t="s">
        <v>188</v>
      </c>
      <c r="DI8" s="447" t="s">
        <v>189</v>
      </c>
      <c r="DJ8" s="447" t="s">
        <v>190</v>
      </c>
      <c r="DK8" s="447" t="s">
        <v>191</v>
      </c>
      <c r="DL8" s="447" t="s">
        <v>192</v>
      </c>
      <c r="DM8" s="653" t="s">
        <v>193</v>
      </c>
      <c r="DN8" s="852"/>
      <c r="DO8" s="447" t="s">
        <v>194</v>
      </c>
      <c r="DP8" s="447" t="s">
        <v>195</v>
      </c>
      <c r="DQ8" s="653" t="s">
        <v>196</v>
      </c>
      <c r="DR8" s="852" t="s">
        <v>197</v>
      </c>
      <c r="DS8" s="447" t="s">
        <v>198</v>
      </c>
      <c r="DT8" s="657" t="s">
        <v>199</v>
      </c>
      <c r="DU8" s="852" t="s">
        <v>200</v>
      </c>
      <c r="DV8" s="447" t="s">
        <v>201</v>
      </c>
      <c r="DW8" s="447" t="s">
        <v>202</v>
      </c>
      <c r="DX8" s="447" t="s">
        <v>203</v>
      </c>
      <c r="DY8" s="447" t="s">
        <v>204</v>
      </c>
      <c r="DZ8" s="447" t="s">
        <v>205</v>
      </c>
      <c r="EA8" s="447" t="s">
        <v>206</v>
      </c>
      <c r="EB8" s="447" t="s">
        <v>207</v>
      </c>
      <c r="EC8" s="447" t="s">
        <v>208</v>
      </c>
      <c r="ED8" s="447" t="s">
        <v>209</v>
      </c>
      <c r="EE8" s="447" t="s">
        <v>210</v>
      </c>
      <c r="EF8" s="447" t="s">
        <v>211</v>
      </c>
      <c r="EG8" s="447" t="s">
        <v>212</v>
      </c>
      <c r="EH8" s="447" t="s">
        <v>213</v>
      </c>
      <c r="EI8" s="447" t="s">
        <v>214</v>
      </c>
      <c r="EJ8" s="447" t="s">
        <v>215</v>
      </c>
      <c r="EK8" s="447" t="s">
        <v>216</v>
      </c>
      <c r="EL8" s="523" t="s">
        <v>217</v>
      </c>
      <c r="EM8" s="523" t="s">
        <v>218</v>
      </c>
      <c r="EN8" s="523" t="s">
        <v>219</v>
      </c>
      <c r="EO8" s="523" t="s">
        <v>220</v>
      </c>
      <c r="EP8" s="523" t="s">
        <v>221</v>
      </c>
      <c r="EQ8" s="524" t="s">
        <v>222</v>
      </c>
      <c r="ER8" s="524" t="s">
        <v>219</v>
      </c>
      <c r="ES8" s="524" t="s">
        <v>220</v>
      </c>
      <c r="ET8" s="524" t="s">
        <v>221</v>
      </c>
      <c r="EU8" s="447" t="s">
        <v>217</v>
      </c>
      <c r="EV8" s="447" t="s">
        <v>218</v>
      </c>
      <c r="EW8" s="447" t="s">
        <v>223</v>
      </c>
      <c r="EX8" s="447" t="s">
        <v>220</v>
      </c>
      <c r="EY8" s="447" t="s">
        <v>221</v>
      </c>
      <c r="EZ8" s="524" t="s">
        <v>217</v>
      </c>
      <c r="FA8" s="524" t="s">
        <v>218</v>
      </c>
      <c r="FB8" s="524" t="s">
        <v>223</v>
      </c>
      <c r="FC8" s="524" t="s">
        <v>220</v>
      </c>
      <c r="FD8" s="524" t="s">
        <v>221</v>
      </c>
      <c r="FE8" s="447" t="s">
        <v>224</v>
      </c>
      <c r="FF8" s="447" t="s">
        <v>225</v>
      </c>
      <c r="FG8" s="447" t="s">
        <v>226</v>
      </c>
      <c r="FH8" s="447" t="s">
        <v>227</v>
      </c>
      <c r="FI8" s="447" t="s">
        <v>228</v>
      </c>
      <c r="FJ8" s="447" t="s">
        <v>229</v>
      </c>
      <c r="FK8" s="447" t="s">
        <v>230</v>
      </c>
      <c r="FL8" s="447" t="s">
        <v>230</v>
      </c>
      <c r="FM8" s="447" t="s">
        <v>231</v>
      </c>
      <c r="FN8" s="447" t="s">
        <v>232</v>
      </c>
      <c r="FO8" s="447" t="s">
        <v>233</v>
      </c>
      <c r="FP8" s="447" t="s">
        <v>220</v>
      </c>
      <c r="FQ8" s="447" t="s">
        <v>221</v>
      </c>
      <c r="FR8" s="524" t="s">
        <v>222</v>
      </c>
      <c r="FS8" s="524" t="s">
        <v>234</v>
      </c>
      <c r="FT8" s="524" t="s">
        <v>235</v>
      </c>
      <c r="FU8" s="524" t="s">
        <v>236</v>
      </c>
      <c r="FV8" s="524" t="s">
        <v>221</v>
      </c>
      <c r="FW8" s="524" t="s">
        <v>222</v>
      </c>
      <c r="FX8" s="524" t="s">
        <v>234</v>
      </c>
      <c r="FY8" s="524" t="s">
        <v>78</v>
      </c>
      <c r="FZ8" s="524" t="s">
        <v>236</v>
      </c>
      <c r="GA8" s="524" t="s">
        <v>221</v>
      </c>
      <c r="GB8" s="524" t="s">
        <v>222</v>
      </c>
      <c r="GC8" s="524" t="s">
        <v>234</v>
      </c>
      <c r="GD8" s="524" t="s">
        <v>237</v>
      </c>
      <c r="GE8" s="524" t="s">
        <v>236</v>
      </c>
      <c r="GF8" s="524" t="s">
        <v>221</v>
      </c>
      <c r="GG8" s="524" t="s">
        <v>222</v>
      </c>
      <c r="GH8" s="524" t="s">
        <v>234</v>
      </c>
      <c r="GI8" s="524" t="s">
        <v>236</v>
      </c>
      <c r="GJ8" s="524" t="s">
        <v>221</v>
      </c>
      <c r="GK8" s="447" t="s">
        <v>222</v>
      </c>
      <c r="GL8" s="447" t="s">
        <v>238</v>
      </c>
      <c r="GM8" s="447" t="s">
        <v>234</v>
      </c>
      <c r="GN8" s="447" t="s">
        <v>236</v>
      </c>
      <c r="GO8" s="447" t="s">
        <v>221</v>
      </c>
      <c r="GP8" s="524" t="s">
        <v>222</v>
      </c>
      <c r="GQ8" s="524" t="s">
        <v>238</v>
      </c>
      <c r="GR8" s="524" t="s">
        <v>234</v>
      </c>
      <c r="GS8" s="524" t="s">
        <v>236</v>
      </c>
      <c r="GT8" s="524" t="s">
        <v>221</v>
      </c>
      <c r="GU8" s="447" t="s">
        <v>217</v>
      </c>
      <c r="GV8" s="447" t="s">
        <v>238</v>
      </c>
      <c r="GW8" s="447" t="s">
        <v>234</v>
      </c>
      <c r="GX8" s="447" t="s">
        <v>236</v>
      </c>
      <c r="GY8" s="447" t="s">
        <v>221</v>
      </c>
      <c r="GZ8" s="447" t="s">
        <v>217</v>
      </c>
      <c r="HA8" s="447" t="s">
        <v>238</v>
      </c>
      <c r="HB8" s="447" t="s">
        <v>234</v>
      </c>
      <c r="HC8" s="447" t="s">
        <v>236</v>
      </c>
      <c r="HD8" s="447" t="s">
        <v>221</v>
      </c>
      <c r="HE8" s="447" t="s">
        <v>239</v>
      </c>
      <c r="HF8" s="447"/>
      <c r="HG8" s="447" t="s">
        <v>240</v>
      </c>
      <c r="HH8" s="447"/>
      <c r="HI8" s="447"/>
      <c r="HJ8" s="447"/>
      <c r="HK8" s="447"/>
      <c r="HL8" s="447"/>
      <c r="HM8" s="447" t="s">
        <v>241</v>
      </c>
      <c r="HN8" s="346" t="s">
        <v>242</v>
      </c>
      <c r="HO8" s="402"/>
    </row>
    <row r="9" spans="1:223" s="432" customFormat="1" ht="12.75" customHeight="1" x14ac:dyDescent="0.35">
      <c r="A9" s="49">
        <v>1</v>
      </c>
      <c r="B9" s="404" t="str">
        <f>INDEX('Loan Tape - Settled'!$B$4:$AP$55,MATCH($A9,'Loan Tape - Settled'!$E$4:$E$55,0),MATCH("Obligor Name",'Loan Tape - Settled'!$B$4:$AM$4,0))</f>
        <v>Consolidated Machine &amp; Tool Holdings</v>
      </c>
      <c r="C9" s="404" t="str">
        <f>INDEX('Loan Tape - Settled'!$B$4:$AP$55,MATCH($A9,'Loan Tape - Settled'!$E$4:$E$55,0),MATCH("Security",'Loan Tape - Settled'!$B$4:$AM$4,0))</f>
        <v>1st Lien</v>
      </c>
      <c r="D9" s="405" t="str">
        <f>INDEX('Loan Tape - Settled'!$B$4:$AP$55,MATCH($A9,'Loan Tape - Settled'!$E$4:$E$55,0),MATCH("Loan Type",'Loan Tape - Settled'!$B$4:$AM$4,0))</f>
        <v>First Lien</v>
      </c>
      <c r="E9" s="406" t="b">
        <f>IF(ISERROR(MATCH(D9,AGENT!$A$4:$A$10,0))=FALSE, TRUE)</f>
        <v>1</v>
      </c>
      <c r="F9" s="406" t="b">
        <f t="shared" ref="F9:F49" si="0">IF(AND(BZ9="no",CA9="no"),TRUE)</f>
        <v>1</v>
      </c>
      <c r="G9" s="406" t="b">
        <f>IF(D9&lt;&gt;"Second Lien",TRUE, IF(CY9&gt;=AGENT!$B$4,TRUE))</f>
        <v>1</v>
      </c>
      <c r="H9" s="406" t="b">
        <f>IF(DE9&lt;=AGENT!$D$4,TRUE)</f>
        <v>1</v>
      </c>
      <c r="I9" s="406" t="b">
        <f>IF(VLOOKUP(CONCATENATE($A$5,A9),'Loan Tape - Settled'!$A$5:$Q$55,17,FALSE)&gt;=AGENT!$E$4,TRUE)</f>
        <v>1</v>
      </c>
      <c r="J9" s="406" t="b">
        <f>IF(INDEX('Loan Tape - Settled'!$B$4:$AP$55,MATCH($A9,'Loan Tape - Settled'!$E$4:$E$55,0),MATCH("Loan Denomination",'Loan Tape - Settled'!$B$4:$AP$4,0))="USD", TRUE)</f>
        <v>1</v>
      </c>
      <c r="K9" s="406" t="b">
        <f>IF(INDEX('Loan Tape - Settled'!$B$4:$AP$55,MATCH($A9,'Loan Tape - Settled'!$E$4:$E$55,0),MATCH("Exposure Country",'Loan Tape - Settled'!$B$4:$AP$4,0))="United States", TRUE)</f>
        <v>1</v>
      </c>
      <c r="L9" s="406" t="b">
        <f t="shared" ref="L9:L49" si="1">IF(BS9="NO",TRUE)</f>
        <v>1</v>
      </c>
      <c r="M9" s="406" t="b">
        <f>IF(((BM9-BL9)/365)&lt;=AGENT!$F$4,TRUE)</f>
        <v>1</v>
      </c>
      <c r="N9" s="406" t="b">
        <f t="shared" ref="N9:N49" si="2">IF(DX9="Yes",FALSE,TRUE)</f>
        <v>0</v>
      </c>
      <c r="O9" s="453"/>
      <c r="P9" s="709" t="str">
        <f t="shared" ref="P9:P49" si="3">IF($B9="","",IF(OR(O9=TRUE,COUNTIFS($E9:$N9,TRUE)=10),"Yes","No"))</f>
        <v>No</v>
      </c>
      <c r="Q9" s="680" t="s">
        <v>243</v>
      </c>
      <c r="R9" s="407" t="str">
        <f t="shared" ref="R9:R49" si="4">IF(P9="Yes",B9,"N/A")</f>
        <v>N/A</v>
      </c>
      <c r="S9" s="407"/>
      <c r="T9" s="408" t="str">
        <f t="array" ref="T9">_xlfn.IFS(D9="Second Lien",D9,D9="First Lien",CONCATENATE(D9," ",EI9),D9="FILO",CONCATENATE(D9," ",EJ9))</f>
        <v>First Lien &lt;= $10MM</v>
      </c>
      <c r="U9" s="409">
        <f>VLOOKUP(T9,'Concentration Limits'!D:G,4,FALSE)</f>
        <v>0.625</v>
      </c>
      <c r="V9" s="410">
        <f t="shared" ref="V9:V49" si="5">AQ9+AW9+BI9</f>
        <v>0</v>
      </c>
      <c r="W9" s="448">
        <f>(SUMIFS('Loan Tape - Settled'!$AR$4:$AR$55,'Loan Tape - Settled'!$E$4:$E$55,$A9,'Loan Tape - Settled'!$C$4:$C$55,$A$5))</f>
        <v>867570.11164605082</v>
      </c>
      <c r="X9" s="449">
        <v>1</v>
      </c>
      <c r="Y9" s="411">
        <f t="shared" ref="Y9:Y49" si="6">W9*X9</f>
        <v>867570.11164605082</v>
      </c>
      <c r="Z9" s="449">
        <f>(SUMIFS('Loan Tape - Settled'!$AQ$4:$AQ$55,'Loan Tape - Settled'!$E$4:$E$55,$A9,'Loan Tape - Settled'!$C$4:$C$55,$A$5))</f>
        <v>867570.11164605082</v>
      </c>
      <c r="AA9" s="411">
        <f t="shared" ref="AA9:AA49" si="7">Z9*X9</f>
        <v>867570.11164605082</v>
      </c>
      <c r="AB9" s="411">
        <f t="shared" ref="AB9:AB49" si="8">AA9-Y9</f>
        <v>0</v>
      </c>
      <c r="AC9" s="450">
        <f>VLOOKUP(CONCATENATE($A$5,A9),'Loan Tape - Settled'!$A$5:$Q$55,17,FALSE)</f>
        <v>1</v>
      </c>
      <c r="AD9" s="412"/>
      <c r="AE9" s="413">
        <f>INDEX('Loan Tape - Settled'!$B$4:$AP$55,MATCH($A9,'Loan Tape - Settled'!$E$4:$E$55,0),MATCH("FMV",'Loan Tape - Settled'!$B$4:$AM$4,0))</f>
        <v>0</v>
      </c>
      <c r="AF9" s="413">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0</v>
      </c>
      <c r="AG9" s="414" t="str">
        <f>IF(COUNTIFS(VAE!$C$5:$C$96,B9,VAE!$G$5:$G$96,"&lt;="&amp;Availability!$F$8)&gt;=1,"Yes","-")</f>
        <v>Yes</v>
      </c>
      <c r="AH9" s="414" t="str">
        <f t="array" ref="AH9">IFERROR(IF(AG9="Yes",INDEX(VAE!$D$5:$D$96,MATCH(B9&amp;AJ9,VAE!$C$5:$C$96&amp;VAE!$G$5:$G$96,0)),"-"),0)</f>
        <v>Increase in Lev</v>
      </c>
      <c r="AI9" s="414" t="str">
        <f t="array" ref="AI9">IFERROR(IF(AG9="Yes",INDEX(VAE!$F$5:$F$96,MATCH(B9&amp;AJ9,VAE!$C$5:$C$96&amp;VAE!$G$5:$G$96,0)),"-"),0)</f>
        <v>n/a</v>
      </c>
      <c r="AJ9" s="415">
        <f>IF(AG9="-","-",_xlfn.MAXIFS(VAE!$G$5:$G$96,VAE!$C$5:$C$96,$B9))</f>
        <v>45107</v>
      </c>
      <c r="AK9" s="416">
        <f t="array" ref="AK9">IFERROR(IF(AG9="Yes",INDEX(VAE!$P$5:$P$96,MATCH(B9&amp;AJ9,VAE!$C$5:$C$96&amp;VAE!$G$5:$G$96,0)),"-"),0)</f>
        <v>0</v>
      </c>
      <c r="AL9" s="413">
        <f t="shared" ref="AL9:AL49" si="9">IF($A9="","",IF(P9="No",0,(IF(AG9="Yes",MIN(AE9,AK9,AF9),MIN(AE9,AF9)))))</f>
        <v>0</v>
      </c>
      <c r="AM9" s="410"/>
      <c r="AN9" s="410"/>
      <c r="AO9" s="410">
        <f t="shared" ref="AO9:AO49" si="10">IF(AND(D9="First Lien",P9="No"),0,IF(D9&lt;&gt;"First Lien",0,Y9))</f>
        <v>0</v>
      </c>
      <c r="AP9" s="491">
        <f t="shared" ref="AP9:AP49" si="11">IF(AND(D9="First Lien",P9="No"),W9,0)</f>
        <v>867570.11164605082</v>
      </c>
      <c r="AQ9" s="491">
        <f>AO9*AL9</f>
        <v>0</v>
      </c>
      <c r="AR9" s="491"/>
      <c r="AS9" s="491"/>
      <c r="AT9" s="491"/>
      <c r="AU9" s="491">
        <f t="shared" ref="AU9:AU49" si="12">IF(AND(D9="FILO",P9="No"),0,IF(D9&lt;&gt;"FILO",0,Y9))</f>
        <v>0</v>
      </c>
      <c r="AV9" s="491">
        <f t="shared" ref="AV9:AV49" si="13">IF(AND(D9="FILO",P9="No"),W9,0)</f>
        <v>0</v>
      </c>
      <c r="AW9" s="491">
        <f t="shared" ref="AW9:AW49" si="14">AU9*AL9</f>
        <v>0</v>
      </c>
      <c r="AX9" s="491"/>
      <c r="AY9" s="491"/>
      <c r="AZ9" s="491"/>
      <c r="BA9" s="491">
        <f t="shared" ref="BA9:BA49" si="15">IF(AND(OR(D9="First Lien",D9="FILO"),P9="No"),0,IF(OR(D9="First Lien",D9="FILO"),0,(Y9)))</f>
        <v>0</v>
      </c>
      <c r="BB9" s="491"/>
      <c r="BC9" s="491"/>
      <c r="BD9" s="491">
        <f t="shared" ref="BD9:BD49" si="16">IF(AND(D9="Second Lien",P9="No"),W9,0)</f>
        <v>0</v>
      </c>
      <c r="BE9" s="491"/>
      <c r="BF9" s="491"/>
      <c r="BG9" s="491"/>
      <c r="BH9" s="491"/>
      <c r="BI9" s="491">
        <f t="shared" ref="BI9:BI49" si="17">IF(D9="Second Lien",BA9*AL9,0)</f>
        <v>0</v>
      </c>
      <c r="BJ9" s="491" t="b">
        <f t="shared" ref="BJ9:BJ49" si="18">SUM(AM9:AP9)+SUM(AZ9:BD9)+SUM(AS9:AV9)=Y9</f>
        <v>1</v>
      </c>
      <c r="BK9" s="501">
        <f>INDEX('Loan Tape - Settled'!$B$4:$AP$55,MATCH($A9,'Loan Tape - Settled'!$E$4:$E$55,0),MATCH("Inception Date",'Loan Tape - Settled'!$B$4:$AP$4,0))</f>
        <v>43845</v>
      </c>
      <c r="BL9" s="501">
        <f>INDEX('Loan Tape - Settled'!$B$4:$AP$55,MATCH($A9,'Loan Tape - Settled'!$E$4:$E$55,0),MATCH("Inclusion Date",'Loan Tape - Settled'!$B$4:$AP$4,0))</f>
        <v>44379</v>
      </c>
      <c r="BM9" s="509">
        <f>INDEX('Loan Tape - Settled'!$B$4:$AP$55,MATCH($A9,'Loan Tape - Settled'!$E$4:$E$55,0),MATCH("Maturity Date",'Loan Tape - Settled'!$B$4:$AP$4,0))</f>
        <v>46203</v>
      </c>
      <c r="BN9" s="502"/>
      <c r="BO9" s="502"/>
      <c r="BP9" s="503"/>
      <c r="BQ9" s="502"/>
      <c r="BR9" s="504" t="str">
        <f>INDEX('Loan Tape - Settled'!$B$4:$AP$55,MATCH($A9,'Loan Tape - Settled'!$E$4:$E$55,0),MATCH("Industry Classification",'Loan Tape - Settled'!$B$4:$AP$4,0))</f>
        <v>Aerospace &amp; Defense</v>
      </c>
      <c r="BS9" s="502" t="str">
        <f>IF(INDEX('Loan Tape - Settled'!$B$4:$AP$55,MATCH($A9,'Loan Tape - Settled'!$E$4:$E$55,0),MATCH("Covenant Lite",'Loan Tape - Settled'!$B$4:$AP$4,0))=-1, "Yes", "No")</f>
        <v>No</v>
      </c>
      <c r="BT9" s="505">
        <f>INDEX('Loan Tape - Settled'!$B$4:$AP$55,MATCH($A9,'Loan Tape - Settled'!$E$4:$E$55,0),MATCH("Spread / Coupon (%)",'Loan Tape - Settled'!$B$4:$AP$4,0))</f>
        <v>8.3704369163780292E-3</v>
      </c>
      <c r="BU9" s="502" t="str">
        <f>IF(INDEX('Loan Tape - Settled'!$B$4:$AP$55,MATCH($A9,'Loan Tape - Settled'!$E$4:$E$55,0),MATCH("Security Type",'Loan Tape - Settled'!$B$4:$AP$4,0))="Delayed Draw Term Loan", "Yes", "No")</f>
        <v>No</v>
      </c>
      <c r="BV9" s="506" t="s">
        <v>244</v>
      </c>
      <c r="BW9" s="506" t="s">
        <v>244</v>
      </c>
      <c r="BX9" s="506" t="s">
        <v>244</v>
      </c>
      <c r="BY9" s="502" t="str">
        <f>IF(INDEX('Loan Tape - Settled'!$B$4:$AP$55,MATCH($A9,'Loan Tape - Settled'!$E$4:$E$55,0),MATCH("Fixed/Floating",'Loan Tape - Settled'!$B$4:$AP$4,0))="Fixed", "Yes", "No")</f>
        <v>No</v>
      </c>
      <c r="BZ9" s="506" t="s">
        <v>244</v>
      </c>
      <c r="CA9" s="506" t="s">
        <v>244</v>
      </c>
      <c r="CB9" s="502" t="str">
        <f>IF(INDEX('Loan Tape - Settled'!$B$4:$AP$55,MATCH($A9,'Loan Tape - Settled'!$E$4:$E$55,0),MATCH("Loan Denomination",'Loan Tape - Settled'!$B$4:$AP$4,0))="CAD", "Yes", "No")</f>
        <v>No</v>
      </c>
      <c r="CC9" s="502" t="str">
        <f>INDEX('Loan Tape - Settled'!$B$4:$AP$55,MATCH($A9,'Loan Tape - Settled'!$E$4:$E$55,0),MATCH("Payment Frequency",'Loan Tape - Settled'!$B$4:$AP$4,0))</f>
        <v>M</v>
      </c>
      <c r="CD9" s="506" t="s">
        <v>244</v>
      </c>
      <c r="CE9" s="502">
        <f>INDEX('Loan Tape - Settled'!$B$4:$AP$55,MATCH($A9,'Loan Tape - Settled'!$E$4:$E$55,0),MATCH("S&amp;P Loan Rating (if applicable)",'Loan Tape - Settled'!$B$4:$AP$4,0))</f>
        <v>0</v>
      </c>
      <c r="CF9" s="502">
        <f>INDEX('Loan Tape - Settled'!$B$4:$AP$55,MATCH($A9,'Loan Tape - Settled'!$E$4:$E$55,0),MATCH("Moody's Loan Rating (if applicable)",'Loan Tape - Settled'!$B$4:$AP$4,0))</f>
        <v>0</v>
      </c>
      <c r="CG9" s="502"/>
      <c r="CH9" s="502"/>
      <c r="CI9" s="507"/>
      <c r="CJ9" s="508" t="str">
        <f>INDEX('Loan Tape - Settled'!$B$4:$BF$55,MATCH($A9,'Loan Tape - Settled'!$E$4:$E$55,0),MATCH("Last Financial Received",'Loan Tape - Settled'!$B$4:$BF$4,0))</f>
        <v>9/30/2025 or Latest Financing</v>
      </c>
      <c r="CK9" s="516">
        <f>INDEX('Loan Tape - Settled'!$B$4:$BJ$55,MATCH($A9,'Loan Tape - Settled'!$E$4:$E$55,0),MATCH("Initial Adjusted TTM EBITDA",'Loan Tape - Settled'!$B$4:$BJ$4,0))</f>
        <v>6.444</v>
      </c>
      <c r="CL9" s="516">
        <f>INDEX('Loan Tape - Settled'!$B$4:$BJ$55,MATCH($A9,'Loan Tape - Settled'!$E$4:$E$55,0),MATCH("Initial TTM Non-adjusted EBITDA",'Loan Tape - Settled'!$B$4:$BJ$4,0))</f>
        <v>6.444</v>
      </c>
      <c r="CM9" s="417"/>
      <c r="CN9" s="418"/>
      <c r="CO9" s="418"/>
      <c r="CP9" s="419"/>
      <c r="CQ9" s="420" t="s">
        <v>245</v>
      </c>
      <c r="CR9" s="419"/>
      <c r="CS9" s="421">
        <f t="shared" ref="CS9:CS49" si="19">CK9-CP9+CR9</f>
        <v>6.444</v>
      </c>
      <c r="CT9" s="422">
        <f t="shared" ref="CT9:CT49" si="20">1-CS9/CK9</f>
        <v>0</v>
      </c>
      <c r="CU9" s="516">
        <f>INDEX('Loan Tape - Settled'!$B$4:$BJ$55,MATCH($A9,'Loan Tape - Settled'!$E$4:$E$55,0),MATCH("Current TTM Non-adjusted EBITDA",'Loan Tape - Settled'!$B$4:$BJ$4,0))</f>
        <v>0.29069220000000212</v>
      </c>
      <c r="CV9" s="423">
        <f t="shared" ref="CV9:CV49" si="21">CT9</f>
        <v>0</v>
      </c>
      <c r="CW9" s="652" t="s">
        <v>245</v>
      </c>
      <c r="CX9" s="517"/>
      <c r="CY9" s="658">
        <f t="shared" ref="CY9:CY49" si="22">IF(CW9="N",(1-CV9)*CU9,(1-CX9)*CU9)</f>
        <v>0.29069220000000212</v>
      </c>
      <c r="CZ9" s="656"/>
      <c r="DA9" s="518"/>
      <c r="DB9" s="519"/>
      <c r="DC9" s="853"/>
      <c r="DD9" s="853">
        <f>INDEX('Loan Tape - Settled'!$B$4:$BJ$55,MATCH($A9,'Loan Tape - Settled'!$E$4:$E$55,0),MATCH("Initial Senior Net Leverage Senior",'Loan Tape - Settled'!$B$4:$BJ$4,0))</f>
        <v>2.2031346989447549</v>
      </c>
      <c r="DE9" s="659">
        <f>INDEX('Loan Tape - Settled'!$B$4:$BJ$55,MATCH($A9,'Loan Tape - Settled'!$E$4:$E$55,0),MATCH("Initial Total Net Leverage",'Loan Tape - Settled'!$B$4:$BJ$4,0))</f>
        <v>2.2031346989447549</v>
      </c>
      <c r="DF9" s="656"/>
      <c r="DG9" s="518"/>
      <c r="DH9" s="519"/>
      <c r="DI9" s="424">
        <f>INDEX('Loan Tape - Settled'!$B$4:$BJ$55,MATCH($A9,'Loan Tape - Settled'!$E$4:$E$55,0),MATCH("Net Attachment",'Loan Tape - Settled'!$B$4:$BJ$4,0))</f>
        <v>53.388334946723326</v>
      </c>
      <c r="DJ9" s="522">
        <f t="array" ref="DJ9">IF(AG9="Yes",INDEX(VAE!$M$5:$M$53,MATCH($B9&amp;$AJ9,VAE!$C$5:$C$53&amp;VAE!$G$5:$G$53,0)),DD9)</f>
        <v>4.7090319336980393</v>
      </c>
      <c r="DK9" s="649">
        <f t="array" ref="DK9">IF(AG9="Yes",INDEX(VAE!$N$5:$N$53,MATCH($B9&amp;$AJ9,VAE!$C$5:$C$53&amp;VAE!$G$5:$G$53,0)),DE9)</f>
        <v>4.7090319336980393</v>
      </c>
      <c r="DL9" s="650" t="str">
        <f>INDEX('Loan Tape - Settled'!$B$4:$BJ$55,MATCH($A9,'Loan Tape - Settled'!$E$4:$E$55,0),MATCH("Current Senior Net Leverage Senior",'Loan Tape - Settled'!$B$4:$BJ$4,0))</f>
        <v>N/M</v>
      </c>
      <c r="DM9" s="659" t="str">
        <f>INDEX('Loan Tape - Settled'!$B$4:$BJ$55,MATCH($A9,'Loan Tape - Settled'!$E$4:$E$55,0),MATCH("Current Total Net Leverage",'Loan Tape - Settled'!$B$4:$BJ$4,0))</f>
        <v>N/M</v>
      </c>
      <c r="DN9" s="425"/>
      <c r="DO9" s="426">
        <f>INDEX('Loan Tape - Settled'!$B$4:$BJ$55,MATCH($A9,'Loan Tape - Settled'!$E$4:$E$55,0),MATCH("Initial Interest Coverage",'Loan Tape - Settled'!$B$4:$BJ$4,0))</f>
        <v>4.05</v>
      </c>
      <c r="DP9" s="854">
        <f t="array" ref="DP9">IF(AG9="Yes",INDEX(VAE!$O$5:$O$53,MATCH($B9&amp;$AJ9,VAE!$C$5:$C$53&amp;VAE!$G$5:$G$53,0)),DO9)</f>
        <v>4.05</v>
      </c>
      <c r="DQ9" s="427">
        <f>INDEX('Loan Tape - Settled'!$B$4:$BJ$55,MATCH($A9,'Loan Tape - Settled'!$E$4:$E$55,0),MATCH("Current Interest Coverage",'Loan Tape - Settled'!$B$4:$BJ$4,0))</f>
        <v>0</v>
      </c>
      <c r="DR9" s="855" t="str">
        <f t="shared" ref="DR9:DR49" si="23">IF(OR(DU9="Yes",DU9="N/A",DV9="Yes",DV9="N/A",DW9="Yes",DX9="Yes",DY9="Yes",EF9="Yes",EG9="Yes",EH9="Yes"),"Yes","No")</f>
        <v>Yes</v>
      </c>
      <c r="DS9" s="428">
        <f>IF(AG9="Yes",DATEDIF(AJ9,Availability!$F$8,"m"),"")</f>
        <v>30</v>
      </c>
      <c r="DT9" s="428" t="str">
        <f t="shared" ref="DT9:DT49" si="24">IF(DS9="","No",IF(DS9&gt;12,"Yes","No"))</f>
        <v>Yes</v>
      </c>
      <c r="DU9" s="647" t="str">
        <f t="shared" ref="DU9:DU49" si="25">IFERROR(IF(AND(DQ9/DP9&lt;0.75,DQ9&lt;1.5),"Yes","No"),"N/A")</f>
        <v>Yes</v>
      </c>
      <c r="DV9" s="648" t="str">
        <f t="shared" ref="DV9:DV49" si="26">IFERROR(IF(OR(D9="First Lien",D9="FILO"),IF(AND((DL9-DJ9)&gt;0.75,DL9&gt;4),"Yes","No"),"No"),"N/A")</f>
        <v>N/A</v>
      </c>
      <c r="DW9" s="648" t="str">
        <f t="array" ref="DW9">_xlfn.IFS(D9&lt;&gt;"Second Lien","No",D9="Second Lien",IF(AND((DM9-DK9)&gt;0.5,DM9&gt;4.5),"Yes","No"))</f>
        <v>No</v>
      </c>
      <c r="DX9" s="685" t="s">
        <v>243</v>
      </c>
      <c r="DY9" s="685" t="s">
        <v>244</v>
      </c>
      <c r="DZ9" s="686" t="s">
        <v>244</v>
      </c>
      <c r="EA9" s="686" t="s">
        <v>244</v>
      </c>
      <c r="EB9" s="686" t="s">
        <v>243</v>
      </c>
      <c r="EC9" s="686" t="s">
        <v>244</v>
      </c>
      <c r="ED9" s="686" t="s">
        <v>244</v>
      </c>
      <c r="EE9" s="686" t="s">
        <v>244</v>
      </c>
      <c r="EF9" s="409" t="str">
        <f t="shared" ref="EF9:EF49" si="27">IF(OR(DZ9="Yes",EA9="Yes",EB9="Yes",EC9="Yes",ED9="Yes",EE9="Yes"),"Yes","No")</f>
        <v>Yes</v>
      </c>
      <c r="EG9" s="686" t="s">
        <v>244</v>
      </c>
      <c r="EH9" s="691" t="s">
        <v>244</v>
      </c>
      <c r="EI9" s="856" t="str">
        <f t="array" ref="EI9">IF(D9="First Lien",_xlfn.IFS(CY9&gt;AGENT!$B$23, "&gt; $20MM",CY9&lt;=AGENT!$C$25, "&lt;= $10MM",AND(CY9&lt;=AGENT!$C$24,CY9&gt;AGENT!$B$24),"&lt;= $20MM"), "N/A")</f>
        <v>&lt;= $10MM</v>
      </c>
      <c r="EJ9" s="856" t="str">
        <f t="array" ref="EJ9">IF(D9="FILO",_xlfn.IFS(DI9&gt;AGENT!$B$29, "&gt; 1.25x",DI9&lt;AGENT!$C$27, "&lt; 0.75x",AND(DI9&lt;=AGENT!$C$28,DI9&gt;=AGENT!$B$28),"&lt;= 1.25x"), "N/A")</f>
        <v>N/A</v>
      </c>
      <c r="EK9" s="429">
        <f t="shared" ref="EK9:EK49" si="28">V9</f>
        <v>0</v>
      </c>
      <c r="EL9" s="429">
        <f>'Concentration Limits'!$J$49</f>
        <v>49599340.729726665</v>
      </c>
      <c r="EM9" s="429" t="str">
        <f>IF(OR(D9="Second Lien",AND(D9="FILO",DI9&gt;AGENT!$C$57)), "Yes", "No")</f>
        <v>No</v>
      </c>
      <c r="EN9" s="429">
        <f t="shared" ref="EN9:EN49" si="29">IF(EM9="Yes",SUMIF(EM:EM,"Yes",EK:EK),0)</f>
        <v>0</v>
      </c>
      <c r="EO9" s="429">
        <f t="shared" ref="EO9:EO49" si="30">IF(EN9&gt;EL9,(EN9-EL9)*(EK9/SUMIF(EM:EM,"Yes",EK:EK)),0)</f>
        <v>0</v>
      </c>
      <c r="EP9" s="429">
        <f t="shared" ref="EP9:EP49" si="31">MAX(0,EK9-EO9)</f>
        <v>0</v>
      </c>
      <c r="EQ9" s="429">
        <f>'Concentration Limits'!$J$50</f>
        <v>24799670.364863332</v>
      </c>
      <c r="ER9" s="429">
        <f t="shared" ref="ER9:ER49" si="32">IF(D9="Second Lien",SUMIF(D:D,D9,EP:EP),0)</f>
        <v>0</v>
      </c>
      <c r="ES9" s="429">
        <f>MAX(0,(ER9-EQ9)*IFERROR((EP9/SUMIF($D:$D,D9,EP:EP )),0)                  )</f>
        <v>0</v>
      </c>
      <c r="ET9" s="429">
        <f t="shared" ref="ET9:ET49" si="33">MAX(0,EP9-ES9)</f>
        <v>0</v>
      </c>
      <c r="EU9" s="429">
        <f>'Concentration Limits'!$J$51</f>
        <v>74399011.094589993</v>
      </c>
      <c r="EV9" s="429" t="str">
        <f>IF(OR(D9="Second Lien", AND(D9="FILO",DI9&gt;AGENT!$C$59)), "Yes", "No")</f>
        <v>No</v>
      </c>
      <c r="EW9" s="429">
        <f t="shared" ref="EW9:EW49" si="34">IF(EV9="Yes",SUMIF(EV:EV,"Yes",ET:ET),0)</f>
        <v>0</v>
      </c>
      <c r="EX9" s="429">
        <f t="shared" ref="EX9:EX49" si="35">IF(EW9&gt;EU9,(EW9-EU9)*(ET9/SUMIF(EV:EV,"Yes",ET:ET)),0)</f>
        <v>0</v>
      </c>
      <c r="EY9" s="429">
        <f t="shared" ref="EY9:EY49" si="36">MAX(0,ET9-EX9)</f>
        <v>0</v>
      </c>
      <c r="EZ9" s="429">
        <f>'Concentration Limits'!$J$52</f>
        <v>37199505.547294997</v>
      </c>
      <c r="FA9" s="429" t="str">
        <f>IF(CY9&gt;'Concentration Limits'!$E$52, "No", "Yes")</f>
        <v>Yes</v>
      </c>
      <c r="FB9" s="429">
        <f t="shared" ref="FB9:FB49" si="37">IF(FA9="Yes",SUMIF(FA:FA,"Yes",EY:EY),0)</f>
        <v>0</v>
      </c>
      <c r="FC9" s="429">
        <f t="shared" ref="FC9:FC49" si="38">IF(FB9&gt;EZ9,(FB9-EZ9)*(EY9/SUMIF(FA:FA,"Yes",EY:EY)),0)</f>
        <v>0</v>
      </c>
      <c r="FD9" s="429">
        <f t="shared" ref="FD9:FD49" si="39">MAX(0,EY9-FC9)</f>
        <v>0</v>
      </c>
      <c r="FE9" s="430">
        <f>'Concentration Limits'!$J$54</f>
        <v>247996703.6486333</v>
      </c>
      <c r="FF9" s="430">
        <f>'Concentration Limits'!$J$55</f>
        <v>247996703.6486333</v>
      </c>
      <c r="FG9" s="430">
        <f>'Concentration Limits'!$J$56</f>
        <v>247996703.6486333</v>
      </c>
      <c r="FH9" s="431">
        <f>'Concentration Limits'!$J$57</f>
        <v>18599752.773647498</v>
      </c>
      <c r="FI9" s="431">
        <f t="shared" ref="FI9:FI50" si="40">SUMIF($B:$B,$B9,$FD:$FD)</f>
        <v>0</v>
      </c>
      <c r="FJ9" s="431">
        <f t="shared" ref="FJ9:FJ50" si="41">IF(MATCH($B9,$B:$B,0)=ROW(),$FI9,0)</f>
        <v>0</v>
      </c>
      <c r="FK9" s="431">
        <f t="shared" ref="FK9:FK49" si="42">INDEX(FL$8:FL$60,MATCH(B9,B$8:B$60,0))</f>
        <v>0</v>
      </c>
      <c r="FL9" s="431">
        <f>IF(FJ9&gt;0,RANK(FJ9,$FJ$9:$FJ$60)+COUNTIF($FJ$9:FJ9,FJ9)-1,0)</f>
        <v>0</v>
      </c>
      <c r="FM9" s="430">
        <f t="shared" ref="FM9:FM49" si="43">IF(FK9=1,IF(FI9&gt;FE9,(FI9-FE9)*(V9/SUMIF($B:$B,B9,$FD:$FD)),0),0)</f>
        <v>0</v>
      </c>
      <c r="FN9" s="430">
        <f t="shared" ref="FN9:FN49" si="44">IF(FK9=2,IF(FI9&gt;FF9,(FI9-FF9)*(V9/SUMIF($B:$B,B9,$FD:$FD)),0),0)</f>
        <v>0</v>
      </c>
      <c r="FO9" s="430">
        <f t="shared" ref="FO9:FO49" si="45">IF(FK9=3,IF(FI9&gt;FG9,(FI9-FG9)*(V9/SUMIF($B:$B,B9,$FD:$FD)),0),0)</f>
        <v>0</v>
      </c>
      <c r="FP9" s="431">
        <f t="shared" ref="FP9:FP49" si="46">IF(FK9&gt;0,IF(FI9&gt;FH9,(FI9-FH9)*(FD9/(SUMIF($B:$B,$B9,$FD:$FD))),0),0)</f>
        <v>0</v>
      </c>
      <c r="FQ9" s="431">
        <f t="shared" ref="FQ9:FQ49" si="47">MAX(0,FD9-FM9-FN9-FO9-FP9)</f>
        <v>0</v>
      </c>
      <c r="FR9" s="431">
        <f>'Concentration Limits'!$J$58</f>
        <v>49599340.729726665</v>
      </c>
      <c r="FS9" s="431">
        <f t="shared" ref="FS9:FS49" si="48">SUMIF($BR:$BR,$BR9,FQ:FQ)</f>
        <v>0</v>
      </c>
      <c r="FT9" s="431" t="str">
        <f>VLOOKUP(BR9,'Concentration Limits'!$E$81:$H$153,4,FALSE)</f>
        <v/>
      </c>
      <c r="FU9" s="431">
        <f t="shared" ref="FU9:FU49" si="49">IF(FT9=1,MAX(0,(FS9-FR9)*(FQ9/SUMIF($BR:$BR,BR9,FQ:FQ))),0)</f>
        <v>0</v>
      </c>
      <c r="FV9" s="431">
        <f t="shared" ref="FV9:FV49" si="50">MAX(0,FQ9-FU9)</f>
        <v>0</v>
      </c>
      <c r="FW9" s="431">
        <f>'Concentration Limits'!$J$59</f>
        <v>37199505.547294997</v>
      </c>
      <c r="FX9" s="431">
        <f t="shared" ref="FX9:FX49" si="51">SUMIF($BR:$BR,$BR9,FV:FV)</f>
        <v>0</v>
      </c>
      <c r="FY9" s="431" t="str">
        <f>VLOOKUP(BR9,'Concentration Limits'!$E$81:$H$153,4,FALSE)</f>
        <v/>
      </c>
      <c r="FZ9" s="431">
        <f t="shared" ref="FZ9:FZ49" si="52">MAX(0,IF(FY9=2,(FX9-FW9)*(FV9/SUMIF($BR:$BR,BR9,FV:FV)),0))</f>
        <v>0</v>
      </c>
      <c r="GA9" s="431">
        <f t="shared" ref="GA9:GA49" si="53">MAX(0,FV9-FZ9)</f>
        <v>0</v>
      </c>
      <c r="GB9" s="431">
        <f>'Concentration Limits'!$J$61</f>
        <v>24799670.364863332</v>
      </c>
      <c r="GC9" s="431">
        <f t="shared" ref="GC9:GC49" si="54">SUMIF($BR:$BR,$BR9,GA:GA)</f>
        <v>0</v>
      </c>
      <c r="GD9" s="429" t="str">
        <f>VLOOKUP(BR9,'Concentration Limits'!$E$81:$H$153,4,FALSE)</f>
        <v/>
      </c>
      <c r="GE9" s="431">
        <f t="shared" ref="GE9:GE49" si="55">IF(GA9=0,0,MAX(0,IF(GD9&lt;3,0,(GC9-GB9)*($GA9/SUMIF($BR:$BR,BR9,GA:GA)))))</f>
        <v>0</v>
      </c>
      <c r="GF9" s="431">
        <f t="shared" ref="GF9:GF49" si="56">MAX(0,GA9-GE9)</f>
        <v>0</v>
      </c>
      <c r="GG9" s="431">
        <f>'Concentration Limits'!$J$64</f>
        <v>24799670.364863332</v>
      </c>
      <c r="GH9" s="431">
        <f t="shared" ref="GH9:GH49" si="57">IF(BY9="Yes",SUMIF(BY:BY,BY9,GF:GF),0)</f>
        <v>0</v>
      </c>
      <c r="GI9" s="431">
        <f t="shared" ref="GI9:GI49" si="58">IFERROR(MAX(0,(GH9-GG9)*(GF9/SUMIF($T:$T,T9,GF:GF ))),0)</f>
        <v>0</v>
      </c>
      <c r="GJ9" s="431">
        <f t="shared" ref="GJ9:GJ49" si="59">MAX(0,GF9-GI9)</f>
        <v>0</v>
      </c>
      <c r="GK9" s="431">
        <f>'Concentration Limits'!$J$67</f>
        <v>24799670.364863332</v>
      </c>
      <c r="GL9" s="429" t="str">
        <f t="shared" ref="GL9:GL49" si="60">IF(OR(BV9="Yes",OR(ISNUMBER(SEARCH("Travel",BR9)),ISNUMBER(SEARCH("Energy",BR9)),ISNUMBER(SEARCH("Leisure",BR9)),ISNUMBER(SEARCH("hotel",BR9)))),"Yes","No")</f>
        <v>No</v>
      </c>
      <c r="GM9" s="431">
        <f t="shared" ref="GM9:GM49" si="61">IF(GL9="Yes",SUMIF(GL:GL,"Yes",GJ:GJ),0)</f>
        <v>0</v>
      </c>
      <c r="GN9" s="431">
        <f t="shared" ref="GN9:GN49" si="62">IF(GM9&gt;GK9,(GM9-GK9)*(GJ9/SUMIF(GL:GL,"Yes",GJ:GJ)),0)</f>
        <v>0</v>
      </c>
      <c r="GO9" s="431">
        <f t="shared" ref="GO9:GO49" si="63">MAX(0,GJ9-GN9)</f>
        <v>0</v>
      </c>
      <c r="GP9" s="431">
        <f>'Concentration Limits'!$J$68</f>
        <v>37199505.547294997</v>
      </c>
      <c r="GQ9" s="429" t="str">
        <f t="shared" ref="GQ9:GQ49" si="64">IF(BU9="Yes","Yes", "No")</f>
        <v>No</v>
      </c>
      <c r="GR9" s="431">
        <f t="shared" ref="GR9:GR49" si="65">IF(GQ9="Yes",SUMIF(GQ:GQ,"Yes",GO:GO),0)</f>
        <v>0</v>
      </c>
      <c r="GS9" s="431">
        <f t="shared" ref="GS9:GS49" si="66">IF(GR9&gt;GP9,(GR9-GP9)*(GO9/SUMIF(GQ:GQ,"Yes",GO:GO)),0)</f>
        <v>0</v>
      </c>
      <c r="GT9" s="431">
        <f t="shared" ref="GT9:GT49" si="67">MAX(0,GO9-GS9)</f>
        <v>0</v>
      </c>
      <c r="GU9" s="429">
        <f>'Concentration Limits'!$J$69</f>
        <v>37199505.547294997</v>
      </c>
      <c r="GV9" s="429" t="str">
        <f t="shared" ref="GV9:GV49" si="68">IF(BW9="Yes", "Yes", "No")</f>
        <v>No</v>
      </c>
      <c r="GW9" s="429">
        <f t="shared" ref="GW9:GW49" si="69">IF(GV9="Yes",SUMIF(GV:GV,"Yes",GT:GT),0)</f>
        <v>0</v>
      </c>
      <c r="GX9" s="429">
        <f t="shared" ref="GX9:GX49" si="70">IF(GW9&gt;GU9,(GW9-GU9)*(GT9/SUMIF(GV:GV,"Yes",GT:GT)),0)</f>
        <v>0</v>
      </c>
      <c r="GY9" s="429">
        <f t="shared" ref="GY9:GY49" si="71">MAX(0,GT9-GX9)</f>
        <v>0</v>
      </c>
      <c r="GZ9" s="429">
        <f>'Concentration Limits'!$J$70</f>
        <v>24799670.364863332</v>
      </c>
      <c r="HA9" s="429" t="str">
        <f t="shared" ref="HA9:HA49" si="72">IF(BX9="Yes", "Yes", "No")</f>
        <v>No</v>
      </c>
      <c r="HB9" s="429">
        <f t="shared" ref="HB9:HB49" si="73">IF(HA9="Yes",SUMIF(HA:HA,"Yes",GY:GY),0)</f>
        <v>0</v>
      </c>
      <c r="HC9" s="429">
        <f t="shared" ref="HC9:HC49" si="74">IF(HB9&gt;GZ9,(HB9-GZ9)*(GY9/SUMIF(HA:HA,"Yes",GY:GY)),0)</f>
        <v>0</v>
      </c>
      <c r="HD9" s="429">
        <f t="shared" ref="HD9:HD49" si="75">MAX(0,GY9-HC9)</f>
        <v>0</v>
      </c>
      <c r="HE9" s="431">
        <f t="shared" ref="HE9:HE49" si="76">IF(AQ9=0,0,HD9*AQ9/(AQ9+AR9))</f>
        <v>0</v>
      </c>
      <c r="HF9" s="431">
        <f t="shared" ref="HF9:HF49" si="77">IF(AR9=0,0,HD9*AR9/(AQ9+AR9))</f>
        <v>0</v>
      </c>
      <c r="HG9" s="431">
        <f t="shared" ref="HG9:HG49" si="78">IF(AW9=0,0,HD9*AW9/(AW9+AX9))</f>
        <v>0</v>
      </c>
      <c r="HH9" s="431">
        <f t="shared" ref="HH9:HH49" si="79">IF(AX9=0,0,HD9*AX9/(AX9+AW9))</f>
        <v>0</v>
      </c>
      <c r="HI9" s="431">
        <f>IF(BE9=0,0,#REF!*BE9/(BE9+BG9))</f>
        <v>0</v>
      </c>
      <c r="HJ9" s="431">
        <f>IF(BG9=0,0,#REF!*BG9/(BG9+BE9))</f>
        <v>0</v>
      </c>
      <c r="HK9" s="857">
        <f>IF(BF9=0,0,#REF!*BF9/(BF9+BH9))</f>
        <v>0</v>
      </c>
      <c r="HL9" s="431">
        <f>IF(BH9=0,0,#REF!*BH9/(BH9+BF9))</f>
        <v>0</v>
      </c>
      <c r="HM9" s="431">
        <f t="shared" ref="HM9:HM49" si="80">IF(D9="Second Lien",HD9,0)</f>
        <v>0</v>
      </c>
      <c r="HN9" s="431" t="b">
        <f t="shared" ref="HN9:HN49" si="81">SUM(HE9:HM9)=HD9</f>
        <v>1</v>
      </c>
    </row>
    <row r="10" spans="1:223" s="432" customFormat="1" ht="12.75" customHeight="1" x14ac:dyDescent="0.35">
      <c r="A10" s="49">
        <f t="shared" ref="A10:A50" si="82">A9+1</f>
        <v>2</v>
      </c>
      <c r="B10" s="404" t="str">
        <f>INDEX('Loan Tape - Settled'!$B$4:$AP$55,MATCH($A10,'Loan Tape - Settled'!$E$4:$E$55,0),MATCH("Obligor Name",'Loan Tape - Settled'!$B$4:$AM$4,0))</f>
        <v>SkyBell Technologies</v>
      </c>
      <c r="C10" s="404" t="str">
        <f>INDEX('Loan Tape - Settled'!$B$4:$AP$55,MATCH($A10,'Loan Tape - Settled'!$E$4:$E$55,0),MATCH("Security",'Loan Tape - Settled'!$B$4:$AM$4,0))</f>
        <v>1st Lien</v>
      </c>
      <c r="D10" s="405" t="str">
        <f>INDEX('Loan Tape - Settled'!$B$4:$AP$55,MATCH($A10,'Loan Tape - Settled'!$E$4:$E$55,0),MATCH("Loan Type",'Loan Tape - Settled'!$B$4:$AM$4,0))</f>
        <v>First Lien</v>
      </c>
      <c r="E10" s="406" t="b">
        <f>IF(ISERROR(MATCH(D10,AGENT!$A$4:$A$10,0))=FALSE, TRUE)</f>
        <v>1</v>
      </c>
      <c r="F10" s="406" t="b">
        <f t="shared" si="0"/>
        <v>1</v>
      </c>
      <c r="G10" s="406" t="b">
        <f>IF(D10&lt;&gt;"Second Lien",TRUE, IF(CY10&gt;=AGENT!$B$4,TRUE))</f>
        <v>1</v>
      </c>
      <c r="H10" s="406" t="b">
        <f>IF(DE10&lt;=AGENT!$D$4,TRUE)</f>
        <v>1</v>
      </c>
      <c r="I10" s="406" t="b">
        <f>IF(VLOOKUP(CONCATENATE($A$5,A10),'Loan Tape - Settled'!$A$5:$Q$55,17,FALSE)&gt;=AGENT!$E$4,TRUE)</f>
        <v>1</v>
      </c>
      <c r="J10" s="406" t="b">
        <f>IF(INDEX('Loan Tape - Settled'!$B$4:$AP$55,MATCH($A10,'Loan Tape - Settled'!$E$4:$E$55,0),MATCH("Loan Denomination",'Loan Tape - Settled'!$B$4:$AP$4,0))="USD", TRUE)</f>
        <v>1</v>
      </c>
      <c r="K10" s="406" t="b">
        <f>IF(INDEX('Loan Tape - Settled'!$B$4:$AP$55,MATCH($A10,'Loan Tape - Settled'!$E$4:$E$55,0),MATCH("Exposure Country",'Loan Tape - Settled'!$B$4:$AP$4,0))="United States", TRUE)</f>
        <v>1</v>
      </c>
      <c r="L10" s="406" t="b">
        <f t="shared" si="1"/>
        <v>1</v>
      </c>
      <c r="M10" s="406" t="b">
        <f>IF(((BM10-BL10)/365)&lt;=AGENT!$F$4,TRUE)</f>
        <v>1</v>
      </c>
      <c r="N10" s="406" t="b">
        <f t="shared" si="2"/>
        <v>0</v>
      </c>
      <c r="O10" s="453"/>
      <c r="P10" s="709" t="str">
        <f t="shared" si="3"/>
        <v>No</v>
      </c>
      <c r="Q10" s="680" t="s">
        <v>243</v>
      </c>
      <c r="R10" s="407" t="str">
        <f t="shared" si="4"/>
        <v>N/A</v>
      </c>
      <c r="S10" s="407"/>
      <c r="T10" s="408" t="str">
        <f t="array" ref="T10">_xlfn.IFS(D10="Second Lien",D10,D10="First Lien",CONCATENATE(D10," ",EI10),D10="FILO",CONCATENATE(D10," ",EJ10))</f>
        <v>First Lien &lt;= $10MM</v>
      </c>
      <c r="U10" s="409">
        <f>VLOOKUP(T10,'Concentration Limits'!D:G,4,FALSE)</f>
        <v>0.625</v>
      </c>
      <c r="V10" s="410">
        <f t="shared" si="5"/>
        <v>0</v>
      </c>
      <c r="W10" s="448">
        <f>(SUMIFS('Loan Tape - Settled'!$AR$4:$AR$55,'Loan Tape - Settled'!$E$4:$E$55,$A10,'Loan Tape - Settled'!$C$4:$C$55,$A$5))</f>
        <v>8148216.42949674</v>
      </c>
      <c r="X10" s="449">
        <v>1</v>
      </c>
      <c r="Y10" s="411">
        <f t="shared" si="6"/>
        <v>8148216.42949674</v>
      </c>
      <c r="Z10" s="449">
        <f>(SUMIFS('Loan Tape - Settled'!$AQ$4:$AQ$55,'Loan Tape - Settled'!$E$4:$E$55,$A10,'Loan Tape - Settled'!$C$4:$C$55,$A$5))</f>
        <v>8148216.42949674</v>
      </c>
      <c r="AA10" s="411">
        <f t="shared" si="7"/>
        <v>8148216.42949674</v>
      </c>
      <c r="AB10" s="411">
        <f t="shared" si="8"/>
        <v>0</v>
      </c>
      <c r="AC10" s="450">
        <f>VLOOKUP(CONCATENATE($A$5,A10),'Loan Tape - Settled'!$A$5:$Q$55,17,FALSE)</f>
        <v>1</v>
      </c>
      <c r="AD10" s="412"/>
      <c r="AE10" s="413">
        <f>INDEX('Loan Tape - Settled'!$B$4:$AP$55,MATCH($A10,'Loan Tape - Settled'!$E$4:$E$55,0),MATCH("FMV",'Loan Tape - Settled'!$B$4:$AM$4,0))</f>
        <v>0.84199999999999997</v>
      </c>
      <c r="AF10" s="413">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0</v>
      </c>
      <c r="AG10" s="414" t="str">
        <f>IF(COUNTIFS(VAE!$C$5:$C$96,B10,VAE!$G$5:$G$96,"&lt;="&amp;Availability!$F$8)&gt;=1,"Yes","-")</f>
        <v>-</v>
      </c>
      <c r="AH10" s="414" t="str">
        <f t="array" ref="AH10">IFERROR(IF(AG10="Yes",INDEX(VAE!$D$5:$D$96,MATCH(B10&amp;AJ10,VAE!$C$5:$C$96&amp;VAE!$G$5:$G$96,0)),"-"),0)</f>
        <v>-</v>
      </c>
      <c r="AI10" s="414" t="str">
        <f t="array" ref="AI10">IFERROR(IF(AG10="Yes",INDEX(VAE!$F$5:$F$96,MATCH(B10&amp;AJ10,VAE!$C$5:$C$96&amp;VAE!$G$5:$G$96,0)),"-"),0)</f>
        <v>-</v>
      </c>
      <c r="AJ10" s="415" t="str">
        <f>IF(AG10="-","-",_xlfn.MAXIFS(VAE!$G$5:$G$96,VAE!$C$5:$C$96,$B10))</f>
        <v>-</v>
      </c>
      <c r="AK10" s="416" t="str">
        <f t="array" ref="AK10">IFERROR(IF(AG10="Yes",INDEX(VAE!$P$5:$P$96,MATCH(B10&amp;AJ10,VAE!$C$5:$C$96&amp;VAE!$G$5:$G$96,0)),"-"),0)</f>
        <v>-</v>
      </c>
      <c r="AL10" s="413">
        <f t="shared" si="9"/>
        <v>0</v>
      </c>
      <c r="AM10" s="410"/>
      <c r="AN10" s="410"/>
      <c r="AO10" s="410">
        <f t="shared" si="10"/>
        <v>0</v>
      </c>
      <c r="AP10" s="410">
        <f t="shared" si="11"/>
        <v>8148216.42949674</v>
      </c>
      <c r="AQ10" s="410">
        <f t="shared" ref="AQ10:AQ49" si="83">AL10*AO10</f>
        <v>0</v>
      </c>
      <c r="AR10" s="410"/>
      <c r="AS10" s="410"/>
      <c r="AT10" s="410"/>
      <c r="AU10" s="410">
        <f t="shared" si="12"/>
        <v>0</v>
      </c>
      <c r="AV10" s="410">
        <f t="shared" si="13"/>
        <v>0</v>
      </c>
      <c r="AW10" s="410">
        <f t="shared" si="14"/>
        <v>0</v>
      </c>
      <c r="AX10" s="410"/>
      <c r="AY10" s="410"/>
      <c r="AZ10" s="410"/>
      <c r="BA10" s="410">
        <f t="shared" si="15"/>
        <v>0</v>
      </c>
      <c r="BB10" s="410"/>
      <c r="BC10" s="410"/>
      <c r="BD10" s="410">
        <f t="shared" si="16"/>
        <v>0</v>
      </c>
      <c r="BE10" s="410"/>
      <c r="BF10" s="410"/>
      <c r="BG10" s="410"/>
      <c r="BH10" s="410"/>
      <c r="BI10" s="410">
        <f t="shared" si="17"/>
        <v>0</v>
      </c>
      <c r="BJ10" s="410" t="b">
        <f t="shared" si="18"/>
        <v>1</v>
      </c>
      <c r="BK10" s="509">
        <f>INDEX('Loan Tape - Settled'!$B$4:$AP$55,MATCH($A10,'Loan Tape - Settled'!$E$4:$E$55,0),MATCH("Inception Date",'Loan Tape - Settled'!$B$4:$AP$4,0))</f>
        <v>43812</v>
      </c>
      <c r="BL10" s="509">
        <f>INDEX('Loan Tape - Settled'!$B$4:$AP$55,MATCH($A10,'Loan Tape - Settled'!$E$4:$E$55,0),MATCH("Inclusion Date",'Loan Tape - Settled'!$B$4:$AP$4,0))</f>
        <v>44379</v>
      </c>
      <c r="BM10" s="509">
        <f>INDEX('Loan Tape - Settled'!$B$4:$AP$55,MATCH($A10,'Loan Tape - Settled'!$E$4:$E$55,0),MATCH("Maturity Date",'Loan Tape - Settled'!$B$4:$AP$4,0))</f>
        <v>45639</v>
      </c>
      <c r="BN10" s="510"/>
      <c r="BO10" s="510"/>
      <c r="BP10" s="511"/>
      <c r="BQ10" s="510"/>
      <c r="BR10" s="512" t="str">
        <f>INDEX('Loan Tape - Settled'!$B$4:$AP$55,MATCH($A10,'Loan Tape - Settled'!$E$4:$E$55,0),MATCH("Industry Classification",'Loan Tape - Settled'!$B$4:$AP$4,0))</f>
        <v>Household Durables</v>
      </c>
      <c r="BS10" s="510" t="str">
        <f>IF(INDEX('Loan Tape - Settled'!$B$4:$AP$55,MATCH($A10,'Loan Tape - Settled'!$E$4:$E$55,0),MATCH("Covenant Lite",'Loan Tape - Settled'!$B$4:$AP$4,0))=-1, "Yes", "No")</f>
        <v>No</v>
      </c>
      <c r="BT10" s="513">
        <f>INDEX('Loan Tape - Settled'!$B$4:$AP$55,MATCH($A10,'Loan Tape - Settled'!$E$4:$E$55,0),MATCH("Spread / Coupon (%)",'Loan Tape - Settled'!$B$4:$AP$4,0))</f>
        <v>0</v>
      </c>
      <c r="BU10" s="510" t="str">
        <f>IF(INDEX('Loan Tape - Settled'!$B$4:$AP$55,MATCH($A10,'Loan Tape - Settled'!$E$4:$E$55,0),MATCH("Security Type",'Loan Tape - Settled'!$B$4:$AP$4,0))="Delayed Draw Term Loan", "Yes", "No")</f>
        <v>No</v>
      </c>
      <c r="BV10" s="514" t="s">
        <v>244</v>
      </c>
      <c r="BW10" s="514" t="s">
        <v>243</v>
      </c>
      <c r="BX10" s="506" t="s">
        <v>244</v>
      </c>
      <c r="BY10" s="510" t="str">
        <f>IF(INDEX('Loan Tape - Settled'!$B$4:$AP$55,MATCH($A10,'Loan Tape - Settled'!$E$4:$E$55,0),MATCH("Fixed/Floating",'Loan Tape - Settled'!$B$4:$AP$4,0))="Fixed", "Yes", "No")</f>
        <v>No</v>
      </c>
      <c r="BZ10" s="514" t="s">
        <v>244</v>
      </c>
      <c r="CA10" s="514" t="s">
        <v>244</v>
      </c>
      <c r="CB10" s="510" t="str">
        <f>IF(INDEX('Loan Tape - Settled'!$B$4:$AP$55,MATCH($A10,'Loan Tape - Settled'!$E$4:$E$55,0),MATCH("Loan Denomination",'Loan Tape - Settled'!$B$4:$AP$4,0))="CAD", "Yes", "No")</f>
        <v>No</v>
      </c>
      <c r="CC10" s="510" t="str">
        <f>INDEX('Loan Tape - Settled'!$B$4:$AP$55,MATCH($A10,'Loan Tape - Settled'!$E$4:$E$55,0),MATCH("Payment Frequency",'Loan Tape - Settled'!$B$4:$AP$4,0))</f>
        <v>M</v>
      </c>
      <c r="CD10" s="514" t="s">
        <v>244</v>
      </c>
      <c r="CE10" s="510">
        <f>INDEX('Loan Tape - Settled'!$B$4:$AP$55,MATCH($A10,'Loan Tape - Settled'!$E$4:$E$55,0),MATCH("S&amp;P Loan Rating (if applicable)",'Loan Tape - Settled'!$B$4:$AP$4,0))</f>
        <v>0</v>
      </c>
      <c r="CF10" s="510">
        <f>INDEX('Loan Tape - Settled'!$B$4:$AP$55,MATCH($A10,'Loan Tape - Settled'!$E$4:$E$55,0),MATCH("Moody's Loan Rating (if applicable)",'Loan Tape - Settled'!$B$4:$AP$4,0))</f>
        <v>0</v>
      </c>
      <c r="CG10" s="510"/>
      <c r="CH10" s="510"/>
      <c r="CI10" s="515"/>
      <c r="CJ10" s="508" t="str">
        <f>INDEX('Loan Tape - Settled'!$B$4:$BF$55,MATCH($A10,'Loan Tape - Settled'!$E$4:$E$55,0),MATCH("Last Financial Received",'Loan Tape - Settled'!$B$4:$BF$4,0))</f>
        <v>9/30/2025 or Latest Financing</v>
      </c>
      <c r="CK10" s="516">
        <f>INDEX('Loan Tape - Settled'!$B$4:$BJ$55,MATCH($A10,'Loan Tape - Settled'!$E$4:$E$55,0),MATCH("Initial Adjusted TTM EBITDA",'Loan Tape - Settled'!$B$4:$BJ$4,0))</f>
        <v>9.0210000000000008</v>
      </c>
      <c r="CL10" s="516">
        <f>INDEX('Loan Tape - Settled'!$B$4:$BJ$55,MATCH($A10,'Loan Tape - Settled'!$E$4:$E$55,0),MATCH("Initial TTM Non-adjusted EBITDA",'Loan Tape - Settled'!$B$4:$BJ$4,0))</f>
        <v>9.0210000000000008</v>
      </c>
      <c r="CM10" s="417"/>
      <c r="CN10" s="418"/>
      <c r="CO10" s="418"/>
      <c r="CP10" s="419"/>
      <c r="CQ10" s="420" t="s">
        <v>245</v>
      </c>
      <c r="CR10" s="419"/>
      <c r="CS10" s="421">
        <f t="shared" si="19"/>
        <v>9.0210000000000008</v>
      </c>
      <c r="CT10" s="422">
        <f t="shared" si="20"/>
        <v>0</v>
      </c>
      <c r="CU10" s="516">
        <f>INDEX('Loan Tape - Settled'!$B$4:$BJ$55,MATCH($A10,'Loan Tape - Settled'!$E$4:$E$55,0),MATCH("Current TTM Non-adjusted EBITDA",'Loan Tape - Settled'!$B$4:$BJ$4,0))</f>
        <v>-8.8045104300000006</v>
      </c>
      <c r="CV10" s="423">
        <f t="shared" si="21"/>
        <v>0</v>
      </c>
      <c r="CW10" s="652" t="s">
        <v>245</v>
      </c>
      <c r="CX10" s="517"/>
      <c r="CY10" s="658">
        <f t="shared" si="22"/>
        <v>-8.8045104300000006</v>
      </c>
      <c r="CZ10" s="656"/>
      <c r="DA10" s="518"/>
      <c r="DB10" s="519"/>
      <c r="DC10" s="853"/>
      <c r="DD10" s="853">
        <f>INDEX('Loan Tape - Settled'!$B$4:$BJ$55,MATCH($A10,'Loan Tape - Settled'!$E$4:$E$55,0),MATCH("Initial Senior Net Leverage Senior",'Loan Tape - Settled'!$B$4:$BJ$4,0))</f>
        <v>2.9138676421682739</v>
      </c>
      <c r="DE10" s="659">
        <f>INDEX('Loan Tape - Settled'!$B$4:$BJ$55,MATCH($A10,'Loan Tape - Settled'!$E$4:$E$55,0),MATCH("Initial Total Net Leverage",'Loan Tape - Settled'!$B$4:$BJ$4,0))</f>
        <v>2.9138676421682739</v>
      </c>
      <c r="DF10" s="656"/>
      <c r="DG10" s="518"/>
      <c r="DH10" s="519"/>
      <c r="DI10" s="424" t="str">
        <f>INDEX('Loan Tape - Settled'!$B$4:$BJ$55,MATCH($A10,'Loan Tape - Settled'!$E$4:$E$55,0),MATCH("Net Attachment",'Loan Tape - Settled'!$B$4:$BJ$4,0))</f>
        <v>N/A</v>
      </c>
      <c r="DJ10" s="522">
        <f t="array" ref="DJ10">IF(AG10="Yes",INDEX(VAE!$M$5:$M$53,MATCH($B10&amp;$AJ10,VAE!$C$5:$C$53&amp;VAE!$G$5:$G$53,0)),DD10)</f>
        <v>2.9138676421682739</v>
      </c>
      <c r="DK10" s="649">
        <f t="array" ref="DK10">IF(AG10="Yes",INDEX(VAE!$N$5:$N$53,MATCH($B10&amp;$AJ10,VAE!$C$5:$C$53&amp;VAE!$G$5:$G$53,0)),DE10)</f>
        <v>2.9138676421682739</v>
      </c>
      <c r="DL10" s="651" t="str">
        <f>INDEX('Loan Tape - Settled'!$B$4:$BJ$55,MATCH($A10,'Loan Tape - Settled'!$E$4:$E$55,0),MATCH("Current Senior Net Leverage Senior",'Loan Tape - Settled'!$B$4:$BJ$4,0))</f>
        <v>N/M</v>
      </c>
      <c r="DM10" s="433" t="str">
        <f>INDEX('Loan Tape - Settled'!$B$4:$BJ$55,MATCH($A10,'Loan Tape - Settled'!$E$4:$E$55,0),MATCH("Current Total Net Leverage",'Loan Tape - Settled'!$B$4:$BJ$4,0))</f>
        <v>N/M</v>
      </c>
      <c r="DN10" s="425"/>
      <c r="DO10" s="426">
        <f>INDEX('Loan Tape - Settled'!$B$4:$BJ$55,MATCH($A10,'Loan Tape - Settled'!$E$4:$E$55,0),MATCH("Initial Interest Coverage",'Loan Tape - Settled'!$B$4:$BJ$4,0))</f>
        <v>2.31</v>
      </c>
      <c r="DP10" s="854">
        <f t="array" ref="DP10">IF(AG10="Yes",INDEX(VAE!$O$5:$O$53,MATCH($B10&amp;$AJ10,VAE!$C$5:$C$53&amp;VAE!$G$5:$G$53,0)),DO10)</f>
        <v>2.31</v>
      </c>
      <c r="DQ10" s="427">
        <f>INDEX('Loan Tape - Settled'!$B$4:$BJ$55,MATCH($A10,'Loan Tape - Settled'!$E$4:$E$55,0),MATCH("Current Interest Coverage",'Loan Tape - Settled'!$B$4:$BJ$4,0))</f>
        <v>0</v>
      </c>
      <c r="DR10" s="855" t="str">
        <f t="shared" si="23"/>
        <v>Yes</v>
      </c>
      <c r="DS10" s="428" t="str">
        <f>IF(AG10="Yes",DATEDIF(AJ10,Availability!$F$8,"m"),"")</f>
        <v/>
      </c>
      <c r="DT10" s="428" t="str">
        <f t="shared" si="24"/>
        <v>No</v>
      </c>
      <c r="DU10" s="647" t="str">
        <f t="shared" si="25"/>
        <v>Yes</v>
      </c>
      <c r="DV10" s="648" t="str">
        <f t="shared" si="26"/>
        <v>N/A</v>
      </c>
      <c r="DW10" s="648" t="str">
        <f t="array" ref="DW10">_xlfn.IFS(D10&lt;&gt;"Second Lien","No",D10="Second Lien",IF(AND((DM10-DK10)&gt;0.5,DM10&gt;4.5),"Yes","No"))</f>
        <v>No</v>
      </c>
      <c r="DX10" s="685" t="s">
        <v>243</v>
      </c>
      <c r="DY10" s="685" t="s">
        <v>244</v>
      </c>
      <c r="DZ10" s="686" t="s">
        <v>243</v>
      </c>
      <c r="EA10" s="686" t="s">
        <v>243</v>
      </c>
      <c r="EB10" s="686" t="s">
        <v>243</v>
      </c>
      <c r="EC10" s="686" t="s">
        <v>244</v>
      </c>
      <c r="ED10" s="686" t="s">
        <v>244</v>
      </c>
      <c r="EE10" s="686" t="s">
        <v>244</v>
      </c>
      <c r="EF10" s="409" t="str">
        <f t="shared" si="27"/>
        <v>Yes</v>
      </c>
      <c r="EG10" s="686" t="s">
        <v>244</v>
      </c>
      <c r="EH10" s="691" t="s">
        <v>244</v>
      </c>
      <c r="EI10" s="856" t="str">
        <f t="array" ref="EI10">IF(D10="First Lien",_xlfn.IFS(CY10&gt;AGENT!$B$23, "&gt; $20MM",CY10&lt;=AGENT!$C$25, "&lt;= $10MM",AND(CY10&lt;=AGENT!$C$24,CY10&gt;AGENT!$B$24),"&lt;= $20MM"), "N/A")</f>
        <v>&lt;= $10MM</v>
      </c>
      <c r="EJ10" s="856" t="str">
        <f t="array" ref="EJ10">IF(D10="FILO",_xlfn.IFS(DI10&gt;AGENT!$B$29, "&gt; 1.25x",DI10&lt;AGENT!$C$27, "&lt; 0.75x",AND(DI10&lt;=AGENT!$C$28,DI10&gt;=AGENT!$B$28),"&lt;= 1.25x"), "N/A")</f>
        <v>N/A</v>
      </c>
      <c r="EK10" s="429">
        <f t="shared" si="28"/>
        <v>0</v>
      </c>
      <c r="EL10" s="429">
        <f>'Concentration Limits'!$J$49</f>
        <v>49599340.729726665</v>
      </c>
      <c r="EM10" s="429" t="str">
        <f>IF(OR(D10="Second Lien",AND(D10="FILO",DI10&gt;AGENT!$C$57)), "Yes", "No")</f>
        <v>No</v>
      </c>
      <c r="EN10" s="429">
        <f t="shared" si="29"/>
        <v>0</v>
      </c>
      <c r="EO10" s="429">
        <f t="shared" si="30"/>
        <v>0</v>
      </c>
      <c r="EP10" s="429">
        <f t="shared" si="31"/>
        <v>0</v>
      </c>
      <c r="EQ10" s="429">
        <f>'Concentration Limits'!$J$50</f>
        <v>24799670.364863332</v>
      </c>
      <c r="ER10" s="429">
        <f t="shared" si="32"/>
        <v>0</v>
      </c>
      <c r="ES10" s="429">
        <f t="shared" ref="ES10:ES49" si="84">MAX(0,(ER10-EQ10)*IFERROR((EP10/SUMIF($D:$D,D10,EP:EP )),0) )</f>
        <v>0</v>
      </c>
      <c r="ET10" s="429">
        <f t="shared" si="33"/>
        <v>0</v>
      </c>
      <c r="EU10" s="429">
        <f>'Concentration Limits'!$J$51</f>
        <v>74399011.094589993</v>
      </c>
      <c r="EV10" s="429" t="str">
        <f>IF(OR(D10="Second Lien", AND(D10="FILO",DI10&gt;AGENT!$C$59)), "Yes", "No")</f>
        <v>No</v>
      </c>
      <c r="EW10" s="429">
        <f t="shared" si="34"/>
        <v>0</v>
      </c>
      <c r="EX10" s="429">
        <f t="shared" si="35"/>
        <v>0</v>
      </c>
      <c r="EY10" s="429">
        <f t="shared" si="36"/>
        <v>0</v>
      </c>
      <c r="EZ10" s="429">
        <f>'Concentration Limits'!$J$52</f>
        <v>37199505.547294997</v>
      </c>
      <c r="FA10" s="429" t="str">
        <f>IF(CY10&gt;'Concentration Limits'!$E$52, "No", "Yes")</f>
        <v>Yes</v>
      </c>
      <c r="FB10" s="429">
        <f t="shared" si="37"/>
        <v>0</v>
      </c>
      <c r="FC10" s="429">
        <f t="shared" si="38"/>
        <v>0</v>
      </c>
      <c r="FD10" s="429">
        <f t="shared" si="39"/>
        <v>0</v>
      </c>
      <c r="FE10" s="430">
        <f>'Concentration Limits'!$J$54</f>
        <v>247996703.6486333</v>
      </c>
      <c r="FF10" s="430">
        <f>'Concentration Limits'!$J$55</f>
        <v>247996703.6486333</v>
      </c>
      <c r="FG10" s="430">
        <f>'Concentration Limits'!$J$56</f>
        <v>247996703.6486333</v>
      </c>
      <c r="FH10" s="431">
        <f>'Concentration Limits'!$J$57</f>
        <v>18599752.773647498</v>
      </c>
      <c r="FI10" s="431">
        <f t="shared" si="40"/>
        <v>0</v>
      </c>
      <c r="FJ10" s="431">
        <f t="shared" si="41"/>
        <v>0</v>
      </c>
      <c r="FK10" s="431">
        <f t="shared" si="42"/>
        <v>0</v>
      </c>
      <c r="FL10" s="431">
        <f>IF(FJ10&gt;0,RANK(FJ10,$FJ$9:$FJ$60)+COUNTIF($FJ$9:FJ10,FJ10)-1,0)</f>
        <v>0</v>
      </c>
      <c r="FM10" s="430">
        <f t="shared" si="43"/>
        <v>0</v>
      </c>
      <c r="FN10" s="430">
        <f t="shared" si="44"/>
        <v>0</v>
      </c>
      <c r="FO10" s="430">
        <f t="shared" si="45"/>
        <v>0</v>
      </c>
      <c r="FP10" s="431">
        <f t="shared" si="46"/>
        <v>0</v>
      </c>
      <c r="FQ10" s="431">
        <f t="shared" si="47"/>
        <v>0</v>
      </c>
      <c r="FR10" s="431">
        <f>'Concentration Limits'!$J$58</f>
        <v>49599340.729726665</v>
      </c>
      <c r="FS10" s="431">
        <f t="shared" si="48"/>
        <v>0</v>
      </c>
      <c r="FT10" s="431" t="str">
        <f>VLOOKUP(BR10,'Concentration Limits'!$E$81:$H$153,4,FALSE)</f>
        <v/>
      </c>
      <c r="FU10" s="431">
        <f t="shared" si="49"/>
        <v>0</v>
      </c>
      <c r="FV10" s="431">
        <f t="shared" si="50"/>
        <v>0</v>
      </c>
      <c r="FW10" s="431">
        <f>'Concentration Limits'!$J$59</f>
        <v>37199505.547294997</v>
      </c>
      <c r="FX10" s="431">
        <f t="shared" si="51"/>
        <v>0</v>
      </c>
      <c r="FY10" s="431" t="str">
        <f>VLOOKUP(BR10,'Concentration Limits'!$E$81:$H$153,4,FALSE)</f>
        <v/>
      </c>
      <c r="FZ10" s="431">
        <f t="shared" si="52"/>
        <v>0</v>
      </c>
      <c r="GA10" s="431">
        <f t="shared" si="53"/>
        <v>0</v>
      </c>
      <c r="GB10" s="431">
        <f>'Concentration Limits'!$J$61</f>
        <v>24799670.364863332</v>
      </c>
      <c r="GC10" s="431">
        <f t="shared" si="54"/>
        <v>0</v>
      </c>
      <c r="GD10" s="429" t="str">
        <f>VLOOKUP(BR10,'Concentration Limits'!$E$81:$H$153,4,FALSE)</f>
        <v/>
      </c>
      <c r="GE10" s="431">
        <f t="shared" si="55"/>
        <v>0</v>
      </c>
      <c r="GF10" s="431">
        <f t="shared" si="56"/>
        <v>0</v>
      </c>
      <c r="GG10" s="431">
        <f>'Concentration Limits'!$J$64</f>
        <v>24799670.364863332</v>
      </c>
      <c r="GH10" s="431">
        <f t="shared" si="57"/>
        <v>0</v>
      </c>
      <c r="GI10" s="431">
        <f t="shared" si="58"/>
        <v>0</v>
      </c>
      <c r="GJ10" s="431">
        <f t="shared" si="59"/>
        <v>0</v>
      </c>
      <c r="GK10" s="431">
        <f>'Concentration Limits'!$J$67</f>
        <v>24799670.364863332</v>
      </c>
      <c r="GL10" s="429" t="str">
        <f t="shared" si="60"/>
        <v>No</v>
      </c>
      <c r="GM10" s="431">
        <f t="shared" si="61"/>
        <v>0</v>
      </c>
      <c r="GN10" s="431">
        <f t="shared" si="62"/>
        <v>0</v>
      </c>
      <c r="GO10" s="431">
        <f t="shared" si="63"/>
        <v>0</v>
      </c>
      <c r="GP10" s="431">
        <f>'Concentration Limits'!$J$68</f>
        <v>37199505.547294997</v>
      </c>
      <c r="GQ10" s="429" t="str">
        <f t="shared" si="64"/>
        <v>No</v>
      </c>
      <c r="GR10" s="431">
        <f t="shared" si="65"/>
        <v>0</v>
      </c>
      <c r="GS10" s="431">
        <f t="shared" si="66"/>
        <v>0</v>
      </c>
      <c r="GT10" s="431">
        <f t="shared" si="67"/>
        <v>0</v>
      </c>
      <c r="GU10" s="429">
        <f>'Concentration Limits'!$J$69</f>
        <v>37199505.547294997</v>
      </c>
      <c r="GV10" s="429" t="str">
        <f t="shared" si="68"/>
        <v>Yes</v>
      </c>
      <c r="GW10" s="429">
        <f t="shared" si="69"/>
        <v>12656117.589817706</v>
      </c>
      <c r="GX10" s="429">
        <f t="shared" si="70"/>
        <v>0</v>
      </c>
      <c r="GY10" s="429">
        <f t="shared" si="71"/>
        <v>0</v>
      </c>
      <c r="GZ10" s="429">
        <f>'Concentration Limits'!$J$70</f>
        <v>24799670.364863332</v>
      </c>
      <c r="HA10" s="429" t="str">
        <f t="shared" si="72"/>
        <v>No</v>
      </c>
      <c r="HB10" s="429">
        <f t="shared" si="73"/>
        <v>0</v>
      </c>
      <c r="HC10" s="429">
        <f t="shared" si="74"/>
        <v>0</v>
      </c>
      <c r="HD10" s="429">
        <f t="shared" si="75"/>
        <v>0</v>
      </c>
      <c r="HE10" s="431">
        <f t="shared" si="76"/>
        <v>0</v>
      </c>
      <c r="HF10" s="431">
        <f t="shared" si="77"/>
        <v>0</v>
      </c>
      <c r="HG10" s="431">
        <f t="shared" si="78"/>
        <v>0</v>
      </c>
      <c r="HH10" s="431">
        <f t="shared" si="79"/>
        <v>0</v>
      </c>
      <c r="HI10" s="431">
        <f>IF(BE10=0,0,#REF!*BE10/(BE10+BG10))</f>
        <v>0</v>
      </c>
      <c r="HJ10" s="431">
        <f>IF(BG10=0,0,#REF!*BG10/(BG10+BE10))</f>
        <v>0</v>
      </c>
      <c r="HK10" s="857">
        <f>IF(BF10=0,0,#REF!*BF10/(BF10+BH10))</f>
        <v>0</v>
      </c>
      <c r="HL10" s="431">
        <f>IF(BH10=0,0,#REF!*BH10/(BH10+BF10))</f>
        <v>0</v>
      </c>
      <c r="HM10" s="431">
        <f t="shared" si="80"/>
        <v>0</v>
      </c>
      <c r="HN10" s="431" t="b">
        <f t="shared" si="81"/>
        <v>1</v>
      </c>
    </row>
    <row r="11" spans="1:223" s="432" customFormat="1" ht="12.75" customHeight="1" x14ac:dyDescent="0.35">
      <c r="A11" s="49">
        <f t="shared" si="82"/>
        <v>3</v>
      </c>
      <c r="B11" s="404" t="str">
        <f>INDEX('Loan Tape - Settled'!$B$4:$AP$55,MATCH($A11,'Loan Tape - Settled'!$E$4:$E$55,0),MATCH("Obligor Name",'Loan Tape - Settled'!$B$4:$AM$4,0))</f>
        <v>Microf</v>
      </c>
      <c r="C11" s="404" t="str">
        <f>INDEX('Loan Tape - Settled'!$B$4:$AP$55,MATCH($A11,'Loan Tape - Settled'!$E$4:$E$55,0),MATCH("Security",'Loan Tape - Settled'!$B$4:$AM$4,0))</f>
        <v>1st Lien</v>
      </c>
      <c r="D11" s="405" t="str">
        <f>INDEX('Loan Tape - Settled'!$B$4:$AP$55,MATCH($A11,'Loan Tape - Settled'!$E$4:$E$55,0),MATCH("Loan Type",'Loan Tape - Settled'!$B$4:$AM$4,0))</f>
        <v>First Lien</v>
      </c>
      <c r="E11" s="406" t="b">
        <f>IF(ISERROR(MATCH(D11,AGENT!$A$4:$A$10,0))=FALSE, TRUE)</f>
        <v>1</v>
      </c>
      <c r="F11" s="406" t="b">
        <f t="shared" si="0"/>
        <v>1</v>
      </c>
      <c r="G11" s="406" t="b">
        <f>IF(D11&lt;&gt;"Second Lien",TRUE, IF(CY11&gt;=AGENT!$B$4,TRUE))</f>
        <v>1</v>
      </c>
      <c r="H11" s="406" t="b">
        <f>IF(DE11&lt;=AGENT!$D$4,TRUE)</f>
        <v>1</v>
      </c>
      <c r="I11" s="406" t="b">
        <f>IF(VLOOKUP(CONCATENATE($A$5,A11),'Loan Tape - Settled'!$A$5:$Q$55,17,FALSE)&gt;=AGENT!$E$4,TRUE)</f>
        <v>1</v>
      </c>
      <c r="J11" s="406" t="b">
        <f>IF(INDEX('Loan Tape - Settled'!$B$4:$AP$55,MATCH($A11,'Loan Tape - Settled'!$E$4:$E$55,0),MATCH("Loan Denomination",'Loan Tape - Settled'!$B$4:$AP$4,0))="USD", TRUE)</f>
        <v>1</v>
      </c>
      <c r="K11" s="406" t="b">
        <f>IF(INDEX('Loan Tape - Settled'!$B$4:$AP$55,MATCH($A11,'Loan Tape - Settled'!$E$4:$E$55,0),MATCH("Exposure Country",'Loan Tape - Settled'!$B$4:$AP$4,0))="United States", TRUE)</f>
        <v>1</v>
      </c>
      <c r="L11" s="406" t="b">
        <f t="shared" si="1"/>
        <v>1</v>
      </c>
      <c r="M11" s="406" t="b">
        <f>IF(((BM11-BL11)/365)&lt;=AGENT!$F$4,TRUE)</f>
        <v>1</v>
      </c>
      <c r="N11" s="406" t="b">
        <f t="shared" si="2"/>
        <v>0</v>
      </c>
      <c r="O11" s="453"/>
      <c r="P11" s="709" t="str">
        <f t="shared" si="3"/>
        <v>No</v>
      </c>
      <c r="Q11" s="680" t="s">
        <v>243</v>
      </c>
      <c r="R11" s="407" t="str">
        <f t="shared" si="4"/>
        <v>N/A</v>
      </c>
      <c r="S11" s="407"/>
      <c r="T11" s="408" t="str">
        <f t="array" ref="T11">_xlfn.IFS(D11="Second Lien",D11,D11="First Lien",CONCATENATE(D11," ",EI11),D11="FILO",CONCATENATE(D11," ",EJ11))</f>
        <v>First Lien &gt; $20MM</v>
      </c>
      <c r="U11" s="409">
        <f>VLOOKUP(T11,'Concentration Limits'!D:G,4,FALSE)</f>
        <v>0.67500000000000004</v>
      </c>
      <c r="V11" s="410">
        <f t="shared" si="5"/>
        <v>0</v>
      </c>
      <c r="W11" s="448">
        <f>(SUMIFS('Loan Tape - Settled'!$AR$4:$AR$55,'Loan Tape - Settled'!$E$4:$E$55,$A11,'Loan Tape - Settled'!$C$4:$C$55,$A$5))</f>
        <v>3714428.90053037</v>
      </c>
      <c r="X11" s="449">
        <v>1</v>
      </c>
      <c r="Y11" s="411">
        <f t="shared" si="6"/>
        <v>3714428.90053037</v>
      </c>
      <c r="Z11" s="449">
        <f>(SUMIFS('Loan Tape - Settled'!$AQ$4:$AQ$55,'Loan Tape - Settled'!$E$4:$E$55,$A11,'Loan Tape - Settled'!$C$4:$C$55,$A$5))</f>
        <v>3714428.90053037</v>
      </c>
      <c r="AA11" s="411">
        <f t="shared" si="7"/>
        <v>3714428.90053037</v>
      </c>
      <c r="AB11" s="411">
        <f t="shared" si="8"/>
        <v>0</v>
      </c>
      <c r="AC11" s="450">
        <f>VLOOKUP(CONCATENATE($A$5,A11),'Loan Tape - Settled'!$A$5:$Q$55,17,FALSE)</f>
        <v>1</v>
      </c>
      <c r="AD11" s="412"/>
      <c r="AE11" s="413">
        <f>INDEX('Loan Tape - Settled'!$B$4:$AP$55,MATCH($A11,'Loan Tape - Settled'!$E$4:$E$55,0),MATCH("FMV",'Loan Tape - Settled'!$B$4:$AM$4,0))</f>
        <v>1.0010999999999999</v>
      </c>
      <c r="AF11" s="413">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1</v>
      </c>
      <c r="AG11" s="414" t="str">
        <f>IF(COUNTIFS(VAE!$C$5:$C$96,B11,VAE!$G$5:$G$96,"&lt;="&amp;Availability!$F$8)&gt;=1,"Yes","-")</f>
        <v>Yes</v>
      </c>
      <c r="AH11" s="414" t="str">
        <f t="array" ref="AH11">IFERROR(IF(AG11="Yes",INDEX(VAE!$D$5:$D$96,MATCH(B11&amp;AJ11,VAE!$C$5:$C$96&amp;VAE!$G$5:$G$96,0)),"-"),0)</f>
        <v>Obligor payment default</v>
      </c>
      <c r="AI11" s="414" t="str">
        <f t="array" ref="AI11">IFERROR(IF(AG11="Yes",INDEX(VAE!$F$5:$F$96,MATCH(B11&amp;AJ11,VAE!$C$5:$C$96&amp;VAE!$G$5:$G$96,0)),"-"),0)</f>
        <v>n/a</v>
      </c>
      <c r="AJ11" s="415">
        <f>IF(AG11="-","-",_xlfn.MAXIFS(VAE!$G$5:$G$96,VAE!$C$5:$C$96,$B11))</f>
        <v>45473</v>
      </c>
      <c r="AK11" s="416">
        <f t="array" ref="AK11">IFERROR(IF(AG11="Yes",INDEX(VAE!$P$5:$P$96,MATCH(B11&amp;AJ11,VAE!$C$5:$C$96&amp;VAE!$G$5:$G$96,0)),"-"),0)</f>
        <v>0</v>
      </c>
      <c r="AL11" s="413">
        <f t="shared" si="9"/>
        <v>0</v>
      </c>
      <c r="AM11" s="410"/>
      <c r="AN11" s="410"/>
      <c r="AO11" s="410">
        <f t="shared" si="10"/>
        <v>0</v>
      </c>
      <c r="AP11" s="410">
        <f t="shared" si="11"/>
        <v>3714428.90053037</v>
      </c>
      <c r="AQ11" s="410">
        <f t="shared" si="83"/>
        <v>0</v>
      </c>
      <c r="AR11" s="410"/>
      <c r="AS11" s="410"/>
      <c r="AT11" s="410"/>
      <c r="AU11" s="410">
        <f t="shared" si="12"/>
        <v>0</v>
      </c>
      <c r="AV11" s="410">
        <f t="shared" si="13"/>
        <v>0</v>
      </c>
      <c r="AW11" s="410">
        <f t="shared" si="14"/>
        <v>0</v>
      </c>
      <c r="AX11" s="410"/>
      <c r="AY11" s="410"/>
      <c r="AZ11" s="410"/>
      <c r="BA11" s="410">
        <f t="shared" si="15"/>
        <v>0</v>
      </c>
      <c r="BB11" s="410"/>
      <c r="BC11" s="410"/>
      <c r="BD11" s="410">
        <f t="shared" si="16"/>
        <v>0</v>
      </c>
      <c r="BE11" s="410"/>
      <c r="BF11" s="410"/>
      <c r="BG11" s="410"/>
      <c r="BH11" s="410"/>
      <c r="BI11" s="410">
        <f t="shared" si="17"/>
        <v>0</v>
      </c>
      <c r="BJ11" s="410" t="b">
        <f t="shared" si="18"/>
        <v>1</v>
      </c>
      <c r="BK11" s="509">
        <f>INDEX('Loan Tape - Settled'!$B$4:$AP$55,MATCH($A11,'Loan Tape - Settled'!$E$4:$E$55,0),MATCH("Inception Date",'Loan Tape - Settled'!$B$4:$AP$4,0))</f>
        <v>43553</v>
      </c>
      <c r="BL11" s="509">
        <f>INDEX('Loan Tape - Settled'!$B$4:$AP$55,MATCH($A11,'Loan Tape - Settled'!$E$4:$E$55,0),MATCH("Inclusion Date",'Loan Tape - Settled'!$B$4:$AP$4,0))</f>
        <v>44379</v>
      </c>
      <c r="BM11" s="509">
        <f>INDEX('Loan Tape - Settled'!$B$4:$AP$55,MATCH($A11,'Loan Tape - Settled'!$E$4:$E$55,0),MATCH("Maturity Date",'Loan Tape - Settled'!$B$4:$AP$4,0))</f>
        <v>46721</v>
      </c>
      <c r="BN11" s="510"/>
      <c r="BO11" s="510"/>
      <c r="BP11" s="511"/>
      <c r="BQ11" s="510"/>
      <c r="BR11" s="512" t="str">
        <f>INDEX('Loan Tape - Settled'!$B$4:$AP$55,MATCH($A11,'Loan Tape - Settled'!$E$4:$E$55,0),MATCH("Industry Classification",'Loan Tape - Settled'!$B$4:$AP$4,0))</f>
        <v>Consumer Finance</v>
      </c>
      <c r="BS11" s="510" t="str">
        <f>IF(INDEX('Loan Tape - Settled'!$B$4:$AP$55,MATCH($A11,'Loan Tape - Settled'!$E$4:$E$55,0),MATCH("Covenant Lite",'Loan Tape - Settled'!$B$4:$AP$4,0))=-1, "Yes", "No")</f>
        <v>No</v>
      </c>
      <c r="BT11" s="513">
        <f>INDEX('Loan Tape - Settled'!$B$4:$AP$55,MATCH($A11,'Loan Tape - Settled'!$E$4:$E$55,0),MATCH("Spread / Coupon (%)",'Loan Tape - Settled'!$B$4:$AP$4,0))</f>
        <v>0.1085</v>
      </c>
      <c r="BU11" s="510" t="str">
        <f>IF(INDEX('Loan Tape - Settled'!$B$4:$AP$55,MATCH($A11,'Loan Tape - Settled'!$E$4:$E$55,0),MATCH("Security Type",'Loan Tape - Settled'!$B$4:$AP$4,0))="Delayed Draw Term Loan", "Yes", "No")</f>
        <v>No</v>
      </c>
      <c r="BV11" s="514" t="s">
        <v>244</v>
      </c>
      <c r="BW11" s="514" t="s">
        <v>244</v>
      </c>
      <c r="BX11" s="506" t="s">
        <v>244</v>
      </c>
      <c r="BY11" s="510" t="str">
        <f>IF(INDEX('Loan Tape - Settled'!$B$4:$AP$55,MATCH($A11,'Loan Tape - Settled'!$E$4:$E$55,0),MATCH("Fixed/Floating",'Loan Tape - Settled'!$B$4:$AP$4,0))="Fixed", "Yes", "No")</f>
        <v>No</v>
      </c>
      <c r="BZ11" s="514" t="s">
        <v>244</v>
      </c>
      <c r="CA11" s="514" t="s">
        <v>244</v>
      </c>
      <c r="CB11" s="510" t="str">
        <f>IF(INDEX('Loan Tape - Settled'!$B$4:$AP$55,MATCH($A11,'Loan Tape - Settled'!$E$4:$E$55,0),MATCH("Loan Denomination",'Loan Tape - Settled'!$B$4:$AP$4,0))="CAD", "Yes", "No")</f>
        <v>No</v>
      </c>
      <c r="CC11" s="510" t="str">
        <f>INDEX('Loan Tape - Settled'!$B$4:$AP$55,MATCH($A11,'Loan Tape - Settled'!$E$4:$E$55,0),MATCH("Payment Frequency",'Loan Tape - Settled'!$B$4:$AP$4,0))</f>
        <v>M</v>
      </c>
      <c r="CD11" s="514" t="s">
        <v>244</v>
      </c>
      <c r="CE11" s="510">
        <f>INDEX('Loan Tape - Settled'!$B$4:$AP$55,MATCH($A11,'Loan Tape - Settled'!$E$4:$E$55,0),MATCH("S&amp;P Loan Rating (if applicable)",'Loan Tape - Settled'!$B$4:$AP$4,0))</f>
        <v>0</v>
      </c>
      <c r="CF11" s="510">
        <f>INDEX('Loan Tape - Settled'!$B$4:$AP$55,MATCH($A11,'Loan Tape - Settled'!$E$4:$E$55,0),MATCH("Moody's Loan Rating (if applicable)",'Loan Tape - Settled'!$B$4:$AP$4,0))</f>
        <v>0</v>
      </c>
      <c r="CG11" s="510"/>
      <c r="CH11" s="510"/>
      <c r="CI11" s="515"/>
      <c r="CJ11" s="508" t="str">
        <f>INDEX('Loan Tape - Settled'!$B$4:$BF$55,MATCH($A11,'Loan Tape - Settled'!$E$4:$E$55,0),MATCH("Last Financial Received",'Loan Tape - Settled'!$B$4:$BF$4,0))</f>
        <v>9/30/2025 or Latest Financing</v>
      </c>
      <c r="CK11" s="516">
        <f>INDEX('Loan Tape - Settled'!$B$4:$BJ$55,MATCH($A11,'Loan Tape - Settled'!$E$4:$E$55,0),MATCH("Initial Adjusted TTM EBITDA",'Loan Tape - Settled'!$B$4:$BJ$4,0))</f>
        <v>3.8180000000000001</v>
      </c>
      <c r="CL11" s="516">
        <f>INDEX('Loan Tape - Settled'!$B$4:$BJ$55,MATCH($A11,'Loan Tape - Settled'!$E$4:$E$55,0),MATCH("Initial TTM Non-adjusted EBITDA",'Loan Tape - Settled'!$B$4:$BJ$4,0))</f>
        <v>3.8180000000000001</v>
      </c>
      <c r="CM11" s="417"/>
      <c r="CN11" s="418"/>
      <c r="CO11" s="418"/>
      <c r="CP11" s="419"/>
      <c r="CQ11" s="420" t="s">
        <v>245</v>
      </c>
      <c r="CR11" s="419"/>
      <c r="CS11" s="421">
        <f t="shared" si="19"/>
        <v>3.8180000000000001</v>
      </c>
      <c r="CT11" s="422">
        <f t="shared" si="20"/>
        <v>0</v>
      </c>
      <c r="CU11" s="516">
        <f>INDEX('Loan Tape - Settled'!$B$4:$BJ$55,MATCH($A11,'Loan Tape - Settled'!$E$4:$E$55,0),MATCH("Current TTM Non-adjusted EBITDA",'Loan Tape - Settled'!$B$4:$BJ$4,0))</f>
        <v>27.08054286999996</v>
      </c>
      <c r="CV11" s="423">
        <f t="shared" si="21"/>
        <v>0</v>
      </c>
      <c r="CW11" s="652" t="s">
        <v>245</v>
      </c>
      <c r="CX11" s="517"/>
      <c r="CY11" s="658">
        <f t="shared" si="22"/>
        <v>27.08054286999996</v>
      </c>
      <c r="CZ11" s="656"/>
      <c r="DA11" s="518"/>
      <c r="DB11" s="519"/>
      <c r="DC11" s="853"/>
      <c r="DD11" s="853">
        <f>INDEX('Loan Tape - Settled'!$B$4:$BJ$55,MATCH($A11,'Loan Tape - Settled'!$E$4:$E$55,0),MATCH("Initial Senior Net Leverage Senior",'Loan Tape - Settled'!$B$4:$BJ$4,0))</f>
        <v>4</v>
      </c>
      <c r="DE11" s="659">
        <f>INDEX('Loan Tape - Settled'!$B$4:$BJ$55,MATCH($A11,'Loan Tape - Settled'!$E$4:$E$55,0),MATCH("Initial Total Net Leverage",'Loan Tape - Settled'!$B$4:$BJ$4,0))</f>
        <v>4</v>
      </c>
      <c r="DF11" s="656"/>
      <c r="DG11" s="518"/>
      <c r="DH11" s="519"/>
      <c r="DI11" s="424">
        <f>INDEX('Loan Tape - Settled'!$B$4:$BJ$55,MATCH($A11,'Loan Tape - Settled'!$E$4:$E$55,0),MATCH("Net Attachment",'Loan Tape - Settled'!$B$4:$BJ$4,0))</f>
        <v>2.0341468667906391</v>
      </c>
      <c r="DJ11" s="522" t="str">
        <f t="array" ref="DJ11">IF(AG11="Yes",INDEX(VAE!$M$5:$M$53,MATCH($B11&amp;$AJ11,VAE!$C$5:$C$53&amp;VAE!$G$5:$G$53,0)),DD11)</f>
        <v>-</v>
      </c>
      <c r="DK11" s="649" t="str">
        <f t="array" ref="DK11">IF(AG11="Yes",INDEX(VAE!$N$5:$N$53,MATCH($B11&amp;$AJ11,VAE!$C$5:$C$53&amp;VAE!$G$5:$G$53,0)),DE11)</f>
        <v>-</v>
      </c>
      <c r="DL11" s="651">
        <f>INDEX('Loan Tape - Settled'!$B$4:$BJ$55,MATCH($A11,'Loan Tape - Settled'!$E$4:$E$55,0),MATCH("Current Senior Net Leverage Senior",'Loan Tape - Settled'!$B$4:$BJ$4,0))</f>
        <v>3.0685632725414731</v>
      </c>
      <c r="DM11" s="433">
        <f>INDEX('Loan Tape - Settled'!$B$4:$BJ$55,MATCH($A11,'Loan Tape - Settled'!$E$4:$E$55,0),MATCH("Current Total Net Leverage",'Loan Tape - Settled'!$B$4:$BJ$4,0))</f>
        <v>3.0685632725414731</v>
      </c>
      <c r="DN11" s="425"/>
      <c r="DO11" s="426">
        <f>INDEX('Loan Tape - Settled'!$B$4:$BJ$55,MATCH($A11,'Loan Tape - Settled'!$E$4:$E$55,0),MATCH("Initial Interest Coverage",'Loan Tape - Settled'!$B$4:$BJ$4,0))</f>
        <v>2.39</v>
      </c>
      <c r="DP11" s="854">
        <f t="array" ref="DP11">IF(AG11="Yes",INDEX(VAE!$O$5:$O$53,MATCH($B11&amp;$AJ11,VAE!$C$5:$C$53&amp;VAE!$G$5:$G$53,0)),DO11)</f>
        <v>0</v>
      </c>
      <c r="DQ11" s="427">
        <f>INDEX('Loan Tape - Settled'!$B$4:$BJ$55,MATCH($A11,'Loan Tape - Settled'!$E$4:$E$55,0),MATCH("Current Interest Coverage",'Loan Tape - Settled'!$B$4:$BJ$4,0))</f>
        <v>2.7739952044030001</v>
      </c>
      <c r="DR11" s="855" t="str">
        <f t="shared" si="23"/>
        <v>Yes</v>
      </c>
      <c r="DS11" s="428">
        <f>IF(AG11="Yes",DATEDIF(AJ11,Availability!$F$8,"m"),"")</f>
        <v>18</v>
      </c>
      <c r="DT11" s="428" t="str">
        <f t="shared" si="24"/>
        <v>Yes</v>
      </c>
      <c r="DU11" s="647" t="str">
        <f t="shared" si="25"/>
        <v>N/A</v>
      </c>
      <c r="DV11" s="648" t="str">
        <f t="shared" si="26"/>
        <v>N/A</v>
      </c>
      <c r="DW11" s="648" t="str">
        <f t="array" ref="DW11">_xlfn.IFS(D11&lt;&gt;"Second Lien","No",D11="Second Lien",IF(AND((DM11-DK11)&gt;0.5,DM11&gt;4.5),"Yes","No"))</f>
        <v>No</v>
      </c>
      <c r="DX11" s="710" t="s">
        <v>243</v>
      </c>
      <c r="DY11" s="685" t="s">
        <v>244</v>
      </c>
      <c r="DZ11" s="686" t="s">
        <v>244</v>
      </c>
      <c r="EA11" s="686" t="s">
        <v>244</v>
      </c>
      <c r="EB11" s="686" t="s">
        <v>243</v>
      </c>
      <c r="EC11" s="686" t="s">
        <v>244</v>
      </c>
      <c r="ED11" s="686" t="s">
        <v>244</v>
      </c>
      <c r="EE11" s="686" t="s">
        <v>244</v>
      </c>
      <c r="EF11" s="409" t="str">
        <f t="shared" si="27"/>
        <v>Yes</v>
      </c>
      <c r="EG11" s="686" t="s">
        <v>244</v>
      </c>
      <c r="EH11" s="691" t="s">
        <v>244</v>
      </c>
      <c r="EI11" s="856" t="str">
        <f t="array" ref="EI11">IF(D11="First Lien",_xlfn.IFS(CY11&gt;AGENT!$B$23, "&gt; $20MM",CY11&lt;=AGENT!$C$25, "&lt;= $10MM",AND(CY11&lt;=AGENT!$C$24,CY11&gt;AGENT!$B$24),"&lt;= $20MM"), "N/A")</f>
        <v>&gt; $20MM</v>
      </c>
      <c r="EJ11" s="856" t="str">
        <f t="array" ref="EJ11">IF(D11="FILO",_xlfn.IFS(DI11&gt;AGENT!$B$29, "&gt; 1.25x",DI11&lt;AGENT!$C$27, "&lt; 0.75x",AND(DI11&lt;=AGENT!$C$28,DI11&gt;=AGENT!$B$28),"&lt;= 1.25x"), "N/A")</f>
        <v>N/A</v>
      </c>
      <c r="EK11" s="429">
        <f t="shared" si="28"/>
        <v>0</v>
      </c>
      <c r="EL11" s="429">
        <f>'Concentration Limits'!$J$49</f>
        <v>49599340.729726665</v>
      </c>
      <c r="EM11" s="429" t="str">
        <f>IF(OR(D11="Second Lien",AND(D11="FILO",DI11&gt;AGENT!$C$57)), "Yes", "No")</f>
        <v>No</v>
      </c>
      <c r="EN11" s="429">
        <f t="shared" si="29"/>
        <v>0</v>
      </c>
      <c r="EO11" s="429">
        <f t="shared" si="30"/>
        <v>0</v>
      </c>
      <c r="EP11" s="429">
        <f t="shared" si="31"/>
        <v>0</v>
      </c>
      <c r="EQ11" s="429">
        <f>'Concentration Limits'!$J$50</f>
        <v>24799670.364863332</v>
      </c>
      <c r="ER11" s="429">
        <f t="shared" si="32"/>
        <v>0</v>
      </c>
      <c r="ES11" s="429">
        <f t="shared" si="84"/>
        <v>0</v>
      </c>
      <c r="ET11" s="429">
        <f t="shared" si="33"/>
        <v>0</v>
      </c>
      <c r="EU11" s="429">
        <f>'Concentration Limits'!$J$51</f>
        <v>74399011.094589993</v>
      </c>
      <c r="EV11" s="429" t="str">
        <f>IF(OR(D11="Second Lien", AND(D11="FILO",DI11&gt;AGENT!$C$59)), "Yes", "No")</f>
        <v>No</v>
      </c>
      <c r="EW11" s="429">
        <f t="shared" si="34"/>
        <v>0</v>
      </c>
      <c r="EX11" s="429">
        <f t="shared" si="35"/>
        <v>0</v>
      </c>
      <c r="EY11" s="429">
        <f t="shared" si="36"/>
        <v>0</v>
      </c>
      <c r="EZ11" s="429">
        <f>'Concentration Limits'!$J$52</f>
        <v>37199505.547294997</v>
      </c>
      <c r="FA11" s="429" t="str">
        <f>IF(CY11&gt;'Concentration Limits'!$E$52, "No", "Yes")</f>
        <v>No</v>
      </c>
      <c r="FB11" s="429">
        <f t="shared" si="37"/>
        <v>0</v>
      </c>
      <c r="FC11" s="429">
        <f t="shared" si="38"/>
        <v>0</v>
      </c>
      <c r="FD11" s="429">
        <f t="shared" si="39"/>
        <v>0</v>
      </c>
      <c r="FE11" s="430">
        <f>'Concentration Limits'!$J$54</f>
        <v>247996703.6486333</v>
      </c>
      <c r="FF11" s="430">
        <f>'Concentration Limits'!$J$55</f>
        <v>247996703.6486333</v>
      </c>
      <c r="FG11" s="430">
        <f>'Concentration Limits'!$J$56</f>
        <v>247996703.6486333</v>
      </c>
      <c r="FH11" s="431">
        <f>'Concentration Limits'!$J$57</f>
        <v>18599752.773647498</v>
      </c>
      <c r="FI11" s="431">
        <f t="shared" si="40"/>
        <v>0</v>
      </c>
      <c r="FJ11" s="431">
        <f t="shared" si="41"/>
        <v>0</v>
      </c>
      <c r="FK11" s="431">
        <f t="shared" si="42"/>
        <v>0</v>
      </c>
      <c r="FL11" s="431">
        <f>IF(FJ11&gt;0,RANK(FJ11,$FJ$9:$FJ$60)+COUNTIF($FJ$9:FJ11,FJ11)-1,0)</f>
        <v>0</v>
      </c>
      <c r="FM11" s="430">
        <f t="shared" si="43"/>
        <v>0</v>
      </c>
      <c r="FN11" s="430">
        <f t="shared" si="44"/>
        <v>0</v>
      </c>
      <c r="FO11" s="430">
        <f t="shared" si="45"/>
        <v>0</v>
      </c>
      <c r="FP11" s="431">
        <f t="shared" si="46"/>
        <v>0</v>
      </c>
      <c r="FQ11" s="431">
        <f t="shared" si="47"/>
        <v>0</v>
      </c>
      <c r="FR11" s="431">
        <f>'Concentration Limits'!$J$58</f>
        <v>49599340.729726665</v>
      </c>
      <c r="FS11" s="431">
        <f t="shared" si="48"/>
        <v>0</v>
      </c>
      <c r="FT11" s="431" t="str">
        <f>VLOOKUP(BR11,'Concentration Limits'!$E$81:$H$153,4,FALSE)</f>
        <v/>
      </c>
      <c r="FU11" s="431">
        <f t="shared" si="49"/>
        <v>0</v>
      </c>
      <c r="FV11" s="431">
        <f t="shared" si="50"/>
        <v>0</v>
      </c>
      <c r="FW11" s="431">
        <f>'Concentration Limits'!$J$59</f>
        <v>37199505.547294997</v>
      </c>
      <c r="FX11" s="431">
        <f t="shared" si="51"/>
        <v>0</v>
      </c>
      <c r="FY11" s="431" t="str">
        <f>VLOOKUP(BR11,'Concentration Limits'!$E$81:$H$153,4,FALSE)</f>
        <v/>
      </c>
      <c r="FZ11" s="431">
        <f t="shared" si="52"/>
        <v>0</v>
      </c>
      <c r="GA11" s="431">
        <f t="shared" si="53"/>
        <v>0</v>
      </c>
      <c r="GB11" s="431">
        <f>'Concentration Limits'!$J$61</f>
        <v>24799670.364863332</v>
      </c>
      <c r="GC11" s="431">
        <f t="shared" si="54"/>
        <v>0</v>
      </c>
      <c r="GD11" s="429" t="str">
        <f>VLOOKUP(BR11,'Concentration Limits'!$E$81:$H$153,4,FALSE)</f>
        <v/>
      </c>
      <c r="GE11" s="431">
        <f t="shared" si="55"/>
        <v>0</v>
      </c>
      <c r="GF11" s="431">
        <f t="shared" si="56"/>
        <v>0</v>
      </c>
      <c r="GG11" s="431">
        <f>'Concentration Limits'!$J$64</f>
        <v>24799670.364863332</v>
      </c>
      <c r="GH11" s="431">
        <f t="shared" si="57"/>
        <v>0</v>
      </c>
      <c r="GI11" s="431">
        <f t="shared" si="58"/>
        <v>0</v>
      </c>
      <c r="GJ11" s="431">
        <f t="shared" si="59"/>
        <v>0</v>
      </c>
      <c r="GK11" s="431">
        <f>'Concentration Limits'!$J$67</f>
        <v>24799670.364863332</v>
      </c>
      <c r="GL11" s="429" t="str">
        <f t="shared" si="60"/>
        <v>No</v>
      </c>
      <c r="GM11" s="431">
        <f t="shared" si="61"/>
        <v>0</v>
      </c>
      <c r="GN11" s="431">
        <f t="shared" si="62"/>
        <v>0</v>
      </c>
      <c r="GO11" s="431">
        <f t="shared" si="63"/>
        <v>0</v>
      </c>
      <c r="GP11" s="431">
        <f>'Concentration Limits'!$J$68</f>
        <v>37199505.547294997</v>
      </c>
      <c r="GQ11" s="429" t="str">
        <f t="shared" si="64"/>
        <v>No</v>
      </c>
      <c r="GR11" s="431">
        <f t="shared" si="65"/>
        <v>0</v>
      </c>
      <c r="GS11" s="431">
        <f t="shared" si="66"/>
        <v>0</v>
      </c>
      <c r="GT11" s="431">
        <f t="shared" si="67"/>
        <v>0</v>
      </c>
      <c r="GU11" s="429">
        <f>'Concentration Limits'!$J$69</f>
        <v>37199505.547294997</v>
      </c>
      <c r="GV11" s="429" t="str">
        <f t="shared" si="68"/>
        <v>No</v>
      </c>
      <c r="GW11" s="429">
        <f t="shared" si="69"/>
        <v>0</v>
      </c>
      <c r="GX11" s="429">
        <f t="shared" si="70"/>
        <v>0</v>
      </c>
      <c r="GY11" s="429">
        <f t="shared" si="71"/>
        <v>0</v>
      </c>
      <c r="GZ11" s="429">
        <f>'Concentration Limits'!$J$70</f>
        <v>24799670.364863332</v>
      </c>
      <c r="HA11" s="429" t="str">
        <f t="shared" si="72"/>
        <v>No</v>
      </c>
      <c r="HB11" s="429">
        <f t="shared" si="73"/>
        <v>0</v>
      </c>
      <c r="HC11" s="429">
        <f t="shared" si="74"/>
        <v>0</v>
      </c>
      <c r="HD11" s="429">
        <f t="shared" si="75"/>
        <v>0</v>
      </c>
      <c r="HE11" s="431">
        <f t="shared" si="76"/>
        <v>0</v>
      </c>
      <c r="HF11" s="431">
        <f t="shared" si="77"/>
        <v>0</v>
      </c>
      <c r="HG11" s="431">
        <f t="shared" si="78"/>
        <v>0</v>
      </c>
      <c r="HH11" s="431">
        <f t="shared" si="79"/>
        <v>0</v>
      </c>
      <c r="HI11" s="431">
        <f>IF(BE11=0,0,#REF!*BE11/(BE11+BG11))</f>
        <v>0</v>
      </c>
      <c r="HJ11" s="431">
        <f>IF(BG11=0,0,#REF!*BG11/(BG11+BE11))</f>
        <v>0</v>
      </c>
      <c r="HK11" s="857">
        <f>IF(BF11=0,0,#REF!*BF11/(BF11+BH11))</f>
        <v>0</v>
      </c>
      <c r="HL11" s="431">
        <f>IF(BH11=0,0,#REF!*BH11/(BH11+BF11))</f>
        <v>0</v>
      </c>
      <c r="HM11" s="431">
        <f t="shared" si="80"/>
        <v>0</v>
      </c>
      <c r="HN11" s="431" t="b">
        <f t="shared" si="81"/>
        <v>1</v>
      </c>
    </row>
    <row r="12" spans="1:223" s="432" customFormat="1" ht="12.75" customHeight="1" x14ac:dyDescent="0.35">
      <c r="A12" s="49">
        <f t="shared" si="82"/>
        <v>4</v>
      </c>
      <c r="B12" s="404" t="str">
        <f>INDEX('Loan Tape - Settled'!$B$4:$AP$55,MATCH($A12,'Loan Tape - Settled'!$E$4:$E$55,0),MATCH("Obligor Name",'Loan Tape - Settled'!$B$4:$AM$4,0))</f>
        <v>Linden Research</v>
      </c>
      <c r="C12" s="404" t="str">
        <f>INDEX('Loan Tape - Settled'!$B$4:$AP$55,MATCH($A12,'Loan Tape - Settled'!$E$4:$E$55,0),MATCH("Security",'Loan Tape - Settled'!$B$4:$AM$4,0))</f>
        <v>1st Lien</v>
      </c>
      <c r="D12" s="405" t="str">
        <f>INDEX('Loan Tape - Settled'!$B$4:$AP$55,MATCH($A12,'Loan Tape - Settled'!$E$4:$E$55,0),MATCH("Loan Type",'Loan Tape - Settled'!$B$4:$AM$4,0))</f>
        <v>First Lien</v>
      </c>
      <c r="E12" s="406" t="b">
        <f>IF(ISERROR(MATCH(D12,AGENT!$A$4:$A$10,0))=FALSE, TRUE)</f>
        <v>1</v>
      </c>
      <c r="F12" s="406" t="b">
        <f t="shared" si="0"/>
        <v>1</v>
      </c>
      <c r="G12" s="406" t="b">
        <f>IF(D12&lt;&gt;"Second Lien",TRUE, IF(CY12&gt;=AGENT!$B$4,TRUE))</f>
        <v>1</v>
      </c>
      <c r="H12" s="406" t="b">
        <f>IF(DE12&lt;=AGENT!$D$4,TRUE)</f>
        <v>1</v>
      </c>
      <c r="I12" s="406" t="b">
        <f>IF(VLOOKUP(CONCATENATE($A$5,A12),'Loan Tape - Settled'!$A$5:$Q$55,17,FALSE)&gt;=AGENT!$E$4,TRUE)</f>
        <v>1</v>
      </c>
      <c r="J12" s="406" t="b">
        <f>IF(INDEX('Loan Tape - Settled'!$B$4:$AP$55,MATCH($A12,'Loan Tape - Settled'!$E$4:$E$55,0),MATCH("Loan Denomination",'Loan Tape - Settled'!$B$4:$AP$4,0))="USD", TRUE)</f>
        <v>1</v>
      </c>
      <c r="K12" s="406" t="b">
        <f>IF(INDEX('Loan Tape - Settled'!$B$4:$AP$55,MATCH($A12,'Loan Tape - Settled'!$E$4:$E$55,0),MATCH("Exposure Country",'Loan Tape - Settled'!$B$4:$AP$4,0))="United States", TRUE)</f>
        <v>1</v>
      </c>
      <c r="L12" s="406" t="b">
        <f t="shared" si="1"/>
        <v>1</v>
      </c>
      <c r="M12" s="406" t="b">
        <f>IF(((BM12-BL12)/365)&lt;=AGENT!$F$4,TRUE)</f>
        <v>1</v>
      </c>
      <c r="N12" s="406" t="b">
        <f t="shared" si="2"/>
        <v>1</v>
      </c>
      <c r="O12" s="453"/>
      <c r="P12" s="709" t="str">
        <f t="shared" si="3"/>
        <v>Yes</v>
      </c>
      <c r="Q12" s="680" t="s">
        <v>243</v>
      </c>
      <c r="R12" s="407" t="str">
        <f t="shared" si="4"/>
        <v>Linden Research</v>
      </c>
      <c r="S12" s="407"/>
      <c r="T12" s="408" t="str">
        <f t="array" ref="T12">_xlfn.IFS(D12="Second Lien",D12,D12="First Lien",CONCATENATE(D12," ",EI12),D12="FILO",CONCATENATE(D12," ",EJ12))</f>
        <v>First Lien &gt; $20MM</v>
      </c>
      <c r="U12" s="409">
        <f>VLOOKUP(T12,'Concentration Limits'!D:G,4,FALSE)</f>
        <v>0.67500000000000004</v>
      </c>
      <c r="V12" s="410">
        <f t="shared" si="5"/>
        <v>17737566.439047478</v>
      </c>
      <c r="W12" s="448">
        <f>(SUMIFS('Loan Tape - Settled'!$AR$4:$AR$55,'Loan Tape - Settled'!$E$4:$E$55,$A12,'Loan Tape - Settled'!$C$4:$C$55,$A$5))</f>
        <v>17737566.439047478</v>
      </c>
      <c r="X12" s="449">
        <v>1</v>
      </c>
      <c r="Y12" s="411">
        <f t="shared" si="6"/>
        <v>17737566.439047478</v>
      </c>
      <c r="Z12" s="449">
        <f>(SUMIFS('Loan Tape - Settled'!$AQ$4:$AQ$55,'Loan Tape - Settled'!$E$4:$E$55,$A12,'Loan Tape - Settled'!$C$4:$C$55,$A$5))</f>
        <v>17737566.439047478</v>
      </c>
      <c r="AA12" s="411">
        <f t="shared" si="7"/>
        <v>17737566.439047478</v>
      </c>
      <c r="AB12" s="411">
        <f t="shared" si="8"/>
        <v>0</v>
      </c>
      <c r="AC12" s="450">
        <f>VLOOKUP(CONCATENATE($A$5,A12),'Loan Tape - Settled'!$A$5:$Q$55,17,FALSE)</f>
        <v>1</v>
      </c>
      <c r="AD12" s="412"/>
      <c r="AE12" s="413">
        <f>INDEX('Loan Tape - Settled'!$B$4:$AP$55,MATCH($A12,'Loan Tape - Settled'!$E$4:$E$55,0),MATCH("FMV",'Loan Tape - Settled'!$B$4:$AM$4,0))</f>
        <v>1</v>
      </c>
      <c r="AF12" s="413">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1</v>
      </c>
      <c r="AG12" s="414" t="str">
        <f>IF(COUNTIFS(VAE!$C$5:$C$96,B12,VAE!$G$5:$G$96,"&lt;="&amp;Availability!$F$8)&gt;=1,"Yes","-")</f>
        <v>-</v>
      </c>
      <c r="AH12" s="414" t="str">
        <f t="array" ref="AH12">IFERROR(IF(AG12="Yes",INDEX(VAE!$D$5:$D$96,MATCH(B12&amp;AJ12,VAE!$C$5:$C$96&amp;VAE!$G$5:$G$96,0)),"-"),0)</f>
        <v>-</v>
      </c>
      <c r="AI12" s="414" t="str">
        <f t="array" ref="AI12">IFERROR(IF(AG12="Yes",INDEX(VAE!$F$5:$F$96,MATCH(B12&amp;AJ12,VAE!$C$5:$C$96&amp;VAE!$G$5:$G$96,0)),"-"),0)</f>
        <v>-</v>
      </c>
      <c r="AJ12" s="415" t="str">
        <f>IF(AG12="-","-",_xlfn.MAXIFS(VAE!$G$5:$G$96,VAE!$C$5:$C$96,$B12))</f>
        <v>-</v>
      </c>
      <c r="AK12" s="416" t="str">
        <f t="array" ref="AK12">IFERROR(IF(AG12="Yes",INDEX(VAE!$P$5:$P$96,MATCH(B12&amp;AJ12,VAE!$C$5:$C$96&amp;VAE!$G$5:$G$96,0)),"-"),0)</f>
        <v>-</v>
      </c>
      <c r="AL12" s="413">
        <f t="shared" si="9"/>
        <v>1</v>
      </c>
      <c r="AM12" s="410"/>
      <c r="AN12" s="410"/>
      <c r="AO12" s="410">
        <f t="shared" si="10"/>
        <v>17737566.439047478</v>
      </c>
      <c r="AP12" s="410">
        <f t="shared" si="11"/>
        <v>0</v>
      </c>
      <c r="AQ12" s="410">
        <f t="shared" si="83"/>
        <v>17737566.439047478</v>
      </c>
      <c r="AR12" s="410"/>
      <c r="AS12" s="410"/>
      <c r="AT12" s="410"/>
      <c r="AU12" s="410">
        <f t="shared" si="12"/>
        <v>0</v>
      </c>
      <c r="AV12" s="410">
        <f t="shared" si="13"/>
        <v>0</v>
      </c>
      <c r="AW12" s="410">
        <f t="shared" si="14"/>
        <v>0</v>
      </c>
      <c r="AX12" s="410"/>
      <c r="AY12" s="410"/>
      <c r="AZ12" s="410"/>
      <c r="BA12" s="410">
        <f t="shared" si="15"/>
        <v>0</v>
      </c>
      <c r="BB12" s="410"/>
      <c r="BC12" s="410"/>
      <c r="BD12" s="410">
        <f t="shared" si="16"/>
        <v>0</v>
      </c>
      <c r="BE12" s="410"/>
      <c r="BF12" s="410"/>
      <c r="BG12" s="410"/>
      <c r="BH12" s="410"/>
      <c r="BI12" s="410">
        <f t="shared" si="17"/>
        <v>0</v>
      </c>
      <c r="BJ12" s="410" t="b">
        <f t="shared" si="18"/>
        <v>1</v>
      </c>
      <c r="BK12" s="509">
        <f>INDEX('Loan Tape - Settled'!$B$4:$AP$55,MATCH($A12,'Loan Tape - Settled'!$E$4:$E$55,0),MATCH("Inception Date",'Loan Tape - Settled'!$B$4:$AP$4,0))</f>
        <v>44196</v>
      </c>
      <c r="BL12" s="509">
        <f>INDEX('Loan Tape - Settled'!$B$4:$AP$55,MATCH($A12,'Loan Tape - Settled'!$E$4:$E$55,0),MATCH("Inclusion Date",'Loan Tape - Settled'!$B$4:$AP$4,0))</f>
        <v>44379</v>
      </c>
      <c r="BM12" s="509">
        <f>INDEX('Loan Tape - Settled'!$B$4:$AP$55,MATCH($A12,'Loan Tape - Settled'!$E$4:$E$55,0),MATCH("Maturity Date",'Loan Tape - Settled'!$B$4:$AP$4,0))</f>
        <v>46295</v>
      </c>
      <c r="BN12" s="510"/>
      <c r="BO12" s="510"/>
      <c r="BP12" s="511"/>
      <c r="BQ12" s="510"/>
      <c r="BR12" s="512" t="str">
        <f>INDEX('Loan Tape - Settled'!$B$4:$AP$55,MATCH($A12,'Loan Tape - Settled'!$E$4:$E$55,0),MATCH("Industry Classification",'Loan Tape - Settled'!$B$4:$AP$4,0))</f>
        <v>Entertainment</v>
      </c>
      <c r="BS12" s="510" t="str">
        <f>IF(INDEX('Loan Tape - Settled'!$B$4:$AP$55,MATCH($A12,'Loan Tape - Settled'!$E$4:$E$55,0),MATCH("Covenant Lite",'Loan Tape - Settled'!$B$4:$AP$4,0))=-1, "Yes", "No")</f>
        <v>No</v>
      </c>
      <c r="BT12" s="513">
        <f>INDEX('Loan Tape - Settled'!$B$4:$AP$55,MATCH($A12,'Loan Tape - Settled'!$E$4:$E$55,0),MATCH("Spread / Coupon (%)",'Loan Tape - Settled'!$B$4:$AP$4,0))</f>
        <v>7.2616100000000003E-2</v>
      </c>
      <c r="BU12" s="510" t="str">
        <f>IF(INDEX('Loan Tape - Settled'!$B$4:$AP$55,MATCH($A12,'Loan Tape - Settled'!$E$4:$E$55,0),MATCH("Security Type",'Loan Tape - Settled'!$B$4:$AP$4,0))="Delayed Draw Term Loan", "Yes", "No")</f>
        <v>No</v>
      </c>
      <c r="BV12" s="514" t="s">
        <v>244</v>
      </c>
      <c r="BW12" s="514" t="s">
        <v>244</v>
      </c>
      <c r="BX12" s="506" t="s">
        <v>244</v>
      </c>
      <c r="BY12" s="510" t="str">
        <f>IF(INDEX('Loan Tape - Settled'!$B$4:$AP$55,MATCH($A12,'Loan Tape - Settled'!$E$4:$E$55,0),MATCH("Fixed/Floating",'Loan Tape - Settled'!$B$4:$AP$4,0))="Fixed", "Yes", "No")</f>
        <v>No</v>
      </c>
      <c r="BZ12" s="514" t="s">
        <v>244</v>
      </c>
      <c r="CA12" s="514" t="s">
        <v>244</v>
      </c>
      <c r="CB12" s="510" t="str">
        <f>IF(INDEX('Loan Tape - Settled'!$B$4:$AP$55,MATCH($A12,'Loan Tape - Settled'!$E$4:$E$55,0),MATCH("Loan Denomination",'Loan Tape - Settled'!$B$4:$AP$4,0))="CAD", "Yes", "No")</f>
        <v>No</v>
      </c>
      <c r="CC12" s="510" t="str">
        <f>INDEX('Loan Tape - Settled'!$B$4:$AP$55,MATCH($A12,'Loan Tape - Settled'!$E$4:$E$55,0),MATCH("Payment Frequency",'Loan Tape - Settled'!$B$4:$AP$4,0))</f>
        <v>M</v>
      </c>
      <c r="CD12" s="514" t="s">
        <v>244</v>
      </c>
      <c r="CE12" s="510">
        <f>INDEX('Loan Tape - Settled'!$B$4:$AP$55,MATCH($A12,'Loan Tape - Settled'!$E$4:$E$55,0),MATCH("S&amp;P Loan Rating (if applicable)",'Loan Tape - Settled'!$B$4:$AP$4,0))</f>
        <v>0</v>
      </c>
      <c r="CF12" s="510">
        <f>INDEX('Loan Tape - Settled'!$B$4:$AP$55,MATCH($A12,'Loan Tape - Settled'!$E$4:$E$55,0),MATCH("Moody's Loan Rating (if applicable)",'Loan Tape - Settled'!$B$4:$AP$4,0))</f>
        <v>0</v>
      </c>
      <c r="CG12" s="510"/>
      <c r="CH12" s="510"/>
      <c r="CI12" s="515"/>
      <c r="CJ12" s="508" t="str">
        <f>INDEX('Loan Tape - Settled'!$B$4:$BF$55,MATCH($A12,'Loan Tape - Settled'!$E$4:$E$55,0),MATCH("Last Financial Received",'Loan Tape - Settled'!$B$4:$BF$4,0))</f>
        <v>9/30/2025 or Latest Financing</v>
      </c>
      <c r="CK12" s="516">
        <f>INDEX('Loan Tape - Settled'!$B$4:$BJ$55,MATCH($A12,'Loan Tape - Settled'!$E$4:$E$55,0),MATCH("Initial Adjusted TTM EBITDA",'Loan Tape - Settled'!$B$4:$BJ$4,0))</f>
        <v>18.437000000000001</v>
      </c>
      <c r="CL12" s="516">
        <f>INDEX('Loan Tape - Settled'!$B$4:$BJ$55,MATCH($A12,'Loan Tape - Settled'!$E$4:$E$55,0),MATCH("Initial TTM Non-adjusted EBITDA",'Loan Tape - Settled'!$B$4:$BJ$4,0))</f>
        <v>18.437000000000001</v>
      </c>
      <c r="CM12" s="417"/>
      <c r="CN12" s="418"/>
      <c r="CO12" s="418"/>
      <c r="CP12" s="419"/>
      <c r="CQ12" s="420" t="s">
        <v>245</v>
      </c>
      <c r="CR12" s="419"/>
      <c r="CS12" s="421">
        <f t="shared" si="19"/>
        <v>18.437000000000001</v>
      </c>
      <c r="CT12" s="422">
        <f t="shared" si="20"/>
        <v>0</v>
      </c>
      <c r="CU12" s="516">
        <f>INDEX('Loan Tape - Settled'!$B$4:$BJ$55,MATCH($A12,'Loan Tape - Settled'!$E$4:$E$55,0),MATCH("Current TTM Non-adjusted EBITDA",'Loan Tape - Settled'!$B$4:$BJ$4,0))</f>
        <v>30.94370698706663</v>
      </c>
      <c r="CV12" s="423">
        <f t="shared" si="21"/>
        <v>0</v>
      </c>
      <c r="CW12" s="652" t="s">
        <v>245</v>
      </c>
      <c r="CX12" s="517"/>
      <c r="CY12" s="658">
        <f t="shared" si="22"/>
        <v>30.94370698706663</v>
      </c>
      <c r="CZ12" s="656"/>
      <c r="DA12" s="518"/>
      <c r="DB12" s="519"/>
      <c r="DC12" s="853"/>
      <c r="DD12" s="853">
        <f>INDEX('Loan Tape - Settled'!$B$4:$BJ$55,MATCH($A12,'Loan Tape - Settled'!$E$4:$E$55,0),MATCH("Initial Senior Net Leverage Senior",'Loan Tape - Settled'!$B$4:$BJ$4,0))</f>
        <v>3.4441611975917992</v>
      </c>
      <c r="DE12" s="659">
        <f>INDEX('Loan Tape - Settled'!$B$4:$BJ$55,MATCH($A12,'Loan Tape - Settled'!$E$4:$E$55,0),MATCH("Initial Total Net Leverage",'Loan Tape - Settled'!$B$4:$BJ$4,0))</f>
        <v>3.4441611975917992</v>
      </c>
      <c r="DF12" s="656"/>
      <c r="DG12" s="518"/>
      <c r="DH12" s="519"/>
      <c r="DI12" s="424">
        <f>INDEX('Loan Tape - Settled'!$B$4:$BJ$55,MATCH($A12,'Loan Tape - Settled'!$E$4:$E$55,0),MATCH("Net Attachment",'Loan Tape - Settled'!$B$4:$BJ$4,0))</f>
        <v>4.7399985742271965E-2</v>
      </c>
      <c r="DJ12" s="522">
        <f t="array" ref="DJ12">IF(AG12="Yes",INDEX(VAE!$M$5:$M$53,MATCH($B12&amp;$AJ12,VAE!$C$5:$C$53&amp;VAE!$G$5:$G$53,0)),DD12)</f>
        <v>3.4441611975917992</v>
      </c>
      <c r="DK12" s="649">
        <f t="array" ref="DK12">IF(AG12="Yes",INDEX(VAE!$N$5:$N$53,MATCH($B12&amp;$AJ12,VAE!$C$5:$C$53&amp;VAE!$G$5:$G$53,0)),DE12)</f>
        <v>3.4441611975917992</v>
      </c>
      <c r="DL12" s="651">
        <f>INDEX('Loan Tape - Settled'!$B$4:$BJ$55,MATCH($A12,'Loan Tape - Settled'!$E$4:$E$55,0),MATCH("Current Senior Net Leverage Senior",'Loan Tape - Settled'!$B$4:$BJ$4,0))</f>
        <v>1.7791575939175777</v>
      </c>
      <c r="DM12" s="433">
        <f>INDEX('Loan Tape - Settled'!$B$4:$BJ$55,MATCH($A12,'Loan Tape - Settled'!$E$4:$E$55,0),MATCH("Current Total Net Leverage",'Loan Tape - Settled'!$B$4:$BJ$4,0))</f>
        <v>1.7791575939175777</v>
      </c>
      <c r="DN12" s="425"/>
      <c r="DO12" s="426">
        <f>INDEX('Loan Tape - Settled'!$B$4:$BJ$55,MATCH($A12,'Loan Tape - Settled'!$E$4:$E$55,0),MATCH("Initial Interest Coverage",'Loan Tape - Settled'!$B$4:$BJ$4,0))</f>
        <v>2.0699999999999998</v>
      </c>
      <c r="DP12" s="854">
        <f t="array" ref="DP12">IF(AG12="Yes",INDEX(VAE!$O$5:$O$53,MATCH($B12&amp;$AJ12,VAE!$C$5:$C$53&amp;VAE!$G$5:$G$53,0)),DO12)</f>
        <v>2.0699999999999998</v>
      </c>
      <c r="DQ12" s="427">
        <f>INDEX('Loan Tape - Settled'!$B$4:$BJ$55,MATCH($A12,'Loan Tape - Settled'!$E$4:$E$55,0),MATCH("Current Interest Coverage",'Loan Tape - Settled'!$B$4:$BJ$4,0))</f>
        <v>2.69</v>
      </c>
      <c r="DR12" s="855" t="str">
        <f t="shared" si="23"/>
        <v>No</v>
      </c>
      <c r="DS12" s="428" t="str">
        <f>IF(AG12="Yes",DATEDIF(AJ12,Availability!$F$8,"m"),"")</f>
        <v/>
      </c>
      <c r="DT12" s="428" t="str">
        <f t="shared" si="24"/>
        <v>No</v>
      </c>
      <c r="DU12" s="647" t="str">
        <f t="shared" si="25"/>
        <v>No</v>
      </c>
      <c r="DV12" s="648" t="str">
        <f t="shared" si="26"/>
        <v>No</v>
      </c>
      <c r="DW12" s="648" t="str">
        <f t="array" ref="DW12">_xlfn.IFS(D12&lt;&gt;"Second Lien","No",D12="Second Lien",IF(AND((DM12-DK12)&gt;0.5,DM12&gt;4.5),"Yes","No"))</f>
        <v>No</v>
      </c>
      <c r="DX12" s="685" t="s">
        <v>244</v>
      </c>
      <c r="DY12" s="685" t="s">
        <v>244</v>
      </c>
      <c r="DZ12" s="686" t="s">
        <v>244</v>
      </c>
      <c r="EA12" s="686" t="s">
        <v>244</v>
      </c>
      <c r="EB12" s="686" t="s">
        <v>244</v>
      </c>
      <c r="EC12" s="686" t="s">
        <v>244</v>
      </c>
      <c r="ED12" s="686" t="s">
        <v>244</v>
      </c>
      <c r="EE12" s="686" t="s">
        <v>244</v>
      </c>
      <c r="EF12" s="409" t="str">
        <f t="shared" si="27"/>
        <v>No</v>
      </c>
      <c r="EG12" s="686" t="s">
        <v>244</v>
      </c>
      <c r="EH12" s="691" t="s">
        <v>244</v>
      </c>
      <c r="EI12" s="856" t="str">
        <f t="array" ref="EI12">IF(D12="First Lien",_xlfn.IFS(CY12&gt;AGENT!$B$23, "&gt; $20MM",CY12&lt;=AGENT!$C$25, "&lt;= $10MM",AND(CY12&lt;=AGENT!$C$24,CY12&gt;AGENT!$B$24),"&lt;= $20MM"), "N/A")</f>
        <v>&gt; $20MM</v>
      </c>
      <c r="EJ12" s="856" t="str">
        <f t="array" ref="EJ12">IF(D12="FILO",_xlfn.IFS(DI12&gt;AGENT!$B$29, "&gt; 1.25x",DI12&lt;AGENT!$C$27, "&lt; 0.75x",AND(DI12&lt;=AGENT!$C$28,DI12&gt;=AGENT!$B$28),"&lt;= 1.25x"), "N/A")</f>
        <v>N/A</v>
      </c>
      <c r="EK12" s="429">
        <f t="shared" si="28"/>
        <v>17737566.439047478</v>
      </c>
      <c r="EL12" s="429">
        <f>'Concentration Limits'!$J$49</f>
        <v>49599340.729726665</v>
      </c>
      <c r="EM12" s="429" t="str">
        <f>IF(OR(D12="Second Lien",AND(D12="FILO",DI12&gt;AGENT!$C$57)), "Yes", "No")</f>
        <v>No</v>
      </c>
      <c r="EN12" s="429">
        <f t="shared" si="29"/>
        <v>0</v>
      </c>
      <c r="EO12" s="429">
        <f t="shared" si="30"/>
        <v>0</v>
      </c>
      <c r="EP12" s="429">
        <f t="shared" si="31"/>
        <v>17737566.439047478</v>
      </c>
      <c r="EQ12" s="429">
        <f>'Concentration Limits'!$J$50</f>
        <v>24799670.364863332</v>
      </c>
      <c r="ER12" s="429">
        <f t="shared" si="32"/>
        <v>0</v>
      </c>
      <c r="ES12" s="429">
        <f t="shared" si="84"/>
        <v>0</v>
      </c>
      <c r="ET12" s="429">
        <f t="shared" si="33"/>
        <v>17737566.439047478</v>
      </c>
      <c r="EU12" s="429">
        <f>'Concentration Limits'!$J$51</f>
        <v>74399011.094589993</v>
      </c>
      <c r="EV12" s="429" t="str">
        <f>IF(OR(D12="Second Lien", AND(D12="FILO",DI12&gt;AGENT!$C$59)), "Yes", "No")</f>
        <v>No</v>
      </c>
      <c r="EW12" s="429">
        <f t="shared" si="34"/>
        <v>0</v>
      </c>
      <c r="EX12" s="429">
        <f t="shared" si="35"/>
        <v>0</v>
      </c>
      <c r="EY12" s="429">
        <f t="shared" si="36"/>
        <v>17737566.439047478</v>
      </c>
      <c r="EZ12" s="429">
        <f>'Concentration Limits'!$J$52</f>
        <v>37199505.547294997</v>
      </c>
      <c r="FA12" s="429" t="str">
        <f>IF(CY12&gt;'Concentration Limits'!$E$52, "No", "Yes")</f>
        <v>No</v>
      </c>
      <c r="FB12" s="429">
        <f t="shared" si="37"/>
        <v>0</v>
      </c>
      <c r="FC12" s="429">
        <f t="shared" si="38"/>
        <v>0</v>
      </c>
      <c r="FD12" s="429">
        <f t="shared" si="39"/>
        <v>17737566.439047478</v>
      </c>
      <c r="FE12" s="430">
        <f>'Concentration Limits'!$J$54</f>
        <v>247996703.6486333</v>
      </c>
      <c r="FF12" s="430">
        <f>'Concentration Limits'!$J$55</f>
        <v>247996703.6486333</v>
      </c>
      <c r="FG12" s="430">
        <f>'Concentration Limits'!$J$56</f>
        <v>247996703.6486333</v>
      </c>
      <c r="FH12" s="431">
        <f>'Concentration Limits'!$J$57</f>
        <v>18599752.773647498</v>
      </c>
      <c r="FI12" s="431">
        <f t="shared" si="40"/>
        <v>17737566.439047478</v>
      </c>
      <c r="FJ12" s="431">
        <f t="shared" si="41"/>
        <v>17737566.439047478</v>
      </c>
      <c r="FK12" s="431">
        <f t="shared" si="42"/>
        <v>2</v>
      </c>
      <c r="FL12" s="431">
        <f>IF(FJ12&gt;0,RANK(FJ12,$FJ$9:$FJ$60)+COUNTIF($FJ$9:FJ12,FJ12)-1,0)</f>
        <v>2</v>
      </c>
      <c r="FM12" s="430">
        <f t="shared" si="43"/>
        <v>0</v>
      </c>
      <c r="FN12" s="430">
        <f t="shared" si="44"/>
        <v>0</v>
      </c>
      <c r="FO12" s="430">
        <f t="shared" si="45"/>
        <v>0</v>
      </c>
      <c r="FP12" s="431">
        <f t="shared" si="46"/>
        <v>0</v>
      </c>
      <c r="FQ12" s="431">
        <f t="shared" si="47"/>
        <v>17737566.439047478</v>
      </c>
      <c r="FR12" s="431">
        <f>'Concentration Limits'!$J$58</f>
        <v>49599340.729726665</v>
      </c>
      <c r="FS12" s="431">
        <f t="shared" si="48"/>
        <v>22404509.370220263</v>
      </c>
      <c r="FT12" s="431">
        <f>VLOOKUP(BR12,'Concentration Limits'!$E$81:$H$153,4,FALSE)</f>
        <v>4</v>
      </c>
      <c r="FU12" s="431">
        <f t="shared" si="49"/>
        <v>0</v>
      </c>
      <c r="FV12" s="431">
        <f t="shared" si="50"/>
        <v>17737566.439047478</v>
      </c>
      <c r="FW12" s="431">
        <f>'Concentration Limits'!$J$59</f>
        <v>37199505.547294997</v>
      </c>
      <c r="FX12" s="431">
        <f t="shared" si="51"/>
        <v>22404509.370220263</v>
      </c>
      <c r="FY12" s="431">
        <f>VLOOKUP(BR12,'Concentration Limits'!$E$81:$H$153,4,FALSE)</f>
        <v>4</v>
      </c>
      <c r="FZ12" s="431">
        <f t="shared" si="52"/>
        <v>0</v>
      </c>
      <c r="GA12" s="431">
        <f t="shared" si="53"/>
        <v>17737566.439047478</v>
      </c>
      <c r="GB12" s="431">
        <f>'Concentration Limits'!$J$61</f>
        <v>24799670.364863332</v>
      </c>
      <c r="GC12" s="431">
        <f t="shared" si="54"/>
        <v>22404509.370220263</v>
      </c>
      <c r="GD12" s="429">
        <f>VLOOKUP(BR12,'Concentration Limits'!$E$81:$H$153,4,FALSE)</f>
        <v>4</v>
      </c>
      <c r="GE12" s="431">
        <f t="shared" si="55"/>
        <v>0</v>
      </c>
      <c r="GF12" s="431">
        <f t="shared" si="56"/>
        <v>17737566.439047478</v>
      </c>
      <c r="GG12" s="431">
        <f>'Concentration Limits'!$J$64</f>
        <v>24799670.364863332</v>
      </c>
      <c r="GH12" s="431">
        <f t="shared" si="57"/>
        <v>0</v>
      </c>
      <c r="GI12" s="431">
        <f t="shared" si="58"/>
        <v>0</v>
      </c>
      <c r="GJ12" s="431">
        <f t="shared" si="59"/>
        <v>17737566.439047478</v>
      </c>
      <c r="GK12" s="431">
        <f>'Concentration Limits'!$J$67</f>
        <v>24799670.364863332</v>
      </c>
      <c r="GL12" s="429" t="str">
        <f t="shared" si="60"/>
        <v>No</v>
      </c>
      <c r="GM12" s="431">
        <f t="shared" si="61"/>
        <v>0</v>
      </c>
      <c r="GN12" s="431">
        <f t="shared" si="62"/>
        <v>0</v>
      </c>
      <c r="GO12" s="431">
        <f t="shared" si="63"/>
        <v>17737566.439047478</v>
      </c>
      <c r="GP12" s="431">
        <f>'Concentration Limits'!$J$68</f>
        <v>37199505.547294997</v>
      </c>
      <c r="GQ12" s="429" t="str">
        <f t="shared" si="64"/>
        <v>No</v>
      </c>
      <c r="GR12" s="431">
        <f t="shared" si="65"/>
        <v>0</v>
      </c>
      <c r="GS12" s="431">
        <f t="shared" si="66"/>
        <v>0</v>
      </c>
      <c r="GT12" s="431">
        <f t="shared" si="67"/>
        <v>17737566.439047478</v>
      </c>
      <c r="GU12" s="429">
        <f>'Concentration Limits'!$J$69</f>
        <v>37199505.547294997</v>
      </c>
      <c r="GV12" s="429" t="str">
        <f t="shared" si="68"/>
        <v>No</v>
      </c>
      <c r="GW12" s="429">
        <f t="shared" si="69"/>
        <v>0</v>
      </c>
      <c r="GX12" s="429">
        <f t="shared" si="70"/>
        <v>0</v>
      </c>
      <c r="GY12" s="429">
        <f t="shared" si="71"/>
        <v>17737566.439047478</v>
      </c>
      <c r="GZ12" s="429">
        <f>'Concentration Limits'!$J$70</f>
        <v>24799670.364863332</v>
      </c>
      <c r="HA12" s="429" t="str">
        <f t="shared" si="72"/>
        <v>No</v>
      </c>
      <c r="HB12" s="429">
        <f t="shared" si="73"/>
        <v>0</v>
      </c>
      <c r="HC12" s="429">
        <f t="shared" si="74"/>
        <v>0</v>
      </c>
      <c r="HD12" s="429">
        <f t="shared" si="75"/>
        <v>17737566.439047478</v>
      </c>
      <c r="HE12" s="431">
        <f t="shared" si="76"/>
        <v>17737566.439047478</v>
      </c>
      <c r="HF12" s="431">
        <f t="shared" si="77"/>
        <v>0</v>
      </c>
      <c r="HG12" s="431">
        <f t="shared" si="78"/>
        <v>0</v>
      </c>
      <c r="HH12" s="431">
        <f t="shared" si="79"/>
        <v>0</v>
      </c>
      <c r="HI12" s="431">
        <f>IF(BE12=0,0,#REF!*BE12/(BE12+BG12))</f>
        <v>0</v>
      </c>
      <c r="HJ12" s="431">
        <f>IF(BG12=0,0,#REF!*BG12/(BG12+BE12))</f>
        <v>0</v>
      </c>
      <c r="HK12" s="857">
        <f>IF(BF12=0,0,#REF!*BF12/(BF12+BH12))</f>
        <v>0</v>
      </c>
      <c r="HL12" s="431">
        <f>IF(BH12=0,0,#REF!*BH12/(BH12+BF12))</f>
        <v>0</v>
      </c>
      <c r="HM12" s="431">
        <f t="shared" si="80"/>
        <v>0</v>
      </c>
      <c r="HN12" s="431" t="b">
        <f t="shared" si="81"/>
        <v>1</v>
      </c>
    </row>
    <row r="13" spans="1:223" s="432" customFormat="1" ht="12.75" customHeight="1" x14ac:dyDescent="0.35">
      <c r="A13" s="49">
        <f t="shared" si="82"/>
        <v>5</v>
      </c>
      <c r="B13" s="404" t="str">
        <f>INDEX('Loan Tape - Settled'!$B$4:$AP$55,MATCH($A13,'Loan Tape - Settled'!$E$4:$E$55,0),MATCH("Obligor Name",'Loan Tape - Settled'!$B$4:$AM$4,0))</f>
        <v>Fremont-Wright</v>
      </c>
      <c r="C13" s="404" t="str">
        <f>INDEX('Loan Tape - Settled'!$B$4:$AP$55,MATCH($A13,'Loan Tape - Settled'!$E$4:$E$55,0),MATCH("Security",'Loan Tape - Settled'!$B$4:$AM$4,0))</f>
        <v>1st Lien</v>
      </c>
      <c r="D13" s="405" t="str">
        <f>INDEX('Loan Tape - Settled'!$B$4:$AP$55,MATCH($A13,'Loan Tape - Settled'!$E$4:$E$55,0),MATCH("Loan Type",'Loan Tape - Settled'!$B$4:$AM$4,0))</f>
        <v>First Lien</v>
      </c>
      <c r="E13" s="406" t="b">
        <f>IF(ISERROR(MATCH(D13,AGENT!$A$4:$A$10,0))=FALSE, TRUE)</f>
        <v>1</v>
      </c>
      <c r="F13" s="406" t="b">
        <f t="shared" si="0"/>
        <v>1</v>
      </c>
      <c r="G13" s="406" t="b">
        <f>IF(D13&lt;&gt;"Second Lien",TRUE, IF(CY13&gt;=AGENT!$B$4,TRUE))</f>
        <v>1</v>
      </c>
      <c r="H13" s="406" t="b">
        <f>IF(DE13&lt;=AGENT!$D$4,TRUE)</f>
        <v>1</v>
      </c>
      <c r="I13" s="406" t="b">
        <f>IF(VLOOKUP(CONCATENATE($A$5,A13),'Loan Tape - Settled'!$A$5:$Q$55,17,FALSE)&gt;=AGENT!$E$4,TRUE)</f>
        <v>1</v>
      </c>
      <c r="J13" s="406" t="b">
        <f>IF(INDEX('Loan Tape - Settled'!$B$4:$AP$55,MATCH($A13,'Loan Tape - Settled'!$E$4:$E$55,0),MATCH("Loan Denomination",'Loan Tape - Settled'!$B$4:$AP$4,0))="USD", TRUE)</f>
        <v>1</v>
      </c>
      <c r="K13" s="406" t="b">
        <f>IF(INDEX('Loan Tape - Settled'!$B$4:$AP$55,MATCH($A13,'Loan Tape - Settled'!$E$4:$E$55,0),MATCH("Exposure Country",'Loan Tape - Settled'!$B$4:$AP$4,0))="United States", TRUE)</f>
        <v>1</v>
      </c>
      <c r="L13" s="406" t="b">
        <f t="shared" si="1"/>
        <v>1</v>
      </c>
      <c r="M13" s="406" t="b">
        <f>IF(((BM13-BL13)/365)&lt;=AGENT!$F$4,TRUE)</f>
        <v>1</v>
      </c>
      <c r="N13" s="406" t="b">
        <f t="shared" si="2"/>
        <v>1</v>
      </c>
      <c r="O13" s="453"/>
      <c r="P13" s="709" t="str">
        <f t="shared" si="3"/>
        <v>Yes</v>
      </c>
      <c r="Q13" s="680" t="s">
        <v>243</v>
      </c>
      <c r="R13" s="407" t="str">
        <f t="shared" si="4"/>
        <v>Fremont-Wright</v>
      </c>
      <c r="S13" s="407"/>
      <c r="T13" s="408" t="str">
        <f t="array" ref="T13">_xlfn.IFS(D13="Second Lien",D13,D13="First Lien",CONCATENATE(D13," ",EI13),D13="FILO",CONCATENATE(D13," ",EJ13))</f>
        <v>First Lien &gt; $20MM</v>
      </c>
      <c r="U13" s="409">
        <f>VLOOKUP(T13,'Concentration Limits'!D:G,4,FALSE)</f>
        <v>0.67500000000000004</v>
      </c>
      <c r="V13" s="410">
        <f t="shared" si="5"/>
        <v>4023228.1043379111</v>
      </c>
      <c r="W13" s="448">
        <f>(SUMIFS('Loan Tape - Settled'!$AR$4:$AR$55,'Loan Tape - Settled'!$E$4:$E$55,$A13,'Loan Tape - Settled'!$C$4:$C$55,$A$5))</f>
        <v>4070486.0362509978</v>
      </c>
      <c r="X13" s="449">
        <v>1</v>
      </c>
      <c r="Y13" s="411">
        <f t="shared" si="6"/>
        <v>4070486.0362509978</v>
      </c>
      <c r="Z13" s="449">
        <f>(SUMIFS('Loan Tape - Settled'!$AQ$4:$AQ$55,'Loan Tape - Settled'!$E$4:$E$55,$A13,'Loan Tape - Settled'!$C$4:$C$55,$A$5))</f>
        <v>4070486.0362509978</v>
      </c>
      <c r="AA13" s="411">
        <f t="shared" si="7"/>
        <v>4070486.0362509978</v>
      </c>
      <c r="AB13" s="411">
        <f t="shared" si="8"/>
        <v>0</v>
      </c>
      <c r="AC13" s="450">
        <f>VLOOKUP(CONCATENATE($A$5,A13),'Loan Tape - Settled'!$A$5:$Q$55,17,FALSE)</f>
        <v>1</v>
      </c>
      <c r="AD13" s="412"/>
      <c r="AE13" s="413">
        <f>INDEX('Loan Tape - Settled'!$B$4:$AP$55,MATCH($A13,'Loan Tape - Settled'!$E$4:$E$55,0),MATCH("FMV",'Loan Tape - Settled'!$B$4:$AM$4,0))</f>
        <v>1</v>
      </c>
      <c r="AF13" s="413">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0.98839010096282942</v>
      </c>
      <c r="AG13" s="414" t="str">
        <f>IF(COUNTIFS(VAE!$C$5:$C$96,B13,VAE!$G$5:$G$96,"&lt;="&amp;Availability!$F$8)&gt;=1,"Yes","-")</f>
        <v>-</v>
      </c>
      <c r="AH13" s="414" t="str">
        <f t="array" ref="AH13">IFERROR(IF(AG13="Yes",INDEX(VAE!$D$5:$D$96,MATCH(B13&amp;AJ13,VAE!$C$5:$C$96&amp;VAE!$G$5:$G$96,0)),"-"),0)</f>
        <v>-</v>
      </c>
      <c r="AI13" s="414" t="str">
        <f t="array" ref="AI13">IFERROR(IF(AG13="Yes",INDEX(VAE!$F$5:$F$96,MATCH(B13&amp;AJ13,VAE!$C$5:$C$96&amp;VAE!$G$5:$G$96,0)),"-"),0)</f>
        <v>-</v>
      </c>
      <c r="AJ13" s="415" t="str">
        <f>IF(AG13="-","-",_xlfn.MAXIFS(VAE!$G$5:$G$96,VAE!$C$5:$C$96,$B13))</f>
        <v>-</v>
      </c>
      <c r="AK13" s="416" t="str">
        <f t="array" ref="AK13">IFERROR(IF(AG13="Yes",INDEX(VAE!$P$5:$P$96,MATCH(B13&amp;AJ13,VAE!$C$5:$C$96&amp;VAE!$G$5:$G$96,0)),"-"),0)</f>
        <v>-</v>
      </c>
      <c r="AL13" s="413">
        <f t="shared" si="9"/>
        <v>0.98839010096282942</v>
      </c>
      <c r="AM13" s="410"/>
      <c r="AN13" s="410"/>
      <c r="AO13" s="410">
        <f t="shared" si="10"/>
        <v>4070486.0362509978</v>
      </c>
      <c r="AP13" s="410">
        <f t="shared" si="11"/>
        <v>0</v>
      </c>
      <c r="AQ13" s="410">
        <f t="shared" si="83"/>
        <v>4023228.1043379111</v>
      </c>
      <c r="AR13" s="410"/>
      <c r="AS13" s="410"/>
      <c r="AT13" s="410"/>
      <c r="AU13" s="410">
        <f t="shared" si="12"/>
        <v>0</v>
      </c>
      <c r="AV13" s="410">
        <f t="shared" si="13"/>
        <v>0</v>
      </c>
      <c r="AW13" s="410">
        <f t="shared" si="14"/>
        <v>0</v>
      </c>
      <c r="AX13" s="410"/>
      <c r="AY13" s="410"/>
      <c r="AZ13" s="410"/>
      <c r="BA13" s="410">
        <f t="shared" si="15"/>
        <v>0</v>
      </c>
      <c r="BB13" s="410"/>
      <c r="BC13" s="410"/>
      <c r="BD13" s="410">
        <f t="shared" si="16"/>
        <v>0</v>
      </c>
      <c r="BE13" s="410"/>
      <c r="BF13" s="410"/>
      <c r="BG13" s="410"/>
      <c r="BH13" s="410"/>
      <c r="BI13" s="410">
        <f t="shared" si="17"/>
        <v>0</v>
      </c>
      <c r="BJ13" s="410" t="b">
        <f t="shared" si="18"/>
        <v>1</v>
      </c>
      <c r="BK13" s="509">
        <f>INDEX('Loan Tape - Settled'!$B$4:$AP$55,MATCH($A13,'Loan Tape - Settled'!$E$4:$E$55,0),MATCH("Inception Date",'Loan Tape - Settled'!$B$4:$AP$4,0))</f>
        <v>44167</v>
      </c>
      <c r="BL13" s="509">
        <f>INDEX('Loan Tape - Settled'!$B$4:$AP$55,MATCH($A13,'Loan Tape - Settled'!$E$4:$E$55,0),MATCH("Inclusion Date",'Loan Tape - Settled'!$B$4:$AP$4,0))</f>
        <v>44379</v>
      </c>
      <c r="BM13" s="509">
        <f>INDEX('Loan Tape - Settled'!$B$4:$AP$55,MATCH($A13,'Loan Tape - Settled'!$E$4:$E$55,0),MATCH("Maturity Date",'Loan Tape - Settled'!$B$4:$AP$4,0))</f>
        <v>46203</v>
      </c>
      <c r="BN13" s="510"/>
      <c r="BO13" s="510"/>
      <c r="BP13" s="511"/>
      <c r="BQ13" s="510"/>
      <c r="BR13" s="512" t="str">
        <f>INDEX('Loan Tape - Settled'!$B$4:$AP$55,MATCH($A13,'Loan Tape - Settled'!$E$4:$E$55,0),MATCH("Industry Classification",'Loan Tape - Settled'!$B$4:$AP$4,0))</f>
        <v>Construction &amp; Engineering</v>
      </c>
      <c r="BS13" s="510" t="str">
        <f>IF(INDEX('Loan Tape - Settled'!$B$4:$AP$55,MATCH($A13,'Loan Tape - Settled'!$E$4:$E$55,0),MATCH("Covenant Lite",'Loan Tape - Settled'!$B$4:$AP$4,0))=-1, "Yes", "No")</f>
        <v>No</v>
      </c>
      <c r="BT13" s="513">
        <f>INDEX('Loan Tape - Settled'!$B$4:$AP$55,MATCH($A13,'Loan Tape - Settled'!$E$4:$E$55,0),MATCH("Spread / Coupon (%)",'Loan Tape - Settled'!$B$4:$AP$4,0))</f>
        <v>9.0999999999999984E-2</v>
      </c>
      <c r="BU13" s="510" t="str">
        <f>IF(INDEX('Loan Tape - Settled'!$B$4:$AP$55,MATCH($A13,'Loan Tape - Settled'!$E$4:$E$55,0),MATCH("Security Type",'Loan Tape - Settled'!$B$4:$AP$4,0))="Delayed Draw Term Loan", "Yes", "No")</f>
        <v>No</v>
      </c>
      <c r="BV13" s="514" t="s">
        <v>244</v>
      </c>
      <c r="BW13" s="514" t="s">
        <v>244</v>
      </c>
      <c r="BX13" s="506" t="s">
        <v>244</v>
      </c>
      <c r="BY13" s="510" t="str">
        <f>IF(INDEX('Loan Tape - Settled'!$B$4:$AP$55,MATCH($A13,'Loan Tape - Settled'!$E$4:$E$55,0),MATCH("Fixed/Floating",'Loan Tape - Settled'!$B$4:$AP$4,0))="Fixed", "Yes", "No")</f>
        <v>No</v>
      </c>
      <c r="BZ13" s="514" t="s">
        <v>244</v>
      </c>
      <c r="CA13" s="514" t="s">
        <v>244</v>
      </c>
      <c r="CB13" s="510" t="str">
        <f>IF(INDEX('Loan Tape - Settled'!$B$4:$AP$55,MATCH($A13,'Loan Tape - Settled'!$E$4:$E$55,0),MATCH("Loan Denomination",'Loan Tape - Settled'!$B$4:$AP$4,0))="CAD", "Yes", "No")</f>
        <v>No</v>
      </c>
      <c r="CC13" s="510" t="str">
        <f>INDEX('Loan Tape - Settled'!$B$4:$AP$55,MATCH($A13,'Loan Tape - Settled'!$E$4:$E$55,0),MATCH("Payment Frequency",'Loan Tape - Settled'!$B$4:$AP$4,0))</f>
        <v>M</v>
      </c>
      <c r="CD13" s="514" t="s">
        <v>244</v>
      </c>
      <c r="CE13" s="510">
        <f>INDEX('Loan Tape - Settled'!$B$4:$AP$55,MATCH($A13,'Loan Tape - Settled'!$E$4:$E$55,0),MATCH("S&amp;P Loan Rating (if applicable)",'Loan Tape - Settled'!$B$4:$AP$4,0))</f>
        <v>0</v>
      </c>
      <c r="CF13" s="510">
        <f>INDEX('Loan Tape - Settled'!$B$4:$AP$55,MATCH($A13,'Loan Tape - Settled'!$E$4:$E$55,0),MATCH("Moody's Loan Rating (if applicable)",'Loan Tape - Settled'!$B$4:$AP$4,0))</f>
        <v>0</v>
      </c>
      <c r="CG13" s="510"/>
      <c r="CH13" s="510"/>
      <c r="CI13" s="515"/>
      <c r="CJ13" s="508" t="str">
        <f>INDEX('Loan Tape - Settled'!$B$4:$BF$55,MATCH($A13,'Loan Tape - Settled'!$E$4:$E$55,0),MATCH("Last Financial Received",'Loan Tape - Settled'!$B$4:$BF$4,0))</f>
        <v>9/30/2025 or Latest Financing</v>
      </c>
      <c r="CK13" s="516">
        <f>INDEX('Loan Tape - Settled'!$B$4:$BJ$55,MATCH($A13,'Loan Tape - Settled'!$E$4:$E$55,0),MATCH("Initial Adjusted TTM EBITDA",'Loan Tape - Settled'!$B$4:$BJ$4,0))</f>
        <v>12.63</v>
      </c>
      <c r="CL13" s="516">
        <f>INDEX('Loan Tape - Settled'!$B$4:$BJ$55,MATCH($A13,'Loan Tape - Settled'!$E$4:$E$55,0),MATCH("Initial TTM Non-adjusted EBITDA",'Loan Tape - Settled'!$B$4:$BJ$4,0))</f>
        <v>12.63</v>
      </c>
      <c r="CM13" s="417"/>
      <c r="CN13" s="418"/>
      <c r="CO13" s="418"/>
      <c r="CP13" s="419"/>
      <c r="CQ13" s="420" t="s">
        <v>245</v>
      </c>
      <c r="CR13" s="419"/>
      <c r="CS13" s="421">
        <f t="shared" si="19"/>
        <v>12.63</v>
      </c>
      <c r="CT13" s="422">
        <f t="shared" si="20"/>
        <v>0</v>
      </c>
      <c r="CU13" s="516">
        <f>INDEX('Loan Tape - Settled'!$B$4:$BJ$55,MATCH($A13,'Loan Tape - Settled'!$E$4:$E$55,0),MATCH("Current TTM Non-adjusted EBITDA",'Loan Tape - Settled'!$B$4:$BJ$4,0))</f>
        <v>20.861130502899961</v>
      </c>
      <c r="CV13" s="423">
        <f t="shared" si="21"/>
        <v>0</v>
      </c>
      <c r="CW13" s="652" t="s">
        <v>245</v>
      </c>
      <c r="CX13" s="517"/>
      <c r="CY13" s="658">
        <f t="shared" si="22"/>
        <v>20.861130502899961</v>
      </c>
      <c r="CZ13" s="656"/>
      <c r="DA13" s="518"/>
      <c r="DB13" s="519"/>
      <c r="DC13" s="853"/>
      <c r="DD13" s="853">
        <f>INDEX('Loan Tape - Settled'!$B$4:$BJ$55,MATCH($A13,'Loan Tape - Settled'!$E$4:$E$55,0),MATCH("Initial Senior Net Leverage Senior",'Loan Tape - Settled'!$B$4:$BJ$4,0))</f>
        <v>3.1256532066508309</v>
      </c>
      <c r="DE13" s="659">
        <f>INDEX('Loan Tape - Settled'!$B$4:$BJ$55,MATCH($A13,'Loan Tape - Settled'!$E$4:$E$55,0),MATCH("Initial Total Net Leverage",'Loan Tape - Settled'!$B$4:$BJ$4,0))</f>
        <v>3.1256532066508309</v>
      </c>
      <c r="DF13" s="656"/>
      <c r="DG13" s="518"/>
      <c r="DH13" s="519"/>
      <c r="DI13" s="424">
        <f>INDEX('Loan Tape - Settled'!$B$4:$BJ$55,MATCH($A13,'Loan Tape - Settled'!$E$4:$E$55,0),MATCH("Net Attachment",'Loan Tape - Settled'!$B$4:$BJ$4,0))</f>
        <v>-6.6972473510281849E-2</v>
      </c>
      <c r="DJ13" s="522">
        <f t="array" ref="DJ13">IF(AG13="Yes",INDEX(VAE!$M$5:$M$53,MATCH($B13&amp;$AJ13,VAE!$C$5:$C$53&amp;VAE!$G$5:$G$53,0)),DD13)</f>
        <v>3.1256532066508309</v>
      </c>
      <c r="DK13" s="649">
        <f t="array" ref="DK13">IF(AG13="Yes",INDEX(VAE!$N$5:$N$53,MATCH($B13&amp;$AJ13,VAE!$C$5:$C$53&amp;VAE!$G$5:$G$53,0)),DE13)</f>
        <v>3.1256532066508309</v>
      </c>
      <c r="DL13" s="651">
        <f>INDEX('Loan Tape - Settled'!$B$4:$BJ$55,MATCH($A13,'Loan Tape - Settled'!$E$4:$E$55,0),MATCH("Current Senior Net Leverage Senior",'Loan Tape - Settled'!$B$4:$BJ$4,0))</f>
        <v>3.8452376048892822</v>
      </c>
      <c r="DM13" s="433">
        <f>INDEX('Loan Tape - Settled'!$B$4:$BJ$55,MATCH($A13,'Loan Tape - Settled'!$E$4:$E$55,0),MATCH("Current Total Net Leverage",'Loan Tape - Settled'!$B$4:$BJ$4,0))</f>
        <v>3.8452376048892822</v>
      </c>
      <c r="DN13" s="425"/>
      <c r="DO13" s="426">
        <f>INDEX('Loan Tape - Settled'!$B$4:$BJ$55,MATCH($A13,'Loan Tape - Settled'!$E$4:$E$55,0),MATCH("Initial Interest Coverage",'Loan Tape - Settled'!$B$4:$BJ$4,0))</f>
        <v>3.01</v>
      </c>
      <c r="DP13" s="854">
        <f t="array" ref="DP13">IF(AG13="Yes",INDEX(VAE!$O$5:$O$53,MATCH($B13&amp;$AJ13,VAE!$C$5:$C$53&amp;VAE!$G$5:$G$53,0)),DO13)</f>
        <v>3.01</v>
      </c>
      <c r="DQ13" s="427">
        <f>INDEX('Loan Tape - Settled'!$B$4:$BJ$55,MATCH($A13,'Loan Tape - Settled'!$E$4:$E$55,0),MATCH("Current Interest Coverage",'Loan Tape - Settled'!$B$4:$BJ$4,0))</f>
        <v>2.1469958907310001</v>
      </c>
      <c r="DR13" s="855" t="str">
        <f t="shared" si="23"/>
        <v>No</v>
      </c>
      <c r="DS13" s="428" t="str">
        <f>IF(AG13="Yes",DATEDIF(AJ13,Availability!$F$8,"m"),"")</f>
        <v/>
      </c>
      <c r="DT13" s="428" t="str">
        <f t="shared" si="24"/>
        <v>No</v>
      </c>
      <c r="DU13" s="647" t="str">
        <f t="shared" si="25"/>
        <v>No</v>
      </c>
      <c r="DV13" s="648" t="str">
        <f t="shared" si="26"/>
        <v>No</v>
      </c>
      <c r="DW13" s="648" t="str">
        <f t="array" ref="DW13">_xlfn.IFS(D13&lt;&gt;"Second Lien","No",D13="Second Lien",IF(AND((DM13-DK13)&gt;0.5,DM13&gt;4.5),"Yes","No"))</f>
        <v>No</v>
      </c>
      <c r="DX13" s="685" t="s">
        <v>244</v>
      </c>
      <c r="DY13" s="685" t="s">
        <v>244</v>
      </c>
      <c r="DZ13" s="686" t="s">
        <v>244</v>
      </c>
      <c r="EA13" s="686" t="s">
        <v>244</v>
      </c>
      <c r="EB13" s="686" t="s">
        <v>244</v>
      </c>
      <c r="EC13" s="686" t="s">
        <v>244</v>
      </c>
      <c r="ED13" s="686" t="s">
        <v>244</v>
      </c>
      <c r="EE13" s="686" t="s">
        <v>244</v>
      </c>
      <c r="EF13" s="409" t="str">
        <f t="shared" si="27"/>
        <v>No</v>
      </c>
      <c r="EG13" s="686" t="s">
        <v>244</v>
      </c>
      <c r="EH13" s="691" t="s">
        <v>244</v>
      </c>
      <c r="EI13" s="856" t="str">
        <f t="array" ref="EI13">IF(D13="First Lien",_xlfn.IFS(CY13&gt;AGENT!$B$23, "&gt; $20MM",CY13&lt;=AGENT!$C$25, "&lt;= $10MM",AND(CY13&lt;=AGENT!$C$24,CY13&gt;AGENT!$B$24),"&lt;= $20MM"), "N/A")</f>
        <v>&gt; $20MM</v>
      </c>
      <c r="EJ13" s="856" t="str">
        <f t="array" ref="EJ13">IF(D13="FILO",_xlfn.IFS(DI13&gt;AGENT!$B$29, "&gt; 1.25x",DI13&lt;AGENT!$C$27, "&lt; 0.75x",AND(DI13&lt;=AGENT!$C$28,DI13&gt;=AGENT!$B$28),"&lt;= 1.25x"), "N/A")</f>
        <v>N/A</v>
      </c>
      <c r="EK13" s="429">
        <f t="shared" si="28"/>
        <v>4023228.1043379111</v>
      </c>
      <c r="EL13" s="429">
        <f>'Concentration Limits'!$J$49</f>
        <v>49599340.729726665</v>
      </c>
      <c r="EM13" s="429" t="str">
        <f>IF(OR(D13="Second Lien",AND(D13="FILO",DI13&gt;AGENT!$C$57)), "Yes", "No")</f>
        <v>No</v>
      </c>
      <c r="EN13" s="429">
        <f t="shared" si="29"/>
        <v>0</v>
      </c>
      <c r="EO13" s="429">
        <f t="shared" si="30"/>
        <v>0</v>
      </c>
      <c r="EP13" s="429">
        <f t="shared" si="31"/>
        <v>4023228.1043379111</v>
      </c>
      <c r="EQ13" s="429">
        <f>'Concentration Limits'!$J$50</f>
        <v>24799670.364863332</v>
      </c>
      <c r="ER13" s="429">
        <f t="shared" si="32"/>
        <v>0</v>
      </c>
      <c r="ES13" s="429">
        <f t="shared" si="84"/>
        <v>0</v>
      </c>
      <c r="ET13" s="429">
        <f t="shared" si="33"/>
        <v>4023228.1043379111</v>
      </c>
      <c r="EU13" s="429">
        <f>'Concentration Limits'!$J$51</f>
        <v>74399011.094589993</v>
      </c>
      <c r="EV13" s="429" t="str">
        <f>IF(OR(D13="Second Lien", AND(D13="FILO",DI13&gt;AGENT!$C$59)), "Yes", "No")</f>
        <v>No</v>
      </c>
      <c r="EW13" s="429">
        <f t="shared" si="34"/>
        <v>0</v>
      </c>
      <c r="EX13" s="429">
        <f t="shared" si="35"/>
        <v>0</v>
      </c>
      <c r="EY13" s="429">
        <f t="shared" si="36"/>
        <v>4023228.1043379111</v>
      </c>
      <c r="EZ13" s="429">
        <f>'Concentration Limits'!$J$52</f>
        <v>37199505.547294997</v>
      </c>
      <c r="FA13" s="429" t="str">
        <f>IF(CY13&gt;'Concentration Limits'!$E$52, "No", "Yes")</f>
        <v>No</v>
      </c>
      <c r="FB13" s="429">
        <f t="shared" si="37"/>
        <v>0</v>
      </c>
      <c r="FC13" s="429">
        <f t="shared" si="38"/>
        <v>0</v>
      </c>
      <c r="FD13" s="429">
        <f t="shared" si="39"/>
        <v>4023228.1043379111</v>
      </c>
      <c r="FE13" s="430">
        <f>'Concentration Limits'!$J$54</f>
        <v>247996703.6486333</v>
      </c>
      <c r="FF13" s="430">
        <f>'Concentration Limits'!$J$55</f>
        <v>247996703.6486333</v>
      </c>
      <c r="FG13" s="430">
        <f>'Concentration Limits'!$J$56</f>
        <v>247996703.6486333</v>
      </c>
      <c r="FH13" s="431">
        <f>'Concentration Limits'!$J$57</f>
        <v>18599752.773647498</v>
      </c>
      <c r="FI13" s="431">
        <f t="shared" si="40"/>
        <v>4023228.1043379111</v>
      </c>
      <c r="FJ13" s="431">
        <f t="shared" si="41"/>
        <v>4023228.1043379111</v>
      </c>
      <c r="FK13" s="431">
        <f t="shared" si="42"/>
        <v>24</v>
      </c>
      <c r="FL13" s="431">
        <f>IF(FJ13&gt;0,RANK(FJ13,$FJ$9:$FJ$60)+COUNTIF($FJ$9:FJ13,FJ13)-1,0)</f>
        <v>24</v>
      </c>
      <c r="FM13" s="430">
        <f t="shared" si="43"/>
        <v>0</v>
      </c>
      <c r="FN13" s="430">
        <f t="shared" si="44"/>
        <v>0</v>
      </c>
      <c r="FO13" s="430">
        <f t="shared" si="45"/>
        <v>0</v>
      </c>
      <c r="FP13" s="431">
        <f t="shared" si="46"/>
        <v>0</v>
      </c>
      <c r="FQ13" s="431">
        <f t="shared" si="47"/>
        <v>4023228.1043379111</v>
      </c>
      <c r="FR13" s="431">
        <f>'Concentration Limits'!$J$58</f>
        <v>49599340.729726665</v>
      </c>
      <c r="FS13" s="431">
        <f t="shared" si="48"/>
        <v>46042971.865242489</v>
      </c>
      <c r="FT13" s="431">
        <f>VLOOKUP(BR13,'Concentration Limits'!$E$81:$H$153,4,FALSE)</f>
        <v>1</v>
      </c>
      <c r="FU13" s="431">
        <f t="shared" si="49"/>
        <v>0</v>
      </c>
      <c r="FV13" s="431">
        <f t="shared" si="50"/>
        <v>4023228.1043379111</v>
      </c>
      <c r="FW13" s="431">
        <f>'Concentration Limits'!$J$59</f>
        <v>37199505.547294997</v>
      </c>
      <c r="FX13" s="431">
        <f t="shared" si="51"/>
        <v>46042971.865242489</v>
      </c>
      <c r="FY13" s="431">
        <f>VLOOKUP(BR13,'Concentration Limits'!$E$81:$H$153,4,FALSE)</f>
        <v>1</v>
      </c>
      <c r="FZ13" s="431">
        <f t="shared" si="52"/>
        <v>0</v>
      </c>
      <c r="GA13" s="431">
        <f t="shared" si="53"/>
        <v>4023228.1043379111</v>
      </c>
      <c r="GB13" s="431">
        <f>'Concentration Limits'!$J$61</f>
        <v>24799670.364863332</v>
      </c>
      <c r="GC13" s="431">
        <f t="shared" si="54"/>
        <v>46042971.865242489</v>
      </c>
      <c r="GD13" s="429">
        <f>VLOOKUP(BR13,'Concentration Limits'!$E$81:$H$153,4,FALSE)</f>
        <v>1</v>
      </c>
      <c r="GE13" s="431">
        <f t="shared" si="55"/>
        <v>0</v>
      </c>
      <c r="GF13" s="431">
        <f t="shared" si="56"/>
        <v>4023228.1043379111</v>
      </c>
      <c r="GG13" s="431">
        <f>'Concentration Limits'!$J$64</f>
        <v>24799670.364863332</v>
      </c>
      <c r="GH13" s="431">
        <f t="shared" si="57"/>
        <v>0</v>
      </c>
      <c r="GI13" s="431">
        <f t="shared" si="58"/>
        <v>0</v>
      </c>
      <c r="GJ13" s="431">
        <f t="shared" si="59"/>
        <v>4023228.1043379111</v>
      </c>
      <c r="GK13" s="431">
        <f>'Concentration Limits'!$J$67</f>
        <v>24799670.364863332</v>
      </c>
      <c r="GL13" s="429" t="str">
        <f t="shared" si="60"/>
        <v>No</v>
      </c>
      <c r="GM13" s="431">
        <f t="shared" si="61"/>
        <v>0</v>
      </c>
      <c r="GN13" s="431">
        <f t="shared" si="62"/>
        <v>0</v>
      </c>
      <c r="GO13" s="431">
        <f t="shared" si="63"/>
        <v>4023228.1043379111</v>
      </c>
      <c r="GP13" s="431">
        <f>'Concentration Limits'!$J$68</f>
        <v>37199505.547294997</v>
      </c>
      <c r="GQ13" s="429" t="str">
        <f t="shared" si="64"/>
        <v>No</v>
      </c>
      <c r="GR13" s="431">
        <f t="shared" si="65"/>
        <v>0</v>
      </c>
      <c r="GS13" s="431">
        <f t="shared" si="66"/>
        <v>0</v>
      </c>
      <c r="GT13" s="431">
        <f t="shared" si="67"/>
        <v>4023228.1043379111</v>
      </c>
      <c r="GU13" s="429">
        <f>'Concentration Limits'!$J$69</f>
        <v>37199505.547294997</v>
      </c>
      <c r="GV13" s="429" t="str">
        <f t="shared" si="68"/>
        <v>No</v>
      </c>
      <c r="GW13" s="429">
        <f t="shared" si="69"/>
        <v>0</v>
      </c>
      <c r="GX13" s="429">
        <f t="shared" si="70"/>
        <v>0</v>
      </c>
      <c r="GY13" s="429">
        <f t="shared" si="71"/>
        <v>4023228.1043379111</v>
      </c>
      <c r="GZ13" s="429">
        <f>'Concentration Limits'!$J$70</f>
        <v>24799670.364863332</v>
      </c>
      <c r="HA13" s="429" t="str">
        <f t="shared" si="72"/>
        <v>No</v>
      </c>
      <c r="HB13" s="429">
        <f t="shared" si="73"/>
        <v>0</v>
      </c>
      <c r="HC13" s="429">
        <f t="shared" si="74"/>
        <v>0</v>
      </c>
      <c r="HD13" s="429">
        <f t="shared" si="75"/>
        <v>4023228.1043379111</v>
      </c>
      <c r="HE13" s="431">
        <f t="shared" si="76"/>
        <v>4023228.1043379111</v>
      </c>
      <c r="HF13" s="431">
        <f t="shared" si="77"/>
        <v>0</v>
      </c>
      <c r="HG13" s="431">
        <f t="shared" si="78"/>
        <v>0</v>
      </c>
      <c r="HH13" s="431">
        <f t="shared" si="79"/>
        <v>0</v>
      </c>
      <c r="HI13" s="431">
        <f>IF(BE13=0,0,#REF!*BE13/(BE13+BG13))</f>
        <v>0</v>
      </c>
      <c r="HJ13" s="431">
        <f>IF(BG13=0,0,#REF!*BG13/(BG13+BE13))</f>
        <v>0</v>
      </c>
      <c r="HK13" s="857">
        <f>IF(BF13=0,0,#REF!*BF13/(BF13+BH13))</f>
        <v>0</v>
      </c>
      <c r="HL13" s="431">
        <f>IF(BH13=0,0,#REF!*BH13/(BH13+BF13))</f>
        <v>0</v>
      </c>
      <c r="HM13" s="431">
        <f t="shared" si="80"/>
        <v>0</v>
      </c>
      <c r="HN13" s="431" t="b">
        <f t="shared" si="81"/>
        <v>1</v>
      </c>
    </row>
    <row r="14" spans="1:223" s="432" customFormat="1" ht="12.75" customHeight="1" x14ac:dyDescent="0.35">
      <c r="A14" s="49">
        <f t="shared" si="82"/>
        <v>6</v>
      </c>
      <c r="B14" s="404" t="str">
        <f>INDEX('Loan Tape - Settled'!$B$4:$AP$55,MATCH($A14,'Loan Tape - Settled'!$E$4:$E$55,0),MATCH("Obligor Name",'Loan Tape - Settled'!$B$4:$AM$4,0))</f>
        <v>Acara Home Health</v>
      </c>
      <c r="C14" s="404" t="str">
        <f>INDEX('Loan Tape - Settled'!$B$4:$AP$55,MATCH($A14,'Loan Tape - Settled'!$E$4:$E$55,0),MATCH("Security",'Loan Tape - Settled'!$B$4:$AM$4,0))</f>
        <v>1st Lien</v>
      </c>
      <c r="D14" s="405" t="str">
        <f>INDEX('Loan Tape - Settled'!$B$4:$AP$55,MATCH($A14,'Loan Tape - Settled'!$E$4:$E$55,0),MATCH("Loan Type",'Loan Tape - Settled'!$B$4:$AM$4,0))</f>
        <v>First Lien</v>
      </c>
      <c r="E14" s="406" t="b">
        <f>IF(ISERROR(MATCH(D14,AGENT!$A$4:$A$10,0))=FALSE, TRUE)</f>
        <v>1</v>
      </c>
      <c r="F14" s="406" t="b">
        <f t="shared" si="0"/>
        <v>1</v>
      </c>
      <c r="G14" s="406" t="b">
        <f>IF(D14&lt;&gt;"Second Lien",TRUE, IF(CY14&gt;=AGENT!$B$4,TRUE))</f>
        <v>1</v>
      </c>
      <c r="H14" s="406" t="b">
        <f>IF(DE14&lt;=AGENT!$D$4,TRUE)</f>
        <v>1</v>
      </c>
      <c r="I14" s="406" t="b">
        <f>IF(VLOOKUP(CONCATENATE($A$5,A14),'Loan Tape - Settled'!$A$5:$Q$55,17,FALSE)&gt;=AGENT!$E$4,TRUE)</f>
        <v>1</v>
      </c>
      <c r="J14" s="406" t="b">
        <f>IF(INDEX('Loan Tape - Settled'!$B$4:$AP$55,MATCH($A14,'Loan Tape - Settled'!$E$4:$E$55,0),MATCH("Loan Denomination",'Loan Tape - Settled'!$B$4:$AP$4,0))="USD", TRUE)</f>
        <v>1</v>
      </c>
      <c r="K14" s="406" t="b">
        <f>IF(INDEX('Loan Tape - Settled'!$B$4:$AP$55,MATCH($A14,'Loan Tape - Settled'!$E$4:$E$55,0),MATCH("Exposure Country",'Loan Tape - Settled'!$B$4:$AP$4,0))="United States", TRUE)</f>
        <v>1</v>
      </c>
      <c r="L14" s="406" t="b">
        <f t="shared" si="1"/>
        <v>1</v>
      </c>
      <c r="M14" s="406" t="b">
        <f>IF(((BM14-BL14)/365)&lt;=AGENT!$F$4,TRUE)</f>
        <v>1</v>
      </c>
      <c r="N14" s="406" t="b">
        <f t="shared" si="2"/>
        <v>0</v>
      </c>
      <c r="O14" s="453"/>
      <c r="P14" s="709" t="str">
        <f t="shared" si="3"/>
        <v>No</v>
      </c>
      <c r="Q14" s="680" t="s">
        <v>243</v>
      </c>
      <c r="R14" s="407" t="str">
        <f t="shared" si="4"/>
        <v>N/A</v>
      </c>
      <c r="S14" s="407"/>
      <c r="T14" s="408" t="str">
        <f t="array" ref="T14">_xlfn.IFS(D14="Second Lien",D14,D14="First Lien",CONCATENATE(D14," ",EI14),D14="FILO",CONCATENATE(D14," ",EJ14))</f>
        <v>First Lien &lt;= $10MM</v>
      </c>
      <c r="U14" s="409">
        <f>VLOOKUP(T14,'Concentration Limits'!D:G,4,FALSE)</f>
        <v>0.625</v>
      </c>
      <c r="V14" s="410">
        <f t="shared" si="5"/>
        <v>0</v>
      </c>
      <c r="W14" s="448">
        <f>(SUMIFS('Loan Tape - Settled'!$AR$4:$AR$55,'Loan Tape - Settled'!$E$4:$E$55,$A14,'Loan Tape - Settled'!$C$4:$C$55,$A$5))</f>
        <v>779350.25633087603</v>
      </c>
      <c r="X14" s="449">
        <v>1</v>
      </c>
      <c r="Y14" s="411">
        <f t="shared" si="6"/>
        <v>779350.25633087603</v>
      </c>
      <c r="Z14" s="449">
        <f>(SUMIFS('Loan Tape - Settled'!$AQ$4:$AQ$55,'Loan Tape - Settled'!$E$4:$E$55,$A14,'Loan Tape - Settled'!$C$4:$C$55,$A$5))</f>
        <v>779350.25633087603</v>
      </c>
      <c r="AA14" s="411">
        <f t="shared" si="7"/>
        <v>779350.25633087603</v>
      </c>
      <c r="AB14" s="411">
        <f t="shared" si="8"/>
        <v>0</v>
      </c>
      <c r="AC14" s="450">
        <f>VLOOKUP(CONCATENATE($A$5,A14),'Loan Tape - Settled'!$A$5:$Q$55,17,FALSE)</f>
        <v>1</v>
      </c>
      <c r="AD14" s="412"/>
      <c r="AE14" s="413">
        <f>INDEX('Loan Tape - Settled'!$B$4:$AP$55,MATCH($A14,'Loan Tape - Settled'!$E$4:$E$55,0),MATCH("FMV",'Loan Tape - Settled'!$B$4:$AM$4,0))</f>
        <v>0.92765000000000009</v>
      </c>
      <c r="AF14" s="413">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0</v>
      </c>
      <c r="AG14" s="414" t="str">
        <f>IF(COUNTIFS(VAE!$C$5:$C$96,B14,VAE!$G$5:$G$96,"&lt;="&amp;Availability!$F$8)&gt;=1,"Yes","-")</f>
        <v>Yes</v>
      </c>
      <c r="AH14" s="414" t="str">
        <f t="array" ref="AH14">IFERROR(IF(AG14="Yes",INDEX(VAE!$D$5:$D$96,MATCH(B14&amp;AJ14,VAE!$C$5:$C$96&amp;VAE!$G$5:$G$96,0)),"-"),0)</f>
        <v>Increase in Lev</v>
      </c>
      <c r="AI14" s="414" t="str">
        <f t="array" ref="AI14">IFERROR(IF(AG14="Yes",INDEX(VAE!$F$5:$F$96,MATCH(B14&amp;AJ14,VAE!$C$5:$C$96&amp;VAE!$G$5:$G$96,0)),"-"),0)</f>
        <v>n/a</v>
      </c>
      <c r="AJ14" s="415">
        <f>IF(AG14="-","-",_xlfn.MAXIFS(VAE!$G$5:$G$96,VAE!$C$5:$C$96,$B14))</f>
        <v>45107</v>
      </c>
      <c r="AK14" s="416">
        <f t="array" ref="AK14">IFERROR(IF(AG14="Yes",INDEX(VAE!$P$5:$P$96,MATCH(B14&amp;AJ14,VAE!$C$5:$C$96&amp;VAE!$G$5:$G$96,0)),"-"),0)</f>
        <v>0</v>
      </c>
      <c r="AL14" s="413">
        <f t="shared" si="9"/>
        <v>0</v>
      </c>
      <c r="AM14" s="410"/>
      <c r="AN14" s="410"/>
      <c r="AO14" s="410">
        <f t="shared" si="10"/>
        <v>0</v>
      </c>
      <c r="AP14" s="410">
        <f t="shared" si="11"/>
        <v>779350.25633087603</v>
      </c>
      <c r="AQ14" s="410">
        <f t="shared" si="83"/>
        <v>0</v>
      </c>
      <c r="AR14" s="410"/>
      <c r="AS14" s="410"/>
      <c r="AT14" s="410"/>
      <c r="AU14" s="410">
        <f t="shared" si="12"/>
        <v>0</v>
      </c>
      <c r="AV14" s="410">
        <f t="shared" si="13"/>
        <v>0</v>
      </c>
      <c r="AW14" s="410">
        <f t="shared" si="14"/>
        <v>0</v>
      </c>
      <c r="AX14" s="410"/>
      <c r="AY14" s="410"/>
      <c r="AZ14" s="410"/>
      <c r="BA14" s="410">
        <f t="shared" si="15"/>
        <v>0</v>
      </c>
      <c r="BB14" s="410"/>
      <c r="BC14" s="410"/>
      <c r="BD14" s="410">
        <f t="shared" si="16"/>
        <v>0</v>
      </c>
      <c r="BE14" s="410"/>
      <c r="BF14" s="410"/>
      <c r="BG14" s="410"/>
      <c r="BH14" s="410"/>
      <c r="BI14" s="410">
        <f t="shared" si="17"/>
        <v>0</v>
      </c>
      <c r="BJ14" s="410" t="b">
        <f t="shared" si="18"/>
        <v>1</v>
      </c>
      <c r="BK14" s="509">
        <f>INDEX('Loan Tape - Settled'!$B$4:$AP$55,MATCH($A14,'Loan Tape - Settled'!$E$4:$E$55,0),MATCH("Inception Date",'Loan Tape - Settled'!$B$4:$AP$4,0))</f>
        <v>44274</v>
      </c>
      <c r="BL14" s="509">
        <f>INDEX('Loan Tape - Settled'!$B$4:$AP$55,MATCH($A14,'Loan Tape - Settled'!$E$4:$E$55,0),MATCH("Inclusion Date",'Loan Tape - Settled'!$B$4:$AP$4,0))</f>
        <v>44379</v>
      </c>
      <c r="BM14" s="509">
        <f>INDEX('Loan Tape - Settled'!$B$4:$AP$55,MATCH($A14,'Loan Tape - Settled'!$E$4:$E$55,0),MATCH("Maturity Date",'Loan Tape - Settled'!$B$4:$AP$4,0))</f>
        <v>46100</v>
      </c>
      <c r="BN14" s="510"/>
      <c r="BO14" s="510"/>
      <c r="BP14" s="511"/>
      <c r="BQ14" s="510"/>
      <c r="BR14" s="512" t="str">
        <f>INDEX('Loan Tape - Settled'!$B$4:$AP$55,MATCH($A14,'Loan Tape - Settled'!$E$4:$E$55,0),MATCH("Industry Classification",'Loan Tape - Settled'!$B$4:$AP$4,0))</f>
        <v>Health Care Providers &amp; Services</v>
      </c>
      <c r="BS14" s="510" t="str">
        <f>IF(INDEX('Loan Tape - Settled'!$B$4:$AP$55,MATCH($A14,'Loan Tape - Settled'!$E$4:$E$55,0),MATCH("Covenant Lite",'Loan Tape - Settled'!$B$4:$AP$4,0))=-1, "Yes", "No")</f>
        <v>No</v>
      </c>
      <c r="BT14" s="513">
        <f>INDEX('Loan Tape - Settled'!$B$4:$AP$55,MATCH($A14,'Loan Tape - Settled'!$E$4:$E$55,0),MATCH("Spread / Coupon (%)",'Loan Tape - Settled'!$B$4:$AP$4,0))</f>
        <v>8.5000000000000006E-2</v>
      </c>
      <c r="BU14" s="510" t="str">
        <f>IF(INDEX('Loan Tape - Settled'!$B$4:$AP$55,MATCH($A14,'Loan Tape - Settled'!$E$4:$E$55,0),MATCH("Security Type",'Loan Tape - Settled'!$B$4:$AP$4,0))="Delayed Draw Term Loan", "Yes", "No")</f>
        <v>No</v>
      </c>
      <c r="BV14" s="514" t="s">
        <v>244</v>
      </c>
      <c r="BW14" s="514" t="s">
        <v>244</v>
      </c>
      <c r="BX14" s="506" t="s">
        <v>244</v>
      </c>
      <c r="BY14" s="510" t="str">
        <f>IF(INDEX('Loan Tape - Settled'!$B$4:$AP$55,MATCH($A14,'Loan Tape - Settled'!$E$4:$E$55,0),MATCH("Fixed/Floating",'Loan Tape - Settled'!$B$4:$AP$4,0))="Fixed", "Yes", "No")</f>
        <v>No</v>
      </c>
      <c r="BZ14" s="514" t="s">
        <v>244</v>
      </c>
      <c r="CA14" s="514" t="s">
        <v>244</v>
      </c>
      <c r="CB14" s="510" t="str">
        <f>IF(INDEX('Loan Tape - Settled'!$B$4:$AP$55,MATCH($A14,'Loan Tape - Settled'!$E$4:$E$55,0),MATCH("Loan Denomination",'Loan Tape - Settled'!$B$4:$AP$4,0))="CAD", "Yes", "No")</f>
        <v>No</v>
      </c>
      <c r="CC14" s="510" t="str">
        <f>INDEX('Loan Tape - Settled'!$B$4:$AP$55,MATCH($A14,'Loan Tape - Settled'!$E$4:$E$55,0),MATCH("Payment Frequency",'Loan Tape - Settled'!$B$4:$AP$4,0))</f>
        <v>M</v>
      </c>
      <c r="CD14" s="514" t="s">
        <v>244</v>
      </c>
      <c r="CE14" s="510">
        <f>INDEX('Loan Tape - Settled'!$B$4:$AP$55,MATCH($A14,'Loan Tape - Settled'!$E$4:$E$55,0),MATCH("S&amp;P Loan Rating (if applicable)",'Loan Tape - Settled'!$B$4:$AP$4,0))</f>
        <v>0</v>
      </c>
      <c r="CF14" s="510">
        <f>INDEX('Loan Tape - Settled'!$B$4:$AP$55,MATCH($A14,'Loan Tape - Settled'!$E$4:$E$55,0),MATCH("Moody's Loan Rating (if applicable)",'Loan Tape - Settled'!$B$4:$AP$4,0))</f>
        <v>0</v>
      </c>
      <c r="CG14" s="510"/>
      <c r="CH14" s="510"/>
      <c r="CI14" s="515"/>
      <c r="CJ14" s="508" t="str">
        <f>INDEX('Loan Tape - Settled'!$B$4:$BF$55,MATCH($A14,'Loan Tape - Settled'!$E$4:$E$55,0),MATCH("Last Financial Received",'Loan Tape - Settled'!$B$4:$BF$4,0))</f>
        <v>9/30/2025 or Latest Financing</v>
      </c>
      <c r="CK14" s="516">
        <f>INDEX('Loan Tape - Settled'!$B$4:$BJ$55,MATCH($A14,'Loan Tape - Settled'!$E$4:$E$55,0),MATCH("Initial Adjusted TTM EBITDA",'Loan Tape - Settled'!$B$4:$BJ$4,0))</f>
        <v>10.016</v>
      </c>
      <c r="CL14" s="516">
        <f>INDEX('Loan Tape - Settled'!$B$4:$BJ$55,MATCH($A14,'Loan Tape - Settled'!$E$4:$E$55,0),MATCH("Initial TTM Non-adjusted EBITDA",'Loan Tape - Settled'!$B$4:$BJ$4,0))</f>
        <v>10.016</v>
      </c>
      <c r="CM14" s="417"/>
      <c r="CN14" s="418"/>
      <c r="CO14" s="418"/>
      <c r="CP14" s="419"/>
      <c r="CQ14" s="420" t="s">
        <v>245</v>
      </c>
      <c r="CR14" s="419"/>
      <c r="CS14" s="421">
        <f t="shared" si="19"/>
        <v>10.016</v>
      </c>
      <c r="CT14" s="422">
        <f t="shared" si="20"/>
        <v>0</v>
      </c>
      <c r="CU14" s="516">
        <f>INDEX('Loan Tape - Settled'!$B$4:$BJ$55,MATCH($A14,'Loan Tape - Settled'!$E$4:$E$55,0),MATCH("Current TTM Non-adjusted EBITDA",'Loan Tape - Settled'!$B$4:$BJ$4,0))</f>
        <v>2.191390850000027</v>
      </c>
      <c r="CV14" s="423">
        <f t="shared" si="21"/>
        <v>0</v>
      </c>
      <c r="CW14" s="652" t="s">
        <v>245</v>
      </c>
      <c r="CX14" s="517"/>
      <c r="CY14" s="658">
        <f t="shared" si="22"/>
        <v>2.191390850000027</v>
      </c>
      <c r="CZ14" s="656"/>
      <c r="DA14" s="518"/>
      <c r="DB14" s="519"/>
      <c r="DC14" s="853"/>
      <c r="DD14" s="853">
        <f>INDEX('Loan Tape - Settled'!$B$4:$BJ$55,MATCH($A14,'Loan Tape - Settled'!$E$4:$E$55,0),MATCH("Initial Senior Net Leverage Senior",'Loan Tape - Settled'!$B$4:$BJ$4,0))</f>
        <v>3.6315514681212</v>
      </c>
      <c r="DE14" s="659">
        <f>INDEX('Loan Tape - Settled'!$B$4:$BJ$55,MATCH($A14,'Loan Tape - Settled'!$E$4:$E$55,0),MATCH("Initial Total Net Leverage",'Loan Tape - Settled'!$B$4:$BJ$4,0))</f>
        <v>3.6315514681212</v>
      </c>
      <c r="DF14" s="656"/>
      <c r="DG14" s="518"/>
      <c r="DH14" s="519"/>
      <c r="DI14" s="424">
        <f>INDEX('Loan Tape - Settled'!$B$4:$BJ$55,MATCH($A14,'Loan Tape - Settled'!$E$4:$E$55,0),MATCH("Net Attachment",'Loan Tape - Settled'!$B$4:$BJ$4,0))</f>
        <v>2.1392782694953398</v>
      </c>
      <c r="DJ14" s="522">
        <f t="array" ref="DJ14">IF(AG14="Yes",INDEX(VAE!$M$5:$M$53,MATCH($B14&amp;$AJ14,VAE!$C$5:$C$53&amp;VAE!$G$5:$G$53,0)),DD14)</f>
        <v>4.8297076657360858</v>
      </c>
      <c r="DK14" s="649">
        <f t="array" ref="DK14">IF(AG14="Yes",INDEX(VAE!$N$5:$N$53,MATCH($B14&amp;$AJ14,VAE!$C$5:$C$53&amp;VAE!$G$5:$G$53,0)),DE14)</f>
        <v>4.8297076657360858</v>
      </c>
      <c r="DL14" s="651">
        <f>INDEX('Loan Tape - Settled'!$B$4:$BJ$55,MATCH($A14,'Loan Tape - Settled'!$E$4:$E$55,0),MATCH("Current Senior Net Leverage Senior",'Loan Tape - Settled'!$B$4:$BJ$4,0))</f>
        <v>18.376046076572077</v>
      </c>
      <c r="DM14" s="433">
        <f>INDEX('Loan Tape - Settled'!$B$4:$BJ$55,MATCH($A14,'Loan Tape - Settled'!$E$4:$E$55,0),MATCH("Current Total Net Leverage",'Loan Tape - Settled'!$B$4:$BJ$4,0))</f>
        <v>18.376046076572077</v>
      </c>
      <c r="DN14" s="425"/>
      <c r="DO14" s="426">
        <f>INDEX('Loan Tape - Settled'!$B$4:$BJ$55,MATCH($A14,'Loan Tape - Settled'!$E$4:$E$55,0),MATCH("Initial Interest Coverage",'Loan Tape - Settled'!$B$4:$BJ$4,0))</f>
        <v>3.3</v>
      </c>
      <c r="DP14" s="854">
        <f t="array" ref="DP14">IF(AG14="Yes",INDEX(VAE!$O$5:$O$53,MATCH($B14&amp;$AJ14,VAE!$C$5:$C$53&amp;VAE!$G$5:$G$53,0)),DO14)</f>
        <v>3.3</v>
      </c>
      <c r="DQ14" s="427">
        <f>INDEX('Loan Tape - Settled'!$B$4:$BJ$55,MATCH($A14,'Loan Tape - Settled'!$E$4:$E$55,0),MATCH("Current Interest Coverage",'Loan Tape - Settled'!$B$4:$BJ$4,0))</f>
        <v>0.49349849724</v>
      </c>
      <c r="DR14" s="855" t="str">
        <f t="shared" si="23"/>
        <v>Yes</v>
      </c>
      <c r="DS14" s="428">
        <f>IF(AG14="Yes",DATEDIF(AJ14,Availability!$F$8,"m"),"")</f>
        <v>30</v>
      </c>
      <c r="DT14" s="428" t="str">
        <f t="shared" si="24"/>
        <v>Yes</v>
      </c>
      <c r="DU14" s="647" t="str">
        <f t="shared" si="25"/>
        <v>Yes</v>
      </c>
      <c r="DV14" s="648" t="str">
        <f t="shared" si="26"/>
        <v>Yes</v>
      </c>
      <c r="DW14" s="648" t="str">
        <f t="array" ref="DW14">_xlfn.IFS(D14&lt;&gt;"Second Lien","No",D14="Second Lien",IF(AND((DM14-DK14)&gt;0.5,DM14&gt;4.5),"Yes","No"))</f>
        <v>No</v>
      </c>
      <c r="DX14" s="685" t="s">
        <v>243</v>
      </c>
      <c r="DY14" s="685" t="s">
        <v>244</v>
      </c>
      <c r="DZ14" s="686" t="s">
        <v>243</v>
      </c>
      <c r="EA14" s="686" t="s">
        <v>243</v>
      </c>
      <c r="EB14" s="686" t="s">
        <v>243</v>
      </c>
      <c r="EC14" s="686" t="s">
        <v>244</v>
      </c>
      <c r="ED14" s="686" t="s">
        <v>244</v>
      </c>
      <c r="EE14" s="686" t="s">
        <v>244</v>
      </c>
      <c r="EF14" s="409" t="str">
        <f t="shared" si="27"/>
        <v>Yes</v>
      </c>
      <c r="EG14" s="686" t="s">
        <v>244</v>
      </c>
      <c r="EH14" s="691" t="s">
        <v>244</v>
      </c>
      <c r="EI14" s="856" t="str">
        <f t="array" ref="EI14">IF(D14="First Lien",_xlfn.IFS(CY14&gt;AGENT!$B$23, "&gt; $20MM",CY14&lt;=AGENT!$C$25, "&lt;= $10MM",AND(CY14&lt;=AGENT!$C$24,CY14&gt;AGENT!$B$24),"&lt;= $20MM"), "N/A")</f>
        <v>&lt;= $10MM</v>
      </c>
      <c r="EJ14" s="856" t="str">
        <f t="array" ref="EJ14">IF(D14="FILO",_xlfn.IFS(DI14&gt;AGENT!$B$29, "&gt; 1.25x",DI14&lt;AGENT!$C$27, "&lt; 0.75x",AND(DI14&lt;=AGENT!$C$28,DI14&gt;=AGENT!$B$28),"&lt;= 1.25x"), "N/A")</f>
        <v>N/A</v>
      </c>
      <c r="EK14" s="429">
        <f t="shared" si="28"/>
        <v>0</v>
      </c>
      <c r="EL14" s="429">
        <f>'Concentration Limits'!$J$49</f>
        <v>49599340.729726665</v>
      </c>
      <c r="EM14" s="429" t="str">
        <f>IF(OR(D14="Second Lien",AND(D14="FILO",DI14&gt;AGENT!$C$57)), "Yes", "No")</f>
        <v>No</v>
      </c>
      <c r="EN14" s="429">
        <f t="shared" si="29"/>
        <v>0</v>
      </c>
      <c r="EO14" s="429">
        <f t="shared" si="30"/>
        <v>0</v>
      </c>
      <c r="EP14" s="429">
        <f t="shared" si="31"/>
        <v>0</v>
      </c>
      <c r="EQ14" s="429">
        <f>'Concentration Limits'!$J$50</f>
        <v>24799670.364863332</v>
      </c>
      <c r="ER14" s="429">
        <f t="shared" si="32"/>
        <v>0</v>
      </c>
      <c r="ES14" s="429">
        <f t="shared" si="84"/>
        <v>0</v>
      </c>
      <c r="ET14" s="429">
        <f t="shared" si="33"/>
        <v>0</v>
      </c>
      <c r="EU14" s="429">
        <f>'Concentration Limits'!$J$51</f>
        <v>74399011.094589993</v>
      </c>
      <c r="EV14" s="429" t="str">
        <f>IF(OR(D14="Second Lien", AND(D14="FILO",DI14&gt;AGENT!$C$59)), "Yes", "No")</f>
        <v>No</v>
      </c>
      <c r="EW14" s="429">
        <f t="shared" si="34"/>
        <v>0</v>
      </c>
      <c r="EX14" s="429">
        <f t="shared" si="35"/>
        <v>0</v>
      </c>
      <c r="EY14" s="429">
        <f t="shared" si="36"/>
        <v>0</v>
      </c>
      <c r="EZ14" s="429">
        <f>'Concentration Limits'!$J$52</f>
        <v>37199505.547294997</v>
      </c>
      <c r="FA14" s="429" t="str">
        <f>IF(CY14&gt;'Concentration Limits'!$E$52, "No", "Yes")</f>
        <v>Yes</v>
      </c>
      <c r="FB14" s="429">
        <f t="shared" si="37"/>
        <v>0</v>
      </c>
      <c r="FC14" s="429">
        <f t="shared" si="38"/>
        <v>0</v>
      </c>
      <c r="FD14" s="429">
        <f t="shared" si="39"/>
        <v>0</v>
      </c>
      <c r="FE14" s="430">
        <f>'Concentration Limits'!$J$54</f>
        <v>247996703.6486333</v>
      </c>
      <c r="FF14" s="430">
        <f>'Concentration Limits'!$J$55</f>
        <v>247996703.6486333</v>
      </c>
      <c r="FG14" s="430">
        <f>'Concentration Limits'!$J$56</f>
        <v>247996703.6486333</v>
      </c>
      <c r="FH14" s="431">
        <f>'Concentration Limits'!$J$57</f>
        <v>18599752.773647498</v>
      </c>
      <c r="FI14" s="431">
        <f t="shared" si="40"/>
        <v>0</v>
      </c>
      <c r="FJ14" s="431">
        <f t="shared" si="41"/>
        <v>0</v>
      </c>
      <c r="FK14" s="431">
        <f t="shared" si="42"/>
        <v>0</v>
      </c>
      <c r="FL14" s="431">
        <f>IF(FJ14&gt;0,RANK(FJ14,$FJ$9:$FJ$60)+COUNTIF($FJ$9:FJ14,FJ14)-1,0)</f>
        <v>0</v>
      </c>
      <c r="FM14" s="430">
        <f t="shared" si="43"/>
        <v>0</v>
      </c>
      <c r="FN14" s="430">
        <f t="shared" si="44"/>
        <v>0</v>
      </c>
      <c r="FO14" s="430">
        <f t="shared" si="45"/>
        <v>0</v>
      </c>
      <c r="FP14" s="431">
        <f t="shared" si="46"/>
        <v>0</v>
      </c>
      <c r="FQ14" s="431">
        <f t="shared" si="47"/>
        <v>0</v>
      </c>
      <c r="FR14" s="431">
        <f>'Concentration Limits'!$J$58</f>
        <v>49599340.729726665</v>
      </c>
      <c r="FS14" s="431">
        <f t="shared" si="48"/>
        <v>16096607.119937314</v>
      </c>
      <c r="FT14" s="431">
        <f>VLOOKUP(BR14,'Concentration Limits'!$E$81:$H$153,4,FALSE)</f>
        <v>5</v>
      </c>
      <c r="FU14" s="431">
        <f t="shared" si="49"/>
        <v>0</v>
      </c>
      <c r="FV14" s="431">
        <f t="shared" si="50"/>
        <v>0</v>
      </c>
      <c r="FW14" s="431">
        <f>'Concentration Limits'!$J$59</f>
        <v>37199505.547294997</v>
      </c>
      <c r="FX14" s="431">
        <f t="shared" si="51"/>
        <v>16096607.119937314</v>
      </c>
      <c r="FY14" s="431">
        <f>VLOOKUP(BR14,'Concentration Limits'!$E$81:$H$153,4,FALSE)</f>
        <v>5</v>
      </c>
      <c r="FZ14" s="431">
        <f t="shared" si="52"/>
        <v>0</v>
      </c>
      <c r="GA14" s="431">
        <f t="shared" si="53"/>
        <v>0</v>
      </c>
      <c r="GB14" s="431">
        <f>'Concentration Limits'!$J$61</f>
        <v>24799670.364863332</v>
      </c>
      <c r="GC14" s="431">
        <f t="shared" si="54"/>
        <v>16096607.119937314</v>
      </c>
      <c r="GD14" s="429">
        <f>VLOOKUP(BR14,'Concentration Limits'!$E$81:$H$153,4,FALSE)</f>
        <v>5</v>
      </c>
      <c r="GE14" s="431">
        <f t="shared" si="55"/>
        <v>0</v>
      </c>
      <c r="GF14" s="431">
        <f t="shared" si="56"/>
        <v>0</v>
      </c>
      <c r="GG14" s="431">
        <f>'Concentration Limits'!$J$64</f>
        <v>24799670.364863332</v>
      </c>
      <c r="GH14" s="431">
        <f t="shared" si="57"/>
        <v>0</v>
      </c>
      <c r="GI14" s="431">
        <f t="shared" si="58"/>
        <v>0</v>
      </c>
      <c r="GJ14" s="431">
        <f t="shared" si="59"/>
        <v>0</v>
      </c>
      <c r="GK14" s="431">
        <f>'Concentration Limits'!$J$67</f>
        <v>24799670.364863332</v>
      </c>
      <c r="GL14" s="429" t="str">
        <f t="shared" si="60"/>
        <v>No</v>
      </c>
      <c r="GM14" s="431">
        <f t="shared" si="61"/>
        <v>0</v>
      </c>
      <c r="GN14" s="431">
        <f t="shared" si="62"/>
        <v>0</v>
      </c>
      <c r="GO14" s="431">
        <f t="shared" si="63"/>
        <v>0</v>
      </c>
      <c r="GP14" s="431">
        <f>'Concentration Limits'!$J$68</f>
        <v>37199505.547294997</v>
      </c>
      <c r="GQ14" s="429" t="str">
        <f t="shared" si="64"/>
        <v>No</v>
      </c>
      <c r="GR14" s="431">
        <f t="shared" si="65"/>
        <v>0</v>
      </c>
      <c r="GS14" s="431">
        <f t="shared" si="66"/>
        <v>0</v>
      </c>
      <c r="GT14" s="431">
        <f t="shared" si="67"/>
        <v>0</v>
      </c>
      <c r="GU14" s="429">
        <f>'Concentration Limits'!$J$69</f>
        <v>37199505.547294997</v>
      </c>
      <c r="GV14" s="429" t="str">
        <f t="shared" si="68"/>
        <v>No</v>
      </c>
      <c r="GW14" s="429">
        <f t="shared" si="69"/>
        <v>0</v>
      </c>
      <c r="GX14" s="429">
        <f t="shared" si="70"/>
        <v>0</v>
      </c>
      <c r="GY14" s="429">
        <f t="shared" si="71"/>
        <v>0</v>
      </c>
      <c r="GZ14" s="429">
        <f>'Concentration Limits'!$J$70</f>
        <v>24799670.364863332</v>
      </c>
      <c r="HA14" s="429" t="str">
        <f t="shared" si="72"/>
        <v>No</v>
      </c>
      <c r="HB14" s="429">
        <f t="shared" si="73"/>
        <v>0</v>
      </c>
      <c r="HC14" s="429">
        <f t="shared" si="74"/>
        <v>0</v>
      </c>
      <c r="HD14" s="429">
        <f t="shared" si="75"/>
        <v>0</v>
      </c>
      <c r="HE14" s="431">
        <f t="shared" si="76"/>
        <v>0</v>
      </c>
      <c r="HF14" s="431">
        <f t="shared" si="77"/>
        <v>0</v>
      </c>
      <c r="HG14" s="431">
        <f t="shared" si="78"/>
        <v>0</v>
      </c>
      <c r="HH14" s="431">
        <f t="shared" si="79"/>
        <v>0</v>
      </c>
      <c r="HI14" s="431">
        <f>IF(BE14=0,0,#REF!*BE14/(BE14+BG14))</f>
        <v>0</v>
      </c>
      <c r="HJ14" s="431">
        <f>IF(BG14=0,0,#REF!*BG14/(BG14+BE14))</f>
        <v>0</v>
      </c>
      <c r="HK14" s="857">
        <f>IF(BF14=0,0,#REF!*BF14/(BF14+BH14))</f>
        <v>0</v>
      </c>
      <c r="HL14" s="431">
        <f>IF(BH14=0,0,#REF!*BH14/(BH14+BF14))</f>
        <v>0</v>
      </c>
      <c r="HM14" s="431">
        <f t="shared" si="80"/>
        <v>0</v>
      </c>
      <c r="HN14" s="431" t="b">
        <f t="shared" si="81"/>
        <v>1</v>
      </c>
    </row>
    <row r="15" spans="1:223" s="432" customFormat="1" ht="12.75" customHeight="1" x14ac:dyDescent="0.35">
      <c r="A15" s="49">
        <f t="shared" si="82"/>
        <v>7</v>
      </c>
      <c r="B15" s="404" t="str">
        <f>INDEX('Loan Tape - Settled'!$B$4:$AP$55,MATCH($A15,'Loan Tape - Settled'!$E$4:$E$55,0),MATCH("Obligor Name",'Loan Tape - Settled'!$B$4:$AM$4,0))</f>
        <v>CorTech</v>
      </c>
      <c r="C15" s="404" t="str">
        <f>INDEX('Loan Tape - Settled'!$B$4:$AP$55,MATCH($A15,'Loan Tape - Settled'!$E$4:$E$55,0),MATCH("Security",'Loan Tape - Settled'!$B$4:$AM$4,0))</f>
        <v>1st Lien</v>
      </c>
      <c r="D15" s="405" t="str">
        <f>INDEX('Loan Tape - Settled'!$B$4:$AP$55,MATCH($A15,'Loan Tape - Settled'!$E$4:$E$55,0),MATCH("Loan Type",'Loan Tape - Settled'!$B$4:$AM$4,0))</f>
        <v>First Lien</v>
      </c>
      <c r="E15" s="406" t="b">
        <f>IF(ISERROR(MATCH(D15,AGENT!$A$4:$A$10,0))=FALSE, TRUE)</f>
        <v>1</v>
      </c>
      <c r="F15" s="406" t="b">
        <f t="shared" si="0"/>
        <v>1</v>
      </c>
      <c r="G15" s="406" t="b">
        <f>IF(D15&lt;&gt;"Second Lien",TRUE, IF(CY15&gt;=AGENT!$B$4,TRUE))</f>
        <v>1</v>
      </c>
      <c r="H15" s="406" t="b">
        <f>IF(DE15&lt;=AGENT!$D$4,TRUE)</f>
        <v>1</v>
      </c>
      <c r="I15" s="406" t="b">
        <f>IF(VLOOKUP(CONCATENATE($A$5,A15),'Loan Tape - Settled'!$A$5:$Q$55,17,FALSE)&gt;=AGENT!$E$4,TRUE)</f>
        <v>1</v>
      </c>
      <c r="J15" s="406" t="b">
        <f>IF(INDEX('Loan Tape - Settled'!$B$4:$AP$55,MATCH($A15,'Loan Tape - Settled'!$E$4:$E$55,0),MATCH("Loan Denomination",'Loan Tape - Settled'!$B$4:$AP$4,0))="USD", TRUE)</f>
        <v>1</v>
      </c>
      <c r="K15" s="406" t="b">
        <f>IF(INDEX('Loan Tape - Settled'!$B$4:$AP$55,MATCH($A15,'Loan Tape - Settled'!$E$4:$E$55,0),MATCH("Exposure Country",'Loan Tape - Settled'!$B$4:$AP$4,0))="United States", TRUE)</f>
        <v>1</v>
      </c>
      <c r="L15" s="406" t="b">
        <f t="shared" si="1"/>
        <v>1</v>
      </c>
      <c r="M15" s="406" t="b">
        <f>IF(((BM15-BL15)/365)&lt;=AGENT!$F$4,TRUE)</f>
        <v>1</v>
      </c>
      <c r="N15" s="406" t="b">
        <f t="shared" si="2"/>
        <v>1</v>
      </c>
      <c r="O15" s="453"/>
      <c r="P15" s="709" t="str">
        <f t="shared" si="3"/>
        <v>Yes</v>
      </c>
      <c r="Q15" s="680" t="s">
        <v>243</v>
      </c>
      <c r="R15" s="407" t="str">
        <f t="shared" si="4"/>
        <v>CorTech</v>
      </c>
      <c r="S15" s="407"/>
      <c r="T15" s="408" t="str">
        <f t="array" ref="T15">_xlfn.IFS(D15="Second Lien",D15,D15="First Lien",CONCATENATE(D15," ",EI15),D15="FILO",CONCATENATE(D15," ",EJ15))</f>
        <v>First Lien &lt;= $20MM</v>
      </c>
      <c r="U15" s="409">
        <f>VLOOKUP(T15,'Concentration Limits'!D:G,4,FALSE)</f>
        <v>0.65</v>
      </c>
      <c r="V15" s="410">
        <f t="shared" si="5"/>
        <v>6414577.7793968087</v>
      </c>
      <c r="W15" s="448">
        <f>(SUMIFS('Loan Tape - Settled'!$AR$4:$AR$55,'Loan Tape - Settled'!$E$4:$E$55,$A15,'Loan Tape - Settled'!$C$4:$C$55,$A$5))</f>
        <v>7546562.09340801</v>
      </c>
      <c r="X15" s="449">
        <v>1</v>
      </c>
      <c r="Y15" s="411">
        <f t="shared" si="6"/>
        <v>7546562.09340801</v>
      </c>
      <c r="Z15" s="449">
        <f>(SUMIFS('Loan Tape - Settled'!$AQ$4:$AQ$55,'Loan Tape - Settled'!$E$4:$E$55,$A15,'Loan Tape - Settled'!$C$4:$C$55,$A$5))</f>
        <v>7546562.09340801</v>
      </c>
      <c r="AA15" s="411">
        <f t="shared" si="7"/>
        <v>7546562.09340801</v>
      </c>
      <c r="AB15" s="411">
        <f t="shared" si="8"/>
        <v>0</v>
      </c>
      <c r="AC15" s="450">
        <f>VLOOKUP(CONCATENATE($A$5,A15),'Loan Tape - Settled'!$A$5:$Q$55,17,FALSE)</f>
        <v>1</v>
      </c>
      <c r="AD15" s="412"/>
      <c r="AE15" s="413">
        <f>INDEX('Loan Tape - Settled'!$B$4:$AP$55,MATCH($A15,'Loan Tape - Settled'!$E$4:$E$55,0),MATCH("FMV",'Loan Tape - Settled'!$B$4:$AM$4,0))</f>
        <v>0.96974999999999989</v>
      </c>
      <c r="AF15" s="413">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0.87302441968947875</v>
      </c>
      <c r="AG15" s="414" t="str">
        <f>IF(COUNTIFS(VAE!$C$5:$C$96,B15,VAE!$G$5:$G$96,"&lt;="&amp;Availability!$F$8)&gt;=1,"Yes","-")</f>
        <v>Yes</v>
      </c>
      <c r="AH15" s="414" t="str">
        <f t="array" ref="AH15">IFERROR(IF(AG15="Yes",INDEX(VAE!$D$5:$D$96,MATCH(B15&amp;AJ15,VAE!$C$5:$C$96&amp;VAE!$G$5:$G$96,0)),"-"),0)</f>
        <v>Material Mod (a)</v>
      </c>
      <c r="AI15" s="414" t="str">
        <f t="array" ref="AI15">IFERROR(IF(AG15="Yes",INDEX(VAE!$F$5:$F$96,MATCH(B15&amp;AJ15,VAE!$C$5:$C$96&amp;VAE!$G$5:$G$96,0)),"-"),0)</f>
        <v>(b) Extends Maturity/Payment Date</v>
      </c>
      <c r="AJ15" s="415">
        <f>IF(AG15="-","-",_xlfn.MAXIFS(VAE!$G$5:$G$96,VAE!$C$5:$C$96,$B15))</f>
        <v>45785</v>
      </c>
      <c r="AK15" s="416">
        <f t="array" ref="AK15">IFERROR(IF(AG15="Yes",INDEX(VAE!$P$5:$P$96,MATCH(B15&amp;AJ15,VAE!$C$5:$C$96&amp;VAE!$G$5:$G$96,0)),"-"),0)</f>
        <v>0.85</v>
      </c>
      <c r="AL15" s="413">
        <f t="shared" si="9"/>
        <v>0.85</v>
      </c>
      <c r="AM15" s="410"/>
      <c r="AN15" s="410"/>
      <c r="AO15" s="410">
        <f t="shared" si="10"/>
        <v>7546562.09340801</v>
      </c>
      <c r="AP15" s="410">
        <f t="shared" si="11"/>
        <v>0</v>
      </c>
      <c r="AQ15" s="410">
        <f t="shared" si="83"/>
        <v>6414577.7793968087</v>
      </c>
      <c r="AR15" s="410"/>
      <c r="AS15" s="410"/>
      <c r="AT15" s="410"/>
      <c r="AU15" s="410">
        <f t="shared" si="12"/>
        <v>0</v>
      </c>
      <c r="AV15" s="410">
        <f t="shared" si="13"/>
        <v>0</v>
      </c>
      <c r="AW15" s="410">
        <f t="shared" si="14"/>
        <v>0</v>
      </c>
      <c r="AX15" s="410"/>
      <c r="AY15" s="410"/>
      <c r="AZ15" s="410"/>
      <c r="BA15" s="410">
        <f t="shared" si="15"/>
        <v>0</v>
      </c>
      <c r="BB15" s="410"/>
      <c r="BC15" s="410"/>
      <c r="BD15" s="410">
        <f t="shared" si="16"/>
        <v>0</v>
      </c>
      <c r="BE15" s="410"/>
      <c r="BF15" s="410"/>
      <c r="BG15" s="410"/>
      <c r="BH15" s="410"/>
      <c r="BI15" s="410">
        <f t="shared" si="17"/>
        <v>0</v>
      </c>
      <c r="BJ15" s="410" t="b">
        <f t="shared" si="18"/>
        <v>1</v>
      </c>
      <c r="BK15" s="509">
        <f>INDEX('Loan Tape - Settled'!$B$4:$AP$55,MATCH($A15,'Loan Tape - Settled'!$E$4:$E$55,0),MATCH("Inception Date",'Loan Tape - Settled'!$B$4:$AP$4,0))</f>
        <v>43903</v>
      </c>
      <c r="BL15" s="509">
        <f>INDEX('Loan Tape - Settled'!$B$4:$AP$55,MATCH($A15,'Loan Tape - Settled'!$E$4:$E$55,0),MATCH("Inclusion Date",'Loan Tape - Settled'!$B$4:$AP$4,0))</f>
        <v>44379</v>
      </c>
      <c r="BM15" s="509">
        <f>INDEX('Loan Tape - Settled'!$B$4:$AP$55,MATCH($A15,'Loan Tape - Settled'!$E$4:$E$55,0),MATCH("Maturity Date",'Loan Tape - Settled'!$B$4:$AP$4,0))</f>
        <v>46203</v>
      </c>
      <c r="BN15" s="510"/>
      <c r="BO15" s="510"/>
      <c r="BP15" s="511"/>
      <c r="BQ15" s="510"/>
      <c r="BR15" s="512" t="str">
        <f>INDEX('Loan Tape - Settled'!$B$4:$AP$55,MATCH($A15,'Loan Tape - Settled'!$E$4:$E$55,0),MATCH("Industry Classification",'Loan Tape - Settled'!$B$4:$AP$4,0))</f>
        <v>Professional Services</v>
      </c>
      <c r="BS15" s="510" t="str">
        <f>IF(INDEX('Loan Tape - Settled'!$B$4:$AP$55,MATCH($A15,'Loan Tape - Settled'!$E$4:$E$55,0),MATCH("Covenant Lite",'Loan Tape - Settled'!$B$4:$AP$4,0))=-1, "Yes", "No")</f>
        <v>No</v>
      </c>
      <c r="BT15" s="513">
        <f>INDEX('Loan Tape - Settled'!$B$4:$AP$55,MATCH($A15,'Loan Tape - Settled'!$E$4:$E$55,0),MATCH("Spread / Coupon (%)",'Loan Tape - Settled'!$B$4:$AP$4,0))</f>
        <v>7.5999999999999998E-2</v>
      </c>
      <c r="BU15" s="510" t="str">
        <f>IF(INDEX('Loan Tape - Settled'!$B$4:$AP$55,MATCH($A15,'Loan Tape - Settled'!$E$4:$E$55,0),MATCH("Security Type",'Loan Tape - Settled'!$B$4:$AP$4,0))="Delayed Draw Term Loan", "Yes", "No")</f>
        <v>No</v>
      </c>
      <c r="BV15" s="514" t="s">
        <v>244</v>
      </c>
      <c r="BW15" s="514" t="s">
        <v>244</v>
      </c>
      <c r="BX15" s="506" t="s">
        <v>244</v>
      </c>
      <c r="BY15" s="510" t="str">
        <f>IF(INDEX('Loan Tape - Settled'!$B$4:$AP$55,MATCH($A15,'Loan Tape - Settled'!$E$4:$E$55,0),MATCH("Fixed/Floating",'Loan Tape - Settled'!$B$4:$AP$4,0))="Fixed", "Yes", "No")</f>
        <v>No</v>
      </c>
      <c r="BZ15" s="514" t="s">
        <v>244</v>
      </c>
      <c r="CA15" s="514" t="s">
        <v>244</v>
      </c>
      <c r="CB15" s="510" t="str">
        <f>IF(INDEX('Loan Tape - Settled'!$B$4:$AP$55,MATCH($A15,'Loan Tape - Settled'!$E$4:$E$55,0),MATCH("Loan Denomination",'Loan Tape - Settled'!$B$4:$AP$4,0))="CAD", "Yes", "No")</f>
        <v>No</v>
      </c>
      <c r="CC15" s="510" t="str">
        <f>INDEX('Loan Tape - Settled'!$B$4:$AP$55,MATCH($A15,'Loan Tape - Settled'!$E$4:$E$55,0),MATCH("Payment Frequency",'Loan Tape - Settled'!$B$4:$AP$4,0))</f>
        <v>M</v>
      </c>
      <c r="CD15" s="514" t="s">
        <v>244</v>
      </c>
      <c r="CE15" s="510">
        <f>INDEX('Loan Tape - Settled'!$B$4:$AP$55,MATCH($A15,'Loan Tape - Settled'!$E$4:$E$55,0),MATCH("S&amp;P Loan Rating (if applicable)",'Loan Tape - Settled'!$B$4:$AP$4,0))</f>
        <v>0</v>
      </c>
      <c r="CF15" s="510">
        <f>INDEX('Loan Tape - Settled'!$B$4:$AP$55,MATCH($A15,'Loan Tape - Settled'!$E$4:$E$55,0),MATCH("Moody's Loan Rating (if applicable)",'Loan Tape - Settled'!$B$4:$AP$4,0))</f>
        <v>0</v>
      </c>
      <c r="CG15" s="510"/>
      <c r="CH15" s="510"/>
      <c r="CI15" s="515"/>
      <c r="CJ15" s="508" t="str">
        <f>INDEX('Loan Tape - Settled'!$B$4:$BF$55,MATCH($A15,'Loan Tape - Settled'!$E$4:$E$55,0),MATCH("Last Financial Received",'Loan Tape - Settled'!$B$4:$BF$4,0))</f>
        <v>9/30/2025 or Latest Financing</v>
      </c>
      <c r="CK15" s="516">
        <f>INDEX('Loan Tape - Settled'!$B$4:$BJ$55,MATCH($A15,'Loan Tape - Settled'!$E$4:$E$55,0),MATCH("Initial Adjusted TTM EBITDA",'Loan Tape - Settled'!$B$4:$BJ$4,0))</f>
        <v>10.414</v>
      </c>
      <c r="CL15" s="516">
        <f>INDEX('Loan Tape - Settled'!$B$4:$BJ$55,MATCH($A15,'Loan Tape - Settled'!$E$4:$E$55,0),MATCH("Initial TTM Non-adjusted EBITDA",'Loan Tape - Settled'!$B$4:$BJ$4,0))</f>
        <v>10.414</v>
      </c>
      <c r="CM15" s="417"/>
      <c r="CN15" s="418"/>
      <c r="CO15" s="418"/>
      <c r="CP15" s="419"/>
      <c r="CQ15" s="420" t="s">
        <v>245</v>
      </c>
      <c r="CR15" s="419"/>
      <c r="CS15" s="421">
        <f t="shared" si="19"/>
        <v>10.414</v>
      </c>
      <c r="CT15" s="422">
        <f t="shared" si="20"/>
        <v>0</v>
      </c>
      <c r="CU15" s="516">
        <f>INDEX('Loan Tape - Settled'!$B$4:$BJ$55,MATCH($A15,'Loan Tape - Settled'!$E$4:$E$55,0),MATCH("Current TTM Non-adjusted EBITDA",'Loan Tape - Settled'!$B$4:$BJ$4,0))</f>
        <v>10.21153709183149</v>
      </c>
      <c r="CV15" s="423">
        <f t="shared" si="21"/>
        <v>0</v>
      </c>
      <c r="CW15" s="652" t="s">
        <v>245</v>
      </c>
      <c r="CX15" s="517"/>
      <c r="CY15" s="658">
        <f t="shared" si="22"/>
        <v>10.21153709183149</v>
      </c>
      <c r="CZ15" s="656"/>
      <c r="DA15" s="518"/>
      <c r="DB15" s="519"/>
      <c r="DC15" s="853"/>
      <c r="DD15" s="853">
        <f>INDEX('Loan Tape - Settled'!$B$4:$BJ$55,MATCH($A15,'Loan Tape - Settled'!$E$4:$E$55,0),MATCH("Initial Senior Net Leverage Senior",'Loan Tape - Settled'!$B$4:$BJ$4,0))</f>
        <v>2.6118686383714231</v>
      </c>
      <c r="DE15" s="659">
        <f>INDEX('Loan Tape - Settled'!$B$4:$BJ$55,MATCH($A15,'Loan Tape - Settled'!$E$4:$E$55,0),MATCH("Initial Total Net Leverage",'Loan Tape - Settled'!$B$4:$BJ$4,0))</f>
        <v>2.6118686383714231</v>
      </c>
      <c r="DF15" s="656"/>
      <c r="DG15" s="518"/>
      <c r="DH15" s="519"/>
      <c r="DI15" s="424">
        <f>INDEX('Loan Tape - Settled'!$B$4:$BJ$55,MATCH($A15,'Loan Tape - Settled'!$E$4:$E$55,0),MATCH("Net Attachment",'Loan Tape - Settled'!$B$4:$BJ$4,0))</f>
        <v>2.6031201850379224</v>
      </c>
      <c r="DJ15" s="522">
        <f t="array" ref="DJ15">IF(AG15="Yes",INDEX(VAE!$M$5:$M$53,MATCH($B15&amp;$AJ15,VAE!$C$5:$C$53&amp;VAE!$G$5:$G$53,0)),DD15)</f>
        <v>4.6572533375499026</v>
      </c>
      <c r="DK15" s="649">
        <f t="array" ref="DK15">IF(AG15="Yes",INDEX(VAE!$N$5:$N$53,MATCH($B15&amp;$AJ15,VAE!$C$5:$C$53&amp;VAE!$G$5:$G$53,0)),DE15)</f>
        <v>4.6572533375499026</v>
      </c>
      <c r="DL15" s="651">
        <f>INDEX('Loan Tape - Settled'!$B$4:$BJ$55,MATCH($A15,'Loan Tape - Settled'!$E$4:$E$55,0),MATCH("Current Senior Net Leverage Senior",'Loan Tape - Settled'!$B$4:$BJ$4,0))</f>
        <v>5.4909689716412089</v>
      </c>
      <c r="DM15" s="433">
        <f>INDEX('Loan Tape - Settled'!$B$4:$BJ$55,MATCH($A15,'Loan Tape - Settled'!$E$4:$E$55,0),MATCH("Current Total Net Leverage",'Loan Tape - Settled'!$B$4:$BJ$4,0))</f>
        <v>5.4909689716412089</v>
      </c>
      <c r="DN15" s="425"/>
      <c r="DO15" s="426">
        <f>INDEX('Loan Tape - Settled'!$B$4:$BJ$55,MATCH($A15,'Loan Tape - Settled'!$E$4:$E$55,0),MATCH("Initial Interest Coverage",'Loan Tape - Settled'!$B$4:$BJ$4,0))</f>
        <v>10.9</v>
      </c>
      <c r="DP15" s="854">
        <f t="array" ref="DP15">IF(AG15="Yes",INDEX(VAE!$O$5:$O$53,MATCH($B15&amp;$AJ15,VAE!$C$5:$C$53&amp;VAE!$G$5:$G$53,0)),DO15)</f>
        <v>2.79</v>
      </c>
      <c r="DQ15" s="427">
        <f>INDEX('Loan Tape - Settled'!$B$4:$BJ$55,MATCH($A15,'Loan Tape - Settled'!$E$4:$E$55,0),MATCH("Current Interest Coverage",'Loan Tape - Settled'!$B$4:$BJ$4,0))</f>
        <v>1.788553659393</v>
      </c>
      <c r="DR15" s="855" t="str">
        <f t="shared" si="23"/>
        <v>Yes</v>
      </c>
      <c r="DS15" s="428">
        <f>IF(AG15="Yes",DATEDIF(AJ15,Availability!$F$8,"m"),"")</f>
        <v>7</v>
      </c>
      <c r="DT15" s="428" t="str">
        <f t="shared" si="24"/>
        <v>No</v>
      </c>
      <c r="DU15" s="647" t="str">
        <f t="shared" si="25"/>
        <v>No</v>
      </c>
      <c r="DV15" s="648" t="str">
        <f t="shared" si="26"/>
        <v>Yes</v>
      </c>
      <c r="DW15" s="648" t="str">
        <f t="array" ref="DW15">_xlfn.IFS(D15&lt;&gt;"Second Lien","No",D15="Second Lien",IF(AND((DM15-DK15)&gt;0.5,DM15&gt;4.5),"Yes","No"))</f>
        <v>No</v>
      </c>
      <c r="DX15" s="685" t="s">
        <v>244</v>
      </c>
      <c r="DY15" s="685" t="s">
        <v>244</v>
      </c>
      <c r="DZ15" s="686" t="s">
        <v>244</v>
      </c>
      <c r="EA15" s="686" t="s">
        <v>244</v>
      </c>
      <c r="EB15" s="686" t="s">
        <v>244</v>
      </c>
      <c r="EC15" s="686" t="s">
        <v>244</v>
      </c>
      <c r="ED15" s="686" t="s">
        <v>244</v>
      </c>
      <c r="EE15" s="686" t="s">
        <v>244</v>
      </c>
      <c r="EF15" s="409" t="str">
        <f t="shared" si="27"/>
        <v>No</v>
      </c>
      <c r="EG15" s="686" t="s">
        <v>244</v>
      </c>
      <c r="EH15" s="691" t="s">
        <v>244</v>
      </c>
      <c r="EI15" s="856" t="str">
        <f t="array" ref="EI15">IF(D15="First Lien",_xlfn.IFS(CY15&gt;AGENT!$B$23, "&gt; $20MM",CY15&lt;=AGENT!$C$25, "&lt;= $10MM",AND(CY15&lt;=AGENT!$C$24,CY15&gt;AGENT!$B$24),"&lt;= $20MM"), "N/A")</f>
        <v>&lt;= $20MM</v>
      </c>
      <c r="EJ15" s="856" t="str">
        <f t="array" ref="EJ15">IF(D15="FILO",_xlfn.IFS(DI15&gt;AGENT!$B$29, "&gt; 1.25x",DI15&lt;AGENT!$C$27, "&lt; 0.75x",AND(DI15&lt;=AGENT!$C$28,DI15&gt;=AGENT!$B$28),"&lt;= 1.25x"), "N/A")</f>
        <v>N/A</v>
      </c>
      <c r="EK15" s="429">
        <f t="shared" si="28"/>
        <v>6414577.7793968087</v>
      </c>
      <c r="EL15" s="429">
        <f>'Concentration Limits'!$J$49</f>
        <v>49599340.729726665</v>
      </c>
      <c r="EM15" s="429" t="str">
        <f>IF(OR(D15="Second Lien",AND(D15="FILO",DI15&gt;AGENT!$C$57)), "Yes", "No")</f>
        <v>No</v>
      </c>
      <c r="EN15" s="429">
        <f t="shared" si="29"/>
        <v>0</v>
      </c>
      <c r="EO15" s="429">
        <f t="shared" si="30"/>
        <v>0</v>
      </c>
      <c r="EP15" s="429">
        <f t="shared" si="31"/>
        <v>6414577.7793968087</v>
      </c>
      <c r="EQ15" s="429">
        <f>'Concentration Limits'!$J$50</f>
        <v>24799670.364863332</v>
      </c>
      <c r="ER15" s="429">
        <f t="shared" si="32"/>
        <v>0</v>
      </c>
      <c r="ES15" s="429">
        <f t="shared" si="84"/>
        <v>0</v>
      </c>
      <c r="ET15" s="429">
        <f t="shared" si="33"/>
        <v>6414577.7793968087</v>
      </c>
      <c r="EU15" s="429">
        <f>'Concentration Limits'!$J$51</f>
        <v>74399011.094589993</v>
      </c>
      <c r="EV15" s="429" t="str">
        <f>IF(OR(D15="Second Lien", AND(D15="FILO",DI15&gt;AGENT!$C$59)), "Yes", "No")</f>
        <v>No</v>
      </c>
      <c r="EW15" s="429">
        <f t="shared" si="34"/>
        <v>0</v>
      </c>
      <c r="EX15" s="429">
        <f t="shared" si="35"/>
        <v>0</v>
      </c>
      <c r="EY15" s="429">
        <f t="shared" si="36"/>
        <v>6414577.7793968087</v>
      </c>
      <c r="EZ15" s="429">
        <f>'Concentration Limits'!$J$52</f>
        <v>37199505.547294997</v>
      </c>
      <c r="FA15" s="429" t="str">
        <f>IF(CY15&gt;'Concentration Limits'!$E$52, "No", "Yes")</f>
        <v>No</v>
      </c>
      <c r="FB15" s="429">
        <f t="shared" si="37"/>
        <v>0</v>
      </c>
      <c r="FC15" s="429">
        <f t="shared" si="38"/>
        <v>0</v>
      </c>
      <c r="FD15" s="429">
        <f t="shared" si="39"/>
        <v>6414577.7793968087</v>
      </c>
      <c r="FE15" s="430">
        <f>'Concentration Limits'!$J$54</f>
        <v>247996703.6486333</v>
      </c>
      <c r="FF15" s="430">
        <f>'Concentration Limits'!$J$55</f>
        <v>247996703.6486333</v>
      </c>
      <c r="FG15" s="430">
        <f>'Concentration Limits'!$J$56</f>
        <v>247996703.6486333</v>
      </c>
      <c r="FH15" s="431">
        <f>'Concentration Limits'!$J$57</f>
        <v>18599752.773647498</v>
      </c>
      <c r="FI15" s="431">
        <f t="shared" si="40"/>
        <v>6414577.7793968087</v>
      </c>
      <c r="FJ15" s="431">
        <f t="shared" si="41"/>
        <v>6414577.7793968087</v>
      </c>
      <c r="FK15" s="431">
        <f t="shared" si="42"/>
        <v>20</v>
      </c>
      <c r="FL15" s="431">
        <f>IF(FJ15&gt;0,RANK(FJ15,$FJ$9:$FJ$60)+COUNTIF($FJ$9:FJ15,FJ15)-1,0)</f>
        <v>20</v>
      </c>
      <c r="FM15" s="430">
        <f t="shared" si="43"/>
        <v>0</v>
      </c>
      <c r="FN15" s="430">
        <f t="shared" si="44"/>
        <v>0</v>
      </c>
      <c r="FO15" s="430">
        <f t="shared" si="45"/>
        <v>0</v>
      </c>
      <c r="FP15" s="431">
        <f t="shared" si="46"/>
        <v>0</v>
      </c>
      <c r="FQ15" s="431">
        <f t="shared" si="47"/>
        <v>6414577.7793968087</v>
      </c>
      <c r="FR15" s="431">
        <f>'Concentration Limits'!$J$58</f>
        <v>49599340.729726665</v>
      </c>
      <c r="FS15" s="431">
        <f t="shared" si="48"/>
        <v>24394399.03040082</v>
      </c>
      <c r="FT15" s="431">
        <f>VLOOKUP(BR15,'Concentration Limits'!$E$81:$H$153,4,FALSE)</f>
        <v>3</v>
      </c>
      <c r="FU15" s="431">
        <f t="shared" si="49"/>
        <v>0</v>
      </c>
      <c r="FV15" s="431">
        <f t="shared" si="50"/>
        <v>6414577.7793968087</v>
      </c>
      <c r="FW15" s="431">
        <f>'Concentration Limits'!$J$59</f>
        <v>37199505.547294997</v>
      </c>
      <c r="FX15" s="431">
        <f t="shared" si="51"/>
        <v>24394399.03040082</v>
      </c>
      <c r="FY15" s="431">
        <f>VLOOKUP(BR15,'Concentration Limits'!$E$81:$H$153,4,FALSE)</f>
        <v>3</v>
      </c>
      <c r="FZ15" s="431">
        <f t="shared" si="52"/>
        <v>0</v>
      </c>
      <c r="GA15" s="431">
        <f t="shared" si="53"/>
        <v>6414577.7793968087</v>
      </c>
      <c r="GB15" s="431">
        <f>'Concentration Limits'!$J$61</f>
        <v>24799670.364863332</v>
      </c>
      <c r="GC15" s="431">
        <f t="shared" si="54"/>
        <v>24394399.03040082</v>
      </c>
      <c r="GD15" s="429">
        <f>VLOOKUP(BR15,'Concentration Limits'!$E$81:$H$153,4,FALSE)</f>
        <v>3</v>
      </c>
      <c r="GE15" s="431">
        <f t="shared" si="55"/>
        <v>0</v>
      </c>
      <c r="GF15" s="431">
        <f t="shared" si="56"/>
        <v>6414577.7793968087</v>
      </c>
      <c r="GG15" s="431">
        <f>'Concentration Limits'!$J$64</f>
        <v>24799670.364863332</v>
      </c>
      <c r="GH15" s="431">
        <f t="shared" si="57"/>
        <v>0</v>
      </c>
      <c r="GI15" s="431">
        <f t="shared" si="58"/>
        <v>0</v>
      </c>
      <c r="GJ15" s="431">
        <f t="shared" si="59"/>
        <v>6414577.7793968087</v>
      </c>
      <c r="GK15" s="431">
        <f>'Concentration Limits'!$J$67</f>
        <v>24799670.364863332</v>
      </c>
      <c r="GL15" s="429" t="str">
        <f t="shared" si="60"/>
        <v>No</v>
      </c>
      <c r="GM15" s="431">
        <f t="shared" si="61"/>
        <v>0</v>
      </c>
      <c r="GN15" s="431">
        <f t="shared" si="62"/>
        <v>0</v>
      </c>
      <c r="GO15" s="431">
        <f t="shared" si="63"/>
        <v>6414577.7793968087</v>
      </c>
      <c r="GP15" s="431">
        <f>'Concentration Limits'!$J$68</f>
        <v>37199505.547294997</v>
      </c>
      <c r="GQ15" s="429" t="str">
        <f t="shared" si="64"/>
        <v>No</v>
      </c>
      <c r="GR15" s="431">
        <f t="shared" si="65"/>
        <v>0</v>
      </c>
      <c r="GS15" s="431">
        <f t="shared" si="66"/>
        <v>0</v>
      </c>
      <c r="GT15" s="431">
        <f t="shared" si="67"/>
        <v>6414577.7793968087</v>
      </c>
      <c r="GU15" s="429">
        <f>'Concentration Limits'!$J$69</f>
        <v>37199505.547294997</v>
      </c>
      <c r="GV15" s="429" t="str">
        <f t="shared" si="68"/>
        <v>No</v>
      </c>
      <c r="GW15" s="429">
        <f t="shared" si="69"/>
        <v>0</v>
      </c>
      <c r="GX15" s="429">
        <f t="shared" si="70"/>
        <v>0</v>
      </c>
      <c r="GY15" s="429">
        <f t="shared" si="71"/>
        <v>6414577.7793968087</v>
      </c>
      <c r="GZ15" s="429">
        <f>'Concentration Limits'!$J$70</f>
        <v>24799670.364863332</v>
      </c>
      <c r="HA15" s="429" t="str">
        <f t="shared" si="72"/>
        <v>No</v>
      </c>
      <c r="HB15" s="429">
        <f t="shared" si="73"/>
        <v>0</v>
      </c>
      <c r="HC15" s="429">
        <f t="shared" si="74"/>
        <v>0</v>
      </c>
      <c r="HD15" s="429">
        <f t="shared" si="75"/>
        <v>6414577.7793968087</v>
      </c>
      <c r="HE15" s="431">
        <f t="shared" si="76"/>
        <v>6414577.7793968096</v>
      </c>
      <c r="HF15" s="431">
        <f t="shared" si="77"/>
        <v>0</v>
      </c>
      <c r="HG15" s="431">
        <f t="shared" si="78"/>
        <v>0</v>
      </c>
      <c r="HH15" s="431">
        <f t="shared" si="79"/>
        <v>0</v>
      </c>
      <c r="HI15" s="431">
        <f>IF(BE15=0,0,#REF!*BE15/(BE15+BG15))</f>
        <v>0</v>
      </c>
      <c r="HJ15" s="431">
        <f>IF(BG15=0,0,#REF!*BG15/(BG15+BE15))</f>
        <v>0</v>
      </c>
      <c r="HK15" s="857">
        <f>IF(BF15=0,0,#REF!*BF15/(BF15+BH15))</f>
        <v>0</v>
      </c>
      <c r="HL15" s="431">
        <f>IF(BH15=0,0,#REF!*BH15/(BH15+BF15))</f>
        <v>0</v>
      </c>
      <c r="HM15" s="431">
        <f t="shared" si="80"/>
        <v>0</v>
      </c>
      <c r="HN15" s="431" t="b">
        <f t="shared" si="81"/>
        <v>1</v>
      </c>
    </row>
    <row r="16" spans="1:223" s="432" customFormat="1" ht="12.75" customHeight="1" x14ac:dyDescent="0.35">
      <c r="A16" s="49">
        <f t="shared" si="82"/>
        <v>8</v>
      </c>
      <c r="B16" s="404" t="str">
        <f>INDEX('Loan Tape - Settled'!$B$4:$AP$55,MATCH($A16,'Loan Tape - Settled'!$E$4:$E$55,0),MATCH("Obligor Name",'Loan Tape - Settled'!$B$4:$AM$4,0))</f>
        <v>Coop Home Goods</v>
      </c>
      <c r="C16" s="404" t="str">
        <f>INDEX('Loan Tape - Settled'!$B$4:$AP$55,MATCH($A16,'Loan Tape - Settled'!$E$4:$E$55,0),MATCH("Security",'Loan Tape - Settled'!$B$4:$AM$4,0))</f>
        <v>FILO</v>
      </c>
      <c r="D16" s="405" t="str">
        <f>INDEX('Loan Tape - Settled'!$B$4:$AP$55,MATCH($A16,'Loan Tape - Settled'!$E$4:$E$55,0),MATCH("Loan Type",'Loan Tape - Settled'!$B$4:$AM$4,0))</f>
        <v>FILO</v>
      </c>
      <c r="E16" s="406" t="b">
        <f>IF(ISERROR(MATCH(D16,AGENT!$A$4:$A$10,0))=FALSE, TRUE)</f>
        <v>1</v>
      </c>
      <c r="F16" s="406" t="b">
        <f t="shared" si="0"/>
        <v>1</v>
      </c>
      <c r="G16" s="406" t="b">
        <f>IF(D16&lt;&gt;"Second Lien",TRUE, IF(CY16&gt;=AGENT!$B$4,TRUE))</f>
        <v>1</v>
      </c>
      <c r="H16" s="406" t="b">
        <f>IF(DE16&lt;=AGENT!$D$4,TRUE)</f>
        <v>1</v>
      </c>
      <c r="I16" s="406" t="b">
        <f>IF(VLOOKUP(CONCATENATE($A$5,A16),'Loan Tape - Settled'!$A$5:$Q$55,17,FALSE)&gt;=AGENT!$E$4,TRUE)</f>
        <v>1</v>
      </c>
      <c r="J16" s="406" t="b">
        <f>IF(INDEX('Loan Tape - Settled'!$B$4:$AP$55,MATCH($A16,'Loan Tape - Settled'!$E$4:$E$55,0),MATCH("Loan Denomination",'Loan Tape - Settled'!$B$4:$AP$4,0))="USD", TRUE)</f>
        <v>1</v>
      </c>
      <c r="K16" s="406" t="b">
        <f>IF(INDEX('Loan Tape - Settled'!$B$4:$AP$55,MATCH($A16,'Loan Tape - Settled'!$E$4:$E$55,0),MATCH("Exposure Country",'Loan Tape - Settled'!$B$4:$AP$4,0))="United States", TRUE)</f>
        <v>1</v>
      </c>
      <c r="L16" s="406" t="b">
        <f t="shared" si="1"/>
        <v>1</v>
      </c>
      <c r="M16" s="406" t="b">
        <f>IF(((BM16-BL16)/365)&lt;=AGENT!$F$4,TRUE)</f>
        <v>1</v>
      </c>
      <c r="N16" s="406" t="b">
        <f t="shared" si="2"/>
        <v>1</v>
      </c>
      <c r="O16" s="453"/>
      <c r="P16" s="709" t="str">
        <f t="shared" si="3"/>
        <v>Yes</v>
      </c>
      <c r="Q16" s="680" t="s">
        <v>243</v>
      </c>
      <c r="R16" s="407" t="str">
        <f t="shared" si="4"/>
        <v>Coop Home Goods</v>
      </c>
      <c r="S16" s="407"/>
      <c r="T16" s="408" t="str">
        <f t="array" ref="T16">_xlfn.IFS(D16="Second Lien",D16,D16="First Lien",CONCATENATE(D16," ",EI16),D16="FILO",CONCATENATE(D16," ",EJ16))</f>
        <v>FILO &lt; 0.75x</v>
      </c>
      <c r="U16" s="409">
        <f>VLOOKUP(T16,'Concentration Limits'!D:G,4,FALSE)</f>
        <v>0.625</v>
      </c>
      <c r="V16" s="410">
        <f t="shared" si="5"/>
        <v>12656117.589817706</v>
      </c>
      <c r="W16" s="448">
        <f>(SUMIFS('Loan Tape - Settled'!$AR$4:$AR$55,'Loan Tape - Settled'!$E$4:$E$55,$A16,'Loan Tape - Settled'!$C$4:$C$55,$A$5))</f>
        <v>12656117.589817706</v>
      </c>
      <c r="X16" s="449">
        <v>1</v>
      </c>
      <c r="Y16" s="411">
        <f t="shared" si="6"/>
        <v>12656117.589817706</v>
      </c>
      <c r="Z16" s="449">
        <f>(SUMIFS('Loan Tape - Settled'!$AQ$4:$AQ$55,'Loan Tape - Settled'!$E$4:$E$55,$A16,'Loan Tape - Settled'!$C$4:$C$55,$A$5))</f>
        <v>12656117.589817706</v>
      </c>
      <c r="AA16" s="411">
        <f t="shared" si="7"/>
        <v>12656117.589817706</v>
      </c>
      <c r="AB16" s="411">
        <f t="shared" si="8"/>
        <v>0</v>
      </c>
      <c r="AC16" s="450">
        <f>VLOOKUP(CONCATENATE($A$5,A16),'Loan Tape - Settled'!$A$5:$Q$55,17,FALSE)</f>
        <v>1</v>
      </c>
      <c r="AD16" s="412"/>
      <c r="AE16" s="413">
        <f>INDEX('Loan Tape - Settled'!$B$4:$AP$55,MATCH($A16,'Loan Tape - Settled'!$E$4:$E$55,0),MATCH("FMV",'Loan Tape - Settled'!$B$4:$AM$4,0))</f>
        <v>1</v>
      </c>
      <c r="AF16" s="413">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1</v>
      </c>
      <c r="AG16" s="414" t="str">
        <f>IF(COUNTIFS(VAE!$C$5:$C$96,B16,VAE!$G$5:$G$96,"&lt;="&amp;Availability!$F$8)&gt;=1,"Yes","-")</f>
        <v>-</v>
      </c>
      <c r="AH16" s="414" t="str">
        <f t="array" ref="AH16">IFERROR(IF(AG16="Yes",INDEX(VAE!$D$5:$D$96,MATCH(B16&amp;AJ16,VAE!$C$5:$C$96&amp;VAE!$G$5:$G$96,0)),"-"),0)</f>
        <v>-</v>
      </c>
      <c r="AI16" s="414" t="str">
        <f t="array" ref="AI16">IFERROR(IF(AG16="Yes",INDEX(VAE!$F$5:$F$96,MATCH(B16&amp;AJ16,VAE!$C$5:$C$96&amp;VAE!$G$5:$G$96,0)),"-"),0)</f>
        <v>-</v>
      </c>
      <c r="AJ16" s="415" t="str">
        <f>IF(AG16="-","-",_xlfn.MAXIFS(VAE!$G$5:$G$96,VAE!$C$5:$C$96,$B16))</f>
        <v>-</v>
      </c>
      <c r="AK16" s="416" t="str">
        <f t="array" ref="AK16">IFERROR(IF(AG16="Yes",INDEX(VAE!$P$5:$P$96,MATCH(B16&amp;AJ16,VAE!$C$5:$C$96&amp;VAE!$G$5:$G$96,0)),"-"),0)</f>
        <v>-</v>
      </c>
      <c r="AL16" s="413">
        <f t="shared" si="9"/>
        <v>1</v>
      </c>
      <c r="AM16" s="410"/>
      <c r="AN16" s="410"/>
      <c r="AO16" s="410">
        <f t="shared" si="10"/>
        <v>0</v>
      </c>
      <c r="AP16" s="410">
        <f t="shared" si="11"/>
        <v>0</v>
      </c>
      <c r="AQ16" s="410">
        <f t="shared" si="83"/>
        <v>0</v>
      </c>
      <c r="AR16" s="410"/>
      <c r="AS16" s="410"/>
      <c r="AT16" s="410"/>
      <c r="AU16" s="410">
        <f t="shared" si="12"/>
        <v>12656117.589817706</v>
      </c>
      <c r="AV16" s="410">
        <f t="shared" si="13"/>
        <v>0</v>
      </c>
      <c r="AW16" s="410">
        <f t="shared" si="14"/>
        <v>12656117.589817706</v>
      </c>
      <c r="AX16" s="410"/>
      <c r="AY16" s="410"/>
      <c r="AZ16" s="410"/>
      <c r="BA16" s="410">
        <f t="shared" si="15"/>
        <v>0</v>
      </c>
      <c r="BB16" s="410"/>
      <c r="BC16" s="410"/>
      <c r="BD16" s="410">
        <f t="shared" si="16"/>
        <v>0</v>
      </c>
      <c r="BE16" s="410"/>
      <c r="BF16" s="410"/>
      <c r="BG16" s="410"/>
      <c r="BH16" s="410"/>
      <c r="BI16" s="410">
        <f t="shared" si="17"/>
        <v>0</v>
      </c>
      <c r="BJ16" s="410" t="b">
        <f t="shared" si="18"/>
        <v>1</v>
      </c>
      <c r="BK16" s="509">
        <f>INDEX('Loan Tape - Settled'!$B$4:$AP$55,MATCH($A16,'Loan Tape - Settled'!$E$4:$E$55,0),MATCH("Inception Date",'Loan Tape - Settled'!$B$4:$AP$4,0))</f>
        <v>44365</v>
      </c>
      <c r="BL16" s="509">
        <f>INDEX('Loan Tape - Settled'!$B$4:$AP$55,MATCH($A16,'Loan Tape - Settled'!$E$4:$E$55,0),MATCH("Inclusion Date",'Loan Tape - Settled'!$B$4:$AP$4,0))</f>
        <v>44379</v>
      </c>
      <c r="BM16" s="509">
        <f>INDEX('Loan Tape - Settled'!$B$4:$AP$55,MATCH($A16,'Loan Tape - Settled'!$E$4:$E$55,0),MATCH("Maturity Date",'Loan Tape - Settled'!$B$4:$AP$4,0))</f>
        <v>46191</v>
      </c>
      <c r="BN16" s="510"/>
      <c r="BO16" s="510"/>
      <c r="BP16" s="511"/>
      <c r="BQ16" s="510"/>
      <c r="BR16" s="512" t="str">
        <f>INDEX('Loan Tape - Settled'!$B$4:$AP$55,MATCH($A16,'Loan Tape - Settled'!$E$4:$E$55,0),MATCH("Industry Classification",'Loan Tape - Settled'!$B$4:$AP$4,0))</f>
        <v>Household Products</v>
      </c>
      <c r="BS16" s="510" t="str">
        <f>IF(INDEX('Loan Tape - Settled'!$B$4:$AP$55,MATCH($A16,'Loan Tape - Settled'!$E$4:$E$55,0),MATCH("Covenant Lite",'Loan Tape - Settled'!$B$4:$AP$4,0))=-1, "Yes", "No")</f>
        <v>No</v>
      </c>
      <c r="BT16" s="513">
        <f>INDEX('Loan Tape - Settled'!$B$4:$AP$55,MATCH($A16,'Loan Tape - Settled'!$E$4:$E$55,0),MATCH("Spread / Coupon (%)",'Loan Tape - Settled'!$B$4:$AP$4,0))</f>
        <v>8.4348199999999998E-2</v>
      </c>
      <c r="BU16" s="510" t="str">
        <f>IF(INDEX('Loan Tape - Settled'!$B$4:$AP$55,MATCH($A16,'Loan Tape - Settled'!$E$4:$E$55,0),MATCH("Security Type",'Loan Tape - Settled'!$B$4:$AP$4,0))="Delayed Draw Term Loan", "Yes", "No")</f>
        <v>No</v>
      </c>
      <c r="BV16" s="514" t="s">
        <v>244</v>
      </c>
      <c r="BW16" s="514" t="s">
        <v>243</v>
      </c>
      <c r="BX16" s="506" t="s">
        <v>244</v>
      </c>
      <c r="BY16" s="510" t="str">
        <f>IF(INDEX('Loan Tape - Settled'!$B$4:$AP$55,MATCH($A16,'Loan Tape - Settled'!$E$4:$E$55,0),MATCH("Fixed/Floating",'Loan Tape - Settled'!$B$4:$AP$4,0))="Fixed", "Yes", "No")</f>
        <v>No</v>
      </c>
      <c r="BZ16" s="514" t="s">
        <v>244</v>
      </c>
      <c r="CA16" s="514" t="s">
        <v>244</v>
      </c>
      <c r="CB16" s="510" t="str">
        <f>IF(INDEX('Loan Tape - Settled'!$B$4:$AP$55,MATCH($A16,'Loan Tape - Settled'!$E$4:$E$55,0),MATCH("Loan Denomination",'Loan Tape - Settled'!$B$4:$AP$4,0))="CAD", "Yes", "No")</f>
        <v>No</v>
      </c>
      <c r="CC16" s="510" t="str">
        <f>INDEX('Loan Tape - Settled'!$B$4:$AP$55,MATCH($A16,'Loan Tape - Settled'!$E$4:$E$55,0),MATCH("Payment Frequency",'Loan Tape - Settled'!$B$4:$AP$4,0))</f>
        <v>M</v>
      </c>
      <c r="CD16" s="514" t="s">
        <v>244</v>
      </c>
      <c r="CE16" s="510">
        <f>INDEX('Loan Tape - Settled'!$B$4:$AP$55,MATCH($A16,'Loan Tape - Settled'!$E$4:$E$55,0),MATCH("S&amp;P Loan Rating (if applicable)",'Loan Tape - Settled'!$B$4:$AP$4,0))</f>
        <v>0</v>
      </c>
      <c r="CF16" s="510">
        <f>INDEX('Loan Tape - Settled'!$B$4:$AP$55,MATCH($A16,'Loan Tape - Settled'!$E$4:$E$55,0),MATCH("Moody's Loan Rating (if applicable)",'Loan Tape - Settled'!$B$4:$AP$4,0))</f>
        <v>0</v>
      </c>
      <c r="CG16" s="510"/>
      <c r="CH16" s="510"/>
      <c r="CI16" s="515"/>
      <c r="CJ16" s="508" t="str">
        <f>INDEX('Loan Tape - Settled'!$B$4:$BF$55,MATCH($A16,'Loan Tape - Settled'!$E$4:$E$55,0),MATCH("Last Financial Received",'Loan Tape - Settled'!$B$4:$BF$4,0))</f>
        <v>9/30/2025 or Latest Financing</v>
      </c>
      <c r="CK16" s="516">
        <f>INDEX('Loan Tape - Settled'!$B$4:$BJ$55,MATCH($A16,'Loan Tape - Settled'!$E$4:$E$55,0),MATCH("Initial Adjusted TTM EBITDA",'Loan Tape - Settled'!$B$4:$BJ$4,0))</f>
        <v>8.0510000000000002</v>
      </c>
      <c r="CL16" s="516">
        <f>INDEX('Loan Tape - Settled'!$B$4:$BJ$55,MATCH($A16,'Loan Tape - Settled'!$E$4:$E$55,0),MATCH("Initial TTM Non-adjusted EBITDA",'Loan Tape - Settled'!$B$4:$BJ$4,0))</f>
        <v>8.0510000000000002</v>
      </c>
      <c r="CM16" s="417"/>
      <c r="CN16" s="418"/>
      <c r="CO16" s="418"/>
      <c r="CP16" s="419"/>
      <c r="CQ16" s="420" t="s">
        <v>245</v>
      </c>
      <c r="CR16" s="419"/>
      <c r="CS16" s="421">
        <f t="shared" si="19"/>
        <v>8.0510000000000002</v>
      </c>
      <c r="CT16" s="422">
        <f t="shared" si="20"/>
        <v>0</v>
      </c>
      <c r="CU16" s="516">
        <f>INDEX('Loan Tape - Settled'!$B$4:$BJ$55,MATCH($A16,'Loan Tape - Settled'!$E$4:$E$55,0),MATCH("Current TTM Non-adjusted EBITDA",'Loan Tape - Settled'!$B$4:$BJ$4,0))</f>
        <v>16.08699131986117</v>
      </c>
      <c r="CV16" s="423">
        <f t="shared" si="21"/>
        <v>0</v>
      </c>
      <c r="CW16" s="652" t="s">
        <v>245</v>
      </c>
      <c r="CX16" s="517"/>
      <c r="CY16" s="658">
        <f t="shared" si="22"/>
        <v>16.08699131986117</v>
      </c>
      <c r="CZ16" s="656"/>
      <c r="DA16" s="518"/>
      <c r="DB16" s="519"/>
      <c r="DC16" s="853"/>
      <c r="DD16" s="853">
        <f>INDEX('Loan Tape - Settled'!$B$4:$BJ$55,MATCH($A16,'Loan Tape - Settled'!$E$4:$E$55,0),MATCH("Initial Senior Net Leverage Senior",'Loan Tape - Settled'!$B$4:$BJ$4,0))</f>
        <v>3.4778288411377472</v>
      </c>
      <c r="DE16" s="659">
        <f>INDEX('Loan Tape - Settled'!$B$4:$BJ$55,MATCH($A16,'Loan Tape - Settled'!$E$4:$E$55,0),MATCH("Initial Total Net Leverage",'Loan Tape - Settled'!$B$4:$BJ$4,0))</f>
        <v>3.4778288411377472</v>
      </c>
      <c r="DF16" s="656"/>
      <c r="DG16" s="518"/>
      <c r="DH16" s="519"/>
      <c r="DI16" s="424">
        <f>INDEX('Loan Tape - Settled'!$B$4:$BJ$55,MATCH($A16,'Loan Tape - Settled'!$E$4:$E$55,0),MATCH("Net Attachment",'Loan Tape - Settled'!$B$4:$BJ$4,0))</f>
        <v>0.53474876370320756</v>
      </c>
      <c r="DJ16" s="522">
        <f t="array" ref="DJ16">IF(AG16="Yes",INDEX(VAE!$M$5:$M$53,MATCH($B16&amp;$AJ16,VAE!$C$5:$C$53&amp;VAE!$G$5:$G$53,0)),DD16)</f>
        <v>3.4778288411377472</v>
      </c>
      <c r="DK16" s="649">
        <f t="array" ref="DK16">IF(AG16="Yes",INDEX(VAE!$N$5:$N$53,MATCH($B16&amp;$AJ16,VAE!$C$5:$C$53&amp;VAE!$G$5:$G$53,0)),DE16)</f>
        <v>3.4778288411377472</v>
      </c>
      <c r="DL16" s="651">
        <f>INDEX('Loan Tape - Settled'!$B$4:$BJ$55,MATCH($A16,'Loan Tape - Settled'!$E$4:$E$55,0),MATCH("Current Senior Net Leverage Senior",'Loan Tape - Settled'!$B$4:$BJ$4,0))</f>
        <v>1.7577154534255039</v>
      </c>
      <c r="DM16" s="433">
        <f>INDEX('Loan Tape - Settled'!$B$4:$BJ$55,MATCH($A16,'Loan Tape - Settled'!$E$4:$E$55,0),MATCH("Current Total Net Leverage",'Loan Tape - Settled'!$B$4:$BJ$4,0))</f>
        <v>1.7577154534255039</v>
      </c>
      <c r="DN16" s="425"/>
      <c r="DO16" s="426">
        <f>INDEX('Loan Tape - Settled'!$B$4:$BJ$55,MATCH($A16,'Loan Tape - Settled'!$E$4:$E$55,0),MATCH("Initial Interest Coverage",'Loan Tape - Settled'!$B$4:$BJ$4,0))</f>
        <v>3.09</v>
      </c>
      <c r="DP16" s="854">
        <f t="array" ref="DP16">IF(AG16="Yes",INDEX(VAE!$O$5:$O$53,MATCH($B16&amp;$AJ16,VAE!$C$5:$C$53&amp;VAE!$G$5:$G$53,0)),DO16)</f>
        <v>3.09</v>
      </c>
      <c r="DQ16" s="427">
        <f>INDEX('Loan Tape - Settled'!$B$4:$BJ$55,MATCH($A16,'Loan Tape - Settled'!$E$4:$E$55,0),MATCH("Current Interest Coverage",'Loan Tape - Settled'!$B$4:$BJ$4,0))</f>
        <v>5.2773591102120001</v>
      </c>
      <c r="DR16" s="855" t="str">
        <f t="shared" si="23"/>
        <v>No</v>
      </c>
      <c r="DS16" s="428" t="str">
        <f>IF(AG16="Yes",DATEDIF(AJ16,Availability!$F$8,"m"),"")</f>
        <v/>
      </c>
      <c r="DT16" s="428" t="str">
        <f t="shared" si="24"/>
        <v>No</v>
      </c>
      <c r="DU16" s="647" t="str">
        <f t="shared" si="25"/>
        <v>No</v>
      </c>
      <c r="DV16" s="648" t="str">
        <f t="shared" si="26"/>
        <v>No</v>
      </c>
      <c r="DW16" s="648" t="str">
        <f t="array" ref="DW16">_xlfn.IFS(D16&lt;&gt;"Second Lien","No",D16="Second Lien",IF(AND((DM16-DK16)&gt;0.5,DM16&gt;4.5),"Yes","No"))</f>
        <v>No</v>
      </c>
      <c r="DX16" s="685" t="s">
        <v>244</v>
      </c>
      <c r="DY16" s="685" t="s">
        <v>244</v>
      </c>
      <c r="DZ16" s="686" t="s">
        <v>244</v>
      </c>
      <c r="EA16" s="686" t="s">
        <v>244</v>
      </c>
      <c r="EB16" s="686" t="s">
        <v>244</v>
      </c>
      <c r="EC16" s="686" t="s">
        <v>244</v>
      </c>
      <c r="ED16" s="686" t="s">
        <v>244</v>
      </c>
      <c r="EE16" s="686" t="s">
        <v>244</v>
      </c>
      <c r="EF16" s="409" t="str">
        <f t="shared" si="27"/>
        <v>No</v>
      </c>
      <c r="EG16" s="686" t="s">
        <v>244</v>
      </c>
      <c r="EH16" s="691" t="s">
        <v>244</v>
      </c>
      <c r="EI16" s="856" t="str">
        <f t="array" ref="EI16">IF(D16="First Lien",_xlfn.IFS(CY16&gt;AGENT!$B$23, "&gt; $20MM",CY16&lt;=AGENT!$C$25, "&lt;= $10MM",AND(CY16&lt;=AGENT!$C$24,CY16&gt;AGENT!$B$24),"&lt;= $20MM"), "N/A")</f>
        <v>N/A</v>
      </c>
      <c r="EJ16" s="856" t="str">
        <f t="array" ref="EJ16">IF(D16="FILO",_xlfn.IFS(DI16&gt;AGENT!$B$29, "&gt; 1.25x",DI16&lt;AGENT!$C$27, "&lt; 0.75x",AND(DI16&lt;=AGENT!$C$28,DI16&gt;=AGENT!$B$28),"&lt;= 1.25x"), "N/A")</f>
        <v>&lt; 0.75x</v>
      </c>
      <c r="EK16" s="429">
        <f t="shared" si="28"/>
        <v>12656117.589817706</v>
      </c>
      <c r="EL16" s="429">
        <f>'Concentration Limits'!$J$49</f>
        <v>49599340.729726665</v>
      </c>
      <c r="EM16" s="429" t="str">
        <f>IF(OR(D16="Second Lien",AND(D16="FILO",DI16&gt;AGENT!$C$57)), "Yes", "No")</f>
        <v>No</v>
      </c>
      <c r="EN16" s="429">
        <f t="shared" si="29"/>
        <v>0</v>
      </c>
      <c r="EO16" s="429">
        <f t="shared" si="30"/>
        <v>0</v>
      </c>
      <c r="EP16" s="429">
        <f t="shared" si="31"/>
        <v>12656117.589817706</v>
      </c>
      <c r="EQ16" s="429">
        <f>'Concentration Limits'!$J$50</f>
        <v>24799670.364863332</v>
      </c>
      <c r="ER16" s="429">
        <f t="shared" si="32"/>
        <v>0</v>
      </c>
      <c r="ES16" s="429">
        <f t="shared" si="84"/>
        <v>0</v>
      </c>
      <c r="ET16" s="429">
        <f t="shared" si="33"/>
        <v>12656117.589817706</v>
      </c>
      <c r="EU16" s="429">
        <f>'Concentration Limits'!$J$51</f>
        <v>74399011.094589993</v>
      </c>
      <c r="EV16" s="429" t="str">
        <f>IF(OR(D16="Second Lien", AND(D16="FILO",DI16&gt;AGENT!$C$59)), "Yes", "No")</f>
        <v>No</v>
      </c>
      <c r="EW16" s="429">
        <f t="shared" si="34"/>
        <v>0</v>
      </c>
      <c r="EX16" s="429">
        <f t="shared" si="35"/>
        <v>0</v>
      </c>
      <c r="EY16" s="429">
        <f t="shared" si="36"/>
        <v>12656117.589817706</v>
      </c>
      <c r="EZ16" s="429">
        <f>'Concentration Limits'!$J$52</f>
        <v>37199505.547294997</v>
      </c>
      <c r="FA16" s="429" t="str">
        <f>IF(CY16&gt;'Concentration Limits'!$E$52, "No", "Yes")</f>
        <v>No</v>
      </c>
      <c r="FB16" s="429">
        <f t="shared" si="37"/>
        <v>0</v>
      </c>
      <c r="FC16" s="429">
        <f t="shared" si="38"/>
        <v>0</v>
      </c>
      <c r="FD16" s="429">
        <f t="shared" si="39"/>
        <v>12656117.589817706</v>
      </c>
      <c r="FE16" s="430">
        <f>'Concentration Limits'!$J$54</f>
        <v>247996703.6486333</v>
      </c>
      <c r="FF16" s="430">
        <f>'Concentration Limits'!$J$55</f>
        <v>247996703.6486333</v>
      </c>
      <c r="FG16" s="430">
        <f>'Concentration Limits'!$J$56</f>
        <v>247996703.6486333</v>
      </c>
      <c r="FH16" s="431">
        <f>'Concentration Limits'!$J$57</f>
        <v>18599752.773647498</v>
      </c>
      <c r="FI16" s="431">
        <f t="shared" si="40"/>
        <v>12656117.589817706</v>
      </c>
      <c r="FJ16" s="431">
        <f t="shared" si="41"/>
        <v>12656117.589817706</v>
      </c>
      <c r="FK16" s="431">
        <f t="shared" si="42"/>
        <v>5</v>
      </c>
      <c r="FL16" s="431">
        <f>IF(FJ16&gt;0,RANK(FJ16,$FJ$9:$FJ$60)+COUNTIF($FJ$9:FJ16,FJ16)-1,0)</f>
        <v>5</v>
      </c>
      <c r="FM16" s="430">
        <f t="shared" si="43"/>
        <v>0</v>
      </c>
      <c r="FN16" s="430">
        <f t="shared" si="44"/>
        <v>0</v>
      </c>
      <c r="FO16" s="430">
        <f t="shared" si="45"/>
        <v>0</v>
      </c>
      <c r="FP16" s="431">
        <f t="shared" si="46"/>
        <v>0</v>
      </c>
      <c r="FQ16" s="431">
        <f t="shared" si="47"/>
        <v>12656117.589817706</v>
      </c>
      <c r="FR16" s="431">
        <f>'Concentration Limits'!$J$58</f>
        <v>49599340.729726665</v>
      </c>
      <c r="FS16" s="431">
        <f t="shared" si="48"/>
        <v>12656117.589817706</v>
      </c>
      <c r="FT16" s="431">
        <f>VLOOKUP(BR16,'Concentration Limits'!$E$81:$H$153,4,FALSE)</f>
        <v>10</v>
      </c>
      <c r="FU16" s="431">
        <f t="shared" si="49"/>
        <v>0</v>
      </c>
      <c r="FV16" s="431">
        <f t="shared" si="50"/>
        <v>12656117.589817706</v>
      </c>
      <c r="FW16" s="431">
        <f>'Concentration Limits'!$J$59</f>
        <v>37199505.547294997</v>
      </c>
      <c r="FX16" s="431">
        <f t="shared" si="51"/>
        <v>12656117.589817706</v>
      </c>
      <c r="FY16" s="431">
        <f>VLOOKUP(BR16,'Concentration Limits'!$E$81:$H$153,4,FALSE)</f>
        <v>10</v>
      </c>
      <c r="FZ16" s="431">
        <f t="shared" si="52"/>
        <v>0</v>
      </c>
      <c r="GA16" s="431">
        <f t="shared" si="53"/>
        <v>12656117.589817706</v>
      </c>
      <c r="GB16" s="431">
        <f>'Concentration Limits'!$J$61</f>
        <v>24799670.364863332</v>
      </c>
      <c r="GC16" s="431">
        <f t="shared" si="54"/>
        <v>12656117.589817706</v>
      </c>
      <c r="GD16" s="429">
        <f>VLOOKUP(BR16,'Concentration Limits'!$E$81:$H$153,4,FALSE)</f>
        <v>10</v>
      </c>
      <c r="GE16" s="431">
        <f t="shared" si="55"/>
        <v>0</v>
      </c>
      <c r="GF16" s="431">
        <f t="shared" si="56"/>
        <v>12656117.589817706</v>
      </c>
      <c r="GG16" s="431">
        <f>'Concentration Limits'!$J$64</f>
        <v>24799670.364863332</v>
      </c>
      <c r="GH16" s="431">
        <f t="shared" si="57"/>
        <v>0</v>
      </c>
      <c r="GI16" s="431">
        <f t="shared" si="58"/>
        <v>0</v>
      </c>
      <c r="GJ16" s="431">
        <f t="shared" si="59"/>
        <v>12656117.589817706</v>
      </c>
      <c r="GK16" s="431">
        <f>'Concentration Limits'!$J$67</f>
        <v>24799670.364863332</v>
      </c>
      <c r="GL16" s="429" t="str">
        <f t="shared" si="60"/>
        <v>No</v>
      </c>
      <c r="GM16" s="431">
        <f t="shared" si="61"/>
        <v>0</v>
      </c>
      <c r="GN16" s="431">
        <f t="shared" si="62"/>
        <v>0</v>
      </c>
      <c r="GO16" s="431">
        <f t="shared" si="63"/>
        <v>12656117.589817706</v>
      </c>
      <c r="GP16" s="431">
        <f>'Concentration Limits'!$J$68</f>
        <v>37199505.547294997</v>
      </c>
      <c r="GQ16" s="429" t="str">
        <f t="shared" si="64"/>
        <v>No</v>
      </c>
      <c r="GR16" s="431">
        <f t="shared" si="65"/>
        <v>0</v>
      </c>
      <c r="GS16" s="431">
        <f t="shared" si="66"/>
        <v>0</v>
      </c>
      <c r="GT16" s="431">
        <f t="shared" si="67"/>
        <v>12656117.589817706</v>
      </c>
      <c r="GU16" s="429">
        <f>'Concentration Limits'!$J$69</f>
        <v>37199505.547294997</v>
      </c>
      <c r="GV16" s="429" t="str">
        <f t="shared" si="68"/>
        <v>Yes</v>
      </c>
      <c r="GW16" s="429">
        <f t="shared" si="69"/>
        <v>12656117.589817706</v>
      </c>
      <c r="GX16" s="429">
        <f t="shared" si="70"/>
        <v>0</v>
      </c>
      <c r="GY16" s="429">
        <f t="shared" si="71"/>
        <v>12656117.589817706</v>
      </c>
      <c r="GZ16" s="429">
        <f>'Concentration Limits'!$J$70</f>
        <v>24799670.364863332</v>
      </c>
      <c r="HA16" s="429" t="str">
        <f t="shared" si="72"/>
        <v>No</v>
      </c>
      <c r="HB16" s="429">
        <f t="shared" si="73"/>
        <v>0</v>
      </c>
      <c r="HC16" s="429">
        <f t="shared" si="74"/>
        <v>0</v>
      </c>
      <c r="HD16" s="429">
        <f t="shared" si="75"/>
        <v>12656117.589817706</v>
      </c>
      <c r="HE16" s="431">
        <f t="shared" si="76"/>
        <v>0</v>
      </c>
      <c r="HF16" s="431">
        <f t="shared" si="77"/>
        <v>0</v>
      </c>
      <c r="HG16" s="431">
        <f t="shared" si="78"/>
        <v>12656117.589817706</v>
      </c>
      <c r="HH16" s="431">
        <f t="shared" si="79"/>
        <v>0</v>
      </c>
      <c r="HI16" s="431">
        <f>IF(BE16=0,0,#REF!*BE16/(BE16+BG16))</f>
        <v>0</v>
      </c>
      <c r="HJ16" s="431">
        <f>IF(BG16=0,0,#REF!*BG16/(BG16+BE16))</f>
        <v>0</v>
      </c>
      <c r="HK16" s="857">
        <f>IF(BF16=0,0,#REF!*BF16/(BF16+BH16))</f>
        <v>0</v>
      </c>
      <c r="HL16" s="431">
        <f>IF(BH16=0,0,#REF!*BH16/(BH16+BF16))</f>
        <v>0</v>
      </c>
      <c r="HM16" s="431">
        <f t="shared" si="80"/>
        <v>0</v>
      </c>
      <c r="HN16" s="431" t="b">
        <f t="shared" si="81"/>
        <v>1</v>
      </c>
    </row>
    <row r="17" spans="1:222" s="432" customFormat="1" ht="13.5" customHeight="1" x14ac:dyDescent="0.35">
      <c r="A17" s="49">
        <f t="shared" si="82"/>
        <v>9</v>
      </c>
      <c r="B17" s="404" t="str">
        <f>INDEX('Loan Tape - Settled'!$B$4:$AP$55,MATCH($A17,'Loan Tape - Settled'!$E$4:$E$55,0),MATCH("Obligor Name",'Loan Tape - Settled'!$B$4:$AM$4,0))</f>
        <v>Trailer Park Group</v>
      </c>
      <c r="C17" s="404" t="str">
        <f>INDEX('Loan Tape - Settled'!$B$4:$AP$55,MATCH($A17,'Loan Tape - Settled'!$E$4:$E$55,0),MATCH("Security",'Loan Tape - Settled'!$B$4:$AM$4,0))</f>
        <v>FILO</v>
      </c>
      <c r="D17" s="405" t="str">
        <f>INDEX('Loan Tape - Settled'!$B$4:$AP$55,MATCH($A17,'Loan Tape - Settled'!$E$4:$E$55,0),MATCH("Loan Type",'Loan Tape - Settled'!$B$4:$AM$4,0))</f>
        <v>FILO</v>
      </c>
      <c r="E17" s="406" t="b">
        <f>IF(ISERROR(MATCH(D17,AGENT!$A$4:$A$10,0))=FALSE, TRUE)</f>
        <v>1</v>
      </c>
      <c r="F17" s="406" t="b">
        <f t="shared" si="0"/>
        <v>1</v>
      </c>
      <c r="G17" s="406" t="b">
        <f>IF(D17&lt;&gt;"Second Lien",TRUE, IF(CY17&gt;=AGENT!$B$4,TRUE))</f>
        <v>1</v>
      </c>
      <c r="H17" s="406" t="b">
        <f>IF(DE17&lt;=AGENT!$D$4,TRUE)</f>
        <v>1</v>
      </c>
      <c r="I17" s="406" t="b">
        <f>IF(VLOOKUP(CONCATENATE($A$5,A17),'Loan Tape - Settled'!$A$5:$Q$55,17,FALSE)&gt;=AGENT!$E$4,TRUE)</f>
        <v>1</v>
      </c>
      <c r="J17" s="406" t="b">
        <f>IF(INDEX('Loan Tape - Settled'!$B$4:$AP$55,MATCH($A17,'Loan Tape - Settled'!$E$4:$E$55,0),MATCH("Loan Denomination",'Loan Tape - Settled'!$B$4:$AP$4,0))="USD", TRUE)</f>
        <v>1</v>
      </c>
      <c r="K17" s="406" t="b">
        <f>IF(INDEX('Loan Tape - Settled'!$B$4:$AP$55,MATCH($A17,'Loan Tape - Settled'!$E$4:$E$55,0),MATCH("Exposure Country",'Loan Tape - Settled'!$B$4:$AP$4,0))="United States", TRUE)</f>
        <v>1</v>
      </c>
      <c r="L17" s="406" t="b">
        <f t="shared" si="1"/>
        <v>1</v>
      </c>
      <c r="M17" s="406" t="b">
        <f>IF(((BM17-BL17)/365)&lt;=AGENT!$F$4,TRUE)</f>
        <v>1</v>
      </c>
      <c r="N17" s="406" t="b">
        <f t="shared" si="2"/>
        <v>1</v>
      </c>
      <c r="O17" s="453"/>
      <c r="P17" s="709" t="str">
        <f t="shared" si="3"/>
        <v>Yes</v>
      </c>
      <c r="Q17" s="680" t="s">
        <v>243</v>
      </c>
      <c r="R17" s="407" t="str">
        <f t="shared" si="4"/>
        <v>Trailer Park Group</v>
      </c>
      <c r="S17" s="407"/>
      <c r="T17" s="408" t="str">
        <f t="array" ref="T17">_xlfn.IFS(D17="Second Lien",D17,D17="First Lien",CONCATENATE(D17," ",EI17),D17="FILO",CONCATENATE(D17," ",EJ17))</f>
        <v>FILO &gt; 1.25x</v>
      </c>
      <c r="U17" s="409">
        <f>VLOOKUP(T17,'Concentration Limits'!D:G,4,FALSE)</f>
        <v>0.45</v>
      </c>
      <c r="V17" s="410">
        <f t="shared" si="5"/>
        <v>11075134.805091927</v>
      </c>
      <c r="W17" s="448">
        <f>(SUMIFS('Loan Tape - Settled'!$AR$4:$AR$55,'Loan Tape - Settled'!$E$4:$E$55,$A17,'Loan Tape - Settled'!$C$4:$C$55,$A$5))</f>
        <v>14378770.272964099</v>
      </c>
      <c r="X17" s="449">
        <v>1</v>
      </c>
      <c r="Y17" s="411">
        <f t="shared" si="6"/>
        <v>14378770.272964099</v>
      </c>
      <c r="Z17" s="449">
        <f>(SUMIFS('Loan Tape - Settled'!$AQ$4:$AQ$55,'Loan Tape - Settled'!$E$4:$E$55,$A17,'Loan Tape - Settled'!$C$4:$C$55,$A$5))</f>
        <v>14378770.272964099</v>
      </c>
      <c r="AA17" s="411">
        <f t="shared" si="7"/>
        <v>14378770.272964099</v>
      </c>
      <c r="AB17" s="411">
        <f t="shared" si="8"/>
        <v>0</v>
      </c>
      <c r="AC17" s="450">
        <f>VLOOKUP(CONCATENATE($A$5,A17),'Loan Tape - Settled'!$A$5:$Q$55,17,FALSE)</f>
        <v>1</v>
      </c>
      <c r="AD17" s="412"/>
      <c r="AE17" s="413">
        <f>INDEX('Loan Tape - Settled'!$B$4:$AP$55,MATCH($A17,'Loan Tape - Settled'!$E$4:$E$55,0),MATCH("FMV",'Loan Tape - Settled'!$B$4:$AM$4,0))</f>
        <v>0.93254999999999999</v>
      </c>
      <c r="AF17" s="413">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0.77024214135447433</v>
      </c>
      <c r="AG17" s="414" t="str">
        <f>IF(COUNTIFS(VAE!$C$5:$C$96,B17,VAE!$G$5:$G$96,"&lt;="&amp;Availability!$F$8)&gt;=1,"Yes","-")</f>
        <v>Yes</v>
      </c>
      <c r="AH17" s="414" t="str">
        <f t="array" ref="AH17">IFERROR(IF(AG17="Yes",INDEX(VAE!$D$5:$D$96,MATCH(B17&amp;AJ17,VAE!$C$5:$C$96&amp;VAE!$G$5:$G$96,0)),"-"),0)</f>
        <v>Increase in Lev</v>
      </c>
      <c r="AI17" s="414" t="str">
        <f t="array" ref="AI17">IFERROR(IF(AG17="Yes",INDEX(VAE!$F$5:$F$96,MATCH(B17&amp;AJ17,VAE!$C$5:$C$96&amp;VAE!$G$5:$G$96,0)),"-"),0)</f>
        <v>-</v>
      </c>
      <c r="AJ17" s="415">
        <f>IF(AG17="-","-",_xlfn.MAXIFS(VAE!$G$5:$G$96,VAE!$C$5:$C$96,$B17))</f>
        <v>45846</v>
      </c>
      <c r="AK17" s="416">
        <f t="array" ref="AK17">IFERROR(IF(AG17="Yes",INDEX(VAE!$P$5:$P$96,MATCH(B17&amp;AJ17,VAE!$C$5:$C$96&amp;VAE!$G$5:$G$96,0)),"-"),0)</f>
        <v>0.94569999999999999</v>
      </c>
      <c r="AL17" s="413">
        <f t="shared" si="9"/>
        <v>0.77024214135447433</v>
      </c>
      <c r="AM17" s="410"/>
      <c r="AN17" s="410"/>
      <c r="AO17" s="410">
        <f t="shared" si="10"/>
        <v>0</v>
      </c>
      <c r="AP17" s="410">
        <f t="shared" si="11"/>
        <v>0</v>
      </c>
      <c r="AQ17" s="410">
        <f t="shared" si="83"/>
        <v>0</v>
      </c>
      <c r="AR17" s="410"/>
      <c r="AS17" s="410"/>
      <c r="AT17" s="410"/>
      <c r="AU17" s="410">
        <f t="shared" si="12"/>
        <v>14378770.272964099</v>
      </c>
      <c r="AV17" s="410">
        <f t="shared" si="13"/>
        <v>0</v>
      </c>
      <c r="AW17" s="410">
        <f t="shared" si="14"/>
        <v>11075134.805091927</v>
      </c>
      <c r="AX17" s="410"/>
      <c r="AY17" s="410"/>
      <c r="AZ17" s="410"/>
      <c r="BA17" s="410">
        <f t="shared" si="15"/>
        <v>0</v>
      </c>
      <c r="BB17" s="410"/>
      <c r="BC17" s="410"/>
      <c r="BD17" s="410">
        <f t="shared" si="16"/>
        <v>0</v>
      </c>
      <c r="BE17" s="410"/>
      <c r="BF17" s="410"/>
      <c r="BG17" s="410"/>
      <c r="BH17" s="410"/>
      <c r="BI17" s="410">
        <f t="shared" si="17"/>
        <v>0</v>
      </c>
      <c r="BJ17" s="410" t="b">
        <f t="shared" si="18"/>
        <v>1</v>
      </c>
      <c r="BK17" s="509">
        <f>INDEX('Loan Tape - Settled'!$B$4:$AP$55,MATCH($A17,'Loan Tape - Settled'!$E$4:$E$55,0),MATCH("Inception Date",'Loan Tape - Settled'!$B$4:$AP$4,0))</f>
        <v>44410</v>
      </c>
      <c r="BL17" s="509">
        <f>INDEX('Loan Tape - Settled'!$B$4:$AP$55,MATCH($A17,'Loan Tape - Settled'!$E$4:$E$55,0),MATCH("Inclusion Date",'Loan Tape - Settled'!$B$4:$AP$4,0))</f>
        <v>44413</v>
      </c>
      <c r="BM17" s="509">
        <f>INDEX('Loan Tape - Settled'!$B$4:$AP$55,MATCH($A17,'Loan Tape - Settled'!$E$4:$E$55,0),MATCH("Maturity Date",'Loan Tape - Settled'!$B$4:$AP$4,0))</f>
        <v>46236</v>
      </c>
      <c r="BN17" s="510"/>
      <c r="BO17" s="510"/>
      <c r="BP17" s="511"/>
      <c r="BQ17" s="510"/>
      <c r="BR17" s="512" t="str">
        <f>INDEX('Loan Tape - Settled'!$B$4:$AP$55,MATCH($A17,'Loan Tape - Settled'!$E$4:$E$55,0),MATCH("Industry Classification",'Loan Tape - Settled'!$B$4:$AP$4,0))</f>
        <v>Media</v>
      </c>
      <c r="BS17" s="510" t="str">
        <f>IF(INDEX('Loan Tape - Settled'!$B$4:$AP$55,MATCH($A17,'Loan Tape - Settled'!$E$4:$E$55,0),MATCH("Covenant Lite",'Loan Tape - Settled'!$B$4:$AP$4,0))=-1, "Yes", "No")</f>
        <v>No</v>
      </c>
      <c r="BT17" s="513">
        <f>INDEX('Loan Tape - Settled'!$B$4:$AP$55,MATCH($A17,'Loan Tape - Settled'!$E$4:$E$55,0),MATCH("Spread / Coupon (%)",'Loan Tape - Settled'!$B$4:$AP$4,0))</f>
        <v>7.3649528229000005E-2</v>
      </c>
      <c r="BU17" s="510" t="str">
        <f>IF(INDEX('Loan Tape - Settled'!$B$4:$AP$55,MATCH($A17,'Loan Tape - Settled'!$E$4:$E$55,0),MATCH("Security Type",'Loan Tape - Settled'!$B$4:$AP$4,0))="Delayed Draw Term Loan", "Yes", "No")</f>
        <v>No</v>
      </c>
      <c r="BV17" s="514" t="s">
        <v>244</v>
      </c>
      <c r="BW17" s="514" t="s">
        <v>244</v>
      </c>
      <c r="BX17" s="506" t="s">
        <v>244</v>
      </c>
      <c r="BY17" s="510" t="str">
        <f>IF(INDEX('Loan Tape - Settled'!$B$4:$AP$55,MATCH($A17,'Loan Tape - Settled'!$E$4:$E$55,0),MATCH("Fixed/Floating",'Loan Tape - Settled'!$B$4:$AP$4,0))="Fixed", "Yes", "No")</f>
        <v>No</v>
      </c>
      <c r="BZ17" s="514" t="s">
        <v>244</v>
      </c>
      <c r="CA17" s="514" t="s">
        <v>244</v>
      </c>
      <c r="CB17" s="510" t="str">
        <f>IF(INDEX('Loan Tape - Settled'!$B$4:$AP$55,MATCH($A17,'Loan Tape - Settled'!$E$4:$E$55,0),MATCH("Loan Denomination",'Loan Tape - Settled'!$B$4:$AP$4,0))="CAD", "Yes", "No")</f>
        <v>No</v>
      </c>
      <c r="CC17" s="510" t="str">
        <f>INDEX('Loan Tape - Settled'!$B$4:$AP$55,MATCH($A17,'Loan Tape - Settled'!$E$4:$E$55,0),MATCH("Payment Frequency",'Loan Tape - Settled'!$B$4:$AP$4,0))</f>
        <v>M</v>
      </c>
      <c r="CD17" s="514" t="s">
        <v>244</v>
      </c>
      <c r="CE17" s="510">
        <f>INDEX('Loan Tape - Settled'!$B$4:$AP$55,MATCH($A17,'Loan Tape - Settled'!$E$4:$E$55,0),MATCH("S&amp;P Loan Rating (if applicable)",'Loan Tape - Settled'!$B$4:$AP$4,0))</f>
        <v>0</v>
      </c>
      <c r="CF17" s="510">
        <f>INDEX('Loan Tape - Settled'!$B$4:$AP$55,MATCH($A17,'Loan Tape - Settled'!$E$4:$E$55,0),MATCH("Moody's Loan Rating (if applicable)",'Loan Tape - Settled'!$B$4:$AP$4,0))</f>
        <v>0</v>
      </c>
      <c r="CG17" s="510"/>
      <c r="CH17" s="510"/>
      <c r="CI17" s="515"/>
      <c r="CJ17" s="508" t="str">
        <f>INDEX('Loan Tape - Settled'!$B$4:$BF$55,MATCH($A17,'Loan Tape - Settled'!$E$4:$E$55,0),MATCH("Last Financial Received",'Loan Tape - Settled'!$B$4:$BF$4,0))</f>
        <v>9/30/2025 or Latest Financing</v>
      </c>
      <c r="CK17" s="516">
        <f>INDEX('Loan Tape - Settled'!$B$4:$BJ$55,MATCH($A17,'Loan Tape - Settled'!$E$4:$E$55,0),MATCH("Initial Adjusted TTM EBITDA",'Loan Tape - Settled'!$B$4:$BJ$4,0))</f>
        <v>9.2829999999999995</v>
      </c>
      <c r="CL17" s="516">
        <f>INDEX('Loan Tape - Settled'!$B$4:$BJ$55,MATCH($A17,'Loan Tape - Settled'!$E$4:$E$55,0),MATCH("Initial TTM Non-adjusted EBITDA",'Loan Tape - Settled'!$B$4:$BJ$4,0))</f>
        <v>9.2829999999999995</v>
      </c>
      <c r="CM17" s="417"/>
      <c r="CN17" s="418"/>
      <c r="CO17" s="418"/>
      <c r="CP17" s="419"/>
      <c r="CQ17" s="420" t="s">
        <v>245</v>
      </c>
      <c r="CR17" s="419"/>
      <c r="CS17" s="421">
        <f t="shared" si="19"/>
        <v>9.2829999999999995</v>
      </c>
      <c r="CT17" s="422">
        <f t="shared" si="20"/>
        <v>0</v>
      </c>
      <c r="CU17" s="516">
        <f>INDEX('Loan Tape - Settled'!$B$4:$BJ$55,MATCH($A17,'Loan Tape - Settled'!$E$4:$E$55,0),MATCH("Current TTM Non-adjusted EBITDA",'Loan Tape - Settled'!$B$4:$BJ$4,0))</f>
        <v>14.248469937118371</v>
      </c>
      <c r="CV17" s="423">
        <f t="shared" si="21"/>
        <v>0</v>
      </c>
      <c r="CW17" s="652" t="s">
        <v>245</v>
      </c>
      <c r="CX17" s="517"/>
      <c r="CY17" s="658">
        <f t="shared" si="22"/>
        <v>14.248469937118371</v>
      </c>
      <c r="CZ17" s="656"/>
      <c r="DA17" s="518"/>
      <c r="DB17" s="519"/>
      <c r="DC17" s="853"/>
      <c r="DD17" s="853">
        <f>INDEX('Loan Tape - Settled'!$B$4:$BJ$55,MATCH($A17,'Loan Tape - Settled'!$E$4:$E$55,0),MATCH("Initial Senior Net Leverage Senior",'Loan Tape - Settled'!$B$4:$BJ$4,0))</f>
        <v>3.231713885597328</v>
      </c>
      <c r="DE17" s="659">
        <f>INDEX('Loan Tape - Settled'!$B$4:$BJ$55,MATCH($A17,'Loan Tape - Settled'!$E$4:$E$55,0),MATCH("Initial Total Net Leverage",'Loan Tape - Settled'!$B$4:$BJ$4,0))</f>
        <v>3.231713885597328</v>
      </c>
      <c r="DF17" s="656"/>
      <c r="DG17" s="518"/>
      <c r="DH17" s="519"/>
      <c r="DI17" s="424">
        <f>INDEX('Loan Tape - Settled'!$B$4:$BJ$55,MATCH($A17,'Loan Tape - Settled'!$E$4:$E$55,0),MATCH("Net Attachment",'Loan Tape - Settled'!$B$4:$BJ$4,0))</f>
        <v>1.4502065865820297</v>
      </c>
      <c r="DJ17" s="522">
        <f t="array" ref="DJ17">IF(AG17="Yes",INDEX(VAE!$M$5:$M$53,MATCH($B17&amp;$AJ17,VAE!$C$5:$C$53&amp;VAE!$G$5:$G$53,0)),DD17)</f>
        <v>4.24</v>
      </c>
      <c r="DK17" s="649">
        <f t="array" ref="DK17">IF(AG17="Yes",INDEX(VAE!$N$5:$N$53,MATCH($B17&amp;$AJ17,VAE!$C$5:$C$53&amp;VAE!$G$5:$G$53,0)),DE17)</f>
        <v>0.2924315605170229</v>
      </c>
      <c r="DL17" s="651">
        <f>INDEX('Loan Tape - Settled'!$B$4:$BJ$55,MATCH($A17,'Loan Tape - Settled'!$E$4:$E$55,0),MATCH("Current Senior Net Leverage Senior",'Loan Tape - Settled'!$B$4:$BJ$4,0))</f>
        <v>6.2967211732550137</v>
      </c>
      <c r="DM17" s="433">
        <f>INDEX('Loan Tape - Settled'!$B$4:$BJ$55,MATCH($A17,'Loan Tape - Settled'!$E$4:$E$55,0),MATCH("Current Total Net Leverage",'Loan Tape - Settled'!$B$4:$BJ$4,0))</f>
        <v>6.2967211732550137</v>
      </c>
      <c r="DN17" s="425"/>
      <c r="DO17" s="426">
        <f>INDEX('Loan Tape - Settled'!$B$4:$BJ$55,MATCH($A17,'Loan Tape - Settled'!$E$4:$E$55,0),MATCH("Initial Interest Coverage",'Loan Tape - Settled'!$B$4:$BJ$4,0))</f>
        <v>3.64</v>
      </c>
      <c r="DP17" s="854">
        <f t="array" ref="DP17">IF(AG17="Yes",INDEX(VAE!$O$5:$O$53,MATCH($B17&amp;$AJ17,VAE!$C$5:$C$53&amp;VAE!$G$5:$G$53,0)),DO17)</f>
        <v>1.2963882218680001</v>
      </c>
      <c r="DQ17" s="427">
        <f>INDEX('Loan Tape - Settled'!$B$4:$BJ$55,MATCH($A17,'Loan Tape - Settled'!$E$4:$E$55,0),MATCH("Current Interest Coverage",'Loan Tape - Settled'!$B$4:$BJ$4,0))</f>
        <v>1.2963882218680001</v>
      </c>
      <c r="DR17" s="855" t="str">
        <f t="shared" si="23"/>
        <v>Yes</v>
      </c>
      <c r="DS17" s="428">
        <f>IF(AG17="Yes",DATEDIF(AJ17,Availability!$F$8,"m"),"")</f>
        <v>5</v>
      </c>
      <c r="DT17" s="428" t="str">
        <f t="shared" si="24"/>
        <v>No</v>
      </c>
      <c r="DU17" s="647" t="str">
        <f t="shared" si="25"/>
        <v>No</v>
      </c>
      <c r="DV17" s="648" t="str">
        <f t="shared" si="26"/>
        <v>Yes</v>
      </c>
      <c r="DW17" s="648" t="str">
        <f t="array" ref="DW17">_xlfn.IFS(D17&lt;&gt;"Second Lien","No",D17="Second Lien",IF(AND((DM17-DK17)&gt;0.5,DM17&gt;4.5),"Yes","No"))</f>
        <v>No</v>
      </c>
      <c r="DX17" s="685" t="s">
        <v>244</v>
      </c>
      <c r="DY17" s="685" t="s">
        <v>244</v>
      </c>
      <c r="DZ17" s="686" t="s">
        <v>244</v>
      </c>
      <c r="EA17" s="686" t="s">
        <v>244</v>
      </c>
      <c r="EB17" s="686" t="s">
        <v>244</v>
      </c>
      <c r="EC17" s="686" t="s">
        <v>244</v>
      </c>
      <c r="ED17" s="686" t="s">
        <v>244</v>
      </c>
      <c r="EE17" s="686" t="s">
        <v>244</v>
      </c>
      <c r="EF17" s="409" t="str">
        <f t="shared" si="27"/>
        <v>No</v>
      </c>
      <c r="EG17" s="686" t="s">
        <v>244</v>
      </c>
      <c r="EH17" s="691" t="s">
        <v>244</v>
      </c>
      <c r="EI17" s="856" t="str">
        <f t="array" ref="EI17">IF(D17="First Lien",_xlfn.IFS(CY17&gt;AGENT!$B$23, "&gt; $20MM",CY17&lt;=AGENT!$C$25, "&lt;= $10MM",AND(CY17&lt;=AGENT!$C$24,CY17&gt;AGENT!$B$24),"&lt;= $20MM"), "N/A")</f>
        <v>N/A</v>
      </c>
      <c r="EJ17" s="856" t="str">
        <f t="array" ref="EJ17">IF(D17="FILO",_xlfn.IFS(DI17&gt;AGENT!$B$29, "&gt; 1.25x",DI17&lt;AGENT!$C$27, "&lt; 0.75x",AND(DI17&lt;=AGENT!$C$28,DI17&gt;=AGENT!$B$28),"&lt;= 1.25x"), "N/A")</f>
        <v>&gt; 1.25x</v>
      </c>
      <c r="EK17" s="429">
        <f t="shared" si="28"/>
        <v>11075134.805091927</v>
      </c>
      <c r="EL17" s="429">
        <f>'Concentration Limits'!$J$49</f>
        <v>49599340.729726665</v>
      </c>
      <c r="EM17" s="429" t="str">
        <f>IF(OR(D17="Second Lien",AND(D17="FILO",DI17&gt;AGENT!$C$57)), "Yes", "No")</f>
        <v>No</v>
      </c>
      <c r="EN17" s="429">
        <f t="shared" si="29"/>
        <v>0</v>
      </c>
      <c r="EO17" s="429">
        <f t="shared" si="30"/>
        <v>0</v>
      </c>
      <c r="EP17" s="429">
        <f t="shared" si="31"/>
        <v>11075134.805091927</v>
      </c>
      <c r="EQ17" s="429">
        <f>'Concentration Limits'!$J$50</f>
        <v>24799670.364863332</v>
      </c>
      <c r="ER17" s="429">
        <f t="shared" si="32"/>
        <v>0</v>
      </c>
      <c r="ES17" s="429">
        <f t="shared" si="84"/>
        <v>0</v>
      </c>
      <c r="ET17" s="429">
        <f t="shared" si="33"/>
        <v>11075134.805091927</v>
      </c>
      <c r="EU17" s="429">
        <f>'Concentration Limits'!$J$51</f>
        <v>74399011.094589993</v>
      </c>
      <c r="EV17" s="429" t="str">
        <f>IF(OR(D17="Second Lien", AND(D17="FILO",DI17&gt;AGENT!$C$59)), "Yes", "No")</f>
        <v>Yes</v>
      </c>
      <c r="EW17" s="429">
        <f t="shared" si="34"/>
        <v>53940434.707607172</v>
      </c>
      <c r="EX17" s="429">
        <f t="shared" si="35"/>
        <v>0</v>
      </c>
      <c r="EY17" s="429">
        <f t="shared" si="36"/>
        <v>11075134.805091927</v>
      </c>
      <c r="EZ17" s="429">
        <f>'Concentration Limits'!$J$52</f>
        <v>37199505.547294997</v>
      </c>
      <c r="FA17" s="429" t="str">
        <f>IF(CY17&gt;'Concentration Limits'!$E$52, "No", "Yes")</f>
        <v>No</v>
      </c>
      <c r="FB17" s="429">
        <f t="shared" si="37"/>
        <v>0</v>
      </c>
      <c r="FC17" s="429">
        <f t="shared" si="38"/>
        <v>0</v>
      </c>
      <c r="FD17" s="429">
        <f t="shared" si="39"/>
        <v>11075134.805091927</v>
      </c>
      <c r="FE17" s="430">
        <f>'Concentration Limits'!$J$54</f>
        <v>247996703.6486333</v>
      </c>
      <c r="FF17" s="430">
        <f>'Concentration Limits'!$J$55</f>
        <v>247996703.6486333</v>
      </c>
      <c r="FG17" s="430">
        <f>'Concentration Limits'!$J$56</f>
        <v>247996703.6486333</v>
      </c>
      <c r="FH17" s="431">
        <f>'Concentration Limits'!$J$57</f>
        <v>18599752.773647498</v>
      </c>
      <c r="FI17" s="431">
        <f t="shared" si="40"/>
        <v>11075134.805091927</v>
      </c>
      <c r="FJ17" s="431">
        <f t="shared" si="41"/>
        <v>11075134.805091927</v>
      </c>
      <c r="FK17" s="431">
        <f t="shared" si="42"/>
        <v>10</v>
      </c>
      <c r="FL17" s="431">
        <f>IF(FJ17&gt;0,RANK(FJ17,$FJ$9:$FJ$60)+COUNTIF($FJ$9:FJ17,FJ17)-1,0)</f>
        <v>10</v>
      </c>
      <c r="FM17" s="430">
        <f t="shared" si="43"/>
        <v>0</v>
      </c>
      <c r="FN17" s="430">
        <f t="shared" si="44"/>
        <v>0</v>
      </c>
      <c r="FO17" s="430">
        <f t="shared" si="45"/>
        <v>0</v>
      </c>
      <c r="FP17" s="431">
        <f t="shared" si="46"/>
        <v>0</v>
      </c>
      <c r="FQ17" s="431">
        <f t="shared" si="47"/>
        <v>11075134.805091927</v>
      </c>
      <c r="FR17" s="431">
        <f>'Concentration Limits'!$J$58</f>
        <v>49599340.729726665</v>
      </c>
      <c r="FS17" s="431">
        <f t="shared" si="48"/>
        <v>13656662.095759427</v>
      </c>
      <c r="FT17" s="431">
        <f>VLOOKUP(BR17,'Concentration Limits'!$E$81:$H$153,4,FALSE)</f>
        <v>7</v>
      </c>
      <c r="FU17" s="431">
        <f t="shared" si="49"/>
        <v>0</v>
      </c>
      <c r="FV17" s="431">
        <f t="shared" si="50"/>
        <v>11075134.805091927</v>
      </c>
      <c r="FW17" s="431">
        <f>'Concentration Limits'!$J$59</f>
        <v>37199505.547294997</v>
      </c>
      <c r="FX17" s="431">
        <f t="shared" si="51"/>
        <v>13656662.095759427</v>
      </c>
      <c r="FY17" s="431">
        <f>VLOOKUP(BR17,'Concentration Limits'!$E$81:$H$153,4,FALSE)</f>
        <v>7</v>
      </c>
      <c r="FZ17" s="431">
        <f t="shared" si="52"/>
        <v>0</v>
      </c>
      <c r="GA17" s="431">
        <f t="shared" si="53"/>
        <v>11075134.805091927</v>
      </c>
      <c r="GB17" s="431">
        <f>'Concentration Limits'!$J$61</f>
        <v>24799670.364863332</v>
      </c>
      <c r="GC17" s="431">
        <f t="shared" si="54"/>
        <v>13656662.095759427</v>
      </c>
      <c r="GD17" s="429">
        <f>VLOOKUP(BR17,'Concentration Limits'!$E$81:$H$153,4,FALSE)</f>
        <v>7</v>
      </c>
      <c r="GE17" s="431">
        <f t="shared" si="55"/>
        <v>0</v>
      </c>
      <c r="GF17" s="431">
        <f t="shared" si="56"/>
        <v>11075134.805091927</v>
      </c>
      <c r="GG17" s="431">
        <f>'Concentration Limits'!$J$64</f>
        <v>24799670.364863332</v>
      </c>
      <c r="GH17" s="431">
        <f t="shared" si="57"/>
        <v>0</v>
      </c>
      <c r="GI17" s="431">
        <f t="shared" si="58"/>
        <v>0</v>
      </c>
      <c r="GJ17" s="431">
        <f t="shared" si="59"/>
        <v>11075134.805091927</v>
      </c>
      <c r="GK17" s="431">
        <f>'Concentration Limits'!$J$67</f>
        <v>24799670.364863332</v>
      </c>
      <c r="GL17" s="429" t="str">
        <f t="shared" si="60"/>
        <v>No</v>
      </c>
      <c r="GM17" s="431">
        <f t="shared" si="61"/>
        <v>0</v>
      </c>
      <c r="GN17" s="431">
        <f t="shared" si="62"/>
        <v>0</v>
      </c>
      <c r="GO17" s="431">
        <f t="shared" si="63"/>
        <v>11075134.805091927</v>
      </c>
      <c r="GP17" s="431">
        <f>'Concentration Limits'!$J$68</f>
        <v>37199505.547294997</v>
      </c>
      <c r="GQ17" s="429" t="str">
        <f t="shared" si="64"/>
        <v>No</v>
      </c>
      <c r="GR17" s="431">
        <f t="shared" si="65"/>
        <v>0</v>
      </c>
      <c r="GS17" s="431">
        <f t="shared" si="66"/>
        <v>0</v>
      </c>
      <c r="GT17" s="431">
        <f t="shared" si="67"/>
        <v>11075134.805091927</v>
      </c>
      <c r="GU17" s="429">
        <f>'Concentration Limits'!$J$69</f>
        <v>37199505.547294997</v>
      </c>
      <c r="GV17" s="429" t="str">
        <f t="shared" si="68"/>
        <v>No</v>
      </c>
      <c r="GW17" s="429">
        <f t="shared" si="69"/>
        <v>0</v>
      </c>
      <c r="GX17" s="429">
        <f t="shared" si="70"/>
        <v>0</v>
      </c>
      <c r="GY17" s="429">
        <f t="shared" si="71"/>
        <v>11075134.805091927</v>
      </c>
      <c r="GZ17" s="429">
        <f>'Concentration Limits'!$J$70</f>
        <v>24799670.364863332</v>
      </c>
      <c r="HA17" s="429" t="str">
        <f t="shared" si="72"/>
        <v>No</v>
      </c>
      <c r="HB17" s="429">
        <f t="shared" si="73"/>
        <v>0</v>
      </c>
      <c r="HC17" s="429">
        <f t="shared" si="74"/>
        <v>0</v>
      </c>
      <c r="HD17" s="429">
        <f t="shared" si="75"/>
        <v>11075134.805091927</v>
      </c>
      <c r="HE17" s="431">
        <f t="shared" si="76"/>
        <v>0</v>
      </c>
      <c r="HF17" s="431">
        <f t="shared" si="77"/>
        <v>0</v>
      </c>
      <c r="HG17" s="431">
        <f t="shared" si="78"/>
        <v>11075134.805091927</v>
      </c>
      <c r="HH17" s="431">
        <f t="shared" si="79"/>
        <v>0</v>
      </c>
      <c r="HI17" s="431">
        <f>IF(BE17=0,0,#REF!*BE17/(BE17+BG17))</f>
        <v>0</v>
      </c>
      <c r="HJ17" s="431">
        <f>IF(BG17=0,0,#REF!*BG17/(BG17+BE17))</f>
        <v>0</v>
      </c>
      <c r="HK17" s="857">
        <f>IF(BF17=0,0,#REF!*BF17/(BF17+BH17))</f>
        <v>0</v>
      </c>
      <c r="HL17" s="431">
        <f>IF(BH17=0,0,#REF!*BH17/(BH17+BF17))</f>
        <v>0</v>
      </c>
      <c r="HM17" s="431">
        <f t="shared" si="80"/>
        <v>0</v>
      </c>
      <c r="HN17" s="431" t="b">
        <f t="shared" si="81"/>
        <v>1</v>
      </c>
    </row>
    <row r="18" spans="1:222" s="432" customFormat="1" ht="12.75" customHeight="1" x14ac:dyDescent="0.35">
      <c r="A18" s="49">
        <f t="shared" si="82"/>
        <v>10</v>
      </c>
      <c r="B18" s="404" t="str">
        <f>INDEX('Loan Tape - Settled'!$B$4:$AP$55,MATCH($A18,'Loan Tape - Settled'!$E$4:$E$55,0),MATCH("Obligor Name",'Loan Tape - Settled'!$B$4:$AM$4,0))</f>
        <v>MechanAir (I)</v>
      </c>
      <c r="C18" s="404" t="str">
        <f>INDEX('Loan Tape - Settled'!$B$4:$AP$55,MATCH($A18,'Loan Tape - Settled'!$E$4:$E$55,0),MATCH("Security",'Loan Tape - Settled'!$B$4:$AM$4,0))</f>
        <v>1st Lien</v>
      </c>
      <c r="D18" s="405" t="str">
        <f>INDEX('Loan Tape - Settled'!$B$4:$AP$55,MATCH($A18,'Loan Tape - Settled'!$E$4:$E$55,0),MATCH("Loan Type",'Loan Tape - Settled'!$B$4:$AM$4,0))</f>
        <v>First Lien</v>
      </c>
      <c r="E18" s="406" t="b">
        <f>IF(ISERROR(MATCH(D18,AGENT!$A$4:$A$10,0))=FALSE, TRUE)</f>
        <v>1</v>
      </c>
      <c r="F18" s="406" t="b">
        <f t="shared" si="0"/>
        <v>1</v>
      </c>
      <c r="G18" s="406" t="b">
        <f>IF(D18&lt;&gt;"Second Lien",TRUE, IF(CY18&gt;=AGENT!$B$4,TRUE))</f>
        <v>1</v>
      </c>
      <c r="H18" s="406" t="b">
        <f>IF(DE18&lt;=AGENT!$D$4,TRUE)</f>
        <v>1</v>
      </c>
      <c r="I18" s="406" t="b">
        <f>IF(VLOOKUP(CONCATENATE($A$5,A18),'Loan Tape - Settled'!$A$5:$Q$55,17,FALSE)&gt;=AGENT!$E$4,TRUE)</f>
        <v>1</v>
      </c>
      <c r="J18" s="406" t="b">
        <f>IF(INDEX('Loan Tape - Settled'!$B$4:$AP$55,MATCH($A18,'Loan Tape - Settled'!$E$4:$E$55,0),MATCH("Loan Denomination",'Loan Tape - Settled'!$B$4:$AP$4,0))="USD", TRUE)</f>
        <v>1</v>
      </c>
      <c r="K18" s="406" t="b">
        <f>IF(INDEX('Loan Tape - Settled'!$B$4:$AP$55,MATCH($A18,'Loan Tape - Settled'!$E$4:$E$55,0),MATCH("Exposure Country",'Loan Tape - Settled'!$B$4:$AP$4,0))="United States", TRUE)</f>
        <v>1</v>
      </c>
      <c r="L18" s="406" t="b">
        <f t="shared" si="1"/>
        <v>1</v>
      </c>
      <c r="M18" s="406" t="b">
        <f>IF(((BM18-BL18)/365)&lt;=AGENT!$F$4,TRUE)</f>
        <v>1</v>
      </c>
      <c r="N18" s="406" t="b">
        <f t="shared" si="2"/>
        <v>1</v>
      </c>
      <c r="O18" s="453"/>
      <c r="P18" s="709" t="str">
        <f t="shared" si="3"/>
        <v>Yes</v>
      </c>
      <c r="Q18" s="680" t="s">
        <v>243</v>
      </c>
      <c r="R18" s="407" t="str">
        <f t="shared" si="4"/>
        <v>MechanAir (I)</v>
      </c>
      <c r="S18" s="407"/>
      <c r="T18" s="408" t="str">
        <f t="array" ref="T18">_xlfn.IFS(D18="Second Lien",D18,D18="First Lien",CONCATENATE(D18," ",EI18),D18="FILO",CONCATENATE(D18," ",EJ18))</f>
        <v>First Lien &lt;= $20MM</v>
      </c>
      <c r="U18" s="409">
        <f>VLOOKUP(T18,'Concentration Limits'!D:G,4,FALSE)</f>
        <v>0.65</v>
      </c>
      <c r="V18" s="410">
        <f t="shared" si="5"/>
        <v>6210559.5391558968</v>
      </c>
      <c r="W18" s="448">
        <f>(SUMIFS('Loan Tape - Settled'!$AR$4:$AR$55,'Loan Tape - Settled'!$E$4:$E$55,$A18,'Loan Tape - Settled'!$C$4:$C$55,$A$5))</f>
        <v>6442460.1799999997</v>
      </c>
      <c r="X18" s="449">
        <v>1</v>
      </c>
      <c r="Y18" s="411">
        <f t="shared" si="6"/>
        <v>6442460.1799999997</v>
      </c>
      <c r="Z18" s="449">
        <f>(SUMIFS('Loan Tape - Settled'!$AQ$4:$AQ$55,'Loan Tape - Settled'!$E$4:$E$55,$A18,'Loan Tape - Settled'!$C$4:$C$55,$A$5))</f>
        <v>6442460.1799999997</v>
      </c>
      <c r="AA18" s="411">
        <f t="shared" si="7"/>
        <v>6442460.1799999997</v>
      </c>
      <c r="AB18" s="411">
        <f t="shared" si="8"/>
        <v>0</v>
      </c>
      <c r="AC18" s="450">
        <f>VLOOKUP(CONCATENATE($A$5,A18),'Loan Tape - Settled'!$A$5:$Q$55,17,FALSE)</f>
        <v>1</v>
      </c>
      <c r="AD18" s="412"/>
      <c r="AE18" s="413">
        <f>INDEX('Loan Tape - Settled'!$B$4:$AP$55,MATCH($A18,'Loan Tape - Settled'!$E$4:$E$55,0),MATCH("FMV",'Loan Tape - Settled'!$B$4:$AM$4,0))</f>
        <v>0.97950558316812375</v>
      </c>
      <c r="AF18" s="413">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0.96400433462297275</v>
      </c>
      <c r="AG18" s="414" t="str">
        <f>IF(COUNTIFS(VAE!$C$5:$C$96,B18,VAE!$G$5:$G$96,"&lt;="&amp;Availability!$F$8)&gt;=1,"Yes","-")</f>
        <v>-</v>
      </c>
      <c r="AH18" s="414" t="str">
        <f t="array" ref="AH18">IFERROR(IF(AG18="Yes",INDEX(VAE!$D$5:$D$96,MATCH(B18&amp;AJ18,VAE!$C$5:$C$96&amp;VAE!$G$5:$G$96,0)),"-"),0)</f>
        <v>-</v>
      </c>
      <c r="AI18" s="414" t="str">
        <f t="array" ref="AI18">IFERROR(IF(AG18="Yes",INDEX(VAE!$F$5:$F$96,MATCH(B18&amp;AJ18,VAE!$C$5:$C$96&amp;VAE!$G$5:$G$96,0)),"-"),0)</f>
        <v>-</v>
      </c>
      <c r="AJ18" s="415" t="str">
        <f>IF(AG18="-","-",_xlfn.MAXIFS(VAE!$G$5:$G$96,VAE!$C$5:$C$96,$B18))</f>
        <v>-</v>
      </c>
      <c r="AK18" s="416" t="str">
        <f t="array" ref="AK18">IFERROR(IF(AG18="Yes",INDEX(VAE!$P$5:$P$96,MATCH(B18&amp;AJ18,VAE!$C$5:$C$96&amp;VAE!$G$5:$G$96,0)),"-"),0)</f>
        <v>-</v>
      </c>
      <c r="AL18" s="413">
        <f t="shared" si="9"/>
        <v>0.96400433462297275</v>
      </c>
      <c r="AM18" s="410"/>
      <c r="AN18" s="410"/>
      <c r="AO18" s="410">
        <f t="shared" si="10"/>
        <v>6442460.1799999997</v>
      </c>
      <c r="AP18" s="410">
        <f t="shared" si="11"/>
        <v>0</v>
      </c>
      <c r="AQ18" s="410">
        <f t="shared" si="83"/>
        <v>6210559.5391558968</v>
      </c>
      <c r="AR18" s="410"/>
      <c r="AS18" s="410"/>
      <c r="AT18" s="410"/>
      <c r="AU18" s="410">
        <f t="shared" si="12"/>
        <v>0</v>
      </c>
      <c r="AV18" s="410">
        <f t="shared" si="13"/>
        <v>0</v>
      </c>
      <c r="AW18" s="410">
        <f t="shared" si="14"/>
        <v>0</v>
      </c>
      <c r="AX18" s="410"/>
      <c r="AY18" s="410"/>
      <c r="AZ18" s="410"/>
      <c r="BA18" s="410">
        <f t="shared" si="15"/>
        <v>0</v>
      </c>
      <c r="BB18" s="410"/>
      <c r="BC18" s="410"/>
      <c r="BD18" s="410">
        <f t="shared" si="16"/>
        <v>0</v>
      </c>
      <c r="BE18" s="410"/>
      <c r="BF18" s="410"/>
      <c r="BG18" s="410"/>
      <c r="BH18" s="410"/>
      <c r="BI18" s="410">
        <f t="shared" si="17"/>
        <v>0</v>
      </c>
      <c r="BJ18" s="410" t="b">
        <f t="shared" si="18"/>
        <v>1</v>
      </c>
      <c r="BK18" s="509">
        <f>INDEX('Loan Tape - Settled'!$B$4:$AP$55,MATCH($A18,'Loan Tape - Settled'!$E$4:$E$55,0),MATCH("Inception Date",'Loan Tape - Settled'!$B$4:$AP$4,0))</f>
        <v>46009</v>
      </c>
      <c r="BL18" s="509">
        <f>INDEX('Loan Tape - Settled'!$B$4:$AP$55,MATCH($A18,'Loan Tape - Settled'!$E$4:$E$55,0),MATCH("Inclusion Date",'Loan Tape - Settled'!$B$4:$AP$4,0))</f>
        <v>46009</v>
      </c>
      <c r="BM18" s="509">
        <f>INDEX('Loan Tape - Settled'!$B$4:$AP$55,MATCH($A18,'Loan Tape - Settled'!$E$4:$E$55,0),MATCH("Maturity Date",'Loan Tape - Settled'!$B$4:$AP$4,0))</f>
        <v>48200</v>
      </c>
      <c r="BN18" s="510"/>
      <c r="BO18" s="510"/>
      <c r="BP18" s="511"/>
      <c r="BQ18" s="510"/>
      <c r="BR18" s="512" t="str">
        <f>INDEX('Loan Tape - Settled'!$B$4:$AP$55,MATCH($A18,'Loan Tape - Settled'!$E$4:$E$55,0),MATCH("Industry Classification",'Loan Tape - Settled'!$B$4:$AP$4,0))</f>
        <v>Construction &amp; Engineering</v>
      </c>
      <c r="BS18" s="510" t="str">
        <f>IF(INDEX('Loan Tape - Settled'!$B$4:$AP$55,MATCH($A18,'Loan Tape - Settled'!$E$4:$E$55,0),MATCH("Covenant Lite",'Loan Tape - Settled'!$B$4:$AP$4,0))=-1, "Yes", "No")</f>
        <v>No</v>
      </c>
      <c r="BT18" s="513">
        <f>INDEX('Loan Tape - Settled'!$B$4:$AP$55,MATCH($A18,'Loan Tape - Settled'!$E$4:$E$55,0),MATCH("Spread / Coupon (%)",'Loan Tape - Settled'!$B$4:$AP$4,0))</f>
        <v>0.06</v>
      </c>
      <c r="BU18" s="510" t="str">
        <f>IF(INDEX('Loan Tape - Settled'!$B$4:$AP$55,MATCH($A18,'Loan Tape - Settled'!$E$4:$E$55,0),MATCH("Security Type",'Loan Tape - Settled'!$B$4:$AP$4,0))="Delayed Draw Term Loan", "Yes", "No")</f>
        <v>No</v>
      </c>
      <c r="BV18" s="514" t="s">
        <v>244</v>
      </c>
      <c r="BW18" s="514" t="s">
        <v>244</v>
      </c>
      <c r="BX18" s="506" t="s">
        <v>244</v>
      </c>
      <c r="BY18" s="510" t="str">
        <f>IF(INDEX('Loan Tape - Settled'!$B$4:$AP$55,MATCH($A18,'Loan Tape - Settled'!$E$4:$E$55,0),MATCH("Fixed/Floating",'Loan Tape - Settled'!$B$4:$AP$4,0))="Fixed", "Yes", "No")</f>
        <v>No</v>
      </c>
      <c r="BZ18" s="514" t="s">
        <v>244</v>
      </c>
      <c r="CA18" s="514" t="s">
        <v>244</v>
      </c>
      <c r="CB18" s="510" t="str">
        <f>IF(INDEX('Loan Tape - Settled'!$B$4:$AP$55,MATCH($A18,'Loan Tape - Settled'!$E$4:$E$55,0),MATCH("Loan Denomination",'Loan Tape - Settled'!$B$4:$AP$4,0))="CAD", "Yes", "No")</f>
        <v>No</v>
      </c>
      <c r="CC18" s="510" t="str">
        <f>INDEX('Loan Tape - Settled'!$B$4:$AP$55,MATCH($A18,'Loan Tape - Settled'!$E$4:$E$55,0),MATCH("Payment Frequency",'Loan Tape - Settled'!$B$4:$AP$4,0))</f>
        <v>Q</v>
      </c>
      <c r="CD18" s="514" t="s">
        <v>244</v>
      </c>
      <c r="CE18" s="510">
        <f>INDEX('Loan Tape - Settled'!$B$4:$AP$55,MATCH($A18,'Loan Tape - Settled'!$E$4:$E$55,0),MATCH("S&amp;P Loan Rating (if applicable)",'Loan Tape - Settled'!$B$4:$AP$4,0))</f>
        <v>0</v>
      </c>
      <c r="CF18" s="510">
        <f>INDEX('Loan Tape - Settled'!$B$4:$AP$55,MATCH($A18,'Loan Tape - Settled'!$E$4:$E$55,0),MATCH("Moody's Loan Rating (if applicable)",'Loan Tape - Settled'!$B$4:$AP$4,0))</f>
        <v>0</v>
      </c>
      <c r="CG18" s="510"/>
      <c r="CH18" s="510"/>
      <c r="CI18" s="515"/>
      <c r="CJ18" s="508" t="str">
        <f>INDEX('Loan Tape - Settled'!$B$4:$BF$55,MATCH($A18,'Loan Tape - Settled'!$E$4:$E$55,0),MATCH("Last Financial Received",'Loan Tape - Settled'!$B$4:$BF$4,0))</f>
        <v>9/30/2025 or Latest Financing</v>
      </c>
      <c r="CK18" s="516">
        <f>INDEX('Loan Tape - Settled'!$B$4:$BJ$55,MATCH($A18,'Loan Tape - Settled'!$E$4:$E$55,0),MATCH("Initial Adjusted TTM EBITDA",'Loan Tape - Settled'!$B$4:$BJ$4,0))</f>
        <v>12.1</v>
      </c>
      <c r="CL18" s="516">
        <f>INDEX('Loan Tape - Settled'!$B$4:$BJ$55,MATCH($A18,'Loan Tape - Settled'!$E$4:$E$55,0),MATCH("Initial TTM Non-adjusted EBITDA",'Loan Tape - Settled'!$B$4:$BJ$4,0))</f>
        <v>12.1</v>
      </c>
      <c r="CM18" s="417"/>
      <c r="CN18" s="418"/>
      <c r="CO18" s="418"/>
      <c r="CP18" s="419"/>
      <c r="CQ18" s="420" t="s">
        <v>245</v>
      </c>
      <c r="CR18" s="419"/>
      <c r="CS18" s="421">
        <f t="shared" si="19"/>
        <v>12.1</v>
      </c>
      <c r="CT18" s="422">
        <f t="shared" si="20"/>
        <v>0</v>
      </c>
      <c r="CU18" s="516">
        <f>INDEX('Loan Tape - Settled'!$B$4:$BJ$55,MATCH($A18,'Loan Tape - Settled'!$E$4:$E$55,0),MATCH("Current TTM Non-adjusted EBITDA",'Loan Tape - Settled'!$B$4:$BJ$4,0))</f>
        <v>12.1</v>
      </c>
      <c r="CV18" s="423">
        <f t="shared" si="21"/>
        <v>0</v>
      </c>
      <c r="CW18" s="652" t="s">
        <v>245</v>
      </c>
      <c r="CX18" s="517"/>
      <c r="CY18" s="658">
        <f t="shared" si="22"/>
        <v>12.1</v>
      </c>
      <c r="CZ18" s="656"/>
      <c r="DA18" s="518"/>
      <c r="DB18" s="519"/>
      <c r="DC18" s="853"/>
      <c r="DD18" s="853">
        <f>INDEX('Loan Tape - Settled'!$B$4:$BJ$55,MATCH($A18,'Loan Tape - Settled'!$E$4:$E$55,0),MATCH("Initial Senior Net Leverage Senior",'Loan Tape - Settled'!$B$4:$BJ$4,0))</f>
        <v>4.7695554892561987</v>
      </c>
      <c r="DE18" s="659">
        <f>INDEX('Loan Tape - Settled'!$B$4:$BJ$55,MATCH($A18,'Loan Tape - Settled'!$E$4:$E$55,0),MATCH("Initial Total Net Leverage",'Loan Tape - Settled'!$B$4:$BJ$4,0))</f>
        <v>4.7695554892561987</v>
      </c>
      <c r="DF18" s="656"/>
      <c r="DG18" s="518"/>
      <c r="DH18" s="519"/>
      <c r="DI18" s="424">
        <f>INDEX('Loan Tape - Settled'!$B$4:$BJ$55,MATCH($A18,'Loan Tape - Settled'!$E$4:$E$55,0),MATCH("Net Attachment",'Loan Tape - Settled'!$B$4:$BJ$4,0))</f>
        <v>0.20275799669421529</v>
      </c>
      <c r="DJ18" s="522">
        <f t="array" ref="DJ18">IF(AG18="Yes",INDEX(VAE!$M$5:$M$53,MATCH($B18&amp;$AJ18,VAE!$C$5:$C$53&amp;VAE!$G$5:$G$53,0)),DD18)</f>
        <v>4.7695554892561987</v>
      </c>
      <c r="DK18" s="649">
        <f t="array" ref="DK18">IF(AG18="Yes",INDEX(VAE!$N$5:$N$53,MATCH($B18&amp;$AJ18,VAE!$C$5:$C$53&amp;VAE!$G$5:$G$53,0)),DE18)</f>
        <v>4.7695554892561987</v>
      </c>
      <c r="DL18" s="651">
        <f>INDEX('Loan Tape - Settled'!$B$4:$BJ$55,MATCH($A18,'Loan Tape - Settled'!$E$4:$E$55,0),MATCH("Current Senior Net Leverage Senior",'Loan Tape - Settled'!$B$4:$BJ$4,0))</f>
        <v>4.7695554892561987</v>
      </c>
      <c r="DM18" s="433">
        <f>INDEX('Loan Tape - Settled'!$B$4:$BJ$55,MATCH($A18,'Loan Tape - Settled'!$E$4:$E$55,0),MATCH("Current Total Net Leverage",'Loan Tape - Settled'!$B$4:$BJ$4,0))</f>
        <v>4.7695554892561987</v>
      </c>
      <c r="DN18" s="425"/>
      <c r="DO18" s="426">
        <f>INDEX('Loan Tape - Settled'!$B$4:$BJ$55,MATCH($A18,'Loan Tape - Settled'!$E$4:$E$55,0),MATCH("Initial Interest Coverage",'Loan Tape - Settled'!$B$4:$BJ$4,0))</f>
        <v>1.6</v>
      </c>
      <c r="DP18" s="854">
        <f t="array" ref="DP18">IF(AG18="Yes",INDEX(VAE!$O$5:$O$53,MATCH($B18&amp;$AJ18,VAE!$C$5:$C$53&amp;VAE!$G$5:$G$53,0)),DO18)</f>
        <v>1.6</v>
      </c>
      <c r="DQ18" s="427">
        <f>INDEX('Loan Tape - Settled'!$B$4:$BJ$55,MATCH($A18,'Loan Tape - Settled'!$E$4:$E$55,0),MATCH("Current Interest Coverage",'Loan Tape - Settled'!$B$4:$BJ$4,0))</f>
        <v>1.6</v>
      </c>
      <c r="DR18" s="855" t="str">
        <f t="shared" si="23"/>
        <v>No</v>
      </c>
      <c r="DS18" s="428" t="str">
        <f>IF(AG18="Yes",DATEDIF(AJ18,Availability!$F$8,"m"),"")</f>
        <v/>
      </c>
      <c r="DT18" s="428" t="str">
        <f t="shared" si="24"/>
        <v>No</v>
      </c>
      <c r="DU18" s="647" t="str">
        <f t="shared" si="25"/>
        <v>No</v>
      </c>
      <c r="DV18" s="648" t="str">
        <f t="shared" si="26"/>
        <v>No</v>
      </c>
      <c r="DW18" s="648" t="str">
        <f t="array" ref="DW18">_xlfn.IFS(D18&lt;&gt;"Second Lien","No",D18="Second Lien",IF(AND((DM18-DK18)&gt;0.5,DM18&gt;4.5),"Yes","No"))</f>
        <v>No</v>
      </c>
      <c r="DX18" s="685" t="s">
        <v>244</v>
      </c>
      <c r="DY18" s="685" t="s">
        <v>244</v>
      </c>
      <c r="DZ18" s="686" t="s">
        <v>244</v>
      </c>
      <c r="EA18" s="686" t="s">
        <v>244</v>
      </c>
      <c r="EB18" s="686" t="s">
        <v>244</v>
      </c>
      <c r="EC18" s="686" t="s">
        <v>244</v>
      </c>
      <c r="ED18" s="686" t="s">
        <v>244</v>
      </c>
      <c r="EE18" s="686" t="s">
        <v>244</v>
      </c>
      <c r="EF18" s="409" t="str">
        <f t="shared" si="27"/>
        <v>No</v>
      </c>
      <c r="EG18" s="686" t="s">
        <v>244</v>
      </c>
      <c r="EH18" s="691" t="s">
        <v>244</v>
      </c>
      <c r="EI18" s="856" t="str">
        <f t="array" ref="EI18">IF(D18="First Lien",_xlfn.IFS(CY18&gt;AGENT!$B$23, "&gt; $20MM",CY18&lt;=AGENT!$C$25, "&lt;= $10MM",AND(CY18&lt;=AGENT!$C$24,CY18&gt;AGENT!$B$24),"&lt;= $20MM"), "N/A")</f>
        <v>&lt;= $20MM</v>
      </c>
      <c r="EJ18" s="856" t="str">
        <f t="array" ref="EJ18">IF(D18="FILO",_xlfn.IFS(DI18&gt;AGENT!$B$29, "&gt; 1.25x",DI18&lt;AGENT!$C$27, "&lt; 0.75x",AND(DI18&lt;=AGENT!$C$28,DI18&gt;=AGENT!$B$28),"&lt;= 1.25x"), "N/A")</f>
        <v>N/A</v>
      </c>
      <c r="EK18" s="429">
        <f t="shared" si="28"/>
        <v>6210559.5391558968</v>
      </c>
      <c r="EL18" s="429">
        <f>'Concentration Limits'!$J$49</f>
        <v>49599340.729726665</v>
      </c>
      <c r="EM18" s="429" t="str">
        <f>IF(OR(D18="Second Lien",AND(D18="FILO",DI18&gt;AGENT!$C$57)), "Yes", "No")</f>
        <v>No</v>
      </c>
      <c r="EN18" s="429">
        <f t="shared" si="29"/>
        <v>0</v>
      </c>
      <c r="EO18" s="429">
        <f t="shared" si="30"/>
        <v>0</v>
      </c>
      <c r="EP18" s="429">
        <f t="shared" si="31"/>
        <v>6210559.5391558968</v>
      </c>
      <c r="EQ18" s="429">
        <f>'Concentration Limits'!$J$50</f>
        <v>24799670.364863332</v>
      </c>
      <c r="ER18" s="429">
        <f t="shared" si="32"/>
        <v>0</v>
      </c>
      <c r="ES18" s="429">
        <f t="shared" si="84"/>
        <v>0</v>
      </c>
      <c r="ET18" s="429">
        <f t="shared" si="33"/>
        <v>6210559.5391558968</v>
      </c>
      <c r="EU18" s="429">
        <f>'Concentration Limits'!$J$51</f>
        <v>74399011.094589993</v>
      </c>
      <c r="EV18" s="429" t="str">
        <f>IF(OR(D18="Second Lien", AND(D18="FILO",DI18&gt;AGENT!$C$59)), "Yes", "No")</f>
        <v>No</v>
      </c>
      <c r="EW18" s="429">
        <f t="shared" si="34"/>
        <v>0</v>
      </c>
      <c r="EX18" s="429">
        <f t="shared" si="35"/>
        <v>0</v>
      </c>
      <c r="EY18" s="429">
        <f t="shared" si="36"/>
        <v>6210559.5391558968</v>
      </c>
      <c r="EZ18" s="429">
        <f>'Concentration Limits'!$J$52</f>
        <v>37199505.547294997</v>
      </c>
      <c r="FA18" s="429" t="str">
        <f>IF(CY18&gt;'Concentration Limits'!$E$52, "No", "Yes")</f>
        <v>No</v>
      </c>
      <c r="FB18" s="429">
        <f t="shared" si="37"/>
        <v>0</v>
      </c>
      <c r="FC18" s="429">
        <f t="shared" si="38"/>
        <v>0</v>
      </c>
      <c r="FD18" s="429">
        <f t="shared" si="39"/>
        <v>6210559.5391558968</v>
      </c>
      <c r="FE18" s="430">
        <f>'Concentration Limits'!$J$54</f>
        <v>247996703.6486333</v>
      </c>
      <c r="FF18" s="430">
        <f>'Concentration Limits'!$J$55</f>
        <v>247996703.6486333</v>
      </c>
      <c r="FG18" s="430">
        <f>'Concentration Limits'!$J$56</f>
        <v>247996703.6486333</v>
      </c>
      <c r="FH18" s="431">
        <f>'Concentration Limits'!$J$57</f>
        <v>18599752.773647498</v>
      </c>
      <c r="FI18" s="431">
        <f t="shared" si="40"/>
        <v>6210559.5391558968</v>
      </c>
      <c r="FJ18" s="431">
        <f t="shared" si="41"/>
        <v>6210559.5391558968</v>
      </c>
      <c r="FK18" s="431">
        <f t="shared" si="42"/>
        <v>21</v>
      </c>
      <c r="FL18" s="431">
        <f>IF(FJ18&gt;0,RANK(FJ18,$FJ$9:$FJ$60)+COUNTIF($FJ$9:FJ18,FJ18)-1,0)</f>
        <v>21</v>
      </c>
      <c r="FM18" s="430">
        <f t="shared" si="43"/>
        <v>0</v>
      </c>
      <c r="FN18" s="430">
        <f t="shared" si="44"/>
        <v>0</v>
      </c>
      <c r="FO18" s="430">
        <f t="shared" si="45"/>
        <v>0</v>
      </c>
      <c r="FP18" s="431">
        <f t="shared" si="46"/>
        <v>0</v>
      </c>
      <c r="FQ18" s="431">
        <f t="shared" si="47"/>
        <v>6210559.5391558968</v>
      </c>
      <c r="FR18" s="431">
        <f>'Concentration Limits'!$J$58</f>
        <v>49599340.729726665</v>
      </c>
      <c r="FS18" s="431">
        <f t="shared" si="48"/>
        <v>46042971.865242489</v>
      </c>
      <c r="FT18" s="431">
        <f>VLOOKUP(BR18,'Concentration Limits'!$E$81:$H$153,4,FALSE)</f>
        <v>1</v>
      </c>
      <c r="FU18" s="431">
        <f t="shared" si="49"/>
        <v>0</v>
      </c>
      <c r="FV18" s="431">
        <f t="shared" si="50"/>
        <v>6210559.5391558968</v>
      </c>
      <c r="FW18" s="431">
        <f>'Concentration Limits'!$J$59</f>
        <v>37199505.547294997</v>
      </c>
      <c r="FX18" s="431">
        <f t="shared" si="51"/>
        <v>46042971.865242489</v>
      </c>
      <c r="FY18" s="431">
        <f>VLOOKUP(BR18,'Concentration Limits'!$E$81:$H$153,4,FALSE)</f>
        <v>1</v>
      </c>
      <c r="FZ18" s="431">
        <f t="shared" si="52"/>
        <v>0</v>
      </c>
      <c r="GA18" s="431">
        <f t="shared" si="53"/>
        <v>6210559.5391558968</v>
      </c>
      <c r="GB18" s="431">
        <f>'Concentration Limits'!$J$61</f>
        <v>24799670.364863332</v>
      </c>
      <c r="GC18" s="431">
        <f t="shared" si="54"/>
        <v>46042971.865242489</v>
      </c>
      <c r="GD18" s="429">
        <f>VLOOKUP(BR18,'Concentration Limits'!$E$81:$H$153,4,FALSE)</f>
        <v>1</v>
      </c>
      <c r="GE18" s="431">
        <f t="shared" si="55"/>
        <v>0</v>
      </c>
      <c r="GF18" s="431">
        <f t="shared" si="56"/>
        <v>6210559.5391558968</v>
      </c>
      <c r="GG18" s="431">
        <f>'Concentration Limits'!$J$64</f>
        <v>24799670.364863332</v>
      </c>
      <c r="GH18" s="431">
        <f t="shared" si="57"/>
        <v>0</v>
      </c>
      <c r="GI18" s="431">
        <f t="shared" si="58"/>
        <v>0</v>
      </c>
      <c r="GJ18" s="431">
        <f t="shared" si="59"/>
        <v>6210559.5391558968</v>
      </c>
      <c r="GK18" s="431">
        <f>'Concentration Limits'!$J$67</f>
        <v>24799670.364863332</v>
      </c>
      <c r="GL18" s="429" t="str">
        <f t="shared" si="60"/>
        <v>No</v>
      </c>
      <c r="GM18" s="431">
        <f t="shared" si="61"/>
        <v>0</v>
      </c>
      <c r="GN18" s="431">
        <f t="shared" si="62"/>
        <v>0</v>
      </c>
      <c r="GO18" s="431">
        <f t="shared" si="63"/>
        <v>6210559.5391558968</v>
      </c>
      <c r="GP18" s="431">
        <f>'Concentration Limits'!$J$68</f>
        <v>37199505.547294997</v>
      </c>
      <c r="GQ18" s="429" t="str">
        <f t="shared" si="64"/>
        <v>No</v>
      </c>
      <c r="GR18" s="431">
        <f t="shared" si="65"/>
        <v>0</v>
      </c>
      <c r="GS18" s="431">
        <f t="shared" si="66"/>
        <v>0</v>
      </c>
      <c r="GT18" s="431">
        <f t="shared" si="67"/>
        <v>6210559.5391558968</v>
      </c>
      <c r="GU18" s="429">
        <f>'Concentration Limits'!$J$69</f>
        <v>37199505.547294997</v>
      </c>
      <c r="GV18" s="429" t="str">
        <f t="shared" si="68"/>
        <v>No</v>
      </c>
      <c r="GW18" s="429">
        <f t="shared" si="69"/>
        <v>0</v>
      </c>
      <c r="GX18" s="429">
        <f t="shared" si="70"/>
        <v>0</v>
      </c>
      <c r="GY18" s="429">
        <f t="shared" si="71"/>
        <v>6210559.5391558968</v>
      </c>
      <c r="GZ18" s="429">
        <f>'Concentration Limits'!$J$70</f>
        <v>24799670.364863332</v>
      </c>
      <c r="HA18" s="429" t="str">
        <f t="shared" si="72"/>
        <v>No</v>
      </c>
      <c r="HB18" s="429">
        <f t="shared" si="73"/>
        <v>0</v>
      </c>
      <c r="HC18" s="429">
        <f t="shared" si="74"/>
        <v>0</v>
      </c>
      <c r="HD18" s="429">
        <f t="shared" si="75"/>
        <v>6210559.5391558968</v>
      </c>
      <c r="HE18" s="431">
        <f t="shared" si="76"/>
        <v>6210559.5391558968</v>
      </c>
      <c r="HF18" s="431">
        <f t="shared" si="77"/>
        <v>0</v>
      </c>
      <c r="HG18" s="431">
        <f t="shared" si="78"/>
        <v>0</v>
      </c>
      <c r="HH18" s="431">
        <f t="shared" si="79"/>
        <v>0</v>
      </c>
      <c r="HI18" s="431">
        <f>IF(BE18=0,0,#REF!*BE18/(BE18+BG18))</f>
        <v>0</v>
      </c>
      <c r="HJ18" s="431">
        <f>IF(BG18=0,0,#REF!*BG18/(BG18+BE18))</f>
        <v>0</v>
      </c>
      <c r="HK18" s="857">
        <f>IF(BF18=0,0,#REF!*BF18/(BF18+BH18))</f>
        <v>0</v>
      </c>
      <c r="HL18" s="431">
        <f>IF(BH18=0,0,#REF!*BH18/(BH18+BF18))</f>
        <v>0</v>
      </c>
      <c r="HM18" s="431">
        <f t="shared" si="80"/>
        <v>0</v>
      </c>
      <c r="HN18" s="431" t="b">
        <f t="shared" si="81"/>
        <v>1</v>
      </c>
    </row>
    <row r="19" spans="1:222" s="432" customFormat="1" ht="13.5" customHeight="1" x14ac:dyDescent="0.35">
      <c r="A19" s="49">
        <f t="shared" si="82"/>
        <v>11</v>
      </c>
      <c r="B19" s="404" t="str">
        <f>INDEX('Loan Tape - Settled'!$B$4:$AP$55,MATCH($A19,'Loan Tape - Settled'!$E$4:$E$55,0),MATCH("Obligor Name",'Loan Tape - Settled'!$B$4:$AM$4,0))</f>
        <v>Chicken Soup For The Soul</v>
      </c>
      <c r="C19" s="404" t="str">
        <f>INDEX('Loan Tape - Settled'!$B$4:$AP$55,MATCH($A19,'Loan Tape - Settled'!$E$4:$E$55,0),MATCH("Security",'Loan Tape - Settled'!$B$4:$AM$4,0))</f>
        <v>1st Lien</v>
      </c>
      <c r="D19" s="405" t="str">
        <f>INDEX('Loan Tape - Settled'!$B$4:$AP$55,MATCH($A19,'Loan Tape - Settled'!$E$4:$E$55,0),MATCH("Loan Type",'Loan Tape - Settled'!$B$4:$AM$4,0))</f>
        <v>First Lien</v>
      </c>
      <c r="E19" s="406" t="b">
        <f>IF(ISERROR(MATCH(D19,AGENT!$A$4:$A$10,0))=FALSE, TRUE)</f>
        <v>1</v>
      </c>
      <c r="F19" s="406" t="b">
        <f t="shared" si="0"/>
        <v>1</v>
      </c>
      <c r="G19" s="406" t="b">
        <f>IF(D19&lt;&gt;"Second Lien",TRUE, IF(CY19&gt;=AGENT!$B$4,TRUE))</f>
        <v>1</v>
      </c>
      <c r="H19" s="406" t="b">
        <f>IF(DE19&lt;=AGENT!$D$4,TRUE)</f>
        <v>1</v>
      </c>
      <c r="I19" s="406" t="b">
        <f>IF(VLOOKUP(CONCATENATE($A$5,A19),'Loan Tape - Settled'!$A$5:$Q$55,17,FALSE)&gt;=AGENT!$E$4,TRUE)</f>
        <v>1</v>
      </c>
      <c r="J19" s="406" t="b">
        <f>IF(INDEX('Loan Tape - Settled'!$B$4:$AP$55,MATCH($A19,'Loan Tape - Settled'!$E$4:$E$55,0),MATCH("Loan Denomination",'Loan Tape - Settled'!$B$4:$AP$4,0))="USD", TRUE)</f>
        <v>1</v>
      </c>
      <c r="K19" s="406" t="b">
        <f>IF(INDEX('Loan Tape - Settled'!$B$4:$AP$55,MATCH($A19,'Loan Tape - Settled'!$E$4:$E$55,0),MATCH("Exposure Country",'Loan Tape - Settled'!$B$4:$AP$4,0))="United States", TRUE)</f>
        <v>1</v>
      </c>
      <c r="L19" s="406" t="b">
        <f t="shared" si="1"/>
        <v>1</v>
      </c>
      <c r="M19" s="406" t="b">
        <f>IF(((BM19-BL19)/365)&lt;=AGENT!$F$4,TRUE)</f>
        <v>1</v>
      </c>
      <c r="N19" s="406" t="b">
        <f t="shared" si="2"/>
        <v>0</v>
      </c>
      <c r="O19" s="453"/>
      <c r="P19" s="709" t="str">
        <f t="shared" si="3"/>
        <v>No</v>
      </c>
      <c r="Q19" s="680" t="s">
        <v>243</v>
      </c>
      <c r="R19" s="407" t="str">
        <f t="shared" si="4"/>
        <v>N/A</v>
      </c>
      <c r="S19" s="407"/>
      <c r="T19" s="408" t="str">
        <f t="array" ref="T19">_xlfn.IFS(D19="Second Lien",D19,D19="First Lien",CONCATENATE(D19," ",EI19),D19="FILO",CONCATENATE(D19," ",EJ19))</f>
        <v>First Lien &lt;= $10MM</v>
      </c>
      <c r="U19" s="409">
        <f>VLOOKUP(T19,'Concentration Limits'!D:G,4,FALSE)</f>
        <v>0.625</v>
      </c>
      <c r="V19" s="410">
        <f t="shared" si="5"/>
        <v>0</v>
      </c>
      <c r="W19" s="448">
        <f>(SUMIFS('Loan Tape - Settled'!$AR$4:$AR$55,'Loan Tape - Settled'!$E$4:$E$55,$A19,'Loan Tape - Settled'!$C$4:$C$55,$A$5))</f>
        <v>7209098.1985821901</v>
      </c>
      <c r="X19" s="449">
        <v>1</v>
      </c>
      <c r="Y19" s="411">
        <f t="shared" si="6"/>
        <v>7209098.1985821901</v>
      </c>
      <c r="Z19" s="449">
        <f>(SUMIFS('Loan Tape - Settled'!$AQ$4:$AQ$55,'Loan Tape - Settled'!$E$4:$E$55,$A19,'Loan Tape - Settled'!$C$4:$C$55,$A$5))</f>
        <v>7209098.1985821901</v>
      </c>
      <c r="AA19" s="411">
        <f t="shared" si="7"/>
        <v>7209098.1985821901</v>
      </c>
      <c r="AB19" s="411">
        <f t="shared" si="8"/>
        <v>0</v>
      </c>
      <c r="AC19" s="450">
        <f>VLOOKUP(CONCATENATE($A$5,A19),'Loan Tape - Settled'!$A$5:$Q$55,17,FALSE)</f>
        <v>1</v>
      </c>
      <c r="AD19" s="412"/>
      <c r="AE19" s="413">
        <f>INDEX('Loan Tape - Settled'!$B$4:$AP$55,MATCH($A19,'Loan Tape - Settled'!$E$4:$E$55,0),MATCH("FMV",'Loan Tape - Settled'!$B$4:$AM$4,0))</f>
        <v>0.44006382012640605</v>
      </c>
      <c r="AF19" s="413">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0</v>
      </c>
      <c r="AG19" s="414" t="str">
        <f>IF(COUNTIFS(VAE!$C$5:$C$96,B19,VAE!$G$5:$G$96,"&lt;="&amp;Availability!$F$8)&gt;=1,"Yes","-")</f>
        <v>Yes</v>
      </c>
      <c r="AH19" s="414" t="str">
        <f t="array" ref="AH19">IFERROR(IF(AG19="Yes",INDEX(VAE!$D$5:$D$96,MATCH(B19&amp;AJ19,VAE!$C$5:$C$96&amp;VAE!$G$5:$G$96,0)),"-"),0)</f>
        <v>Obligor default</v>
      </c>
      <c r="AI19" s="414" t="str">
        <f t="array" ref="AI19">IFERROR(IF(AG19="Yes",INDEX(VAE!$F$5:$F$96,MATCH(B19&amp;AJ19,VAE!$C$5:$C$96&amp;VAE!$G$5:$G$96,0)),"-"),0)</f>
        <v>n/a</v>
      </c>
      <c r="AJ19" s="415">
        <f>IF(AG19="-","-",_xlfn.MAXIFS(VAE!$G$5:$G$96,VAE!$C$5:$C$96,$B19))</f>
        <v>45473</v>
      </c>
      <c r="AK19" s="416">
        <f t="array" ref="AK19">IFERROR(IF(AG19="Yes",INDEX(VAE!$P$5:$P$96,MATCH(B19&amp;AJ19,VAE!$C$5:$C$96&amp;VAE!$G$5:$G$96,0)),"-"),0)</f>
        <v>0</v>
      </c>
      <c r="AL19" s="413">
        <f t="shared" si="9"/>
        <v>0</v>
      </c>
      <c r="AM19" s="410"/>
      <c r="AN19" s="410"/>
      <c r="AO19" s="410">
        <f t="shared" si="10"/>
        <v>0</v>
      </c>
      <c r="AP19" s="410">
        <f t="shared" si="11"/>
        <v>7209098.1985821901</v>
      </c>
      <c r="AQ19" s="410">
        <f t="shared" si="83"/>
        <v>0</v>
      </c>
      <c r="AR19" s="410"/>
      <c r="AS19" s="410"/>
      <c r="AT19" s="410"/>
      <c r="AU19" s="410">
        <f t="shared" si="12"/>
        <v>0</v>
      </c>
      <c r="AV19" s="410">
        <f t="shared" si="13"/>
        <v>0</v>
      </c>
      <c r="AW19" s="410">
        <f t="shared" si="14"/>
        <v>0</v>
      </c>
      <c r="AX19" s="410"/>
      <c r="AY19" s="410"/>
      <c r="AZ19" s="410"/>
      <c r="BA19" s="410">
        <f t="shared" si="15"/>
        <v>0</v>
      </c>
      <c r="BB19" s="410"/>
      <c r="BC19" s="410"/>
      <c r="BD19" s="410">
        <f t="shared" si="16"/>
        <v>0</v>
      </c>
      <c r="BE19" s="410"/>
      <c r="BF19" s="410"/>
      <c r="BG19" s="410"/>
      <c r="BH19" s="410"/>
      <c r="BI19" s="410">
        <f t="shared" si="17"/>
        <v>0</v>
      </c>
      <c r="BJ19" s="410" t="b">
        <f t="shared" si="18"/>
        <v>1</v>
      </c>
      <c r="BK19" s="509">
        <f>INDEX('Loan Tape - Settled'!$B$4:$AP$55,MATCH($A19,'Loan Tape - Settled'!$E$4:$E$55,0),MATCH("Inception Date",'Loan Tape - Settled'!$B$4:$AP$4,0))</f>
        <v>44498</v>
      </c>
      <c r="BL19" s="509">
        <f>INDEX('Loan Tape - Settled'!$B$4:$AP$55,MATCH($A19,'Loan Tape - Settled'!$E$4:$E$55,0),MATCH("Inclusion Date",'Loan Tape - Settled'!$B$4:$AP$4,0))</f>
        <v>44502</v>
      </c>
      <c r="BM19" s="509">
        <f>INDEX('Loan Tape - Settled'!$B$4:$AP$55,MATCH($A19,'Loan Tape - Settled'!$E$4:$E$55,0),MATCH("Maturity Date",'Loan Tape - Settled'!$B$4:$AP$4,0))</f>
        <v>45382</v>
      </c>
      <c r="BN19" s="510"/>
      <c r="BO19" s="510"/>
      <c r="BP19" s="511"/>
      <c r="BQ19" s="510"/>
      <c r="BR19" s="512" t="str">
        <f>INDEX('Loan Tape - Settled'!$B$4:$AP$55,MATCH($A19,'Loan Tape - Settled'!$E$4:$E$55,0),MATCH("Industry Classification",'Loan Tape - Settled'!$B$4:$AP$4,0))</f>
        <v>Entertainment</v>
      </c>
      <c r="BS19" s="510" t="str">
        <f>IF(INDEX('Loan Tape - Settled'!$B$4:$AP$55,MATCH($A19,'Loan Tape - Settled'!$E$4:$E$55,0),MATCH("Covenant Lite",'Loan Tape - Settled'!$B$4:$AP$4,0))=-1, "Yes", "No")</f>
        <v>No</v>
      </c>
      <c r="BT19" s="513">
        <f>INDEX('Loan Tape - Settled'!$B$4:$AP$55,MATCH($A19,'Loan Tape - Settled'!$E$4:$E$55,0),MATCH("Spread / Coupon (%)",'Loan Tape - Settled'!$B$4:$AP$4,0))</f>
        <v>7.8115843083995579E-2</v>
      </c>
      <c r="BU19" s="510" t="str">
        <f>IF(INDEX('Loan Tape - Settled'!$B$4:$AP$55,MATCH($A19,'Loan Tape - Settled'!$E$4:$E$55,0),MATCH("Security Type",'Loan Tape - Settled'!$B$4:$AP$4,0))="Delayed Draw Term Loan", "Yes", "No")</f>
        <v>No</v>
      </c>
      <c r="BV19" s="514" t="s">
        <v>244</v>
      </c>
      <c r="BW19" s="514" t="s">
        <v>244</v>
      </c>
      <c r="BX19" s="506" t="s">
        <v>244</v>
      </c>
      <c r="BY19" s="510" t="str">
        <f>IF(INDEX('Loan Tape - Settled'!$B$4:$AP$55,MATCH($A19,'Loan Tape - Settled'!$E$4:$E$55,0),MATCH("Fixed/Floating",'Loan Tape - Settled'!$B$4:$AP$4,0))="Fixed", "Yes", "No")</f>
        <v>No</v>
      </c>
      <c r="BZ19" s="514" t="s">
        <v>244</v>
      </c>
      <c r="CA19" s="514" t="s">
        <v>244</v>
      </c>
      <c r="CB19" s="510" t="str">
        <f>IF(INDEX('Loan Tape - Settled'!$B$4:$AP$55,MATCH($A19,'Loan Tape - Settled'!$E$4:$E$55,0),MATCH("Loan Denomination",'Loan Tape - Settled'!$B$4:$AP$4,0))="CAD", "Yes", "No")</f>
        <v>No</v>
      </c>
      <c r="CC19" s="510" t="str">
        <f>INDEX('Loan Tape - Settled'!$B$4:$AP$55,MATCH($A19,'Loan Tape - Settled'!$E$4:$E$55,0),MATCH("Payment Frequency",'Loan Tape - Settled'!$B$4:$AP$4,0))</f>
        <v>M</v>
      </c>
      <c r="CD19" s="514" t="s">
        <v>244</v>
      </c>
      <c r="CE19" s="510">
        <f>INDEX('Loan Tape - Settled'!$B$4:$AP$55,MATCH($A19,'Loan Tape - Settled'!$E$4:$E$55,0),MATCH("S&amp;P Loan Rating (if applicable)",'Loan Tape - Settled'!$B$4:$AP$4,0))</f>
        <v>0</v>
      </c>
      <c r="CF19" s="510">
        <f>INDEX('Loan Tape - Settled'!$B$4:$AP$55,MATCH($A19,'Loan Tape - Settled'!$E$4:$E$55,0),MATCH("Moody's Loan Rating (if applicable)",'Loan Tape - Settled'!$B$4:$AP$4,0))</f>
        <v>0</v>
      </c>
      <c r="CG19" s="510"/>
      <c r="CH19" s="510"/>
      <c r="CI19" s="515"/>
      <c r="CJ19" s="508" t="str">
        <f>INDEX('Loan Tape - Settled'!$B$4:$BF$55,MATCH($A19,'Loan Tape - Settled'!$E$4:$E$55,0),MATCH("Last Financial Received",'Loan Tape - Settled'!$B$4:$BF$4,0))</f>
        <v>9/30/2025 or Latest Financing</v>
      </c>
      <c r="CK19" s="516">
        <f>INDEX('Loan Tape - Settled'!$B$4:$BJ$55,MATCH($A19,'Loan Tape - Settled'!$E$4:$E$55,0),MATCH("Initial Adjusted TTM EBITDA",'Loan Tape - Settled'!$B$4:$BJ$4,0))</f>
        <v>11.090999999999999</v>
      </c>
      <c r="CL19" s="516">
        <f>INDEX('Loan Tape - Settled'!$B$4:$BJ$55,MATCH($A19,'Loan Tape - Settled'!$E$4:$E$55,0),MATCH("Initial TTM Non-adjusted EBITDA",'Loan Tape - Settled'!$B$4:$BJ$4,0))</f>
        <v>11.090999999999999</v>
      </c>
      <c r="CM19" s="417"/>
      <c r="CN19" s="418"/>
      <c r="CO19" s="418"/>
      <c r="CP19" s="419"/>
      <c r="CQ19" s="420" t="s">
        <v>245</v>
      </c>
      <c r="CR19" s="419"/>
      <c r="CS19" s="421">
        <f t="shared" si="19"/>
        <v>11.090999999999999</v>
      </c>
      <c r="CT19" s="422">
        <f t="shared" si="20"/>
        <v>0</v>
      </c>
      <c r="CU19" s="516">
        <f>INDEX('Loan Tape - Settled'!$B$4:$BJ$55,MATCH($A19,'Loan Tape - Settled'!$E$4:$E$55,0),MATCH("Current TTM Non-adjusted EBITDA",'Loan Tape - Settled'!$B$4:$BJ$4,0))</f>
        <v>0.65319611</v>
      </c>
      <c r="CV19" s="423">
        <f t="shared" si="21"/>
        <v>0</v>
      </c>
      <c r="CW19" s="652" t="s">
        <v>245</v>
      </c>
      <c r="CX19" s="517"/>
      <c r="CY19" s="658">
        <f t="shared" si="22"/>
        <v>0.65319611</v>
      </c>
      <c r="CZ19" s="656"/>
      <c r="DA19" s="518"/>
      <c r="DB19" s="519"/>
      <c r="DC19" s="853"/>
      <c r="DD19" s="853">
        <f>INDEX('Loan Tape - Settled'!$B$4:$BJ$55,MATCH($A19,'Loan Tape - Settled'!$E$4:$E$55,0),MATCH("Initial Senior Net Leverage Senior",'Loan Tape - Settled'!$B$4:$BJ$4,0))</f>
        <v>3.1196465602740959</v>
      </c>
      <c r="DE19" s="659">
        <f>INDEX('Loan Tape - Settled'!$B$4:$BJ$55,MATCH($A19,'Loan Tape - Settled'!$E$4:$E$55,0),MATCH("Initial Total Net Leverage",'Loan Tape - Settled'!$B$4:$BJ$4,0))</f>
        <v>3.1196465602740959</v>
      </c>
      <c r="DF19" s="656"/>
      <c r="DG19" s="518"/>
      <c r="DH19" s="519"/>
      <c r="DI19" s="424">
        <f>INDEX('Loan Tape - Settled'!$B$4:$BJ$55,MATCH($A19,'Loan Tape - Settled'!$E$4:$E$55,0),MATCH("Net Attachment",'Loan Tape - Settled'!$B$4:$BJ$4,0))</f>
        <v>4.7617184982929555</v>
      </c>
      <c r="DJ19" s="522" t="str">
        <f t="array" ref="DJ19">IF(AG19="Yes",INDEX(VAE!$M$5:$M$53,MATCH($B19&amp;$AJ19,VAE!$C$5:$C$53&amp;VAE!$G$5:$G$53,0)),DD19)</f>
        <v>-</v>
      </c>
      <c r="DK19" s="649" t="str">
        <f t="array" ref="DK19">IF(AG19="Yes",INDEX(VAE!$N$5:$N$53,MATCH($B19&amp;$AJ19,VAE!$C$5:$C$53&amp;VAE!$G$5:$G$53,0)),DE19)</f>
        <v>-</v>
      </c>
      <c r="DL19" s="651">
        <f>INDEX('Loan Tape - Settled'!$B$4:$BJ$55,MATCH($A19,'Loan Tape - Settled'!$E$4:$E$55,0),MATCH("Current Senior Net Leverage Senior",'Loan Tape - Settled'!$B$4:$BJ$4,0))</f>
        <v>73.059506215470805</v>
      </c>
      <c r="DM19" s="433">
        <f>INDEX('Loan Tape - Settled'!$B$4:$BJ$55,MATCH($A19,'Loan Tape - Settled'!$E$4:$E$55,0),MATCH("Current Total Net Leverage",'Loan Tape - Settled'!$B$4:$BJ$4,0))</f>
        <v>73.059506215470805</v>
      </c>
      <c r="DN19" s="425"/>
      <c r="DO19" s="426">
        <f>INDEX('Loan Tape - Settled'!$B$4:$BJ$55,MATCH($A19,'Loan Tape - Settled'!$E$4:$E$55,0),MATCH("Initial Interest Coverage",'Loan Tape - Settled'!$B$4:$BJ$4,0))</f>
        <v>2.35</v>
      </c>
      <c r="DP19" s="854">
        <f t="array" ref="DP19">IF(AG19="Yes",INDEX(VAE!$O$5:$O$53,MATCH($B19&amp;$AJ19,VAE!$C$5:$C$53&amp;VAE!$G$5:$G$53,0)),DO19)</f>
        <v>0</v>
      </c>
      <c r="DQ19" s="427">
        <f>INDEX('Loan Tape - Settled'!$B$4:$BJ$55,MATCH($A19,'Loan Tape - Settled'!$E$4:$E$55,0),MATCH("Current Interest Coverage",'Loan Tape - Settled'!$B$4:$BJ$4,0))</f>
        <v>0</v>
      </c>
      <c r="DR19" s="855" t="str">
        <f t="shared" si="23"/>
        <v>Yes</v>
      </c>
      <c r="DS19" s="428">
        <f>IF(AG19="Yes",DATEDIF(AJ19,Availability!$F$8,"m"),"")</f>
        <v>18</v>
      </c>
      <c r="DT19" s="428" t="str">
        <f t="shared" si="24"/>
        <v>Yes</v>
      </c>
      <c r="DU19" s="647" t="str">
        <f t="shared" si="25"/>
        <v>N/A</v>
      </c>
      <c r="DV19" s="648" t="str">
        <f t="shared" si="26"/>
        <v>N/A</v>
      </c>
      <c r="DW19" s="648" t="str">
        <f t="array" ref="DW19">_xlfn.IFS(D19&lt;&gt;"Second Lien","No",D19="Second Lien",IF(AND((DM19-DK19)&gt;0.5,DM19&gt;4.5),"Yes","No"))</f>
        <v>No</v>
      </c>
      <c r="DX19" s="685" t="s">
        <v>243</v>
      </c>
      <c r="DY19" s="685" t="s">
        <v>244</v>
      </c>
      <c r="DZ19" s="686" t="s">
        <v>243</v>
      </c>
      <c r="EA19" s="686" t="s">
        <v>243</v>
      </c>
      <c r="EB19" s="686" t="s">
        <v>243</v>
      </c>
      <c r="EC19" s="686" t="s">
        <v>244</v>
      </c>
      <c r="ED19" s="686" t="s">
        <v>244</v>
      </c>
      <c r="EE19" s="686" t="s">
        <v>244</v>
      </c>
      <c r="EF19" s="409" t="str">
        <f t="shared" si="27"/>
        <v>Yes</v>
      </c>
      <c r="EG19" s="686" t="s">
        <v>244</v>
      </c>
      <c r="EH19" s="691" t="s">
        <v>244</v>
      </c>
      <c r="EI19" s="856" t="str">
        <f t="array" ref="EI19">IF(D19="First Lien",_xlfn.IFS(CY19&gt;AGENT!$B$23, "&gt; $20MM",CY19&lt;=AGENT!$C$25, "&lt;= $10MM",AND(CY19&lt;=AGENT!$C$24,CY19&gt;AGENT!$B$24),"&lt;= $20MM"), "N/A")</f>
        <v>&lt;= $10MM</v>
      </c>
      <c r="EJ19" s="856" t="str">
        <f t="array" ref="EJ19">IF(D19="FILO",_xlfn.IFS(DI19&gt;AGENT!$B$29, "&gt; 1.25x",DI19&lt;AGENT!$C$27, "&lt; 0.75x",AND(DI19&lt;=AGENT!$C$28,DI19&gt;=AGENT!$B$28),"&lt;= 1.25x"), "N/A")</f>
        <v>N/A</v>
      </c>
      <c r="EK19" s="429">
        <f t="shared" si="28"/>
        <v>0</v>
      </c>
      <c r="EL19" s="429">
        <f>'Concentration Limits'!$J$49</f>
        <v>49599340.729726665</v>
      </c>
      <c r="EM19" s="429" t="str">
        <f>IF(OR(D19="Second Lien",AND(D19="FILO",DI19&gt;AGENT!$C$57)), "Yes", "No")</f>
        <v>No</v>
      </c>
      <c r="EN19" s="429">
        <f t="shared" si="29"/>
        <v>0</v>
      </c>
      <c r="EO19" s="429">
        <f t="shared" si="30"/>
        <v>0</v>
      </c>
      <c r="EP19" s="429">
        <f t="shared" si="31"/>
        <v>0</v>
      </c>
      <c r="EQ19" s="429">
        <f>'Concentration Limits'!$J$50</f>
        <v>24799670.364863332</v>
      </c>
      <c r="ER19" s="429">
        <f t="shared" si="32"/>
        <v>0</v>
      </c>
      <c r="ES19" s="429">
        <f t="shared" si="84"/>
        <v>0</v>
      </c>
      <c r="ET19" s="429">
        <f t="shared" si="33"/>
        <v>0</v>
      </c>
      <c r="EU19" s="429">
        <f>'Concentration Limits'!$J$51</f>
        <v>74399011.094589993</v>
      </c>
      <c r="EV19" s="429" t="str">
        <f>IF(OR(D19="Second Lien", AND(D19="FILO",DI19&gt;AGENT!$C$59)), "Yes", "No")</f>
        <v>No</v>
      </c>
      <c r="EW19" s="429">
        <f t="shared" si="34"/>
        <v>0</v>
      </c>
      <c r="EX19" s="429">
        <f t="shared" si="35"/>
        <v>0</v>
      </c>
      <c r="EY19" s="429">
        <f t="shared" si="36"/>
        <v>0</v>
      </c>
      <c r="EZ19" s="429">
        <f>'Concentration Limits'!$J$52</f>
        <v>37199505.547294997</v>
      </c>
      <c r="FA19" s="429" t="str">
        <f>IF(CY19&gt;'Concentration Limits'!$E$52, "No", "Yes")</f>
        <v>Yes</v>
      </c>
      <c r="FB19" s="429">
        <f t="shared" si="37"/>
        <v>0</v>
      </c>
      <c r="FC19" s="429">
        <f t="shared" si="38"/>
        <v>0</v>
      </c>
      <c r="FD19" s="429">
        <f t="shared" si="39"/>
        <v>0</v>
      </c>
      <c r="FE19" s="430">
        <f>'Concentration Limits'!$J$54</f>
        <v>247996703.6486333</v>
      </c>
      <c r="FF19" s="430">
        <f>'Concentration Limits'!$J$55</f>
        <v>247996703.6486333</v>
      </c>
      <c r="FG19" s="430">
        <f>'Concentration Limits'!$J$56</f>
        <v>247996703.6486333</v>
      </c>
      <c r="FH19" s="431">
        <f>'Concentration Limits'!$J$57</f>
        <v>18599752.773647498</v>
      </c>
      <c r="FI19" s="431">
        <f t="shared" si="40"/>
        <v>0</v>
      </c>
      <c r="FJ19" s="431">
        <f t="shared" si="41"/>
        <v>0</v>
      </c>
      <c r="FK19" s="431">
        <f t="shared" si="42"/>
        <v>0</v>
      </c>
      <c r="FL19" s="431">
        <f>IF(FJ19&gt;0,RANK(FJ19,$FJ$9:$FJ$60)+COUNTIF($FJ$9:FJ19,FJ19)-1,0)</f>
        <v>0</v>
      </c>
      <c r="FM19" s="430">
        <f t="shared" si="43"/>
        <v>0</v>
      </c>
      <c r="FN19" s="430">
        <f t="shared" si="44"/>
        <v>0</v>
      </c>
      <c r="FO19" s="430">
        <f t="shared" si="45"/>
        <v>0</v>
      </c>
      <c r="FP19" s="431">
        <f t="shared" si="46"/>
        <v>0</v>
      </c>
      <c r="FQ19" s="431">
        <f t="shared" si="47"/>
        <v>0</v>
      </c>
      <c r="FR19" s="431">
        <f>'Concentration Limits'!$J$58</f>
        <v>49599340.729726665</v>
      </c>
      <c r="FS19" s="431">
        <f t="shared" si="48"/>
        <v>22404509.370220263</v>
      </c>
      <c r="FT19" s="431">
        <f>VLOOKUP(BR19,'Concentration Limits'!$E$81:$H$153,4,FALSE)</f>
        <v>4</v>
      </c>
      <c r="FU19" s="431">
        <f t="shared" si="49"/>
        <v>0</v>
      </c>
      <c r="FV19" s="431">
        <f t="shared" si="50"/>
        <v>0</v>
      </c>
      <c r="FW19" s="431">
        <f>'Concentration Limits'!$J$59</f>
        <v>37199505.547294997</v>
      </c>
      <c r="FX19" s="431">
        <f t="shared" si="51"/>
        <v>22404509.370220263</v>
      </c>
      <c r="FY19" s="431">
        <f>VLOOKUP(BR19,'Concentration Limits'!$E$81:$H$153,4,FALSE)</f>
        <v>4</v>
      </c>
      <c r="FZ19" s="431">
        <f t="shared" si="52"/>
        <v>0</v>
      </c>
      <c r="GA19" s="431">
        <f t="shared" si="53"/>
        <v>0</v>
      </c>
      <c r="GB19" s="431">
        <f>'Concentration Limits'!$J$61</f>
        <v>24799670.364863332</v>
      </c>
      <c r="GC19" s="431">
        <f t="shared" si="54"/>
        <v>22404509.370220263</v>
      </c>
      <c r="GD19" s="429">
        <f>VLOOKUP(BR19,'Concentration Limits'!$E$81:$H$153,4,FALSE)</f>
        <v>4</v>
      </c>
      <c r="GE19" s="431">
        <f t="shared" si="55"/>
        <v>0</v>
      </c>
      <c r="GF19" s="431">
        <f t="shared" si="56"/>
        <v>0</v>
      </c>
      <c r="GG19" s="431">
        <f>'Concentration Limits'!$J$64</f>
        <v>24799670.364863332</v>
      </c>
      <c r="GH19" s="431">
        <f t="shared" si="57"/>
        <v>0</v>
      </c>
      <c r="GI19" s="431">
        <f t="shared" si="58"/>
        <v>0</v>
      </c>
      <c r="GJ19" s="431">
        <f t="shared" si="59"/>
        <v>0</v>
      </c>
      <c r="GK19" s="431">
        <f>'Concentration Limits'!$J$67</f>
        <v>24799670.364863332</v>
      </c>
      <c r="GL19" s="429" t="str">
        <f t="shared" si="60"/>
        <v>No</v>
      </c>
      <c r="GM19" s="431">
        <f t="shared" si="61"/>
        <v>0</v>
      </c>
      <c r="GN19" s="431">
        <f t="shared" si="62"/>
        <v>0</v>
      </c>
      <c r="GO19" s="431">
        <f t="shared" si="63"/>
        <v>0</v>
      </c>
      <c r="GP19" s="431">
        <f>'Concentration Limits'!$J$68</f>
        <v>37199505.547294997</v>
      </c>
      <c r="GQ19" s="429" t="str">
        <f t="shared" si="64"/>
        <v>No</v>
      </c>
      <c r="GR19" s="431">
        <f t="shared" si="65"/>
        <v>0</v>
      </c>
      <c r="GS19" s="431">
        <f t="shared" si="66"/>
        <v>0</v>
      </c>
      <c r="GT19" s="431">
        <f t="shared" si="67"/>
        <v>0</v>
      </c>
      <c r="GU19" s="429">
        <f>'Concentration Limits'!$J$69</f>
        <v>37199505.547294997</v>
      </c>
      <c r="GV19" s="429" t="str">
        <f t="shared" si="68"/>
        <v>No</v>
      </c>
      <c r="GW19" s="429">
        <f t="shared" si="69"/>
        <v>0</v>
      </c>
      <c r="GX19" s="429">
        <f t="shared" si="70"/>
        <v>0</v>
      </c>
      <c r="GY19" s="429">
        <f t="shared" si="71"/>
        <v>0</v>
      </c>
      <c r="GZ19" s="429">
        <f>'Concentration Limits'!$J$70</f>
        <v>24799670.364863332</v>
      </c>
      <c r="HA19" s="429" t="str">
        <f t="shared" si="72"/>
        <v>No</v>
      </c>
      <c r="HB19" s="429">
        <f t="shared" si="73"/>
        <v>0</v>
      </c>
      <c r="HC19" s="429">
        <f t="shared" si="74"/>
        <v>0</v>
      </c>
      <c r="HD19" s="429">
        <f t="shared" si="75"/>
        <v>0</v>
      </c>
      <c r="HE19" s="431">
        <f t="shared" si="76"/>
        <v>0</v>
      </c>
      <c r="HF19" s="431">
        <f t="shared" si="77"/>
        <v>0</v>
      </c>
      <c r="HG19" s="431">
        <f t="shared" si="78"/>
        <v>0</v>
      </c>
      <c r="HH19" s="431">
        <f t="shared" si="79"/>
        <v>0</v>
      </c>
      <c r="HI19" s="431">
        <f>IF(BE19=0,0,#REF!*BE19/(BE19+BG19))</f>
        <v>0</v>
      </c>
      <c r="HJ19" s="431">
        <f>IF(BG19=0,0,#REF!*BG19/(BG19+BE19))</f>
        <v>0</v>
      </c>
      <c r="HK19" s="857">
        <f>IF(BF19=0,0,#REF!*BF19/(BF19+BH19))</f>
        <v>0</v>
      </c>
      <c r="HL19" s="431">
        <f>IF(BH19=0,0,#REF!*BH19/(BH19+BF19))</f>
        <v>0</v>
      </c>
      <c r="HM19" s="431">
        <f t="shared" si="80"/>
        <v>0</v>
      </c>
      <c r="HN19" s="431" t="b">
        <f t="shared" si="81"/>
        <v>1</v>
      </c>
    </row>
    <row r="20" spans="1:222" s="432" customFormat="1" ht="12.75" customHeight="1" x14ac:dyDescent="0.35">
      <c r="A20" s="49">
        <f t="shared" si="82"/>
        <v>12</v>
      </c>
      <c r="B20" s="404" t="str">
        <f>INDEX('Loan Tape - Settled'!$B$4:$AP$55,MATCH($A20,'Loan Tape - Settled'!$E$4:$E$55,0),MATCH("Obligor Name",'Loan Tape - Settled'!$B$4:$AM$4,0))</f>
        <v>Japonesque</v>
      </c>
      <c r="C20" s="404" t="str">
        <f>INDEX('Loan Tape - Settled'!$B$4:$AP$55,MATCH($A20,'Loan Tape - Settled'!$E$4:$E$55,0),MATCH("Security",'Loan Tape - Settled'!$B$4:$AM$4,0))</f>
        <v>FILO</v>
      </c>
      <c r="D20" s="405" t="str">
        <f>INDEX('Loan Tape - Settled'!$B$4:$AP$55,MATCH($A20,'Loan Tape - Settled'!$E$4:$E$55,0),MATCH("Loan Type",'Loan Tape - Settled'!$B$4:$AM$4,0))</f>
        <v>FILO</v>
      </c>
      <c r="E20" s="406" t="b">
        <f>IF(ISERROR(MATCH(D20,AGENT!$A$4:$A$10,0))=FALSE, TRUE)</f>
        <v>1</v>
      </c>
      <c r="F20" s="406" t="b">
        <f t="shared" si="0"/>
        <v>1</v>
      </c>
      <c r="G20" s="406" t="b">
        <f>IF(D20&lt;&gt;"Second Lien",TRUE, IF(CY20&gt;=AGENT!$B$4,TRUE))</f>
        <v>1</v>
      </c>
      <c r="H20" s="406" t="b">
        <f>IF(DE20&lt;=AGENT!$D$4,TRUE)</f>
        <v>1</v>
      </c>
      <c r="I20" s="406" t="b">
        <f>IF(VLOOKUP(CONCATENATE($A$5,A20),'Loan Tape - Settled'!$A$5:$Q$55,17,FALSE)&gt;=AGENT!$E$4,TRUE)</f>
        <v>1</v>
      </c>
      <c r="J20" s="406" t="b">
        <f>IF(INDEX('Loan Tape - Settled'!$B$4:$AP$55,MATCH($A20,'Loan Tape - Settled'!$E$4:$E$55,0),MATCH("Loan Denomination",'Loan Tape - Settled'!$B$4:$AP$4,0))="USD", TRUE)</f>
        <v>1</v>
      </c>
      <c r="K20" s="406" t="b">
        <f>IF(INDEX('Loan Tape - Settled'!$B$4:$AP$55,MATCH($A20,'Loan Tape - Settled'!$E$4:$E$55,0),MATCH("Exposure Country",'Loan Tape - Settled'!$B$4:$AP$4,0))="United States", TRUE)</f>
        <v>1</v>
      </c>
      <c r="L20" s="406" t="b">
        <f t="shared" si="1"/>
        <v>1</v>
      </c>
      <c r="M20" s="406" t="b">
        <f>IF(((BM20-BL20)/365)&lt;=AGENT!$F$4,TRUE)</f>
        <v>1</v>
      </c>
      <c r="N20" s="406" t="b">
        <f t="shared" si="2"/>
        <v>1</v>
      </c>
      <c r="O20" s="453"/>
      <c r="P20" s="709" t="str">
        <f t="shared" si="3"/>
        <v>Yes</v>
      </c>
      <c r="Q20" s="680" t="s">
        <v>243</v>
      </c>
      <c r="R20" s="407" t="str">
        <f t="shared" si="4"/>
        <v>Japonesque</v>
      </c>
      <c r="S20" s="407"/>
      <c r="T20" s="408" t="str">
        <f t="array" ref="T20">_xlfn.IFS(D20="Second Lien",D20,D20="First Lien",CONCATENATE(D20," ",EI20),D20="FILO",CONCATENATE(D20," ",EJ20))</f>
        <v>FILO &gt; 1.25x</v>
      </c>
      <c r="U20" s="409">
        <f>VLOOKUP(T20,'Concentration Limits'!D:G,4,FALSE)</f>
        <v>0.45</v>
      </c>
      <c r="V20" s="410">
        <f t="shared" si="5"/>
        <v>4121303.4157976536</v>
      </c>
      <c r="W20" s="448">
        <f>(SUMIFS('Loan Tape - Settled'!$AR$4:$AR$55,'Loan Tape - Settled'!$E$4:$E$55,$A20,'Loan Tape - Settled'!$C$4:$C$55,$A$5))</f>
        <v>4230014.7960563004</v>
      </c>
      <c r="X20" s="449">
        <v>1</v>
      </c>
      <c r="Y20" s="411">
        <f t="shared" si="6"/>
        <v>4230014.7960563004</v>
      </c>
      <c r="Z20" s="449">
        <f>(SUMIFS('Loan Tape - Settled'!$AQ$4:$AQ$55,'Loan Tape - Settled'!$E$4:$E$55,$A20,'Loan Tape - Settled'!$C$4:$C$55,$A$5))</f>
        <v>4230014.7960563004</v>
      </c>
      <c r="AA20" s="411">
        <f t="shared" si="7"/>
        <v>4230014.7960563004</v>
      </c>
      <c r="AB20" s="411">
        <f t="shared" si="8"/>
        <v>0</v>
      </c>
      <c r="AC20" s="450">
        <f>VLOOKUP(CONCATENATE($A$5,A20),'Loan Tape - Settled'!$A$5:$Q$55,17,FALSE)</f>
        <v>1</v>
      </c>
      <c r="AD20" s="412"/>
      <c r="AE20" s="413">
        <f>INDEX('Loan Tape - Settled'!$B$4:$AP$55,MATCH($A20,'Loan Tape - Settled'!$E$4:$E$55,0),MATCH("FMV",'Loan Tape - Settled'!$B$4:$AM$4,0))</f>
        <v>0.97934999999999994</v>
      </c>
      <c r="AF20" s="413">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0.98230401071058271</v>
      </c>
      <c r="AG20" s="414" t="str">
        <f>IF(COUNTIFS(VAE!$C$5:$C$96,B20,VAE!$G$5:$G$96,"&lt;="&amp;Availability!$F$8)&gt;=1,"Yes","-")</f>
        <v>Yes</v>
      </c>
      <c r="AH20" s="414" t="str">
        <f t="array" ref="AH20">IFERROR(IF(AG20="Yes",INDEX(VAE!$D$5:$D$96,MATCH(B20&amp;AJ20,VAE!$C$5:$C$96&amp;VAE!$G$5:$G$96,0)),"-"),0)</f>
        <v>Increase in Lev</v>
      </c>
      <c r="AI20" s="414" t="str">
        <f t="array" ref="AI20">IFERROR(IF(AG20="Yes",INDEX(VAE!$F$5:$F$96,MATCH(B20&amp;AJ20,VAE!$C$5:$C$96&amp;VAE!$G$5:$G$96,0)),"-"),0)</f>
        <v>-</v>
      </c>
      <c r="AJ20" s="415">
        <f>IF(AG20="-","-",_xlfn.MAXIFS(VAE!$G$5:$G$96,VAE!$C$5:$C$96,$B20))</f>
        <v>45944</v>
      </c>
      <c r="AK20" s="416">
        <f t="array" ref="AK20">IFERROR(IF(AG20="Yes",INDEX(VAE!$P$5:$P$96,MATCH(B20&amp;AJ20,VAE!$C$5:$C$96&amp;VAE!$G$5:$G$96,0)),"-"),0)</f>
        <v>0.97430000000000005</v>
      </c>
      <c r="AL20" s="413">
        <f t="shared" si="9"/>
        <v>0.97430000000000005</v>
      </c>
      <c r="AM20" s="410"/>
      <c r="AN20" s="410"/>
      <c r="AO20" s="410">
        <f t="shared" si="10"/>
        <v>0</v>
      </c>
      <c r="AP20" s="410">
        <f t="shared" si="11"/>
        <v>0</v>
      </c>
      <c r="AQ20" s="410">
        <f t="shared" si="83"/>
        <v>0</v>
      </c>
      <c r="AR20" s="410"/>
      <c r="AS20" s="410"/>
      <c r="AT20" s="410"/>
      <c r="AU20" s="410">
        <f t="shared" si="12"/>
        <v>4230014.7960563004</v>
      </c>
      <c r="AV20" s="410">
        <f t="shared" si="13"/>
        <v>0</v>
      </c>
      <c r="AW20" s="410">
        <f t="shared" si="14"/>
        <v>4121303.4157976536</v>
      </c>
      <c r="AX20" s="410"/>
      <c r="AY20" s="410"/>
      <c r="AZ20" s="410"/>
      <c r="BA20" s="410">
        <f t="shared" si="15"/>
        <v>0</v>
      </c>
      <c r="BB20" s="410"/>
      <c r="BC20" s="410"/>
      <c r="BD20" s="410">
        <f t="shared" si="16"/>
        <v>0</v>
      </c>
      <c r="BE20" s="410"/>
      <c r="BF20" s="410"/>
      <c r="BG20" s="410"/>
      <c r="BH20" s="410"/>
      <c r="BI20" s="410">
        <f t="shared" si="17"/>
        <v>0</v>
      </c>
      <c r="BJ20" s="410" t="b">
        <f t="shared" si="18"/>
        <v>1</v>
      </c>
      <c r="BK20" s="509">
        <f>INDEX('Loan Tape - Settled'!$B$4:$AP$55,MATCH($A20,'Loan Tape - Settled'!$E$4:$E$55,0),MATCH("Inception Date",'Loan Tape - Settled'!$B$4:$AP$4,0))</f>
        <v>44523</v>
      </c>
      <c r="BL20" s="509">
        <f>INDEX('Loan Tape - Settled'!$B$4:$AP$55,MATCH($A20,'Loan Tape - Settled'!$E$4:$E$55,0),MATCH("Inclusion Date",'Loan Tape - Settled'!$B$4:$AP$4,0))</f>
        <v>44523</v>
      </c>
      <c r="BM20" s="509">
        <f>INDEX('Loan Tape - Settled'!$B$4:$AP$55,MATCH($A20,'Loan Tape - Settled'!$E$4:$E$55,0),MATCH("Maturity Date",'Loan Tape - Settled'!$B$4:$AP$4,0))</f>
        <v>46568</v>
      </c>
      <c r="BN20" s="510"/>
      <c r="BO20" s="510"/>
      <c r="BP20" s="511"/>
      <c r="BQ20" s="510"/>
      <c r="BR20" s="512" t="str">
        <f>INDEX('Loan Tape - Settled'!$B$4:$AP$55,MATCH($A20,'Loan Tape - Settled'!$E$4:$E$55,0),MATCH("Industry Classification",'Loan Tape - Settled'!$B$4:$AP$4,0))</f>
        <v>Personal Products</v>
      </c>
      <c r="BS20" s="510" t="str">
        <f>IF(INDEX('Loan Tape - Settled'!$B$4:$AP$55,MATCH($A20,'Loan Tape - Settled'!$E$4:$E$55,0),MATCH("Covenant Lite",'Loan Tape - Settled'!$B$4:$AP$4,0))=-1, "Yes", "No")</f>
        <v>No</v>
      </c>
      <c r="BT20" s="513">
        <f>INDEX('Loan Tape - Settled'!$B$4:$AP$55,MATCH($A20,'Loan Tape - Settled'!$E$4:$E$55,0),MATCH("Spread / Coupon (%)",'Loan Tape - Settled'!$B$4:$AP$4,0))</f>
        <v>7.7541401111513267E-2</v>
      </c>
      <c r="BU20" s="510" t="str">
        <f>IF(INDEX('Loan Tape - Settled'!$B$4:$AP$55,MATCH($A20,'Loan Tape - Settled'!$E$4:$E$55,0),MATCH("Security Type",'Loan Tape - Settled'!$B$4:$AP$4,0))="Delayed Draw Term Loan", "Yes", "No")</f>
        <v>No</v>
      </c>
      <c r="BV20" s="514" t="s">
        <v>244</v>
      </c>
      <c r="BW20" s="514" t="s">
        <v>244</v>
      </c>
      <c r="BX20" s="506" t="s">
        <v>244</v>
      </c>
      <c r="BY20" s="510" t="str">
        <f>IF(INDEX('Loan Tape - Settled'!$B$4:$AP$55,MATCH($A20,'Loan Tape - Settled'!$E$4:$E$55,0),MATCH("Fixed/Floating",'Loan Tape - Settled'!$B$4:$AP$4,0))="Fixed", "Yes", "No")</f>
        <v>No</v>
      </c>
      <c r="BZ20" s="514" t="s">
        <v>244</v>
      </c>
      <c r="CA20" s="514" t="s">
        <v>244</v>
      </c>
      <c r="CB20" s="510" t="str">
        <f>IF(INDEX('Loan Tape - Settled'!$B$4:$AP$55,MATCH($A20,'Loan Tape - Settled'!$E$4:$E$55,0),MATCH("Loan Denomination",'Loan Tape - Settled'!$B$4:$AP$4,0))="CAD", "Yes", "No")</f>
        <v>No</v>
      </c>
      <c r="CC20" s="510" t="str">
        <f>INDEX('Loan Tape - Settled'!$B$4:$AP$55,MATCH($A20,'Loan Tape - Settled'!$E$4:$E$55,0),MATCH("Payment Frequency",'Loan Tape - Settled'!$B$4:$AP$4,0))</f>
        <v>M</v>
      </c>
      <c r="CD20" s="514" t="s">
        <v>244</v>
      </c>
      <c r="CE20" s="510">
        <f>INDEX('Loan Tape - Settled'!$B$4:$AP$55,MATCH($A20,'Loan Tape - Settled'!$E$4:$E$55,0),MATCH("S&amp;P Loan Rating (if applicable)",'Loan Tape - Settled'!$B$4:$AP$4,0))</f>
        <v>0</v>
      </c>
      <c r="CF20" s="510">
        <f>INDEX('Loan Tape - Settled'!$B$4:$AP$55,MATCH($A20,'Loan Tape - Settled'!$E$4:$E$55,0),MATCH("Moody's Loan Rating (if applicable)",'Loan Tape - Settled'!$B$4:$AP$4,0))</f>
        <v>0</v>
      </c>
      <c r="CG20" s="510"/>
      <c r="CH20" s="510"/>
      <c r="CI20" s="515"/>
      <c r="CJ20" s="508" t="str">
        <f>INDEX('Loan Tape - Settled'!$B$4:$BF$55,MATCH($A20,'Loan Tape - Settled'!$E$4:$E$55,0),MATCH("Last Financial Received",'Loan Tape - Settled'!$B$4:$BF$4,0))</f>
        <v>9/30/2025 or Latest Financing</v>
      </c>
      <c r="CK20" s="516">
        <f>INDEX('Loan Tape - Settled'!$B$4:$BJ$55,MATCH($A20,'Loan Tape - Settled'!$E$4:$E$55,0),MATCH("Initial Adjusted TTM EBITDA",'Loan Tape - Settled'!$B$4:$BJ$4,0))</f>
        <v>12.552</v>
      </c>
      <c r="CL20" s="516">
        <f>INDEX('Loan Tape - Settled'!$B$4:$BJ$55,MATCH($A20,'Loan Tape - Settled'!$E$4:$E$55,0),MATCH("Initial TTM Non-adjusted EBITDA",'Loan Tape - Settled'!$B$4:$BJ$4,0))</f>
        <v>12.552</v>
      </c>
      <c r="CM20" s="417"/>
      <c r="CN20" s="418"/>
      <c r="CO20" s="418"/>
      <c r="CP20" s="419"/>
      <c r="CQ20" s="420" t="s">
        <v>245</v>
      </c>
      <c r="CR20" s="419"/>
      <c r="CS20" s="421">
        <f t="shared" si="19"/>
        <v>12.552</v>
      </c>
      <c r="CT20" s="422">
        <f t="shared" si="20"/>
        <v>0</v>
      </c>
      <c r="CU20" s="516">
        <f>INDEX('Loan Tape - Settled'!$B$4:$BJ$55,MATCH($A20,'Loan Tape - Settled'!$E$4:$E$55,0),MATCH("Current TTM Non-adjusted EBITDA",'Loan Tape - Settled'!$B$4:$BJ$4,0))</f>
        <v>10.784873997114259</v>
      </c>
      <c r="CV20" s="423">
        <f t="shared" si="21"/>
        <v>0</v>
      </c>
      <c r="CW20" s="652" t="s">
        <v>245</v>
      </c>
      <c r="CX20" s="517"/>
      <c r="CY20" s="658">
        <f t="shared" si="22"/>
        <v>10.784873997114259</v>
      </c>
      <c r="CZ20" s="656"/>
      <c r="DA20" s="518"/>
      <c r="DB20" s="519"/>
      <c r="DC20" s="853"/>
      <c r="DD20" s="853">
        <f>INDEX('Loan Tape - Settled'!$B$4:$BJ$55,MATCH($A20,'Loan Tape - Settled'!$E$4:$E$55,0),MATCH("Initial Senior Net Leverage Senior",'Loan Tape - Settled'!$B$4:$BJ$4,0))</f>
        <v>3.9181803696622048</v>
      </c>
      <c r="DE20" s="659">
        <f>INDEX('Loan Tape - Settled'!$B$4:$BJ$55,MATCH($A20,'Loan Tape - Settled'!$E$4:$E$55,0),MATCH("Initial Total Net Leverage",'Loan Tape - Settled'!$B$4:$BJ$4,0))</f>
        <v>3.9181803696622048</v>
      </c>
      <c r="DF20" s="656"/>
      <c r="DG20" s="518"/>
      <c r="DH20" s="519"/>
      <c r="DI20" s="424">
        <f>INDEX('Loan Tape - Settled'!$B$4:$BJ$55,MATCH($A20,'Loan Tape - Settled'!$E$4:$E$55,0),MATCH("Net Attachment",'Loan Tape - Settled'!$B$4:$BJ$4,0))</f>
        <v>1.6461900241495429</v>
      </c>
      <c r="DJ20" s="522">
        <f t="array" ref="DJ20">IF(AG20="Yes",INDEX(VAE!$M$5:$M$53,MATCH($B20&amp;$AJ20,VAE!$C$5:$C$53&amp;VAE!$G$5:$G$53,0)),DD20)</f>
        <v>4.5041702036164395</v>
      </c>
      <c r="DK20" s="649">
        <f t="array" ref="DK20">IF(AG20="Yes",INDEX(VAE!$N$5:$N$53,MATCH($B20&amp;$AJ20,VAE!$C$5:$C$53&amp;VAE!$G$5:$G$53,0)),DE20)</f>
        <v>4.5041702036164395</v>
      </c>
      <c r="DL20" s="651">
        <f>INDEX('Loan Tape - Settled'!$B$4:$BJ$55,MATCH($A20,'Loan Tape - Settled'!$E$4:$E$55,0),MATCH("Current Senior Net Leverage Senior",'Loan Tape - Settled'!$B$4:$BJ$4,0))</f>
        <v>4.5350099122279079</v>
      </c>
      <c r="DM20" s="433">
        <f>INDEX('Loan Tape - Settled'!$B$4:$BJ$55,MATCH($A20,'Loan Tape - Settled'!$E$4:$E$55,0),MATCH("Current Total Net Leverage",'Loan Tape - Settled'!$B$4:$BJ$4,0))</f>
        <v>4.5350099122279079</v>
      </c>
      <c r="DN20" s="425"/>
      <c r="DO20" s="426">
        <f>INDEX('Loan Tape - Settled'!$B$4:$BJ$55,MATCH($A20,'Loan Tape - Settled'!$E$4:$E$55,0),MATCH("Initial Interest Coverage",'Loan Tape - Settled'!$B$4:$BJ$4,0))</f>
        <v>2.88</v>
      </c>
      <c r="DP20" s="854" t="str">
        <f t="array" ref="DP20">IF(AG20="Yes",INDEX(VAE!$O$5:$O$53,MATCH($B20&amp;$AJ20,VAE!$C$5:$C$53&amp;VAE!$G$5:$G$53,0)),DO20)</f>
        <v>1.44x</v>
      </c>
      <c r="DQ20" s="427">
        <f>INDEX('Loan Tape - Settled'!$B$4:$BJ$55,MATCH($A20,'Loan Tape - Settled'!$E$4:$E$55,0),MATCH("Current Interest Coverage",'Loan Tape - Settled'!$B$4:$BJ$4,0))</f>
        <v>1.4361480441659999</v>
      </c>
      <c r="DR20" s="855" t="str">
        <f t="shared" si="23"/>
        <v>Yes</v>
      </c>
      <c r="DS20" s="428">
        <f>IF(AG20="Yes",DATEDIF(AJ20,Availability!$F$8,"m"),"")</f>
        <v>2</v>
      </c>
      <c r="DT20" s="428" t="str">
        <f t="shared" si="24"/>
        <v>No</v>
      </c>
      <c r="DU20" s="647" t="str">
        <f t="shared" si="25"/>
        <v>N/A</v>
      </c>
      <c r="DV20" s="648" t="str">
        <f t="shared" si="26"/>
        <v>No</v>
      </c>
      <c r="DW20" s="648" t="str">
        <f t="array" ref="DW20">_xlfn.IFS(D20&lt;&gt;"Second Lien","No",D20="Second Lien",IF(AND((DM20-DK20)&gt;0.5,DM20&gt;4.5),"Yes","No"))</f>
        <v>No</v>
      </c>
      <c r="DX20" s="685" t="s">
        <v>244</v>
      </c>
      <c r="DY20" s="685" t="s">
        <v>244</v>
      </c>
      <c r="DZ20" s="686" t="s">
        <v>244</v>
      </c>
      <c r="EA20" s="686" t="s">
        <v>244</v>
      </c>
      <c r="EB20" s="686" t="s">
        <v>244</v>
      </c>
      <c r="EC20" s="686" t="s">
        <v>244</v>
      </c>
      <c r="ED20" s="686" t="s">
        <v>244</v>
      </c>
      <c r="EE20" s="686" t="s">
        <v>244</v>
      </c>
      <c r="EF20" s="409" t="str">
        <f t="shared" si="27"/>
        <v>No</v>
      </c>
      <c r="EG20" s="686" t="s">
        <v>244</v>
      </c>
      <c r="EH20" s="691" t="s">
        <v>244</v>
      </c>
      <c r="EI20" s="856" t="str">
        <f t="array" ref="EI20">IF(D20="First Lien",_xlfn.IFS(CY20&gt;AGENT!$B$23, "&gt; $20MM",CY20&lt;=AGENT!$C$25, "&lt;= $10MM",AND(CY20&lt;=AGENT!$C$24,CY20&gt;AGENT!$B$24),"&lt;= $20MM"), "N/A")</f>
        <v>N/A</v>
      </c>
      <c r="EJ20" s="856" t="str">
        <f t="array" ref="EJ20">IF(D20="FILO",_xlfn.IFS(DI20&gt;AGENT!$B$29, "&gt; 1.25x",DI20&lt;AGENT!$C$27, "&lt; 0.75x",AND(DI20&lt;=AGENT!$C$28,DI20&gt;=AGENT!$B$28),"&lt;= 1.25x"), "N/A")</f>
        <v>&gt; 1.25x</v>
      </c>
      <c r="EK20" s="429">
        <f t="shared" si="28"/>
        <v>4121303.4157976536</v>
      </c>
      <c r="EL20" s="429">
        <f>'Concentration Limits'!$J$49</f>
        <v>49599340.729726665</v>
      </c>
      <c r="EM20" s="429" t="str">
        <f>IF(OR(D20="Second Lien",AND(D20="FILO",DI20&gt;AGENT!$C$57)), "Yes", "No")</f>
        <v>Yes</v>
      </c>
      <c r="EN20" s="429">
        <f t="shared" si="29"/>
        <v>4121303.4157976536</v>
      </c>
      <c r="EO20" s="429">
        <f t="shared" si="30"/>
        <v>0</v>
      </c>
      <c r="EP20" s="429">
        <f t="shared" si="31"/>
        <v>4121303.4157976536</v>
      </c>
      <c r="EQ20" s="429">
        <f>'Concentration Limits'!$J$50</f>
        <v>24799670.364863332</v>
      </c>
      <c r="ER20" s="429">
        <f t="shared" si="32"/>
        <v>0</v>
      </c>
      <c r="ES20" s="429">
        <f t="shared" si="84"/>
        <v>0</v>
      </c>
      <c r="ET20" s="429">
        <f t="shared" si="33"/>
        <v>4121303.4157976536</v>
      </c>
      <c r="EU20" s="429">
        <f>'Concentration Limits'!$J$51</f>
        <v>74399011.094589993</v>
      </c>
      <c r="EV20" s="429" t="str">
        <f>IF(OR(D20="Second Lien", AND(D20="FILO",DI20&gt;AGENT!$C$59)), "Yes", "No")</f>
        <v>Yes</v>
      </c>
      <c r="EW20" s="429">
        <f t="shared" si="34"/>
        <v>53940434.707607172</v>
      </c>
      <c r="EX20" s="429">
        <f t="shared" si="35"/>
        <v>0</v>
      </c>
      <c r="EY20" s="429">
        <f t="shared" si="36"/>
        <v>4121303.4157976536</v>
      </c>
      <c r="EZ20" s="429">
        <f>'Concentration Limits'!$J$52</f>
        <v>37199505.547294997</v>
      </c>
      <c r="FA20" s="429" t="str">
        <f>IF(CY20&gt;'Concentration Limits'!$E$52, "No", "Yes")</f>
        <v>No</v>
      </c>
      <c r="FB20" s="429">
        <f t="shared" si="37"/>
        <v>0</v>
      </c>
      <c r="FC20" s="429">
        <f t="shared" si="38"/>
        <v>0</v>
      </c>
      <c r="FD20" s="429">
        <f t="shared" si="39"/>
        <v>4121303.4157976536</v>
      </c>
      <c r="FE20" s="430">
        <f>'Concentration Limits'!$J$54</f>
        <v>247996703.6486333</v>
      </c>
      <c r="FF20" s="430">
        <f>'Concentration Limits'!$J$55</f>
        <v>247996703.6486333</v>
      </c>
      <c r="FG20" s="430">
        <f>'Concentration Limits'!$J$56</f>
        <v>247996703.6486333</v>
      </c>
      <c r="FH20" s="431">
        <f>'Concentration Limits'!$J$57</f>
        <v>18599752.773647498</v>
      </c>
      <c r="FI20" s="431">
        <f t="shared" si="40"/>
        <v>4121303.4157976536</v>
      </c>
      <c r="FJ20" s="431">
        <f t="shared" si="41"/>
        <v>4121303.4157976536</v>
      </c>
      <c r="FK20" s="431">
        <f t="shared" si="42"/>
        <v>23</v>
      </c>
      <c r="FL20" s="431">
        <f>IF(FJ20&gt;0,RANK(FJ20,$FJ$9:$FJ$60)+COUNTIF($FJ$9:FJ20,FJ20)-1,0)</f>
        <v>23</v>
      </c>
      <c r="FM20" s="430">
        <f t="shared" si="43"/>
        <v>0</v>
      </c>
      <c r="FN20" s="430">
        <f t="shared" si="44"/>
        <v>0</v>
      </c>
      <c r="FO20" s="430">
        <f t="shared" si="45"/>
        <v>0</v>
      </c>
      <c r="FP20" s="431">
        <f t="shared" si="46"/>
        <v>0</v>
      </c>
      <c r="FQ20" s="431">
        <f t="shared" si="47"/>
        <v>4121303.4157976536</v>
      </c>
      <c r="FR20" s="431">
        <f>'Concentration Limits'!$J$58</f>
        <v>49599340.729726665</v>
      </c>
      <c r="FS20" s="431">
        <f t="shared" si="48"/>
        <v>4121303.4157976536</v>
      </c>
      <c r="FT20" s="431">
        <f>VLOOKUP(BR20,'Concentration Limits'!$E$81:$H$153,4,FALSE)</f>
        <v>16</v>
      </c>
      <c r="FU20" s="431">
        <f t="shared" si="49"/>
        <v>0</v>
      </c>
      <c r="FV20" s="431">
        <f t="shared" si="50"/>
        <v>4121303.4157976536</v>
      </c>
      <c r="FW20" s="431">
        <f>'Concentration Limits'!$J$59</f>
        <v>37199505.547294997</v>
      </c>
      <c r="FX20" s="431">
        <f t="shared" si="51"/>
        <v>4121303.4157976536</v>
      </c>
      <c r="FY20" s="431">
        <f>VLOOKUP(BR20,'Concentration Limits'!$E$81:$H$153,4,FALSE)</f>
        <v>16</v>
      </c>
      <c r="FZ20" s="431">
        <f t="shared" si="52"/>
        <v>0</v>
      </c>
      <c r="GA20" s="431">
        <f t="shared" si="53"/>
        <v>4121303.4157976536</v>
      </c>
      <c r="GB20" s="431">
        <f>'Concentration Limits'!$J$61</f>
        <v>24799670.364863332</v>
      </c>
      <c r="GC20" s="431">
        <f t="shared" si="54"/>
        <v>4121303.4157976536</v>
      </c>
      <c r="GD20" s="429">
        <f>VLOOKUP(BR20,'Concentration Limits'!$E$81:$H$153,4,FALSE)</f>
        <v>16</v>
      </c>
      <c r="GE20" s="431">
        <f t="shared" si="55"/>
        <v>0</v>
      </c>
      <c r="GF20" s="431">
        <f t="shared" si="56"/>
        <v>4121303.4157976536</v>
      </c>
      <c r="GG20" s="431">
        <f>'Concentration Limits'!$J$64</f>
        <v>24799670.364863332</v>
      </c>
      <c r="GH20" s="431">
        <f t="shared" si="57"/>
        <v>0</v>
      </c>
      <c r="GI20" s="431">
        <f t="shared" si="58"/>
        <v>0</v>
      </c>
      <c r="GJ20" s="431">
        <f t="shared" si="59"/>
        <v>4121303.4157976536</v>
      </c>
      <c r="GK20" s="431">
        <f>'Concentration Limits'!$J$67</f>
        <v>24799670.364863332</v>
      </c>
      <c r="GL20" s="429" t="str">
        <f t="shared" si="60"/>
        <v>No</v>
      </c>
      <c r="GM20" s="431">
        <f t="shared" si="61"/>
        <v>0</v>
      </c>
      <c r="GN20" s="431">
        <f t="shared" si="62"/>
        <v>0</v>
      </c>
      <c r="GO20" s="431">
        <f t="shared" si="63"/>
        <v>4121303.4157976536</v>
      </c>
      <c r="GP20" s="431">
        <f>'Concentration Limits'!$J$68</f>
        <v>37199505.547294997</v>
      </c>
      <c r="GQ20" s="429" t="str">
        <f t="shared" si="64"/>
        <v>No</v>
      </c>
      <c r="GR20" s="431">
        <f t="shared" si="65"/>
        <v>0</v>
      </c>
      <c r="GS20" s="431">
        <f t="shared" si="66"/>
        <v>0</v>
      </c>
      <c r="GT20" s="431">
        <f t="shared" si="67"/>
        <v>4121303.4157976536</v>
      </c>
      <c r="GU20" s="429">
        <f>'Concentration Limits'!$J$69</f>
        <v>37199505.547294997</v>
      </c>
      <c r="GV20" s="429" t="str">
        <f t="shared" si="68"/>
        <v>No</v>
      </c>
      <c r="GW20" s="429">
        <f t="shared" si="69"/>
        <v>0</v>
      </c>
      <c r="GX20" s="429">
        <f t="shared" si="70"/>
        <v>0</v>
      </c>
      <c r="GY20" s="429">
        <f t="shared" si="71"/>
        <v>4121303.4157976536</v>
      </c>
      <c r="GZ20" s="429">
        <f>'Concentration Limits'!$J$70</f>
        <v>24799670.364863332</v>
      </c>
      <c r="HA20" s="429" t="str">
        <f t="shared" si="72"/>
        <v>No</v>
      </c>
      <c r="HB20" s="429">
        <f t="shared" si="73"/>
        <v>0</v>
      </c>
      <c r="HC20" s="429">
        <f t="shared" si="74"/>
        <v>0</v>
      </c>
      <c r="HD20" s="429">
        <f t="shared" si="75"/>
        <v>4121303.4157976536</v>
      </c>
      <c r="HE20" s="431">
        <f t="shared" si="76"/>
        <v>0</v>
      </c>
      <c r="HF20" s="431">
        <f t="shared" si="77"/>
        <v>0</v>
      </c>
      <c r="HG20" s="431">
        <f t="shared" si="78"/>
        <v>4121303.4157976536</v>
      </c>
      <c r="HH20" s="431">
        <f t="shared" si="79"/>
        <v>0</v>
      </c>
      <c r="HI20" s="431">
        <f>IF(BE20=0,0,#REF!*BE20/(BE20+BG20))</f>
        <v>0</v>
      </c>
      <c r="HJ20" s="431">
        <f>IF(BG20=0,0,#REF!*BG20/(BG20+BE20))</f>
        <v>0</v>
      </c>
      <c r="HK20" s="857">
        <f>IF(BF20=0,0,#REF!*BF20/(BF20+BH20))</f>
        <v>0</v>
      </c>
      <c r="HL20" s="431">
        <f>IF(BH20=0,0,#REF!*BH20/(BH20+BF20))</f>
        <v>0</v>
      </c>
      <c r="HM20" s="431">
        <f t="shared" si="80"/>
        <v>0</v>
      </c>
      <c r="HN20" s="431" t="b">
        <f t="shared" si="81"/>
        <v>1</v>
      </c>
    </row>
    <row r="21" spans="1:222" s="432" customFormat="1" ht="12.75" customHeight="1" x14ac:dyDescent="0.35">
      <c r="A21" s="49">
        <f t="shared" si="82"/>
        <v>13</v>
      </c>
      <c r="B21" s="404" t="str">
        <f>INDEX('Loan Tape - Settled'!$B$4:$AP$55,MATCH($A21,'Loan Tape - Settled'!$E$4:$E$55,0),MATCH("Obligor Name",'Loan Tape - Settled'!$B$4:$AM$4,0))</f>
        <v>Mission</v>
      </c>
      <c r="C21" s="404" t="str">
        <f>INDEX('Loan Tape - Settled'!$B$4:$AP$55,MATCH($A21,'Loan Tape - Settled'!$E$4:$E$55,0),MATCH("Security",'Loan Tape - Settled'!$B$4:$AM$4,0))</f>
        <v>1st Lien</v>
      </c>
      <c r="D21" s="405" t="str">
        <f>INDEX('Loan Tape - Settled'!$B$4:$AP$55,MATCH($A21,'Loan Tape - Settled'!$E$4:$E$55,0),MATCH("Loan Type",'Loan Tape - Settled'!$B$4:$AM$4,0))</f>
        <v>First Lien</v>
      </c>
      <c r="E21" s="406" t="b">
        <f>IF(ISERROR(MATCH(D21,AGENT!$A$4:$A$10,0))=FALSE, TRUE)</f>
        <v>1</v>
      </c>
      <c r="F21" s="406" t="b">
        <f t="shared" si="0"/>
        <v>1</v>
      </c>
      <c r="G21" s="406" t="b">
        <f>IF(D21&lt;&gt;"Second Lien",TRUE, IF(CY21&gt;=AGENT!$B$4,TRUE))</f>
        <v>1</v>
      </c>
      <c r="H21" s="406" t="b">
        <f>IF(DE21&lt;=AGENT!$D$4,TRUE)</f>
        <v>1</v>
      </c>
      <c r="I21" s="406" t="b">
        <f>IF(VLOOKUP(CONCATENATE($A$5,A21),'Loan Tape - Settled'!$A$5:$Q$55,17,FALSE)&gt;=AGENT!$E$4,TRUE)</f>
        <v>1</v>
      </c>
      <c r="J21" s="406" t="b">
        <f>IF(INDEX('Loan Tape - Settled'!$B$4:$AP$55,MATCH($A21,'Loan Tape - Settled'!$E$4:$E$55,0),MATCH("Loan Denomination",'Loan Tape - Settled'!$B$4:$AP$4,0))="USD", TRUE)</f>
        <v>1</v>
      </c>
      <c r="K21" s="406" t="b">
        <f>IF(INDEX('Loan Tape - Settled'!$B$4:$AP$55,MATCH($A21,'Loan Tape - Settled'!$E$4:$E$55,0),MATCH("Exposure Country",'Loan Tape - Settled'!$B$4:$AP$4,0))="United States", TRUE)</f>
        <v>1</v>
      </c>
      <c r="L21" s="406" t="b">
        <f t="shared" si="1"/>
        <v>1</v>
      </c>
      <c r="M21" s="406" t="b">
        <f>IF(((BM21-BL21)/365)&lt;=AGENT!$F$4,TRUE)</f>
        <v>0</v>
      </c>
      <c r="N21" s="406" t="b">
        <f t="shared" si="2"/>
        <v>0</v>
      </c>
      <c r="O21" s="453"/>
      <c r="P21" s="709" t="str">
        <f t="shared" si="3"/>
        <v>No</v>
      </c>
      <c r="Q21" s="680" t="s">
        <v>243</v>
      </c>
      <c r="R21" s="407" t="str">
        <f t="shared" si="4"/>
        <v>N/A</v>
      </c>
      <c r="S21" s="407"/>
      <c r="T21" s="408" t="str">
        <f t="array" ref="T21">_xlfn.IFS(D21="Second Lien",D21,D21="First Lien",CONCATENATE(D21," ",EI21),D21="FILO",CONCATENATE(D21," ",EJ21))</f>
        <v>First Lien &lt;= $10MM</v>
      </c>
      <c r="U21" s="409">
        <f>VLOOKUP(T21,'Concentration Limits'!D:G,4,FALSE)</f>
        <v>0.625</v>
      </c>
      <c r="V21" s="410">
        <f t="shared" si="5"/>
        <v>0</v>
      </c>
      <c r="W21" s="448">
        <f>(SUMIFS('Loan Tape - Settled'!$AR$4:$AR$55,'Loan Tape - Settled'!$E$4:$E$55,$A21,'Loan Tape - Settled'!$C$4:$C$55,$A$5))</f>
        <v>1544173.0848497902</v>
      </c>
      <c r="X21" s="449">
        <v>1</v>
      </c>
      <c r="Y21" s="411">
        <f t="shared" si="6"/>
        <v>1544173.0848497902</v>
      </c>
      <c r="Z21" s="449">
        <f>(SUMIFS('Loan Tape - Settled'!$AQ$4:$AQ$55,'Loan Tape - Settled'!$E$4:$E$55,$A21,'Loan Tape - Settled'!$C$4:$C$55,$A$5))</f>
        <v>1544173.0848497902</v>
      </c>
      <c r="AA21" s="411">
        <f t="shared" si="7"/>
        <v>1544173.0848497902</v>
      </c>
      <c r="AB21" s="411">
        <f t="shared" si="8"/>
        <v>0</v>
      </c>
      <c r="AC21" s="450">
        <f>VLOOKUP(CONCATENATE($A$5,A21),'Loan Tape - Settled'!$A$5:$Q$55,17,FALSE)</f>
        <v>1</v>
      </c>
      <c r="AD21" s="412"/>
      <c r="AE21" s="413">
        <f>INDEX('Loan Tape - Settled'!$B$4:$AP$55,MATCH($A21,'Loan Tape - Settled'!$E$4:$E$55,0),MATCH("FMV",'Loan Tape - Settled'!$B$4:$AM$4,0))</f>
        <v>0.93969999999999998</v>
      </c>
      <c r="AF21" s="413">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0</v>
      </c>
      <c r="AG21" s="414" t="str">
        <f>IF(COUNTIFS(VAE!$C$5:$C$96,B21,VAE!$G$5:$G$96,"&lt;="&amp;Availability!$F$8)&gt;=1,"Yes","-")</f>
        <v>Yes</v>
      </c>
      <c r="AH21" s="414" t="str">
        <f t="array" ref="AH21">IFERROR(IF(AG21="Yes",INDEX(VAE!$D$5:$D$96,MATCH(B21&amp;AJ21,VAE!$C$5:$C$96&amp;VAE!$G$5:$G$96,0)),"-"),0)</f>
        <v>Increase in Lev</v>
      </c>
      <c r="AI21" s="414" t="str">
        <f t="array" ref="AI21">IFERROR(IF(AG21="Yes",INDEX(VAE!$F$5:$F$96,MATCH(B21&amp;AJ21,VAE!$C$5:$C$96&amp;VAE!$G$5:$G$96,0)),"-"),0)</f>
        <v>n/a</v>
      </c>
      <c r="AJ21" s="415">
        <f>IF(AG21="-","-",_xlfn.MAXIFS(VAE!$G$5:$G$96,VAE!$C$5:$C$96,$B21))</f>
        <v>45107</v>
      </c>
      <c r="AK21" s="416">
        <f t="array" ref="AK21">IFERROR(IF(AG21="Yes",INDEX(VAE!$P$5:$P$96,MATCH(B21&amp;AJ21,VAE!$C$5:$C$96&amp;VAE!$G$5:$G$96,0)),"-"),0)</f>
        <v>0</v>
      </c>
      <c r="AL21" s="413">
        <f t="shared" si="9"/>
        <v>0</v>
      </c>
      <c r="AM21" s="410"/>
      <c r="AN21" s="410"/>
      <c r="AO21" s="410">
        <f t="shared" si="10"/>
        <v>0</v>
      </c>
      <c r="AP21" s="410">
        <f t="shared" si="11"/>
        <v>1544173.0848497902</v>
      </c>
      <c r="AQ21" s="410">
        <f t="shared" si="83"/>
        <v>0</v>
      </c>
      <c r="AR21" s="410"/>
      <c r="AS21" s="410"/>
      <c r="AT21" s="410"/>
      <c r="AU21" s="410">
        <f t="shared" si="12"/>
        <v>0</v>
      </c>
      <c r="AV21" s="410">
        <f t="shared" si="13"/>
        <v>0</v>
      </c>
      <c r="AW21" s="410">
        <f t="shared" si="14"/>
        <v>0</v>
      </c>
      <c r="AX21" s="410"/>
      <c r="AY21" s="410"/>
      <c r="AZ21" s="410"/>
      <c r="BA21" s="410">
        <f t="shared" si="15"/>
        <v>0</v>
      </c>
      <c r="BB21" s="410"/>
      <c r="BC21" s="410"/>
      <c r="BD21" s="410">
        <f t="shared" si="16"/>
        <v>0</v>
      </c>
      <c r="BE21" s="410"/>
      <c r="BF21" s="410"/>
      <c r="BG21" s="410"/>
      <c r="BH21" s="410"/>
      <c r="BI21" s="410">
        <f t="shared" si="17"/>
        <v>0</v>
      </c>
      <c r="BJ21" s="410" t="b">
        <f t="shared" si="18"/>
        <v>1</v>
      </c>
      <c r="BK21" s="509">
        <f>INDEX('Loan Tape - Settled'!$B$4:$AP$55,MATCH($A21,'Loan Tape - Settled'!$E$4:$E$55,0),MATCH("Inception Date",'Loan Tape - Settled'!$B$4:$AP$4,0))</f>
        <v>44543</v>
      </c>
      <c r="BL21" s="509">
        <f>INDEX('Loan Tape - Settled'!$B$4:$AP$55,MATCH($A21,'Loan Tape - Settled'!$E$4:$E$55,0),MATCH("Inclusion Date",'Loan Tape - Settled'!$B$4:$AP$4,0))</f>
        <v>44543</v>
      </c>
      <c r="BM21" s="509">
        <f>INDEX('Loan Tape - Settled'!$B$4:$AP$55,MATCH($A21,'Loan Tape - Settled'!$E$4:$E$55,0),MATCH("Maturity Date",'Loan Tape - Settled'!$B$4:$AP$4,0))</f>
        <v>47118</v>
      </c>
      <c r="BN21" s="510"/>
      <c r="BO21" s="510"/>
      <c r="BP21" s="511"/>
      <c r="BQ21" s="510"/>
      <c r="BR21" s="512" t="str">
        <f>INDEX('Loan Tape - Settled'!$B$4:$AP$55,MATCH($A21,'Loan Tape - Settled'!$E$4:$E$55,0),MATCH("Industry Classification",'Loan Tape - Settled'!$B$4:$AP$4,0))</f>
        <v>Leisure Products</v>
      </c>
      <c r="BS21" s="510" t="str">
        <f>IF(INDEX('Loan Tape - Settled'!$B$4:$AP$55,MATCH($A21,'Loan Tape - Settled'!$E$4:$E$55,0),MATCH("Covenant Lite",'Loan Tape - Settled'!$B$4:$AP$4,0))=-1, "Yes", "No")</f>
        <v>No</v>
      </c>
      <c r="BT21" s="513">
        <f>INDEX('Loan Tape - Settled'!$B$4:$AP$55,MATCH($A21,'Loan Tape - Settled'!$E$4:$E$55,0),MATCH("Spread / Coupon (%)",'Loan Tape - Settled'!$B$4:$AP$4,0))</f>
        <v>0</v>
      </c>
      <c r="BU21" s="510" t="str">
        <f>IF(INDEX('Loan Tape - Settled'!$B$4:$AP$55,MATCH($A21,'Loan Tape - Settled'!$E$4:$E$55,0),MATCH("Security Type",'Loan Tape - Settled'!$B$4:$AP$4,0))="Delayed Draw Term Loan", "Yes", "No")</f>
        <v>No</v>
      </c>
      <c r="BV21" s="514" t="s">
        <v>244</v>
      </c>
      <c r="BW21" s="514" t="s">
        <v>244</v>
      </c>
      <c r="BX21" s="506" t="s">
        <v>244</v>
      </c>
      <c r="BY21" s="510" t="str">
        <f>IF(INDEX('Loan Tape - Settled'!$B$4:$AP$55,MATCH($A21,'Loan Tape - Settled'!$E$4:$E$55,0),MATCH("Fixed/Floating",'Loan Tape - Settled'!$B$4:$AP$4,0))="Fixed", "Yes", "No")</f>
        <v>No</v>
      </c>
      <c r="BZ21" s="514" t="s">
        <v>244</v>
      </c>
      <c r="CA21" s="514" t="s">
        <v>244</v>
      </c>
      <c r="CB21" s="510" t="str">
        <f>IF(INDEX('Loan Tape - Settled'!$B$4:$AP$55,MATCH($A21,'Loan Tape - Settled'!$E$4:$E$55,0),MATCH("Loan Denomination",'Loan Tape - Settled'!$B$4:$AP$4,0))="CAD", "Yes", "No")</f>
        <v>No</v>
      </c>
      <c r="CC21" s="510" t="str">
        <f>INDEX('Loan Tape - Settled'!$B$4:$AP$55,MATCH($A21,'Loan Tape - Settled'!$E$4:$E$55,0),MATCH("Payment Frequency",'Loan Tape - Settled'!$B$4:$AP$4,0))</f>
        <v>M</v>
      </c>
      <c r="CD21" s="514" t="s">
        <v>244</v>
      </c>
      <c r="CE21" s="510">
        <f>INDEX('Loan Tape - Settled'!$B$4:$AP$55,MATCH($A21,'Loan Tape - Settled'!$E$4:$E$55,0),MATCH("S&amp;P Loan Rating (if applicable)",'Loan Tape - Settled'!$B$4:$AP$4,0))</f>
        <v>0</v>
      </c>
      <c r="CF21" s="510">
        <f>INDEX('Loan Tape - Settled'!$B$4:$AP$55,MATCH($A21,'Loan Tape - Settled'!$E$4:$E$55,0),MATCH("Moody's Loan Rating (if applicable)",'Loan Tape - Settled'!$B$4:$AP$4,0))</f>
        <v>0</v>
      </c>
      <c r="CG21" s="510"/>
      <c r="CH21" s="510"/>
      <c r="CI21" s="515"/>
      <c r="CJ21" s="508" t="str">
        <f>INDEX('Loan Tape - Settled'!$B$4:$BF$55,MATCH($A21,'Loan Tape - Settled'!$E$4:$E$55,0),MATCH("Last Financial Received",'Loan Tape - Settled'!$B$4:$BF$4,0))</f>
        <v>9/30/2025 or Latest Financing</v>
      </c>
      <c r="CK21" s="516">
        <f>INDEX('Loan Tape - Settled'!$B$4:$BJ$55,MATCH($A21,'Loan Tape - Settled'!$E$4:$E$55,0),MATCH("Initial Adjusted TTM EBITDA",'Loan Tape - Settled'!$B$4:$BJ$4,0))</f>
        <v>20.945</v>
      </c>
      <c r="CL21" s="516">
        <f>INDEX('Loan Tape - Settled'!$B$4:$BJ$55,MATCH($A21,'Loan Tape - Settled'!$E$4:$E$55,0),MATCH("Initial TTM Non-adjusted EBITDA",'Loan Tape - Settled'!$B$4:$BJ$4,0))</f>
        <v>20.945</v>
      </c>
      <c r="CM21" s="417"/>
      <c r="CN21" s="418"/>
      <c r="CO21" s="418"/>
      <c r="CP21" s="419"/>
      <c r="CQ21" s="420" t="s">
        <v>245</v>
      </c>
      <c r="CR21" s="419"/>
      <c r="CS21" s="421">
        <f t="shared" si="19"/>
        <v>20.945</v>
      </c>
      <c r="CT21" s="422">
        <f t="shared" si="20"/>
        <v>0</v>
      </c>
      <c r="CU21" s="516">
        <f>INDEX('Loan Tape - Settled'!$B$4:$BJ$55,MATCH($A21,'Loan Tape - Settled'!$E$4:$E$55,0),MATCH("Current TTM Non-adjusted EBITDA",'Loan Tape - Settled'!$B$4:$BJ$4,0))</f>
        <v>0.77061508500001719</v>
      </c>
      <c r="CV21" s="423">
        <f t="shared" si="21"/>
        <v>0</v>
      </c>
      <c r="CW21" s="652" t="s">
        <v>245</v>
      </c>
      <c r="CX21" s="517"/>
      <c r="CY21" s="658">
        <f t="shared" si="22"/>
        <v>0.77061508500001719</v>
      </c>
      <c r="CZ21" s="656"/>
      <c r="DA21" s="518"/>
      <c r="DB21" s="519"/>
      <c r="DC21" s="853"/>
      <c r="DD21" s="853">
        <f>INDEX('Loan Tape - Settled'!$B$4:$BJ$55,MATCH($A21,'Loan Tape - Settled'!$E$4:$E$55,0),MATCH("Initial Senior Net Leverage Senior",'Loan Tape - Settled'!$B$4:$BJ$4,0))</f>
        <v>1.5307710670804491</v>
      </c>
      <c r="DE21" s="659">
        <f>INDEX('Loan Tape - Settled'!$B$4:$BJ$55,MATCH($A21,'Loan Tape - Settled'!$E$4:$E$55,0),MATCH("Initial Total Net Leverage",'Loan Tape - Settled'!$B$4:$BJ$4,0))</f>
        <v>1.5307710670804491</v>
      </c>
      <c r="DF21" s="656"/>
      <c r="DG21" s="518"/>
      <c r="DH21" s="519"/>
      <c r="DI21" s="424">
        <f>INDEX('Loan Tape - Settled'!$B$4:$BJ$55,MATCH($A21,'Loan Tape - Settled'!$E$4:$E$55,0),MATCH("Net Attachment",'Loan Tape - Settled'!$B$4:$BJ$4,0))</f>
        <v>5.9039498298945174</v>
      </c>
      <c r="DJ21" s="522">
        <f t="array" ref="DJ21">IF(AG21="Yes",INDEX(VAE!$M$5:$M$53,MATCH($B21&amp;$AJ21,VAE!$C$5:$C$53&amp;VAE!$G$5:$G$53,0)),DD21)</f>
        <v>4.0707003282240475</v>
      </c>
      <c r="DK21" s="649">
        <f t="array" ref="DK21">IF(AG21="Yes",INDEX(VAE!$N$5:$N$53,MATCH($B21&amp;$AJ21,VAE!$C$5:$C$53&amp;VAE!$G$5:$G$53,0)),DE21)</f>
        <v>4.0707003282240475</v>
      </c>
      <c r="DL21" s="651" t="str">
        <f>INDEX('Loan Tape - Settled'!$B$4:$BJ$55,MATCH($A21,'Loan Tape - Settled'!$E$4:$E$55,0),MATCH("Current Senior Net Leverage Senior",'Loan Tape - Settled'!$B$4:$BJ$4,0))</f>
        <v>N/M</v>
      </c>
      <c r="DM21" s="433" t="str">
        <f>INDEX('Loan Tape - Settled'!$B$4:$BJ$55,MATCH($A21,'Loan Tape - Settled'!$E$4:$E$55,0),MATCH("Current Total Net Leverage",'Loan Tape - Settled'!$B$4:$BJ$4,0))</f>
        <v>N/M</v>
      </c>
      <c r="DN21" s="425"/>
      <c r="DO21" s="426">
        <f>INDEX('Loan Tape - Settled'!$B$4:$BJ$55,MATCH($A21,'Loan Tape - Settled'!$E$4:$E$55,0),MATCH("Initial Interest Coverage",'Loan Tape - Settled'!$B$4:$BJ$4,0))</f>
        <v>2.62</v>
      </c>
      <c r="DP21" s="854">
        <f t="array" ref="DP21">IF(AG21="Yes",INDEX(VAE!$O$5:$O$53,MATCH($B21&amp;$AJ21,VAE!$C$5:$C$53&amp;VAE!$G$5:$G$53,0)),DO21)</f>
        <v>2.62</v>
      </c>
      <c r="DQ21" s="427">
        <f>INDEX('Loan Tape - Settled'!$B$4:$BJ$55,MATCH($A21,'Loan Tape - Settled'!$E$4:$E$55,0),MATCH("Current Interest Coverage",'Loan Tape - Settled'!$B$4:$BJ$4,0))</f>
        <v>0.27293512627599997</v>
      </c>
      <c r="DR21" s="855" t="str">
        <f t="shared" si="23"/>
        <v>Yes</v>
      </c>
      <c r="DS21" s="428">
        <f>IF(AG21="Yes",DATEDIF(AJ21,Availability!$F$8,"m"),"")</f>
        <v>30</v>
      </c>
      <c r="DT21" s="428" t="str">
        <f t="shared" si="24"/>
        <v>Yes</v>
      </c>
      <c r="DU21" s="647" t="str">
        <f t="shared" si="25"/>
        <v>Yes</v>
      </c>
      <c r="DV21" s="648" t="str">
        <f t="shared" si="26"/>
        <v>N/A</v>
      </c>
      <c r="DW21" s="648" t="str">
        <f t="array" ref="DW21">_xlfn.IFS(D21&lt;&gt;"Second Lien","No",D21="Second Lien",IF(AND((DM21-DK21)&gt;0.5,DM21&gt;4.5),"Yes","No"))</f>
        <v>No</v>
      </c>
      <c r="DX21" s="685" t="s">
        <v>243</v>
      </c>
      <c r="DY21" s="685" t="s">
        <v>244</v>
      </c>
      <c r="DZ21" s="686" t="s">
        <v>243</v>
      </c>
      <c r="EA21" s="686" t="s">
        <v>243</v>
      </c>
      <c r="EB21" s="686" t="s">
        <v>243</v>
      </c>
      <c r="EC21" s="686" t="s">
        <v>244</v>
      </c>
      <c r="ED21" s="686" t="s">
        <v>244</v>
      </c>
      <c r="EE21" s="686" t="s">
        <v>244</v>
      </c>
      <c r="EF21" s="409" t="str">
        <f t="shared" si="27"/>
        <v>Yes</v>
      </c>
      <c r="EG21" s="686" t="s">
        <v>244</v>
      </c>
      <c r="EH21" s="691" t="s">
        <v>244</v>
      </c>
      <c r="EI21" s="856" t="str">
        <f t="array" ref="EI21">IF(D21="First Lien",_xlfn.IFS(CY21&gt;AGENT!$B$23, "&gt; $20MM",CY21&lt;=AGENT!$C$25, "&lt;= $10MM",AND(CY21&lt;=AGENT!$C$24,CY21&gt;AGENT!$B$24),"&lt;= $20MM"), "N/A")</f>
        <v>&lt;= $10MM</v>
      </c>
      <c r="EJ21" s="856" t="str">
        <f t="array" ref="EJ21">IF(D21="FILO",_xlfn.IFS(DI21&gt;AGENT!$B$29, "&gt; 1.25x",DI21&lt;AGENT!$C$27, "&lt; 0.75x",AND(DI21&lt;=AGENT!$C$28,DI21&gt;=AGENT!$B$28),"&lt;= 1.25x"), "N/A")</f>
        <v>N/A</v>
      </c>
      <c r="EK21" s="429">
        <f t="shared" si="28"/>
        <v>0</v>
      </c>
      <c r="EL21" s="429">
        <f>'Concentration Limits'!$J$49</f>
        <v>49599340.729726665</v>
      </c>
      <c r="EM21" s="429" t="str">
        <f>IF(OR(D21="Second Lien",AND(D21="FILO",DI21&gt;AGENT!$C$57)), "Yes", "No")</f>
        <v>No</v>
      </c>
      <c r="EN21" s="429">
        <f t="shared" si="29"/>
        <v>0</v>
      </c>
      <c r="EO21" s="429">
        <f t="shared" si="30"/>
        <v>0</v>
      </c>
      <c r="EP21" s="429">
        <f t="shared" si="31"/>
        <v>0</v>
      </c>
      <c r="EQ21" s="429">
        <f>'Concentration Limits'!$J$50</f>
        <v>24799670.364863332</v>
      </c>
      <c r="ER21" s="429">
        <f t="shared" si="32"/>
        <v>0</v>
      </c>
      <c r="ES21" s="429">
        <f t="shared" si="84"/>
        <v>0</v>
      </c>
      <c r="ET21" s="429">
        <f t="shared" si="33"/>
        <v>0</v>
      </c>
      <c r="EU21" s="429">
        <f>'Concentration Limits'!$J$51</f>
        <v>74399011.094589993</v>
      </c>
      <c r="EV21" s="429" t="str">
        <f>IF(OR(D21="Second Lien", AND(D21="FILO",DI21&gt;AGENT!$C$59)), "Yes", "No")</f>
        <v>No</v>
      </c>
      <c r="EW21" s="429">
        <f t="shared" si="34"/>
        <v>0</v>
      </c>
      <c r="EX21" s="429">
        <f t="shared" si="35"/>
        <v>0</v>
      </c>
      <c r="EY21" s="429">
        <f t="shared" si="36"/>
        <v>0</v>
      </c>
      <c r="EZ21" s="429">
        <f>'Concentration Limits'!$J$52</f>
        <v>37199505.547294997</v>
      </c>
      <c r="FA21" s="429" t="str">
        <f>IF(CY21&gt;'Concentration Limits'!$E$52, "No", "Yes")</f>
        <v>Yes</v>
      </c>
      <c r="FB21" s="429">
        <f t="shared" si="37"/>
        <v>0</v>
      </c>
      <c r="FC21" s="429">
        <f t="shared" si="38"/>
        <v>0</v>
      </c>
      <c r="FD21" s="429">
        <f t="shared" si="39"/>
        <v>0</v>
      </c>
      <c r="FE21" s="430">
        <f>'Concentration Limits'!$J$54</f>
        <v>247996703.6486333</v>
      </c>
      <c r="FF21" s="430">
        <f>'Concentration Limits'!$J$55</f>
        <v>247996703.6486333</v>
      </c>
      <c r="FG21" s="430">
        <f>'Concentration Limits'!$J$56</f>
        <v>247996703.6486333</v>
      </c>
      <c r="FH21" s="431">
        <f>'Concentration Limits'!$J$57</f>
        <v>18599752.773647498</v>
      </c>
      <c r="FI21" s="431">
        <f t="shared" si="40"/>
        <v>0</v>
      </c>
      <c r="FJ21" s="431">
        <f t="shared" si="41"/>
        <v>0</v>
      </c>
      <c r="FK21" s="431">
        <f t="shared" si="42"/>
        <v>0</v>
      </c>
      <c r="FL21" s="431">
        <f>IF(FJ21&gt;0,RANK(FJ21,$FJ$9:$FJ$60)+COUNTIF($FJ$9:FJ21,FJ21)-1,0)</f>
        <v>0</v>
      </c>
      <c r="FM21" s="430">
        <f t="shared" si="43"/>
        <v>0</v>
      </c>
      <c r="FN21" s="430">
        <f t="shared" si="44"/>
        <v>0</v>
      </c>
      <c r="FO21" s="430">
        <f t="shared" si="45"/>
        <v>0</v>
      </c>
      <c r="FP21" s="431">
        <f t="shared" si="46"/>
        <v>0</v>
      </c>
      <c r="FQ21" s="431">
        <f t="shared" si="47"/>
        <v>0</v>
      </c>
      <c r="FR21" s="431">
        <f>'Concentration Limits'!$J$58</f>
        <v>49599340.729726665</v>
      </c>
      <c r="FS21" s="431">
        <f t="shared" si="48"/>
        <v>0</v>
      </c>
      <c r="FT21" s="431" t="str">
        <f>VLOOKUP(BR21,'Concentration Limits'!$E$81:$H$153,4,FALSE)</f>
        <v/>
      </c>
      <c r="FU21" s="431">
        <f t="shared" si="49"/>
        <v>0</v>
      </c>
      <c r="FV21" s="431">
        <f t="shared" si="50"/>
        <v>0</v>
      </c>
      <c r="FW21" s="431">
        <f>'Concentration Limits'!$J$59</f>
        <v>37199505.547294997</v>
      </c>
      <c r="FX21" s="431">
        <f t="shared" si="51"/>
        <v>0</v>
      </c>
      <c r="FY21" s="431" t="str">
        <f>VLOOKUP(BR21,'Concentration Limits'!$E$81:$H$153,4,FALSE)</f>
        <v/>
      </c>
      <c r="FZ21" s="431">
        <f t="shared" si="52"/>
        <v>0</v>
      </c>
      <c r="GA21" s="431">
        <f t="shared" si="53"/>
        <v>0</v>
      </c>
      <c r="GB21" s="431">
        <f>'Concentration Limits'!$J$61</f>
        <v>24799670.364863332</v>
      </c>
      <c r="GC21" s="431">
        <f t="shared" si="54"/>
        <v>0</v>
      </c>
      <c r="GD21" s="429" t="str">
        <f>VLOOKUP(BR21,'Concentration Limits'!$E$81:$H$153,4,FALSE)</f>
        <v/>
      </c>
      <c r="GE21" s="431">
        <f t="shared" si="55"/>
        <v>0</v>
      </c>
      <c r="GF21" s="431">
        <f t="shared" si="56"/>
        <v>0</v>
      </c>
      <c r="GG21" s="431">
        <f>'Concentration Limits'!$J$64</f>
        <v>24799670.364863332</v>
      </c>
      <c r="GH21" s="431">
        <f t="shared" si="57"/>
        <v>0</v>
      </c>
      <c r="GI21" s="431">
        <f t="shared" si="58"/>
        <v>0</v>
      </c>
      <c r="GJ21" s="431">
        <f t="shared" si="59"/>
        <v>0</v>
      </c>
      <c r="GK21" s="431">
        <f>'Concentration Limits'!$J$67</f>
        <v>24799670.364863332</v>
      </c>
      <c r="GL21" s="429" t="str">
        <f t="shared" si="60"/>
        <v>Yes</v>
      </c>
      <c r="GM21" s="431">
        <f t="shared" si="61"/>
        <v>8077912.1877550166</v>
      </c>
      <c r="GN21" s="431">
        <f t="shared" si="62"/>
        <v>0</v>
      </c>
      <c r="GO21" s="431">
        <f t="shared" si="63"/>
        <v>0</v>
      </c>
      <c r="GP21" s="431">
        <f>'Concentration Limits'!$J$68</f>
        <v>37199505.547294997</v>
      </c>
      <c r="GQ21" s="429" t="str">
        <f t="shared" si="64"/>
        <v>No</v>
      </c>
      <c r="GR21" s="431">
        <f t="shared" si="65"/>
        <v>0</v>
      </c>
      <c r="GS21" s="431">
        <f t="shared" si="66"/>
        <v>0</v>
      </c>
      <c r="GT21" s="431">
        <f t="shared" si="67"/>
        <v>0</v>
      </c>
      <c r="GU21" s="429">
        <f>'Concentration Limits'!$J$69</f>
        <v>37199505.547294997</v>
      </c>
      <c r="GV21" s="429" t="str">
        <f t="shared" si="68"/>
        <v>No</v>
      </c>
      <c r="GW21" s="429">
        <f t="shared" si="69"/>
        <v>0</v>
      </c>
      <c r="GX21" s="429">
        <f t="shared" si="70"/>
        <v>0</v>
      </c>
      <c r="GY21" s="429">
        <f t="shared" si="71"/>
        <v>0</v>
      </c>
      <c r="GZ21" s="429">
        <f>'Concentration Limits'!$J$70</f>
        <v>24799670.364863332</v>
      </c>
      <c r="HA21" s="429" t="str">
        <f t="shared" si="72"/>
        <v>No</v>
      </c>
      <c r="HB21" s="429">
        <f t="shared" si="73"/>
        <v>0</v>
      </c>
      <c r="HC21" s="429">
        <f t="shared" si="74"/>
        <v>0</v>
      </c>
      <c r="HD21" s="429">
        <f t="shared" si="75"/>
        <v>0</v>
      </c>
      <c r="HE21" s="431">
        <f t="shared" si="76"/>
        <v>0</v>
      </c>
      <c r="HF21" s="431">
        <f t="shared" si="77"/>
        <v>0</v>
      </c>
      <c r="HG21" s="431">
        <f t="shared" si="78"/>
        <v>0</v>
      </c>
      <c r="HH21" s="431">
        <f t="shared" si="79"/>
        <v>0</v>
      </c>
      <c r="HI21" s="431">
        <f>IF(BE21=0,0,#REF!*BE21/(BE21+BG21))</f>
        <v>0</v>
      </c>
      <c r="HJ21" s="431">
        <f>IF(BG21=0,0,#REF!*BG21/(BG21+BE21))</f>
        <v>0</v>
      </c>
      <c r="HK21" s="857">
        <f>IF(BF21=0,0,#REF!*BF21/(BF21+BH21))</f>
        <v>0</v>
      </c>
      <c r="HL21" s="431">
        <f>IF(BH21=0,0,#REF!*BH21/(BH21+BF21))</f>
        <v>0</v>
      </c>
      <c r="HM21" s="431">
        <f t="shared" si="80"/>
        <v>0</v>
      </c>
      <c r="HN21" s="431" t="b">
        <f t="shared" si="81"/>
        <v>1</v>
      </c>
    </row>
    <row r="22" spans="1:222" s="432" customFormat="1" ht="12.75" customHeight="1" x14ac:dyDescent="0.35">
      <c r="A22" s="49">
        <f t="shared" si="82"/>
        <v>14</v>
      </c>
      <c r="B22" s="404" t="str">
        <f>INDEX('Loan Tape - Settled'!$B$4:$AP$55,MATCH($A22,'Loan Tape - Settled'!$E$4:$E$55,0),MATCH("Obligor Name",'Loan Tape - Settled'!$B$4:$AM$4,0))</f>
        <v>Swyft Filings</v>
      </c>
      <c r="C22" s="404" t="str">
        <f>INDEX('Loan Tape - Settled'!$B$4:$AP$55,MATCH($A22,'Loan Tape - Settled'!$E$4:$E$55,0),MATCH("Security",'Loan Tape - Settled'!$B$4:$AM$4,0))</f>
        <v>1st Lien</v>
      </c>
      <c r="D22" s="405" t="str">
        <f>INDEX('Loan Tape - Settled'!$B$4:$AP$55,MATCH($A22,'Loan Tape - Settled'!$E$4:$E$55,0),MATCH("Loan Type",'Loan Tape - Settled'!$B$4:$AM$4,0))</f>
        <v>First Lien</v>
      </c>
      <c r="E22" s="406" t="b">
        <f>IF(ISERROR(MATCH(D22,AGENT!$A$4:$A$10,0))=FALSE, TRUE)</f>
        <v>1</v>
      </c>
      <c r="F22" s="406" t="b">
        <f t="shared" si="0"/>
        <v>1</v>
      </c>
      <c r="G22" s="406" t="b">
        <f>IF(D22&lt;&gt;"Second Lien",TRUE, IF(CY22&gt;=AGENT!$B$4,TRUE))</f>
        <v>1</v>
      </c>
      <c r="H22" s="406" t="b">
        <f>IF(DE22&lt;=AGENT!$D$4,TRUE)</f>
        <v>1</v>
      </c>
      <c r="I22" s="406" t="b">
        <f>IF(VLOOKUP(CONCATENATE($A$5,A22),'Loan Tape - Settled'!$A$5:$Q$55,17,FALSE)&gt;=AGENT!$E$4,TRUE)</f>
        <v>1</v>
      </c>
      <c r="J22" s="406" t="b">
        <f>IF(INDEX('Loan Tape - Settled'!$B$4:$AP$55,MATCH($A22,'Loan Tape - Settled'!$E$4:$E$55,0),MATCH("Loan Denomination",'Loan Tape - Settled'!$B$4:$AP$4,0))="USD", TRUE)</f>
        <v>1</v>
      </c>
      <c r="K22" s="406" t="b">
        <f>IF(INDEX('Loan Tape - Settled'!$B$4:$AP$55,MATCH($A22,'Loan Tape - Settled'!$E$4:$E$55,0),MATCH("Exposure Country",'Loan Tape - Settled'!$B$4:$AP$4,0))="United States", TRUE)</f>
        <v>1</v>
      </c>
      <c r="L22" s="406" t="b">
        <f t="shared" si="1"/>
        <v>1</v>
      </c>
      <c r="M22" s="406" t="b">
        <f>IF(((BM22-BL22)/365)&lt;=AGENT!$F$4,TRUE)</f>
        <v>1</v>
      </c>
      <c r="N22" s="406" t="b">
        <f t="shared" si="2"/>
        <v>1</v>
      </c>
      <c r="O22" s="453"/>
      <c r="P22" s="709" t="str">
        <f t="shared" si="3"/>
        <v>Yes</v>
      </c>
      <c r="Q22" s="680" t="s">
        <v>243</v>
      </c>
      <c r="R22" s="407" t="str">
        <f t="shared" si="4"/>
        <v>Swyft Filings</v>
      </c>
      <c r="S22" s="407"/>
      <c r="T22" s="408" t="str">
        <f t="array" ref="T22">_xlfn.IFS(D22="Second Lien",D22,D22="First Lien",CONCATENATE(D22," ",EI22),D22="FILO",CONCATENATE(D22," ",EJ22))</f>
        <v>First Lien &lt;= $20MM</v>
      </c>
      <c r="U22" s="409">
        <f>VLOOKUP(T22,'Concentration Limits'!D:G,4,FALSE)</f>
        <v>0.65</v>
      </c>
      <c r="V22" s="410">
        <f t="shared" si="5"/>
        <v>3322967.211468515</v>
      </c>
      <c r="W22" s="448">
        <f>(SUMIFS('Loan Tape - Settled'!$AR$4:$AR$55,'Loan Tape - Settled'!$E$4:$E$55,$A22,'Loan Tape - Settled'!$C$4:$C$55,$A$5))</f>
        <v>3692185.7905205721</v>
      </c>
      <c r="X22" s="449">
        <v>1</v>
      </c>
      <c r="Y22" s="411">
        <f t="shared" si="6"/>
        <v>3692185.7905205721</v>
      </c>
      <c r="Z22" s="449">
        <f>(SUMIFS('Loan Tape - Settled'!$AQ$4:$AQ$55,'Loan Tape - Settled'!$E$4:$E$55,$A22,'Loan Tape - Settled'!$C$4:$C$55,$A$5))</f>
        <v>3692185.7905205721</v>
      </c>
      <c r="AA22" s="411">
        <f t="shared" si="7"/>
        <v>3692185.7905205721</v>
      </c>
      <c r="AB22" s="411">
        <f t="shared" si="8"/>
        <v>0</v>
      </c>
      <c r="AC22" s="450">
        <f>VLOOKUP(CONCATENATE($A$5,A22),'Loan Tape - Settled'!$A$5:$Q$55,17,FALSE)</f>
        <v>1</v>
      </c>
      <c r="AD22" s="412"/>
      <c r="AE22" s="413">
        <f>INDEX('Loan Tape - Settled'!$B$4:$AP$55,MATCH($A22,'Loan Tape - Settled'!$E$4:$E$55,0),MATCH("FMV",'Loan Tape - Settled'!$B$4:$AM$4,0))</f>
        <v>0.97410009644311812</v>
      </c>
      <c r="AF22" s="413">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0.99481547064562581</v>
      </c>
      <c r="AG22" s="414" t="str">
        <f>IF(COUNTIFS(VAE!$C$5:$C$96,B22,VAE!$G$5:$G$96,"&lt;="&amp;Availability!$F$8)&gt;=1,"Yes","-")</f>
        <v>Yes</v>
      </c>
      <c r="AH22" s="414" t="str">
        <f t="array" ref="AH22">IFERROR(IF(AG22="Yes",INDEX(VAE!$D$5:$D$96,MATCH(B22&amp;AJ22,VAE!$C$5:$C$96&amp;VAE!$G$5:$G$96,0)),"-"),0)</f>
        <v>Increase in Lev</v>
      </c>
      <c r="AI22" s="414" t="str">
        <f t="array" ref="AI22">IFERROR(IF(AG22="Yes",INDEX(VAE!$F$5:$F$96,MATCH(B22&amp;AJ22,VAE!$C$5:$C$96&amp;VAE!$G$5:$G$96,0)),"-"),0)</f>
        <v>n/a</v>
      </c>
      <c r="AJ22" s="415">
        <f>IF(AG22="-","-",_xlfn.MAXIFS(VAE!$G$5:$G$96,VAE!$C$5:$C$96,$B22))</f>
        <v>45382</v>
      </c>
      <c r="AK22" s="416">
        <f t="array" ref="AK22">IFERROR(IF(AG22="Yes",INDEX(VAE!$P$5:$P$96,MATCH(B22&amp;AJ22,VAE!$C$5:$C$96&amp;VAE!$G$5:$G$96,0)),"-"),0)</f>
        <v>0.9</v>
      </c>
      <c r="AL22" s="413">
        <f t="shared" si="9"/>
        <v>0.9</v>
      </c>
      <c r="AM22" s="410"/>
      <c r="AN22" s="410"/>
      <c r="AO22" s="410">
        <f t="shared" si="10"/>
        <v>3692185.7905205721</v>
      </c>
      <c r="AP22" s="410">
        <f t="shared" si="11"/>
        <v>0</v>
      </c>
      <c r="AQ22" s="410">
        <f t="shared" si="83"/>
        <v>3322967.211468515</v>
      </c>
      <c r="AR22" s="410"/>
      <c r="AS22" s="410"/>
      <c r="AT22" s="410"/>
      <c r="AU22" s="410">
        <f t="shared" si="12"/>
        <v>0</v>
      </c>
      <c r="AV22" s="410">
        <f t="shared" si="13"/>
        <v>0</v>
      </c>
      <c r="AW22" s="410">
        <f t="shared" si="14"/>
        <v>0</v>
      </c>
      <c r="AX22" s="410"/>
      <c r="AY22" s="410"/>
      <c r="AZ22" s="410"/>
      <c r="BA22" s="410">
        <f t="shared" si="15"/>
        <v>0</v>
      </c>
      <c r="BB22" s="410"/>
      <c r="BC22" s="410"/>
      <c r="BD22" s="410">
        <f t="shared" si="16"/>
        <v>0</v>
      </c>
      <c r="BE22" s="410"/>
      <c r="BF22" s="410"/>
      <c r="BG22" s="410"/>
      <c r="BH22" s="410"/>
      <c r="BI22" s="410">
        <f t="shared" si="17"/>
        <v>0</v>
      </c>
      <c r="BJ22" s="410" t="b">
        <f t="shared" si="18"/>
        <v>1</v>
      </c>
      <c r="BK22" s="509">
        <f>INDEX('Loan Tape - Settled'!$B$4:$AP$55,MATCH($A22,'Loan Tape - Settled'!$E$4:$E$55,0),MATCH("Inception Date",'Loan Tape - Settled'!$B$4:$AP$4,0))</f>
        <v>44557</v>
      </c>
      <c r="BL22" s="509">
        <f>INDEX('Loan Tape - Settled'!$B$4:$AP$55,MATCH($A22,'Loan Tape - Settled'!$E$4:$E$55,0),MATCH("Inclusion Date",'Loan Tape - Settled'!$B$4:$AP$4,0))</f>
        <v>44557</v>
      </c>
      <c r="BM22" s="509">
        <f>INDEX('Loan Tape - Settled'!$B$4:$AP$55,MATCH($A22,'Loan Tape - Settled'!$E$4:$E$55,0),MATCH("Maturity Date",'Loan Tape - Settled'!$B$4:$AP$4,0))</f>
        <v>46741</v>
      </c>
      <c r="BN22" s="510"/>
      <c r="BO22" s="510"/>
      <c r="BP22" s="511"/>
      <c r="BQ22" s="510"/>
      <c r="BR22" s="512" t="str">
        <f>INDEX('Loan Tape - Settled'!$B$4:$AP$55,MATCH($A22,'Loan Tape - Settled'!$E$4:$E$55,0),MATCH("Industry Classification",'Loan Tape - Settled'!$B$4:$AP$4,0))</f>
        <v>Commercial Services &amp; Supplies</v>
      </c>
      <c r="BS22" s="510" t="str">
        <f>IF(INDEX('Loan Tape - Settled'!$B$4:$AP$55,MATCH($A22,'Loan Tape - Settled'!$E$4:$E$55,0),MATCH("Covenant Lite",'Loan Tape - Settled'!$B$4:$AP$4,0))=-1, "Yes", "No")</f>
        <v>No</v>
      </c>
      <c r="BT22" s="513">
        <f>INDEX('Loan Tape - Settled'!$B$4:$AP$55,MATCH($A22,'Loan Tape - Settled'!$E$4:$E$55,0),MATCH("Spread / Coupon (%)",'Loan Tape - Settled'!$B$4:$AP$4,0))</f>
        <v>7.3032850663894061E-2</v>
      </c>
      <c r="BU22" s="510" t="str">
        <f>IF(INDEX('Loan Tape - Settled'!$B$4:$AP$55,MATCH($A22,'Loan Tape - Settled'!$E$4:$E$55,0),MATCH("Security Type",'Loan Tape - Settled'!$B$4:$AP$4,0))="Delayed Draw Term Loan", "Yes", "No")</f>
        <v>No</v>
      </c>
      <c r="BV22" s="514" t="s">
        <v>244</v>
      </c>
      <c r="BW22" s="514" t="s">
        <v>244</v>
      </c>
      <c r="BX22" s="506" t="s">
        <v>244</v>
      </c>
      <c r="BY22" s="510" t="str">
        <f>IF(INDEX('Loan Tape - Settled'!$B$4:$AP$55,MATCH($A22,'Loan Tape - Settled'!$E$4:$E$55,0),MATCH("Fixed/Floating",'Loan Tape - Settled'!$B$4:$AP$4,0))="Fixed", "Yes", "No")</f>
        <v>No</v>
      </c>
      <c r="BZ22" s="514" t="s">
        <v>244</v>
      </c>
      <c r="CA22" s="514" t="s">
        <v>244</v>
      </c>
      <c r="CB22" s="510" t="str">
        <f>IF(INDEX('Loan Tape - Settled'!$B$4:$AP$55,MATCH($A22,'Loan Tape - Settled'!$E$4:$E$55,0),MATCH("Loan Denomination",'Loan Tape - Settled'!$B$4:$AP$4,0))="CAD", "Yes", "No")</f>
        <v>No</v>
      </c>
      <c r="CC22" s="510" t="str">
        <f>INDEX('Loan Tape - Settled'!$B$4:$AP$55,MATCH($A22,'Loan Tape - Settled'!$E$4:$E$55,0),MATCH("Payment Frequency",'Loan Tape - Settled'!$B$4:$AP$4,0))</f>
        <v>M</v>
      </c>
      <c r="CD22" s="514" t="s">
        <v>244</v>
      </c>
      <c r="CE22" s="510">
        <f>INDEX('Loan Tape - Settled'!$B$4:$AP$55,MATCH($A22,'Loan Tape - Settled'!$E$4:$E$55,0),MATCH("S&amp;P Loan Rating (if applicable)",'Loan Tape - Settled'!$B$4:$AP$4,0))</f>
        <v>0</v>
      </c>
      <c r="CF22" s="510">
        <f>INDEX('Loan Tape - Settled'!$B$4:$AP$55,MATCH($A22,'Loan Tape - Settled'!$E$4:$E$55,0),MATCH("Moody's Loan Rating (if applicable)",'Loan Tape - Settled'!$B$4:$AP$4,0))</f>
        <v>0</v>
      </c>
      <c r="CG22" s="510"/>
      <c r="CH22" s="510"/>
      <c r="CI22" s="515"/>
      <c r="CJ22" s="508" t="str">
        <f>INDEX('Loan Tape - Settled'!$B$4:$BF$55,MATCH($A22,'Loan Tape - Settled'!$E$4:$E$55,0),MATCH("Last Financial Received",'Loan Tape - Settled'!$B$4:$BF$4,0))</f>
        <v>9/30/2025 or Latest Financing</v>
      </c>
      <c r="CK22" s="516">
        <f>INDEX('Loan Tape - Settled'!$B$4:$BJ$55,MATCH($A22,'Loan Tape - Settled'!$E$4:$E$55,0),MATCH("Initial Adjusted TTM EBITDA",'Loan Tape - Settled'!$B$4:$BJ$4,0))</f>
        <v>19.687999999999999</v>
      </c>
      <c r="CL22" s="516">
        <f>INDEX('Loan Tape - Settled'!$B$4:$BJ$55,MATCH($A22,'Loan Tape - Settled'!$E$4:$E$55,0),MATCH("Initial TTM Non-adjusted EBITDA",'Loan Tape - Settled'!$B$4:$BJ$4,0))</f>
        <v>19.687999999999999</v>
      </c>
      <c r="CM22" s="417"/>
      <c r="CN22" s="418"/>
      <c r="CO22" s="418"/>
      <c r="CP22" s="419"/>
      <c r="CQ22" s="420" t="s">
        <v>245</v>
      </c>
      <c r="CR22" s="419"/>
      <c r="CS22" s="421">
        <f t="shared" si="19"/>
        <v>19.687999999999999</v>
      </c>
      <c r="CT22" s="422">
        <f t="shared" si="20"/>
        <v>0</v>
      </c>
      <c r="CU22" s="516">
        <f>INDEX('Loan Tape - Settled'!$B$4:$BJ$55,MATCH($A22,'Loan Tape - Settled'!$E$4:$E$55,0),MATCH("Current TTM Non-adjusted EBITDA",'Loan Tape - Settled'!$B$4:$BJ$4,0))</f>
        <v>18.618569000000001</v>
      </c>
      <c r="CV22" s="423">
        <f t="shared" si="21"/>
        <v>0</v>
      </c>
      <c r="CW22" s="652" t="s">
        <v>245</v>
      </c>
      <c r="CX22" s="517"/>
      <c r="CY22" s="658">
        <f t="shared" si="22"/>
        <v>18.618569000000001</v>
      </c>
      <c r="CZ22" s="656"/>
      <c r="DA22" s="518"/>
      <c r="DB22" s="519"/>
      <c r="DC22" s="853"/>
      <c r="DD22" s="853">
        <f>INDEX('Loan Tape - Settled'!$B$4:$BJ$55,MATCH($A22,'Loan Tape - Settled'!$E$4:$E$55,0),MATCH("Initial Senior Net Leverage Senior",'Loan Tape - Settled'!$B$4:$BJ$4,0))</f>
        <v>3.6836619458553428</v>
      </c>
      <c r="DE22" s="659">
        <f>INDEX('Loan Tape - Settled'!$B$4:$BJ$55,MATCH($A22,'Loan Tape - Settled'!$E$4:$E$55,0),MATCH("Initial Total Net Leverage",'Loan Tape - Settled'!$B$4:$BJ$4,0))</f>
        <v>3.6836619458553428</v>
      </c>
      <c r="DF22" s="656"/>
      <c r="DG22" s="518"/>
      <c r="DH22" s="519"/>
      <c r="DI22" s="424">
        <f>INDEX('Loan Tape - Settled'!$B$4:$BJ$55,MATCH($A22,'Loan Tape - Settled'!$E$4:$E$55,0),MATCH("Net Attachment",'Loan Tape - Settled'!$B$4:$BJ$4,0))</f>
        <v>-0.47952127792420568</v>
      </c>
      <c r="DJ22" s="522">
        <f t="array" ref="DJ22">IF(AG22="Yes",INDEX(VAE!$M$5:$M$53,MATCH($B22&amp;$AJ22,VAE!$C$5:$C$53&amp;VAE!$G$5:$G$53,0)),DD22)</f>
        <v>5.183518948049743</v>
      </c>
      <c r="DK22" s="649">
        <f t="array" ref="DK22">IF(AG22="Yes",INDEX(VAE!$N$5:$N$53,MATCH($B22&amp;$AJ22,VAE!$C$5:$C$53&amp;VAE!$G$5:$G$53,0)),DE22)</f>
        <v>5.183518948049743</v>
      </c>
      <c r="DL22" s="651">
        <f>INDEX('Loan Tape - Settled'!$B$4:$BJ$55,MATCH($A22,'Loan Tape - Settled'!$E$4:$E$55,0),MATCH("Current Senior Net Leverage Senior",'Loan Tape - Settled'!$B$4:$BJ$4,0))</f>
        <v>3.491346513113736</v>
      </c>
      <c r="DM22" s="433">
        <f>INDEX('Loan Tape - Settled'!$B$4:$BJ$55,MATCH($A22,'Loan Tape - Settled'!$E$4:$E$55,0),MATCH("Current Total Net Leverage",'Loan Tape - Settled'!$B$4:$BJ$4,0))</f>
        <v>3.491346513113736</v>
      </c>
      <c r="DN22" s="425"/>
      <c r="DO22" s="426">
        <f>INDEX('Loan Tape - Settled'!$B$4:$BJ$55,MATCH($A22,'Loan Tape - Settled'!$E$4:$E$55,0),MATCH("Initial Interest Coverage",'Loan Tape - Settled'!$B$4:$BJ$4,0))</f>
        <v>3.83</v>
      </c>
      <c r="DP22" s="854">
        <f t="array" ref="DP22">IF(AG22="Yes",INDEX(VAE!$O$5:$O$53,MATCH($B22&amp;$AJ22,VAE!$C$5:$C$53&amp;VAE!$G$5:$G$53,0)),DO22)</f>
        <v>1.66</v>
      </c>
      <c r="DQ22" s="427">
        <f>INDEX('Loan Tape - Settled'!$B$4:$BJ$55,MATCH($A22,'Loan Tape - Settled'!$E$4:$E$55,0),MATCH("Current Interest Coverage",'Loan Tape - Settled'!$B$4:$BJ$4,0))</f>
        <v>2.732253365559</v>
      </c>
      <c r="DR22" s="855" t="str">
        <f t="shared" si="23"/>
        <v>No</v>
      </c>
      <c r="DS22" s="428">
        <f>IF(AG22="Yes",DATEDIF(AJ22,Availability!$F$8,"m"),"")</f>
        <v>21</v>
      </c>
      <c r="DT22" s="428" t="str">
        <f t="shared" si="24"/>
        <v>Yes</v>
      </c>
      <c r="DU22" s="647" t="str">
        <f t="shared" si="25"/>
        <v>No</v>
      </c>
      <c r="DV22" s="648" t="str">
        <f t="shared" si="26"/>
        <v>No</v>
      </c>
      <c r="DW22" s="648" t="str">
        <f t="array" ref="DW22">_xlfn.IFS(D22&lt;&gt;"Second Lien","No",D22="Second Lien",IF(AND((DM22-DK22)&gt;0.5,DM22&gt;4.5),"Yes","No"))</f>
        <v>No</v>
      </c>
      <c r="DX22" s="685" t="s">
        <v>244</v>
      </c>
      <c r="DY22" s="685" t="s">
        <v>244</v>
      </c>
      <c r="DZ22" s="686" t="s">
        <v>244</v>
      </c>
      <c r="EA22" s="686" t="s">
        <v>244</v>
      </c>
      <c r="EB22" s="686" t="s">
        <v>244</v>
      </c>
      <c r="EC22" s="686" t="s">
        <v>244</v>
      </c>
      <c r="ED22" s="686" t="s">
        <v>244</v>
      </c>
      <c r="EE22" s="686" t="s">
        <v>244</v>
      </c>
      <c r="EF22" s="409" t="str">
        <f t="shared" si="27"/>
        <v>No</v>
      </c>
      <c r="EG22" s="686" t="s">
        <v>244</v>
      </c>
      <c r="EH22" s="691" t="s">
        <v>244</v>
      </c>
      <c r="EI22" s="856" t="str">
        <f t="array" ref="EI22">IF(D22="First Lien",_xlfn.IFS(CY22&gt;AGENT!$B$23, "&gt; $20MM",CY22&lt;=AGENT!$C$25, "&lt;= $10MM",AND(CY22&lt;=AGENT!$C$24,CY22&gt;AGENT!$B$24),"&lt;= $20MM"), "N/A")</f>
        <v>&lt;= $20MM</v>
      </c>
      <c r="EJ22" s="856" t="str">
        <f t="array" ref="EJ22">IF(D22="FILO",_xlfn.IFS(DI22&gt;AGENT!$B$29, "&gt; 1.25x",DI22&lt;AGENT!$C$27, "&lt; 0.75x",AND(DI22&lt;=AGENT!$C$28,DI22&gt;=AGENT!$B$28),"&lt;= 1.25x"), "N/A")</f>
        <v>N/A</v>
      </c>
      <c r="EK22" s="429">
        <f t="shared" si="28"/>
        <v>3322967.211468515</v>
      </c>
      <c r="EL22" s="429">
        <f>'Concentration Limits'!$J$49</f>
        <v>49599340.729726665</v>
      </c>
      <c r="EM22" s="429" t="str">
        <f>IF(OR(D22="Second Lien",AND(D22="FILO",DI22&gt;AGENT!$C$57)), "Yes", "No")</f>
        <v>No</v>
      </c>
      <c r="EN22" s="429">
        <f t="shared" si="29"/>
        <v>0</v>
      </c>
      <c r="EO22" s="429">
        <f t="shared" si="30"/>
        <v>0</v>
      </c>
      <c r="EP22" s="429">
        <f t="shared" si="31"/>
        <v>3322967.211468515</v>
      </c>
      <c r="EQ22" s="429">
        <f>'Concentration Limits'!$J$50</f>
        <v>24799670.364863332</v>
      </c>
      <c r="ER22" s="429">
        <f t="shared" si="32"/>
        <v>0</v>
      </c>
      <c r="ES22" s="429">
        <f t="shared" si="84"/>
        <v>0</v>
      </c>
      <c r="ET22" s="429">
        <f t="shared" si="33"/>
        <v>3322967.211468515</v>
      </c>
      <c r="EU22" s="429">
        <f>'Concentration Limits'!$J$51</f>
        <v>74399011.094589993</v>
      </c>
      <c r="EV22" s="429" t="str">
        <f>IF(OR(D22="Second Lien", AND(D22="FILO",DI22&gt;AGENT!$C$59)), "Yes", "No")</f>
        <v>No</v>
      </c>
      <c r="EW22" s="429">
        <f t="shared" si="34"/>
        <v>0</v>
      </c>
      <c r="EX22" s="429">
        <f t="shared" si="35"/>
        <v>0</v>
      </c>
      <c r="EY22" s="429">
        <f t="shared" si="36"/>
        <v>3322967.211468515</v>
      </c>
      <c r="EZ22" s="429">
        <f>'Concentration Limits'!$J$52</f>
        <v>37199505.547294997</v>
      </c>
      <c r="FA22" s="429" t="str">
        <f>IF(CY22&gt;'Concentration Limits'!$E$52, "No", "Yes")</f>
        <v>No</v>
      </c>
      <c r="FB22" s="429">
        <f t="shared" si="37"/>
        <v>0</v>
      </c>
      <c r="FC22" s="429">
        <f t="shared" si="38"/>
        <v>0</v>
      </c>
      <c r="FD22" s="429">
        <f t="shared" si="39"/>
        <v>3322967.211468515</v>
      </c>
      <c r="FE22" s="430">
        <f>'Concentration Limits'!$J$54</f>
        <v>247996703.6486333</v>
      </c>
      <c r="FF22" s="430">
        <f>'Concentration Limits'!$J$55</f>
        <v>247996703.6486333</v>
      </c>
      <c r="FG22" s="430">
        <f>'Concentration Limits'!$J$56</f>
        <v>247996703.6486333</v>
      </c>
      <c r="FH22" s="431">
        <f>'Concentration Limits'!$J$57</f>
        <v>18599752.773647498</v>
      </c>
      <c r="FI22" s="431">
        <f t="shared" si="40"/>
        <v>3322967.211468515</v>
      </c>
      <c r="FJ22" s="431">
        <f t="shared" si="41"/>
        <v>3322967.211468515</v>
      </c>
      <c r="FK22" s="431">
        <f t="shared" si="42"/>
        <v>26</v>
      </c>
      <c r="FL22" s="431">
        <f>IF(FJ22&gt;0,RANK(FJ22,$FJ$9:$FJ$60)+COUNTIF($FJ$9:FJ22,FJ22)-1,0)</f>
        <v>26</v>
      </c>
      <c r="FM22" s="430">
        <f t="shared" si="43"/>
        <v>0</v>
      </c>
      <c r="FN22" s="430">
        <f t="shared" si="44"/>
        <v>0</v>
      </c>
      <c r="FO22" s="430">
        <f t="shared" si="45"/>
        <v>0</v>
      </c>
      <c r="FP22" s="431">
        <f t="shared" si="46"/>
        <v>0</v>
      </c>
      <c r="FQ22" s="431">
        <f t="shared" si="47"/>
        <v>3322967.211468515</v>
      </c>
      <c r="FR22" s="431">
        <f>'Concentration Limits'!$J$58</f>
        <v>49599340.729726665</v>
      </c>
      <c r="FS22" s="431">
        <f t="shared" si="48"/>
        <v>13322967.211468514</v>
      </c>
      <c r="FT22" s="431">
        <f>VLOOKUP(BR22,'Concentration Limits'!$E$81:$H$153,4,FALSE)</f>
        <v>8</v>
      </c>
      <c r="FU22" s="431">
        <f t="shared" si="49"/>
        <v>0</v>
      </c>
      <c r="FV22" s="431">
        <f t="shared" si="50"/>
        <v>3322967.211468515</v>
      </c>
      <c r="FW22" s="431">
        <f>'Concentration Limits'!$J$59</f>
        <v>37199505.547294997</v>
      </c>
      <c r="FX22" s="431">
        <f t="shared" si="51"/>
        <v>13322967.211468514</v>
      </c>
      <c r="FY22" s="431">
        <f>VLOOKUP(BR22,'Concentration Limits'!$E$81:$H$153,4,FALSE)</f>
        <v>8</v>
      </c>
      <c r="FZ22" s="431">
        <f t="shared" si="52"/>
        <v>0</v>
      </c>
      <c r="GA22" s="431">
        <f t="shared" si="53"/>
        <v>3322967.211468515</v>
      </c>
      <c r="GB22" s="431">
        <f>'Concentration Limits'!$J$61</f>
        <v>24799670.364863332</v>
      </c>
      <c r="GC22" s="431">
        <f t="shared" si="54"/>
        <v>13322967.211468514</v>
      </c>
      <c r="GD22" s="429">
        <f>VLOOKUP(BR22,'Concentration Limits'!$E$81:$H$153,4,FALSE)</f>
        <v>8</v>
      </c>
      <c r="GE22" s="431">
        <f t="shared" si="55"/>
        <v>0</v>
      </c>
      <c r="GF22" s="431">
        <f t="shared" si="56"/>
        <v>3322967.211468515</v>
      </c>
      <c r="GG22" s="431">
        <f>'Concentration Limits'!$J$64</f>
        <v>24799670.364863332</v>
      </c>
      <c r="GH22" s="431">
        <f t="shared" si="57"/>
        <v>0</v>
      </c>
      <c r="GI22" s="431">
        <f t="shared" si="58"/>
        <v>0</v>
      </c>
      <c r="GJ22" s="431">
        <f t="shared" si="59"/>
        <v>3322967.211468515</v>
      </c>
      <c r="GK22" s="431">
        <f>'Concentration Limits'!$J$67</f>
        <v>24799670.364863332</v>
      </c>
      <c r="GL22" s="429" t="str">
        <f t="shared" si="60"/>
        <v>No</v>
      </c>
      <c r="GM22" s="431">
        <f t="shared" si="61"/>
        <v>0</v>
      </c>
      <c r="GN22" s="431">
        <f t="shared" si="62"/>
        <v>0</v>
      </c>
      <c r="GO22" s="431">
        <f t="shared" si="63"/>
        <v>3322967.211468515</v>
      </c>
      <c r="GP22" s="431">
        <f>'Concentration Limits'!$J$68</f>
        <v>37199505.547294997</v>
      </c>
      <c r="GQ22" s="429" t="str">
        <f t="shared" si="64"/>
        <v>No</v>
      </c>
      <c r="GR22" s="431">
        <f t="shared" si="65"/>
        <v>0</v>
      </c>
      <c r="GS22" s="431">
        <f t="shared" si="66"/>
        <v>0</v>
      </c>
      <c r="GT22" s="431">
        <f t="shared" si="67"/>
        <v>3322967.211468515</v>
      </c>
      <c r="GU22" s="429">
        <f>'Concentration Limits'!$J$69</f>
        <v>37199505.547294997</v>
      </c>
      <c r="GV22" s="429" t="str">
        <f t="shared" si="68"/>
        <v>No</v>
      </c>
      <c r="GW22" s="429">
        <f t="shared" si="69"/>
        <v>0</v>
      </c>
      <c r="GX22" s="429">
        <f t="shared" si="70"/>
        <v>0</v>
      </c>
      <c r="GY22" s="429">
        <f t="shared" si="71"/>
        <v>3322967.211468515</v>
      </c>
      <c r="GZ22" s="429">
        <f>'Concentration Limits'!$J$70</f>
        <v>24799670.364863332</v>
      </c>
      <c r="HA22" s="429" t="str">
        <f t="shared" si="72"/>
        <v>No</v>
      </c>
      <c r="HB22" s="429">
        <f t="shared" si="73"/>
        <v>0</v>
      </c>
      <c r="HC22" s="429">
        <f t="shared" si="74"/>
        <v>0</v>
      </c>
      <c r="HD22" s="429">
        <f t="shared" si="75"/>
        <v>3322967.211468515</v>
      </c>
      <c r="HE22" s="431">
        <f t="shared" si="76"/>
        <v>3322967.211468515</v>
      </c>
      <c r="HF22" s="431">
        <f t="shared" si="77"/>
        <v>0</v>
      </c>
      <c r="HG22" s="431">
        <f t="shared" si="78"/>
        <v>0</v>
      </c>
      <c r="HH22" s="431">
        <f t="shared" si="79"/>
        <v>0</v>
      </c>
      <c r="HI22" s="431">
        <f>IF(BE22=0,0,#REF!*BE22/(BE22+BG22))</f>
        <v>0</v>
      </c>
      <c r="HJ22" s="431">
        <f>IF(BG22=0,0,#REF!*BG22/(BG22+BE22))</f>
        <v>0</v>
      </c>
      <c r="HK22" s="857">
        <f>IF(BF22=0,0,#REF!*BF22/(BF22+BH22))</f>
        <v>0</v>
      </c>
      <c r="HL22" s="431">
        <f>IF(BH22=0,0,#REF!*BH22/(BH22+BF22))</f>
        <v>0</v>
      </c>
      <c r="HM22" s="431">
        <f t="shared" si="80"/>
        <v>0</v>
      </c>
      <c r="HN22" s="431" t="b">
        <f t="shared" si="81"/>
        <v>1</v>
      </c>
    </row>
    <row r="23" spans="1:222" s="432" customFormat="1" ht="12.75" customHeight="1" x14ac:dyDescent="0.35">
      <c r="A23" s="49">
        <f t="shared" si="82"/>
        <v>15</v>
      </c>
      <c r="B23" s="404" t="str">
        <f>INDEX('Loan Tape - Settled'!$B$4:$AP$55,MATCH($A23,'Loan Tape - Settled'!$E$4:$E$55,0),MATCH("Obligor Name",'Loan Tape - Settled'!$B$4:$AM$4,0))</f>
        <v>Caregility</v>
      </c>
      <c r="C23" s="404" t="str">
        <f>INDEX('Loan Tape - Settled'!$B$4:$AP$55,MATCH($A23,'Loan Tape - Settled'!$E$4:$E$55,0),MATCH("Security",'Loan Tape - Settled'!$B$4:$AM$4,0))</f>
        <v>1st Lien</v>
      </c>
      <c r="D23" s="405" t="str">
        <f>INDEX('Loan Tape - Settled'!$B$4:$AP$55,MATCH($A23,'Loan Tape - Settled'!$E$4:$E$55,0),MATCH("Loan Type",'Loan Tape - Settled'!$B$4:$AM$4,0))</f>
        <v>First Lien</v>
      </c>
      <c r="E23" s="406" t="b">
        <f>IF(ISERROR(MATCH(D23,AGENT!$A$4:$A$10,0))=FALSE, TRUE)</f>
        <v>1</v>
      </c>
      <c r="F23" s="406" t="b">
        <f t="shared" si="0"/>
        <v>1</v>
      </c>
      <c r="G23" s="406" t="b">
        <f>IF(D23&lt;&gt;"Second Lien",TRUE, IF(CY23&gt;=AGENT!$B$4,TRUE))</f>
        <v>1</v>
      </c>
      <c r="H23" s="406" t="b">
        <f>IF(DE23&lt;=AGENT!$D$4,TRUE)</f>
        <v>0</v>
      </c>
      <c r="I23" s="406" t="b">
        <f>IF(VLOOKUP(CONCATENATE($A$5,A23),'Loan Tape - Settled'!$A$5:$Q$55,17,FALSE)&gt;=AGENT!$E$4,TRUE)</f>
        <v>1</v>
      </c>
      <c r="J23" s="406" t="b">
        <f>IF(INDEX('Loan Tape - Settled'!$B$4:$AP$55,MATCH($A23,'Loan Tape - Settled'!$E$4:$E$55,0),MATCH("Loan Denomination",'Loan Tape - Settled'!$B$4:$AP$4,0))="USD", TRUE)</f>
        <v>1</v>
      </c>
      <c r="K23" s="406" t="b">
        <f>IF(INDEX('Loan Tape - Settled'!$B$4:$AP$55,MATCH($A23,'Loan Tape - Settled'!$E$4:$E$55,0),MATCH("Exposure Country",'Loan Tape - Settled'!$B$4:$AP$4,0))="United States", TRUE)</f>
        <v>1</v>
      </c>
      <c r="L23" s="406" t="b">
        <f t="shared" si="1"/>
        <v>1</v>
      </c>
      <c r="M23" s="406" t="b">
        <f>IF(((BM23-BL23)/365)&lt;=AGENT!$F$4,TRUE)</f>
        <v>1</v>
      </c>
      <c r="N23" s="406" t="b">
        <f t="shared" si="2"/>
        <v>1</v>
      </c>
      <c r="O23" s="453"/>
      <c r="P23" s="709" t="str">
        <f t="shared" si="3"/>
        <v>No</v>
      </c>
      <c r="Q23" s="680" t="s">
        <v>243</v>
      </c>
      <c r="R23" s="407" t="str">
        <f t="shared" si="4"/>
        <v>N/A</v>
      </c>
      <c r="S23" s="407"/>
      <c r="T23" s="408" t="str">
        <f t="array" ref="T23">_xlfn.IFS(D23="Second Lien",D23,D23="First Lien",CONCATENATE(D23," ",EI23),D23="FILO",CONCATENATE(D23," ",EJ23))</f>
        <v>First Lien &lt;= $10MM</v>
      </c>
      <c r="U23" s="409">
        <f>VLOOKUP(T23,'Concentration Limits'!D:G,4,FALSE)</f>
        <v>0.625</v>
      </c>
      <c r="V23" s="410">
        <f t="shared" si="5"/>
        <v>0</v>
      </c>
      <c r="W23" s="448">
        <f>(SUMIFS('Loan Tape - Settled'!$AR$4:$AR$55,'Loan Tape - Settled'!$E$4:$E$55,$A23,'Loan Tape - Settled'!$C$4:$C$55,$A$5))</f>
        <v>1832761.0209470899</v>
      </c>
      <c r="X23" s="449">
        <v>1</v>
      </c>
      <c r="Y23" s="411">
        <f t="shared" si="6"/>
        <v>1832761.0209470899</v>
      </c>
      <c r="Z23" s="449">
        <f>(SUMIFS('Loan Tape - Settled'!$AQ$4:$AQ$55,'Loan Tape - Settled'!$E$4:$E$55,$A23,'Loan Tape - Settled'!$C$4:$C$55,$A$5))</f>
        <v>1832761.0209470899</v>
      </c>
      <c r="AA23" s="411">
        <f t="shared" si="7"/>
        <v>1832761.0209470899</v>
      </c>
      <c r="AB23" s="411">
        <f t="shared" si="8"/>
        <v>0</v>
      </c>
      <c r="AC23" s="450">
        <f>VLOOKUP(CONCATENATE($A$5,A23),'Loan Tape - Settled'!$A$5:$Q$55,17,FALSE)</f>
        <v>1</v>
      </c>
      <c r="AD23" s="412"/>
      <c r="AE23" s="413">
        <f>INDEX('Loan Tape - Settled'!$B$4:$AP$55,MATCH($A23,'Loan Tape - Settled'!$E$4:$E$55,0),MATCH("FMV",'Loan Tape - Settled'!$B$4:$AM$4,0))</f>
        <v>0.96185000000000009</v>
      </c>
      <c r="AF23" s="413">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0</v>
      </c>
      <c r="AG23" s="414" t="str">
        <f>IF(COUNTIFS(VAE!$C$5:$C$96,B23,VAE!$G$5:$G$96,"&lt;="&amp;Availability!$F$8)&gt;=1,"Yes","-")</f>
        <v>-</v>
      </c>
      <c r="AH23" s="414" t="str">
        <f t="array" ref="AH23">IFERROR(IF(AG23="Yes",INDEX(VAE!$D$5:$D$96,MATCH(B23&amp;AJ23,VAE!$C$5:$C$96&amp;VAE!$G$5:$G$96,0)),"-"),0)</f>
        <v>-</v>
      </c>
      <c r="AI23" s="414" t="str">
        <f t="array" ref="AI23">IFERROR(IF(AG23="Yes",INDEX(VAE!$F$5:$F$96,MATCH(B23&amp;AJ23,VAE!$C$5:$C$96&amp;VAE!$G$5:$G$96,0)),"-"),0)</f>
        <v>-</v>
      </c>
      <c r="AJ23" s="415" t="str">
        <f>IF(AG23="-","-",_xlfn.MAXIFS(VAE!$G$5:$G$96,VAE!$C$5:$C$96,$B23))</f>
        <v>-</v>
      </c>
      <c r="AK23" s="416" t="str">
        <f t="array" ref="AK23">IFERROR(IF(AG23="Yes",INDEX(VAE!$P$5:$P$96,MATCH(B23&amp;AJ23,VAE!$C$5:$C$96&amp;VAE!$G$5:$G$96,0)),"-"),0)</f>
        <v>-</v>
      </c>
      <c r="AL23" s="413">
        <f t="shared" si="9"/>
        <v>0</v>
      </c>
      <c r="AM23" s="410"/>
      <c r="AN23" s="410"/>
      <c r="AO23" s="410">
        <f t="shared" si="10"/>
        <v>0</v>
      </c>
      <c r="AP23" s="410">
        <f t="shared" si="11"/>
        <v>1832761.0209470899</v>
      </c>
      <c r="AQ23" s="410">
        <f t="shared" si="83"/>
        <v>0</v>
      </c>
      <c r="AR23" s="410"/>
      <c r="AS23" s="410"/>
      <c r="AT23" s="410"/>
      <c r="AU23" s="410">
        <f t="shared" si="12"/>
        <v>0</v>
      </c>
      <c r="AV23" s="410">
        <f t="shared" si="13"/>
        <v>0</v>
      </c>
      <c r="AW23" s="410">
        <f t="shared" si="14"/>
        <v>0</v>
      </c>
      <c r="AX23" s="410"/>
      <c r="AY23" s="410"/>
      <c r="AZ23" s="410"/>
      <c r="BA23" s="410">
        <f t="shared" si="15"/>
        <v>0</v>
      </c>
      <c r="BB23" s="410"/>
      <c r="BC23" s="410"/>
      <c r="BD23" s="410">
        <f t="shared" si="16"/>
        <v>0</v>
      </c>
      <c r="BE23" s="410"/>
      <c r="BF23" s="410"/>
      <c r="BG23" s="410"/>
      <c r="BH23" s="410"/>
      <c r="BI23" s="410">
        <f t="shared" si="17"/>
        <v>0</v>
      </c>
      <c r="BJ23" s="410" t="b">
        <f t="shared" si="18"/>
        <v>1</v>
      </c>
      <c r="BK23" s="509">
        <f>INDEX('Loan Tape - Settled'!$B$4:$AP$55,MATCH($A23,'Loan Tape - Settled'!$E$4:$E$55,0),MATCH("Inception Date",'Loan Tape - Settled'!$B$4:$AP$4,0))</f>
        <v>44561</v>
      </c>
      <c r="BL23" s="509">
        <f>INDEX('Loan Tape - Settled'!$B$4:$AP$55,MATCH($A23,'Loan Tape - Settled'!$E$4:$E$55,0),MATCH("Inclusion Date",'Loan Tape - Settled'!$B$4:$AP$4,0))</f>
        <v>44561</v>
      </c>
      <c r="BM23" s="509">
        <f>INDEX('Loan Tape - Settled'!$B$4:$AP$55,MATCH($A23,'Loan Tape - Settled'!$E$4:$E$55,0),MATCH("Maturity Date",'Loan Tape - Settled'!$B$4:$AP$4,0))</f>
        <v>46326</v>
      </c>
      <c r="BN23" s="510"/>
      <c r="BO23" s="510"/>
      <c r="BP23" s="511"/>
      <c r="BQ23" s="510"/>
      <c r="BR23" s="512" t="str">
        <f>INDEX('Loan Tape - Settled'!$B$4:$AP$55,MATCH($A23,'Loan Tape - Settled'!$E$4:$E$55,0),MATCH("Industry Classification",'Loan Tape - Settled'!$B$4:$AP$4,0))</f>
        <v>Diversified Telecommunication Services</v>
      </c>
      <c r="BS23" s="510" t="str">
        <f>IF(INDEX('Loan Tape - Settled'!$B$4:$AP$55,MATCH($A23,'Loan Tape - Settled'!$E$4:$E$55,0),MATCH("Covenant Lite",'Loan Tape - Settled'!$B$4:$AP$4,0))=-1, "Yes", "No")</f>
        <v>No</v>
      </c>
      <c r="BT23" s="513">
        <f>INDEX('Loan Tape - Settled'!$B$4:$AP$55,MATCH($A23,'Loan Tape - Settled'!$E$4:$E$55,0),MATCH("Spread / Coupon (%)",'Loan Tape - Settled'!$B$4:$AP$4,0))</f>
        <v>2.442780000000001E-2</v>
      </c>
      <c r="BU23" s="510" t="str">
        <f>IF(INDEX('Loan Tape - Settled'!$B$4:$AP$55,MATCH($A23,'Loan Tape - Settled'!$E$4:$E$55,0),MATCH("Security Type",'Loan Tape - Settled'!$B$4:$AP$4,0))="Delayed Draw Term Loan", "Yes", "No")</f>
        <v>No</v>
      </c>
      <c r="BV23" s="514" t="s">
        <v>244</v>
      </c>
      <c r="BW23" s="514" t="s">
        <v>244</v>
      </c>
      <c r="BX23" s="506" t="s">
        <v>244</v>
      </c>
      <c r="BY23" s="510" t="str">
        <f>IF(INDEX('Loan Tape - Settled'!$B$4:$AP$55,MATCH($A23,'Loan Tape - Settled'!$E$4:$E$55,0),MATCH("Fixed/Floating",'Loan Tape - Settled'!$B$4:$AP$4,0))="Fixed", "Yes", "No")</f>
        <v>Yes</v>
      </c>
      <c r="BZ23" s="514" t="s">
        <v>244</v>
      </c>
      <c r="CA23" s="514" t="s">
        <v>244</v>
      </c>
      <c r="CB23" s="510" t="str">
        <f>IF(INDEX('Loan Tape - Settled'!$B$4:$AP$55,MATCH($A23,'Loan Tape - Settled'!$E$4:$E$55,0),MATCH("Loan Denomination",'Loan Tape - Settled'!$B$4:$AP$4,0))="CAD", "Yes", "No")</f>
        <v>No</v>
      </c>
      <c r="CC23" s="510" t="str">
        <f>INDEX('Loan Tape - Settled'!$B$4:$AP$55,MATCH($A23,'Loan Tape - Settled'!$E$4:$E$55,0),MATCH("Payment Frequency",'Loan Tape - Settled'!$B$4:$AP$4,0))</f>
        <v>M</v>
      </c>
      <c r="CD23" s="514" t="s">
        <v>244</v>
      </c>
      <c r="CE23" s="510">
        <f>INDEX('Loan Tape - Settled'!$B$4:$AP$55,MATCH($A23,'Loan Tape - Settled'!$E$4:$E$55,0),MATCH("S&amp;P Loan Rating (if applicable)",'Loan Tape - Settled'!$B$4:$AP$4,0))</f>
        <v>0</v>
      </c>
      <c r="CF23" s="510">
        <f>INDEX('Loan Tape - Settled'!$B$4:$AP$55,MATCH($A23,'Loan Tape - Settled'!$E$4:$E$55,0),MATCH("Moody's Loan Rating (if applicable)",'Loan Tape - Settled'!$B$4:$AP$4,0))</f>
        <v>0</v>
      </c>
      <c r="CG23" s="510"/>
      <c r="CH23" s="510"/>
      <c r="CI23" s="515"/>
      <c r="CJ23" s="508" t="str">
        <f>INDEX('Loan Tape - Settled'!$B$4:$BF$55,MATCH($A23,'Loan Tape - Settled'!$E$4:$E$55,0),MATCH("Last Financial Received",'Loan Tape - Settled'!$B$4:$BF$4,0))</f>
        <v>9/30/2025 or Latest Financing</v>
      </c>
      <c r="CK23" s="516">
        <f>INDEX('Loan Tape - Settled'!$B$4:$BJ$55,MATCH($A23,'Loan Tape - Settled'!$E$4:$E$55,0),MATCH("Initial Adjusted TTM EBITDA",'Loan Tape - Settled'!$B$4:$BJ$4,0))</f>
        <v>-5.3112339999999998</v>
      </c>
      <c r="CL23" s="516">
        <f>INDEX('Loan Tape - Settled'!$B$4:$BJ$55,MATCH($A23,'Loan Tape - Settled'!$E$4:$E$55,0),MATCH("Initial TTM Non-adjusted EBITDA",'Loan Tape - Settled'!$B$4:$BJ$4,0))</f>
        <v>-5.3112339999999998</v>
      </c>
      <c r="CM23" s="417"/>
      <c r="CN23" s="418"/>
      <c r="CO23" s="418"/>
      <c r="CP23" s="419"/>
      <c r="CQ23" s="420" t="s">
        <v>245</v>
      </c>
      <c r="CR23" s="419"/>
      <c r="CS23" s="421">
        <f t="shared" si="19"/>
        <v>-5.3112339999999998</v>
      </c>
      <c r="CT23" s="422">
        <f t="shared" si="20"/>
        <v>0</v>
      </c>
      <c r="CU23" s="516">
        <f>INDEX('Loan Tape - Settled'!$B$4:$BJ$55,MATCH($A23,'Loan Tape - Settled'!$E$4:$E$55,0),MATCH("Current TTM Non-adjusted EBITDA",'Loan Tape - Settled'!$B$4:$BJ$4,0))</f>
        <v>-1.3283728600000002</v>
      </c>
      <c r="CV23" s="423">
        <f t="shared" si="21"/>
        <v>0</v>
      </c>
      <c r="CW23" s="652" t="s">
        <v>245</v>
      </c>
      <c r="CX23" s="517"/>
      <c r="CY23" s="658">
        <f t="shared" si="22"/>
        <v>-1.3283728600000002</v>
      </c>
      <c r="CZ23" s="656"/>
      <c r="DA23" s="518"/>
      <c r="DB23" s="519"/>
      <c r="DC23" s="853"/>
      <c r="DD23" s="853" t="str">
        <f>INDEX('Loan Tape - Settled'!$B$4:$BJ$55,MATCH($A23,'Loan Tape - Settled'!$E$4:$E$55,0),MATCH("Initial Senior Net Leverage Senior",'Loan Tape - Settled'!$B$4:$BJ$4,0))</f>
        <v>N/A</v>
      </c>
      <c r="DE23" s="659" t="str">
        <f>INDEX('Loan Tape - Settled'!$B$4:$BJ$55,MATCH($A23,'Loan Tape - Settled'!$E$4:$E$55,0),MATCH("Initial Total Net Leverage",'Loan Tape - Settled'!$B$4:$BJ$4,0))</f>
        <v>N/A</v>
      </c>
      <c r="DF23" s="656"/>
      <c r="DG23" s="518"/>
      <c r="DH23" s="519"/>
      <c r="DI23" s="424" t="str">
        <f>INDEX('Loan Tape - Settled'!$B$4:$BJ$55,MATCH($A23,'Loan Tape - Settled'!$E$4:$E$55,0),MATCH("Net Attachment",'Loan Tape - Settled'!$B$4:$BJ$4,0))</f>
        <v>N/A</v>
      </c>
      <c r="DJ23" s="522" t="str">
        <f t="array" ref="DJ23">IF(AG23="Yes",INDEX(VAE!$M$5:$M$53,MATCH($B23&amp;$AJ23,VAE!$C$5:$C$53&amp;VAE!$G$5:$G$53,0)),DD23)</f>
        <v>N/A</v>
      </c>
      <c r="DK23" s="649" t="str">
        <f t="array" ref="DK23">IF(AG23="Yes",INDEX(VAE!$N$5:$N$53,MATCH($B23&amp;$AJ23,VAE!$C$5:$C$53&amp;VAE!$G$5:$G$53,0)),DE23)</f>
        <v>N/A</v>
      </c>
      <c r="DL23" s="651" t="str">
        <f>INDEX('Loan Tape - Settled'!$B$4:$BJ$55,MATCH($A23,'Loan Tape - Settled'!$E$4:$E$55,0),MATCH("Current Senior Net Leverage Senior",'Loan Tape - Settled'!$B$4:$BJ$4,0))</f>
        <v>N/M</v>
      </c>
      <c r="DM23" s="433" t="str">
        <f>INDEX('Loan Tape - Settled'!$B$4:$BJ$55,MATCH($A23,'Loan Tape - Settled'!$E$4:$E$55,0),MATCH("Current Total Net Leverage",'Loan Tape - Settled'!$B$4:$BJ$4,0))</f>
        <v>N/M</v>
      </c>
      <c r="DN23" s="425"/>
      <c r="DO23" s="426" t="str">
        <f>INDEX('Loan Tape - Settled'!$B$4:$BJ$55,MATCH($A23,'Loan Tape - Settled'!$E$4:$E$55,0),MATCH("Initial Interest Coverage",'Loan Tape - Settled'!$B$4:$BJ$4,0))</f>
        <v>N/A</v>
      </c>
      <c r="DP23" s="854" t="str">
        <f t="array" ref="DP23">IF(AG23="Yes",INDEX(VAE!$O$5:$O$53,MATCH($B23&amp;$AJ23,VAE!$C$5:$C$53&amp;VAE!$G$5:$G$53,0)),DO23)</f>
        <v>N/A</v>
      </c>
      <c r="DQ23" s="427">
        <f>INDEX('Loan Tape - Settled'!$B$4:$BJ$55,MATCH($A23,'Loan Tape - Settled'!$E$4:$E$55,0),MATCH("Current Interest Coverage",'Loan Tape - Settled'!$B$4:$BJ$4,0))</f>
        <v>0</v>
      </c>
      <c r="DR23" s="855" t="str">
        <f t="shared" si="23"/>
        <v>Yes</v>
      </c>
      <c r="DS23" s="428" t="str">
        <f>IF(AG23="Yes",DATEDIF(AJ23,Availability!$F$8,"m"),"")</f>
        <v/>
      </c>
      <c r="DT23" s="428" t="str">
        <f t="shared" si="24"/>
        <v>No</v>
      </c>
      <c r="DU23" s="647" t="str">
        <f t="shared" si="25"/>
        <v>N/A</v>
      </c>
      <c r="DV23" s="648" t="str">
        <f t="shared" si="26"/>
        <v>N/A</v>
      </c>
      <c r="DW23" s="648" t="str">
        <f t="array" ref="DW23">_xlfn.IFS(D23&lt;&gt;"Second Lien","No",D23="Second Lien",IF(AND((DM23-DK23)&gt;0.5,DM23&gt;4.5),"Yes","No"))</f>
        <v>No</v>
      </c>
      <c r="DX23" s="685" t="s">
        <v>244</v>
      </c>
      <c r="DY23" s="685" t="s">
        <v>244</v>
      </c>
      <c r="DZ23" s="686" t="s">
        <v>244</v>
      </c>
      <c r="EA23" s="686" t="s">
        <v>244</v>
      </c>
      <c r="EB23" s="686" t="s">
        <v>244</v>
      </c>
      <c r="EC23" s="686" t="s">
        <v>244</v>
      </c>
      <c r="ED23" s="686" t="s">
        <v>244</v>
      </c>
      <c r="EE23" s="686" t="s">
        <v>244</v>
      </c>
      <c r="EF23" s="409" t="str">
        <f t="shared" si="27"/>
        <v>No</v>
      </c>
      <c r="EG23" s="686" t="s">
        <v>244</v>
      </c>
      <c r="EH23" s="691" t="s">
        <v>244</v>
      </c>
      <c r="EI23" s="856" t="str">
        <f t="array" ref="EI23">IF(D23="First Lien",_xlfn.IFS(CY23&gt;AGENT!$B$23, "&gt; $20MM",CY23&lt;=AGENT!$C$25, "&lt;= $10MM",AND(CY23&lt;=AGENT!$C$24,CY23&gt;AGENT!$B$24),"&lt;= $20MM"), "N/A")</f>
        <v>&lt;= $10MM</v>
      </c>
      <c r="EJ23" s="856" t="str">
        <f t="array" ref="EJ23">IF(D23="FILO",_xlfn.IFS(DI23&gt;AGENT!$B$29, "&gt; 1.25x",DI23&lt;AGENT!$C$27, "&lt; 0.75x",AND(DI23&lt;=AGENT!$C$28,DI23&gt;=AGENT!$B$28),"&lt;= 1.25x"), "N/A")</f>
        <v>N/A</v>
      </c>
      <c r="EK23" s="429">
        <f t="shared" si="28"/>
        <v>0</v>
      </c>
      <c r="EL23" s="429">
        <f>'Concentration Limits'!$J$49</f>
        <v>49599340.729726665</v>
      </c>
      <c r="EM23" s="429" t="str">
        <f>IF(OR(D23="Second Lien",AND(D23="FILO",DI23&gt;AGENT!$C$57)), "Yes", "No")</f>
        <v>No</v>
      </c>
      <c r="EN23" s="429">
        <f t="shared" si="29"/>
        <v>0</v>
      </c>
      <c r="EO23" s="429">
        <f t="shared" si="30"/>
        <v>0</v>
      </c>
      <c r="EP23" s="429">
        <f t="shared" si="31"/>
        <v>0</v>
      </c>
      <c r="EQ23" s="429">
        <f>'Concentration Limits'!$J$50</f>
        <v>24799670.364863332</v>
      </c>
      <c r="ER23" s="429">
        <f t="shared" si="32"/>
        <v>0</v>
      </c>
      <c r="ES23" s="429">
        <f t="shared" si="84"/>
        <v>0</v>
      </c>
      <c r="ET23" s="429">
        <f t="shared" si="33"/>
        <v>0</v>
      </c>
      <c r="EU23" s="429">
        <f>'Concentration Limits'!$J$51</f>
        <v>74399011.094589993</v>
      </c>
      <c r="EV23" s="429" t="str">
        <f>IF(OR(D23="Second Lien", AND(D23="FILO",DI23&gt;AGENT!$C$59)), "Yes", "No")</f>
        <v>No</v>
      </c>
      <c r="EW23" s="429">
        <f t="shared" si="34"/>
        <v>0</v>
      </c>
      <c r="EX23" s="429">
        <f t="shared" si="35"/>
        <v>0</v>
      </c>
      <c r="EY23" s="429">
        <f t="shared" si="36"/>
        <v>0</v>
      </c>
      <c r="EZ23" s="429">
        <f>'Concentration Limits'!$J$52</f>
        <v>37199505.547294997</v>
      </c>
      <c r="FA23" s="429" t="str">
        <f>IF(CY23&gt;'Concentration Limits'!$E$52, "No", "Yes")</f>
        <v>Yes</v>
      </c>
      <c r="FB23" s="429">
        <f t="shared" si="37"/>
        <v>0</v>
      </c>
      <c r="FC23" s="429">
        <f t="shared" si="38"/>
        <v>0</v>
      </c>
      <c r="FD23" s="429">
        <f t="shared" si="39"/>
        <v>0</v>
      </c>
      <c r="FE23" s="430">
        <f>'Concentration Limits'!$J$54</f>
        <v>247996703.6486333</v>
      </c>
      <c r="FF23" s="430">
        <f>'Concentration Limits'!$J$55</f>
        <v>247996703.6486333</v>
      </c>
      <c r="FG23" s="430">
        <f>'Concentration Limits'!$J$56</f>
        <v>247996703.6486333</v>
      </c>
      <c r="FH23" s="431">
        <f>'Concentration Limits'!$J$57</f>
        <v>18599752.773647498</v>
      </c>
      <c r="FI23" s="431">
        <f t="shared" si="40"/>
        <v>0</v>
      </c>
      <c r="FJ23" s="431">
        <f t="shared" si="41"/>
        <v>0</v>
      </c>
      <c r="FK23" s="431">
        <f t="shared" si="42"/>
        <v>0</v>
      </c>
      <c r="FL23" s="431">
        <f>IF(FJ23&gt;0,RANK(FJ23,$FJ$9:$FJ$60)+COUNTIF($FJ$9:FJ23,FJ23)-1,0)</f>
        <v>0</v>
      </c>
      <c r="FM23" s="430">
        <f t="shared" si="43"/>
        <v>0</v>
      </c>
      <c r="FN23" s="430">
        <f t="shared" si="44"/>
        <v>0</v>
      </c>
      <c r="FO23" s="430">
        <f t="shared" si="45"/>
        <v>0</v>
      </c>
      <c r="FP23" s="431">
        <f t="shared" si="46"/>
        <v>0</v>
      </c>
      <c r="FQ23" s="431">
        <f t="shared" si="47"/>
        <v>0</v>
      </c>
      <c r="FR23" s="431">
        <f>'Concentration Limits'!$J$58</f>
        <v>49599340.729726665</v>
      </c>
      <c r="FS23" s="431">
        <f t="shared" si="48"/>
        <v>11328458.381135054</v>
      </c>
      <c r="FT23" s="431">
        <f>VLOOKUP(BR23,'Concentration Limits'!$E$81:$H$153,4,FALSE)</f>
        <v>11</v>
      </c>
      <c r="FU23" s="431">
        <f t="shared" si="49"/>
        <v>0</v>
      </c>
      <c r="FV23" s="431">
        <f t="shared" si="50"/>
        <v>0</v>
      </c>
      <c r="FW23" s="431">
        <f>'Concentration Limits'!$J$59</f>
        <v>37199505.547294997</v>
      </c>
      <c r="FX23" s="431">
        <f t="shared" si="51"/>
        <v>11328458.381135054</v>
      </c>
      <c r="FY23" s="431">
        <f>VLOOKUP(BR23,'Concentration Limits'!$E$81:$H$153,4,FALSE)</f>
        <v>11</v>
      </c>
      <c r="FZ23" s="431">
        <f t="shared" si="52"/>
        <v>0</v>
      </c>
      <c r="GA23" s="431">
        <f t="shared" si="53"/>
        <v>0</v>
      </c>
      <c r="GB23" s="431">
        <f>'Concentration Limits'!$J$61</f>
        <v>24799670.364863332</v>
      </c>
      <c r="GC23" s="431">
        <f t="shared" si="54"/>
        <v>11328458.381135054</v>
      </c>
      <c r="GD23" s="429">
        <f>VLOOKUP(BR23,'Concentration Limits'!$E$81:$H$153,4,FALSE)</f>
        <v>11</v>
      </c>
      <c r="GE23" s="431">
        <f t="shared" si="55"/>
        <v>0</v>
      </c>
      <c r="GF23" s="431">
        <f t="shared" si="56"/>
        <v>0</v>
      </c>
      <c r="GG23" s="431">
        <f>'Concentration Limits'!$J$64</f>
        <v>24799670.364863332</v>
      </c>
      <c r="GH23" s="431">
        <f t="shared" si="57"/>
        <v>0</v>
      </c>
      <c r="GI23" s="431">
        <f t="shared" si="58"/>
        <v>0</v>
      </c>
      <c r="GJ23" s="431">
        <f t="shared" si="59"/>
        <v>0</v>
      </c>
      <c r="GK23" s="431">
        <f>'Concentration Limits'!$J$67</f>
        <v>24799670.364863332</v>
      </c>
      <c r="GL23" s="429" t="str">
        <f t="shared" si="60"/>
        <v>No</v>
      </c>
      <c r="GM23" s="431">
        <f t="shared" si="61"/>
        <v>0</v>
      </c>
      <c r="GN23" s="431">
        <f t="shared" si="62"/>
        <v>0</v>
      </c>
      <c r="GO23" s="431">
        <f t="shared" si="63"/>
        <v>0</v>
      </c>
      <c r="GP23" s="431">
        <f>'Concentration Limits'!$J$68</f>
        <v>37199505.547294997</v>
      </c>
      <c r="GQ23" s="429" t="str">
        <f t="shared" si="64"/>
        <v>No</v>
      </c>
      <c r="GR23" s="431">
        <f t="shared" si="65"/>
        <v>0</v>
      </c>
      <c r="GS23" s="431">
        <f t="shared" si="66"/>
        <v>0</v>
      </c>
      <c r="GT23" s="431">
        <f t="shared" si="67"/>
        <v>0</v>
      </c>
      <c r="GU23" s="429">
        <f>'Concentration Limits'!$J$69</f>
        <v>37199505.547294997</v>
      </c>
      <c r="GV23" s="429" t="str">
        <f t="shared" si="68"/>
        <v>No</v>
      </c>
      <c r="GW23" s="429">
        <f t="shared" si="69"/>
        <v>0</v>
      </c>
      <c r="GX23" s="429">
        <f t="shared" si="70"/>
        <v>0</v>
      </c>
      <c r="GY23" s="429">
        <f t="shared" si="71"/>
        <v>0</v>
      </c>
      <c r="GZ23" s="429">
        <f>'Concentration Limits'!$J$70</f>
        <v>24799670.364863332</v>
      </c>
      <c r="HA23" s="429" t="str">
        <f t="shared" si="72"/>
        <v>No</v>
      </c>
      <c r="HB23" s="429">
        <f t="shared" si="73"/>
        <v>0</v>
      </c>
      <c r="HC23" s="429">
        <f t="shared" si="74"/>
        <v>0</v>
      </c>
      <c r="HD23" s="429">
        <f t="shared" si="75"/>
        <v>0</v>
      </c>
      <c r="HE23" s="431">
        <f t="shared" si="76"/>
        <v>0</v>
      </c>
      <c r="HF23" s="431">
        <f t="shared" si="77"/>
        <v>0</v>
      </c>
      <c r="HG23" s="431">
        <f t="shared" si="78"/>
        <v>0</v>
      </c>
      <c r="HH23" s="431">
        <f t="shared" si="79"/>
        <v>0</v>
      </c>
      <c r="HI23" s="431">
        <f>IF(BE23=0,0,#REF!*BE23/(BE23+BG23))</f>
        <v>0</v>
      </c>
      <c r="HJ23" s="431">
        <f>IF(BG23=0,0,#REF!*BG23/(BG23+BE23))</f>
        <v>0</v>
      </c>
      <c r="HK23" s="857">
        <f>IF(BF23=0,0,#REF!*BF23/(BF23+BH23))</f>
        <v>0</v>
      </c>
      <c r="HL23" s="431">
        <f>IF(BH23=0,0,#REF!*BH23/(BH23+BF23))</f>
        <v>0</v>
      </c>
      <c r="HM23" s="431">
        <f t="shared" si="80"/>
        <v>0</v>
      </c>
      <c r="HN23" s="431" t="b">
        <f t="shared" si="81"/>
        <v>1</v>
      </c>
    </row>
    <row r="24" spans="1:222" s="432" customFormat="1" ht="12.75" customHeight="1" x14ac:dyDescent="0.35">
      <c r="A24" s="49">
        <f t="shared" si="82"/>
        <v>16</v>
      </c>
      <c r="B24" s="404" t="str">
        <f>INDEX('Loan Tape - Settled'!$B$4:$AP$55,MATCH($A24,'Loan Tape - Settled'!$E$4:$E$55,0),MATCH("Obligor Name",'Loan Tape - Settled'!$B$4:$AM$4,0))</f>
        <v>LaSalle Network</v>
      </c>
      <c r="C24" s="404" t="str">
        <f>INDEX('Loan Tape - Settled'!$B$4:$AP$55,MATCH($A24,'Loan Tape - Settled'!$E$4:$E$55,0),MATCH("Security",'Loan Tape - Settled'!$B$4:$AM$4,0))</f>
        <v>FILO</v>
      </c>
      <c r="D24" s="405" t="str">
        <f>INDEX('Loan Tape - Settled'!$B$4:$AP$55,MATCH($A24,'Loan Tape - Settled'!$E$4:$E$55,0),MATCH("Loan Type",'Loan Tape - Settled'!$B$4:$AM$4,0))</f>
        <v>FILO</v>
      </c>
      <c r="E24" s="406" t="b">
        <f>IF(ISERROR(MATCH(D24,AGENT!$A$4:$A$10,0))=FALSE, TRUE)</f>
        <v>1</v>
      </c>
      <c r="F24" s="406" t="b">
        <f t="shared" si="0"/>
        <v>1</v>
      </c>
      <c r="G24" s="406" t="b">
        <f>IF(D24&lt;&gt;"Second Lien",TRUE, IF(CY24&gt;=AGENT!$B$4,TRUE))</f>
        <v>1</v>
      </c>
      <c r="H24" s="406" t="b">
        <f>IF(DE24&lt;=AGENT!$D$4,TRUE)</f>
        <v>1</v>
      </c>
      <c r="I24" s="406" t="b">
        <f>IF(VLOOKUP(CONCATENATE($A$5,A24),'Loan Tape - Settled'!$A$5:$Q$55,17,FALSE)&gt;=AGENT!$E$4,TRUE)</f>
        <v>1</v>
      </c>
      <c r="J24" s="406" t="b">
        <f>IF(INDEX('Loan Tape - Settled'!$B$4:$AP$55,MATCH($A24,'Loan Tape - Settled'!$E$4:$E$55,0),MATCH("Loan Denomination",'Loan Tape - Settled'!$B$4:$AP$4,0))="USD", TRUE)</f>
        <v>1</v>
      </c>
      <c r="K24" s="406" t="b">
        <f>IF(INDEX('Loan Tape - Settled'!$B$4:$AP$55,MATCH($A24,'Loan Tape - Settled'!$E$4:$E$55,0),MATCH("Exposure Country",'Loan Tape - Settled'!$B$4:$AP$4,0))="United States", TRUE)</f>
        <v>1</v>
      </c>
      <c r="L24" s="406" t="b">
        <f t="shared" si="1"/>
        <v>1</v>
      </c>
      <c r="M24" s="406" t="b">
        <f>IF(((BM24-BL24)/365)&lt;=AGENT!$F$4,TRUE)</f>
        <v>1</v>
      </c>
      <c r="N24" s="406" t="b">
        <f t="shared" si="2"/>
        <v>1</v>
      </c>
      <c r="O24" s="453"/>
      <c r="P24" s="680" t="str">
        <f t="shared" si="3"/>
        <v>Yes</v>
      </c>
      <c r="Q24" s="680" t="s">
        <v>243</v>
      </c>
      <c r="R24" s="407" t="str">
        <f t="shared" si="4"/>
        <v>LaSalle Network</v>
      </c>
      <c r="S24" s="407"/>
      <c r="T24" s="408" t="str">
        <f t="array" ref="T24">_xlfn.IFS(D24="Second Lien",D24,D24="First Lien",CONCATENATE(D24," ",EI24),D24="FILO",CONCATENATE(D24," ",EJ24))</f>
        <v>FILO &lt; 0.75x</v>
      </c>
      <c r="U24" s="409">
        <f>VLOOKUP(T24,'Concentration Limits'!D:G,4,FALSE)</f>
        <v>0.625</v>
      </c>
      <c r="V24" s="410">
        <f t="shared" si="5"/>
        <v>7092905.0201692414</v>
      </c>
      <c r="W24" s="448">
        <f>(SUMIFS('Loan Tape - Settled'!$AR$4:$AR$55,'Loan Tape - Settled'!$E$4:$E$55,$A24,'Loan Tape - Settled'!$C$4:$C$55,$A$5))</f>
        <v>7175785.3408561293</v>
      </c>
      <c r="X24" s="449">
        <v>1</v>
      </c>
      <c r="Y24" s="411">
        <f t="shared" si="6"/>
        <v>7175785.3408561293</v>
      </c>
      <c r="Z24" s="449">
        <f>(SUMIFS('Loan Tape - Settled'!$AQ$4:$AQ$55,'Loan Tape - Settled'!$E$4:$E$55,$A24,'Loan Tape - Settled'!$C$4:$C$55,$A$5))</f>
        <v>7175785.3408561293</v>
      </c>
      <c r="AA24" s="411">
        <f t="shared" si="7"/>
        <v>7175785.3408561293</v>
      </c>
      <c r="AB24" s="411">
        <f t="shared" si="8"/>
        <v>0</v>
      </c>
      <c r="AC24" s="450">
        <f>VLOOKUP(CONCATENATE($A$5,A24),'Loan Tape - Settled'!$A$5:$Q$55,17,FALSE)</f>
        <v>1</v>
      </c>
      <c r="AD24" s="412"/>
      <c r="AE24" s="413">
        <f>INDEX('Loan Tape - Settled'!$B$4:$AP$55,MATCH($A24,'Loan Tape - Settled'!$E$4:$E$55,0),MATCH("FMV",'Loan Tape - Settled'!$B$4:$AM$4,0))</f>
        <v>0.98845000000000005</v>
      </c>
      <c r="AF24" s="413">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1</v>
      </c>
      <c r="AG24" s="414" t="str">
        <f>IF(COUNTIFS(VAE!$C$5:$C$96,B24,VAE!$G$5:$G$96,"&lt;="&amp;Availability!$F$8)&gt;=1,"Yes","-")</f>
        <v>-</v>
      </c>
      <c r="AH24" s="414" t="str">
        <f t="array" ref="AH24">IFERROR(IF(AG24="Yes",INDEX(VAE!$D$5:$D$96,MATCH(B24&amp;AJ24,VAE!$C$5:$C$96&amp;VAE!$G$5:$G$96,0)),"-"),0)</f>
        <v>-</v>
      </c>
      <c r="AI24" s="414" t="str">
        <f t="array" ref="AI24">IFERROR(IF(AG24="Yes",INDEX(VAE!$F$5:$F$96,MATCH(B24&amp;AJ24,VAE!$C$5:$C$96&amp;VAE!$G$5:$G$96,0)),"-"),0)</f>
        <v>-</v>
      </c>
      <c r="AJ24" s="415" t="str">
        <f>IF(AG24="-","-",_xlfn.MAXIFS(VAE!$G$5:$G$96,VAE!$C$5:$C$96,$B24))</f>
        <v>-</v>
      </c>
      <c r="AK24" s="416" t="str">
        <f t="array" ref="AK24">IFERROR(IF(AG24="Yes",INDEX(VAE!$P$5:$P$96,MATCH(B24&amp;AJ24,VAE!$C$5:$C$96&amp;VAE!$G$5:$G$96,0)),"-"),0)</f>
        <v>-</v>
      </c>
      <c r="AL24" s="413">
        <f t="shared" si="9"/>
        <v>0.98845000000000005</v>
      </c>
      <c r="AM24" s="410"/>
      <c r="AN24" s="410"/>
      <c r="AO24" s="410">
        <f t="shared" si="10"/>
        <v>0</v>
      </c>
      <c r="AP24" s="410">
        <f t="shared" si="11"/>
        <v>0</v>
      </c>
      <c r="AQ24" s="410">
        <f t="shared" si="83"/>
        <v>0</v>
      </c>
      <c r="AR24" s="410"/>
      <c r="AS24" s="410"/>
      <c r="AT24" s="410"/>
      <c r="AU24" s="410">
        <f t="shared" si="12"/>
        <v>7175785.3408561293</v>
      </c>
      <c r="AV24" s="410">
        <f t="shared" si="13"/>
        <v>0</v>
      </c>
      <c r="AW24" s="410">
        <f t="shared" si="14"/>
        <v>7092905.0201692414</v>
      </c>
      <c r="AX24" s="410"/>
      <c r="AY24" s="410"/>
      <c r="AZ24" s="410"/>
      <c r="BA24" s="410">
        <f t="shared" si="15"/>
        <v>0</v>
      </c>
      <c r="BB24" s="410"/>
      <c r="BC24" s="410"/>
      <c r="BD24" s="410">
        <f t="shared" si="16"/>
        <v>0</v>
      </c>
      <c r="BE24" s="410"/>
      <c r="BF24" s="410"/>
      <c r="BG24" s="410"/>
      <c r="BH24" s="410"/>
      <c r="BI24" s="410">
        <f t="shared" si="17"/>
        <v>0</v>
      </c>
      <c r="BJ24" s="410" t="b">
        <f t="shared" si="18"/>
        <v>1</v>
      </c>
      <c r="BK24" s="509">
        <f>INDEX('Loan Tape - Settled'!$B$4:$AP$55,MATCH($A24,'Loan Tape - Settled'!$E$4:$E$55,0),MATCH("Inception Date",'Loan Tape - Settled'!$B$4:$AP$4,0))</f>
        <v>44603</v>
      </c>
      <c r="BL24" s="509">
        <f>INDEX('Loan Tape - Settled'!$B$4:$AP$55,MATCH($A24,'Loan Tape - Settled'!$E$4:$E$55,0),MATCH("Inclusion Date",'Loan Tape - Settled'!$B$4:$AP$4,0))</f>
        <v>44603</v>
      </c>
      <c r="BM24" s="509">
        <f>INDEX('Loan Tape - Settled'!$B$4:$AP$55,MATCH($A24,'Loan Tape - Settled'!$E$4:$E$55,0),MATCH("Maturity Date",'Loan Tape - Settled'!$B$4:$AP$4,0))</f>
        <v>46433</v>
      </c>
      <c r="BN24" s="510"/>
      <c r="BO24" s="510"/>
      <c r="BP24" s="511"/>
      <c r="BQ24" s="510"/>
      <c r="BR24" s="512" t="str">
        <f>INDEX('Loan Tape - Settled'!$B$4:$AP$55,MATCH($A24,'Loan Tape - Settled'!$E$4:$E$55,0),MATCH("Industry Classification",'Loan Tape - Settled'!$B$4:$AP$4,0))</f>
        <v>Professional Services</v>
      </c>
      <c r="BS24" s="510" t="str">
        <f>IF(INDEX('Loan Tape - Settled'!$B$4:$AP$55,MATCH($A24,'Loan Tape - Settled'!$E$4:$E$55,0),MATCH("Covenant Lite",'Loan Tape - Settled'!$B$4:$AP$4,0))=-1, "Yes", "No")</f>
        <v>No</v>
      </c>
      <c r="BT24" s="513">
        <f>INDEX('Loan Tape - Settled'!$B$4:$AP$55,MATCH($A24,'Loan Tape - Settled'!$E$4:$E$55,0),MATCH("Spread / Coupon (%)",'Loan Tape - Settled'!$B$4:$AP$4,0))</f>
        <v>7.1144799999999994E-2</v>
      </c>
      <c r="BU24" s="510" t="str">
        <f>IF(INDEX('Loan Tape - Settled'!$B$4:$AP$55,MATCH($A24,'Loan Tape - Settled'!$E$4:$E$55,0),MATCH("Security Type",'Loan Tape - Settled'!$B$4:$AP$4,0))="Delayed Draw Term Loan", "Yes", "No")</f>
        <v>No</v>
      </c>
      <c r="BV24" s="514" t="s">
        <v>244</v>
      </c>
      <c r="BW24" s="514" t="s">
        <v>244</v>
      </c>
      <c r="BX24" s="506" t="s">
        <v>244</v>
      </c>
      <c r="BY24" s="510" t="str">
        <f>IF(INDEX('Loan Tape - Settled'!$B$4:$AP$55,MATCH($A24,'Loan Tape - Settled'!$E$4:$E$55,0),MATCH("Fixed/Floating",'Loan Tape - Settled'!$B$4:$AP$4,0))="Fixed", "Yes", "No")</f>
        <v>No</v>
      </c>
      <c r="BZ24" s="514" t="s">
        <v>244</v>
      </c>
      <c r="CA24" s="514" t="s">
        <v>244</v>
      </c>
      <c r="CB24" s="510" t="str">
        <f>IF(INDEX('Loan Tape - Settled'!$B$4:$AP$55,MATCH($A24,'Loan Tape - Settled'!$E$4:$E$55,0),MATCH("Loan Denomination",'Loan Tape - Settled'!$B$4:$AP$4,0))="CAD", "Yes", "No")</f>
        <v>No</v>
      </c>
      <c r="CC24" s="510" t="str">
        <f>INDEX('Loan Tape - Settled'!$B$4:$AP$55,MATCH($A24,'Loan Tape - Settled'!$E$4:$E$55,0),MATCH("Payment Frequency",'Loan Tape - Settled'!$B$4:$AP$4,0))</f>
        <v>M</v>
      </c>
      <c r="CD24" s="514" t="s">
        <v>244</v>
      </c>
      <c r="CE24" s="510">
        <f>INDEX('Loan Tape - Settled'!$B$4:$AP$55,MATCH($A24,'Loan Tape - Settled'!$E$4:$E$55,0),MATCH("S&amp;P Loan Rating (if applicable)",'Loan Tape - Settled'!$B$4:$AP$4,0))</f>
        <v>0</v>
      </c>
      <c r="CF24" s="510">
        <f>INDEX('Loan Tape - Settled'!$B$4:$AP$55,MATCH($A24,'Loan Tape - Settled'!$E$4:$E$55,0),MATCH("Moody's Loan Rating (if applicable)",'Loan Tape - Settled'!$B$4:$AP$4,0))</f>
        <v>0</v>
      </c>
      <c r="CG24" s="510"/>
      <c r="CH24" s="510"/>
      <c r="CI24" s="515"/>
      <c r="CJ24" s="508" t="str">
        <f>INDEX('Loan Tape - Settled'!$B$4:$BF$55,MATCH($A24,'Loan Tape - Settled'!$E$4:$E$55,0),MATCH("Last Financial Received",'Loan Tape - Settled'!$B$4:$BF$4,0))</f>
        <v>9/30/2025 or Latest Financing</v>
      </c>
      <c r="CK24" s="516">
        <f>INDEX('Loan Tape - Settled'!$B$4:$BJ$55,MATCH($A24,'Loan Tape - Settled'!$E$4:$E$55,0),MATCH("Initial Adjusted TTM EBITDA",'Loan Tape - Settled'!$B$4:$BJ$4,0))</f>
        <v>14.084</v>
      </c>
      <c r="CL24" s="516">
        <f>INDEX('Loan Tape - Settled'!$B$4:$BJ$55,MATCH($A24,'Loan Tape - Settled'!$E$4:$E$55,0),MATCH("Initial TTM Non-adjusted EBITDA",'Loan Tape - Settled'!$B$4:$BJ$4,0))</f>
        <v>14.084</v>
      </c>
      <c r="CM24" s="417"/>
      <c r="CN24" s="418"/>
      <c r="CO24" s="418"/>
      <c r="CP24" s="419"/>
      <c r="CQ24" s="420" t="s">
        <v>245</v>
      </c>
      <c r="CR24" s="419"/>
      <c r="CS24" s="421">
        <f t="shared" si="19"/>
        <v>14.084</v>
      </c>
      <c r="CT24" s="422">
        <f t="shared" si="20"/>
        <v>0</v>
      </c>
      <c r="CU24" s="516">
        <f>INDEX('Loan Tape - Settled'!$B$4:$BJ$55,MATCH($A24,'Loan Tape - Settled'!$E$4:$E$55,0),MATCH("Current TTM Non-adjusted EBITDA",'Loan Tape - Settled'!$B$4:$BJ$4,0))</f>
        <v>12.4029601</v>
      </c>
      <c r="CV24" s="423">
        <f t="shared" si="21"/>
        <v>0</v>
      </c>
      <c r="CW24" s="652" t="s">
        <v>245</v>
      </c>
      <c r="CX24" s="517"/>
      <c r="CY24" s="658">
        <f t="shared" si="22"/>
        <v>12.4029601</v>
      </c>
      <c r="CZ24" s="656"/>
      <c r="DA24" s="518"/>
      <c r="DB24" s="519"/>
      <c r="DC24" s="853"/>
      <c r="DD24" s="853">
        <f>INDEX('Loan Tape - Settled'!$B$4:$BJ$55,MATCH($A24,'Loan Tape - Settled'!$E$4:$E$55,0),MATCH("Initial Senior Net Leverage Senior",'Loan Tape - Settled'!$B$4:$BJ$4,0))</f>
        <v>3.1951150241408688</v>
      </c>
      <c r="DE24" s="659">
        <f>INDEX('Loan Tape - Settled'!$B$4:$BJ$55,MATCH($A24,'Loan Tape - Settled'!$E$4:$E$55,0),MATCH("Initial Total Net Leverage",'Loan Tape - Settled'!$B$4:$BJ$4,0))</f>
        <v>3.1951150241408688</v>
      </c>
      <c r="DF24" s="656"/>
      <c r="DG24" s="518"/>
      <c r="DH24" s="519"/>
      <c r="DI24" s="424">
        <f>INDEX('Loan Tape - Settled'!$B$4:$BJ$55,MATCH($A24,'Loan Tape - Settled'!$E$4:$E$55,0),MATCH("Net Attachment",'Loan Tape - Settled'!$B$4:$BJ$4,0))</f>
        <v>0.30790028860042051</v>
      </c>
      <c r="DJ24" s="522">
        <f t="array" ref="DJ24">IF(AG24="Yes",INDEX(VAE!$M$5:$M$53,MATCH($B24&amp;$AJ24,VAE!$C$5:$C$53&amp;VAE!$G$5:$G$53,0)),DD24)</f>
        <v>3.1951150241408688</v>
      </c>
      <c r="DK24" s="649">
        <f t="array" ref="DK24">IF(AG24="Yes",INDEX(VAE!$N$5:$N$53,MATCH($B24&amp;$AJ24,VAE!$C$5:$C$53&amp;VAE!$G$5:$G$53,0)),DE24)</f>
        <v>3.1951150241408688</v>
      </c>
      <c r="DL24" s="651">
        <f>INDEX('Loan Tape - Settled'!$B$4:$BJ$55,MATCH($A24,'Loan Tape - Settled'!$E$4:$E$55,0),MATCH("Current Senior Net Leverage Senior",'Loan Tape - Settled'!$B$4:$BJ$4,0))</f>
        <v>2.4774787473919231</v>
      </c>
      <c r="DM24" s="433">
        <f>INDEX('Loan Tape - Settled'!$B$4:$BJ$55,MATCH($A24,'Loan Tape - Settled'!$E$4:$E$55,0),MATCH("Current Total Net Leverage",'Loan Tape - Settled'!$B$4:$BJ$4,0))</f>
        <v>2.4774787473919231</v>
      </c>
      <c r="DN24" s="425"/>
      <c r="DO24" s="426">
        <f>INDEX('Loan Tape - Settled'!$B$4:$BJ$55,MATCH($A24,'Loan Tape - Settled'!$E$4:$E$55,0),MATCH("Initial Interest Coverage",'Loan Tape - Settled'!$B$4:$BJ$4,0))</f>
        <v>4.07</v>
      </c>
      <c r="DP24" s="854">
        <f t="array" ref="DP24">IF(AG24="Yes",INDEX(VAE!$O$5:$O$53,MATCH($B24&amp;$AJ24,VAE!$C$5:$C$53&amp;VAE!$G$5:$G$53,0)),DO24)</f>
        <v>4.07</v>
      </c>
      <c r="DQ24" s="427">
        <f>INDEX('Loan Tape - Settled'!$B$4:$BJ$55,MATCH($A24,'Loan Tape - Settled'!$E$4:$E$55,0),MATCH("Current Interest Coverage",'Loan Tape - Settled'!$B$4:$BJ$4,0))</f>
        <v>1.95</v>
      </c>
      <c r="DR24" s="855" t="str">
        <f t="shared" si="23"/>
        <v>No</v>
      </c>
      <c r="DS24" s="428" t="str">
        <f>IF(AG24="Yes",DATEDIF(AJ24,Availability!$F$8,"m"),"")</f>
        <v/>
      </c>
      <c r="DT24" s="428" t="str">
        <f t="shared" si="24"/>
        <v>No</v>
      </c>
      <c r="DU24" s="647" t="str">
        <f t="shared" si="25"/>
        <v>No</v>
      </c>
      <c r="DV24" s="648" t="str">
        <f t="shared" si="26"/>
        <v>No</v>
      </c>
      <c r="DW24" s="648" t="str">
        <f t="array" ref="DW24">_xlfn.IFS(D24&lt;&gt;"Second Lien","No",D24="Second Lien",IF(AND((DM24-DK24)&gt;0.5,DM24&gt;4.5),"Yes","No"))</f>
        <v>No</v>
      </c>
      <c r="DX24" s="685" t="s">
        <v>244</v>
      </c>
      <c r="DY24" s="685" t="s">
        <v>244</v>
      </c>
      <c r="DZ24" s="686" t="s">
        <v>244</v>
      </c>
      <c r="EA24" s="686" t="s">
        <v>244</v>
      </c>
      <c r="EB24" s="686" t="s">
        <v>244</v>
      </c>
      <c r="EC24" s="686" t="s">
        <v>244</v>
      </c>
      <c r="ED24" s="686" t="s">
        <v>244</v>
      </c>
      <c r="EE24" s="686" t="s">
        <v>244</v>
      </c>
      <c r="EF24" s="409" t="str">
        <f t="shared" si="27"/>
        <v>No</v>
      </c>
      <c r="EG24" s="686" t="s">
        <v>244</v>
      </c>
      <c r="EH24" s="691" t="s">
        <v>244</v>
      </c>
      <c r="EI24" s="856" t="str">
        <f t="array" ref="EI24">IF(D24="First Lien",_xlfn.IFS(CY24&gt;AGENT!$B$23, "&gt; $20MM",CY24&lt;=AGENT!$C$25, "&lt;= $10MM",AND(CY24&lt;=AGENT!$C$24,CY24&gt;AGENT!$B$24),"&lt;= $20MM"), "N/A")</f>
        <v>N/A</v>
      </c>
      <c r="EJ24" s="856" t="str">
        <f t="array" ref="EJ24">IF(D24="FILO",_xlfn.IFS(DI24&gt;AGENT!$B$29, "&gt; 1.25x",DI24&lt;AGENT!$C$27, "&lt; 0.75x",AND(DI24&lt;=AGENT!$C$28,DI24&gt;=AGENT!$B$28),"&lt;= 1.25x"), "N/A")</f>
        <v>&lt; 0.75x</v>
      </c>
      <c r="EK24" s="429">
        <f t="shared" si="28"/>
        <v>7092905.0201692414</v>
      </c>
      <c r="EL24" s="429">
        <f>'Concentration Limits'!$J$49</f>
        <v>49599340.729726665</v>
      </c>
      <c r="EM24" s="429" t="str">
        <f>IF(OR(D24="Second Lien",AND(D24="FILO",DI24&gt;AGENT!$C$57)), "Yes", "No")</f>
        <v>No</v>
      </c>
      <c r="EN24" s="429">
        <f t="shared" si="29"/>
        <v>0</v>
      </c>
      <c r="EO24" s="429">
        <f t="shared" si="30"/>
        <v>0</v>
      </c>
      <c r="EP24" s="429">
        <f t="shared" si="31"/>
        <v>7092905.0201692414</v>
      </c>
      <c r="EQ24" s="429">
        <f>'Concentration Limits'!$J$50</f>
        <v>24799670.364863332</v>
      </c>
      <c r="ER24" s="429">
        <f t="shared" si="32"/>
        <v>0</v>
      </c>
      <c r="ES24" s="429">
        <f t="shared" si="84"/>
        <v>0</v>
      </c>
      <c r="ET24" s="429">
        <f t="shared" si="33"/>
        <v>7092905.0201692414</v>
      </c>
      <c r="EU24" s="429">
        <f>'Concentration Limits'!$J$51</f>
        <v>74399011.094589993</v>
      </c>
      <c r="EV24" s="429" t="str">
        <f>IF(OR(D24="Second Lien", AND(D24="FILO",DI24&gt;AGENT!$C$59)), "Yes", "No")</f>
        <v>No</v>
      </c>
      <c r="EW24" s="429">
        <f t="shared" si="34"/>
        <v>0</v>
      </c>
      <c r="EX24" s="429">
        <f t="shared" si="35"/>
        <v>0</v>
      </c>
      <c r="EY24" s="429">
        <f t="shared" si="36"/>
        <v>7092905.0201692414</v>
      </c>
      <c r="EZ24" s="429">
        <f>'Concentration Limits'!$J$52</f>
        <v>37199505.547294997</v>
      </c>
      <c r="FA24" s="429" t="str">
        <f>IF(CY24&gt;'Concentration Limits'!$E$52, "No", "Yes")</f>
        <v>No</v>
      </c>
      <c r="FB24" s="429">
        <f t="shared" si="37"/>
        <v>0</v>
      </c>
      <c r="FC24" s="429">
        <f t="shared" si="38"/>
        <v>0</v>
      </c>
      <c r="FD24" s="429">
        <f t="shared" si="39"/>
        <v>7092905.0201692414</v>
      </c>
      <c r="FE24" s="430">
        <f>'Concentration Limits'!$J$54</f>
        <v>247996703.6486333</v>
      </c>
      <c r="FF24" s="430">
        <f>'Concentration Limits'!$J$55</f>
        <v>247996703.6486333</v>
      </c>
      <c r="FG24" s="430">
        <f>'Concentration Limits'!$J$56</f>
        <v>247996703.6486333</v>
      </c>
      <c r="FH24" s="431">
        <f>'Concentration Limits'!$J$57</f>
        <v>18599752.773647498</v>
      </c>
      <c r="FI24" s="431">
        <f t="shared" si="40"/>
        <v>7092905.0201692414</v>
      </c>
      <c r="FJ24" s="431">
        <f t="shared" si="41"/>
        <v>7092905.0201692414</v>
      </c>
      <c r="FK24" s="431">
        <f t="shared" si="42"/>
        <v>17</v>
      </c>
      <c r="FL24" s="431">
        <f>IF(FJ24&gt;0,RANK(FJ24,$FJ$9:$FJ$60)+COUNTIF($FJ$9:FJ24,FJ24)-1,0)</f>
        <v>17</v>
      </c>
      <c r="FM24" s="430">
        <f t="shared" si="43"/>
        <v>0</v>
      </c>
      <c r="FN24" s="430">
        <f t="shared" si="44"/>
        <v>0</v>
      </c>
      <c r="FO24" s="430">
        <f t="shared" si="45"/>
        <v>0</v>
      </c>
      <c r="FP24" s="431">
        <f t="shared" si="46"/>
        <v>0</v>
      </c>
      <c r="FQ24" s="431">
        <f t="shared" si="47"/>
        <v>7092905.0201692414</v>
      </c>
      <c r="FR24" s="431">
        <f>'Concentration Limits'!$J$58</f>
        <v>49599340.729726665</v>
      </c>
      <c r="FS24" s="431">
        <f t="shared" si="48"/>
        <v>24394399.03040082</v>
      </c>
      <c r="FT24" s="431">
        <f>VLOOKUP(BR24,'Concentration Limits'!$E$81:$H$153,4,FALSE)</f>
        <v>3</v>
      </c>
      <c r="FU24" s="431">
        <f t="shared" si="49"/>
        <v>0</v>
      </c>
      <c r="FV24" s="431">
        <f t="shared" si="50"/>
        <v>7092905.0201692414</v>
      </c>
      <c r="FW24" s="431">
        <f>'Concentration Limits'!$J$59</f>
        <v>37199505.547294997</v>
      </c>
      <c r="FX24" s="431">
        <f t="shared" si="51"/>
        <v>24394399.03040082</v>
      </c>
      <c r="FY24" s="431">
        <f>VLOOKUP(BR24,'Concentration Limits'!$E$81:$H$153,4,FALSE)</f>
        <v>3</v>
      </c>
      <c r="FZ24" s="431">
        <f t="shared" si="52"/>
        <v>0</v>
      </c>
      <c r="GA24" s="431">
        <f t="shared" si="53"/>
        <v>7092905.0201692414</v>
      </c>
      <c r="GB24" s="431">
        <f>'Concentration Limits'!$J$61</f>
        <v>24799670.364863332</v>
      </c>
      <c r="GC24" s="431">
        <f t="shared" si="54"/>
        <v>24394399.03040082</v>
      </c>
      <c r="GD24" s="429">
        <f>VLOOKUP(BR24,'Concentration Limits'!$E$81:$H$153,4,FALSE)</f>
        <v>3</v>
      </c>
      <c r="GE24" s="431">
        <f t="shared" si="55"/>
        <v>0</v>
      </c>
      <c r="GF24" s="431">
        <f t="shared" si="56"/>
        <v>7092905.0201692414</v>
      </c>
      <c r="GG24" s="431">
        <f>'Concentration Limits'!$J$64</f>
        <v>24799670.364863332</v>
      </c>
      <c r="GH24" s="431">
        <f t="shared" si="57"/>
        <v>0</v>
      </c>
      <c r="GI24" s="431">
        <f t="shared" si="58"/>
        <v>0</v>
      </c>
      <c r="GJ24" s="431">
        <f t="shared" si="59"/>
        <v>7092905.0201692414</v>
      </c>
      <c r="GK24" s="431">
        <f>'Concentration Limits'!$J$67</f>
        <v>24799670.364863332</v>
      </c>
      <c r="GL24" s="429" t="str">
        <f t="shared" si="60"/>
        <v>No</v>
      </c>
      <c r="GM24" s="431">
        <f t="shared" si="61"/>
        <v>0</v>
      </c>
      <c r="GN24" s="431">
        <f t="shared" si="62"/>
        <v>0</v>
      </c>
      <c r="GO24" s="431">
        <f t="shared" si="63"/>
        <v>7092905.0201692414</v>
      </c>
      <c r="GP24" s="431">
        <f>'Concentration Limits'!$J$68</f>
        <v>37199505.547294997</v>
      </c>
      <c r="GQ24" s="429" t="str">
        <f t="shared" si="64"/>
        <v>No</v>
      </c>
      <c r="GR24" s="431">
        <f t="shared" si="65"/>
        <v>0</v>
      </c>
      <c r="GS24" s="431">
        <f t="shared" si="66"/>
        <v>0</v>
      </c>
      <c r="GT24" s="431">
        <f t="shared" si="67"/>
        <v>7092905.0201692414</v>
      </c>
      <c r="GU24" s="429">
        <f>'Concentration Limits'!$J$69</f>
        <v>37199505.547294997</v>
      </c>
      <c r="GV24" s="429" t="str">
        <f t="shared" si="68"/>
        <v>No</v>
      </c>
      <c r="GW24" s="429">
        <f t="shared" si="69"/>
        <v>0</v>
      </c>
      <c r="GX24" s="429">
        <f t="shared" si="70"/>
        <v>0</v>
      </c>
      <c r="GY24" s="429">
        <f t="shared" si="71"/>
        <v>7092905.0201692414</v>
      </c>
      <c r="GZ24" s="429">
        <f>'Concentration Limits'!$J$70</f>
        <v>24799670.364863332</v>
      </c>
      <c r="HA24" s="429" t="str">
        <f t="shared" si="72"/>
        <v>No</v>
      </c>
      <c r="HB24" s="429">
        <f t="shared" si="73"/>
        <v>0</v>
      </c>
      <c r="HC24" s="429">
        <f t="shared" si="74"/>
        <v>0</v>
      </c>
      <c r="HD24" s="429">
        <f t="shared" si="75"/>
        <v>7092905.0201692414</v>
      </c>
      <c r="HE24" s="431">
        <f t="shared" si="76"/>
        <v>0</v>
      </c>
      <c r="HF24" s="431">
        <f t="shared" si="77"/>
        <v>0</v>
      </c>
      <c r="HG24" s="431">
        <f t="shared" si="78"/>
        <v>7092905.0201692414</v>
      </c>
      <c r="HH24" s="431">
        <f t="shared" si="79"/>
        <v>0</v>
      </c>
      <c r="HI24" s="431">
        <f>IF(BE24=0,0,#REF!*BE24/(BE24+BG24))</f>
        <v>0</v>
      </c>
      <c r="HJ24" s="431">
        <f>IF(BG24=0,0,#REF!*BG24/(BG24+BE24))</f>
        <v>0</v>
      </c>
      <c r="HK24" s="857">
        <f>IF(BF24=0,0,#REF!*BF24/(BF24+BH24))</f>
        <v>0</v>
      </c>
      <c r="HL24" s="431">
        <f>IF(BH24=0,0,#REF!*BH24/(BH24+BF24))</f>
        <v>0</v>
      </c>
      <c r="HM24" s="431">
        <f t="shared" si="80"/>
        <v>0</v>
      </c>
      <c r="HN24" s="431" t="b">
        <f t="shared" si="81"/>
        <v>1</v>
      </c>
    </row>
    <row r="25" spans="1:222" s="432" customFormat="1" ht="12.75" customHeight="1" x14ac:dyDescent="0.35">
      <c r="A25" s="49">
        <f t="shared" si="82"/>
        <v>17</v>
      </c>
      <c r="B25" s="404" t="str">
        <f>INDEX('Loan Tape - Settled'!$B$4:$AP$55,MATCH($A25,'Loan Tape - Settled'!$E$4:$E$55,0),MATCH("Obligor Name",'Loan Tape - Settled'!$B$4:$AM$4,0))</f>
        <v>Uncle John's Pride</v>
      </c>
      <c r="C25" s="404" t="str">
        <f>INDEX('Loan Tape - Settled'!$B$4:$AP$55,MATCH($A25,'Loan Tape - Settled'!$E$4:$E$55,0),MATCH("Security",'Loan Tape - Settled'!$B$4:$AM$4,0))</f>
        <v>1st Lien</v>
      </c>
      <c r="D25" s="405" t="str">
        <f>INDEX('Loan Tape - Settled'!$B$4:$AP$55,MATCH($A25,'Loan Tape - Settled'!$E$4:$E$55,0),MATCH("Loan Type",'Loan Tape - Settled'!$B$4:$AM$4,0))</f>
        <v>First Lien</v>
      </c>
      <c r="E25" s="406" t="b">
        <f>IF(ISERROR(MATCH(D25,AGENT!$A$4:$A$10,0))=FALSE, TRUE)</f>
        <v>1</v>
      </c>
      <c r="F25" s="406" t="b">
        <f t="shared" si="0"/>
        <v>1</v>
      </c>
      <c r="G25" s="406" t="b">
        <f>IF(D25&lt;&gt;"Second Lien",TRUE, IF(CY25&gt;=AGENT!$B$4,TRUE))</f>
        <v>1</v>
      </c>
      <c r="H25" s="406" t="b">
        <f>IF(DE25&lt;=AGENT!$D$4,TRUE)</f>
        <v>1</v>
      </c>
      <c r="I25" s="406" t="b">
        <f>IF(VLOOKUP(CONCATENATE($A$5,A25),'Loan Tape - Settled'!$A$5:$Q$55,17,FALSE)&gt;=AGENT!$E$4,TRUE)</f>
        <v>1</v>
      </c>
      <c r="J25" s="406" t="b">
        <f>IF(INDEX('Loan Tape - Settled'!$B$4:$AP$55,MATCH($A25,'Loan Tape - Settled'!$E$4:$E$55,0),MATCH("Loan Denomination",'Loan Tape - Settled'!$B$4:$AP$4,0))="USD", TRUE)</f>
        <v>1</v>
      </c>
      <c r="K25" s="406" t="b">
        <f>IF(INDEX('Loan Tape - Settled'!$B$4:$AP$55,MATCH($A25,'Loan Tape - Settled'!$E$4:$E$55,0),MATCH("Exposure Country",'Loan Tape - Settled'!$B$4:$AP$4,0))="United States", TRUE)</f>
        <v>1</v>
      </c>
      <c r="L25" s="406" t="b">
        <f t="shared" si="1"/>
        <v>1</v>
      </c>
      <c r="M25" s="406" t="b">
        <f>IF(((BM25-BL25)/365)&lt;=AGENT!$F$4,TRUE)</f>
        <v>1</v>
      </c>
      <c r="N25" s="406" t="b">
        <f t="shared" si="2"/>
        <v>1</v>
      </c>
      <c r="O25" s="453"/>
      <c r="P25" s="680" t="str">
        <f t="shared" si="3"/>
        <v>Yes</v>
      </c>
      <c r="Q25" s="680" t="s">
        <v>243</v>
      </c>
      <c r="R25" s="407" t="str">
        <f t="shared" si="4"/>
        <v>Uncle John's Pride</v>
      </c>
      <c r="S25" s="407"/>
      <c r="T25" s="408" t="str">
        <f t="array" ref="T25">_xlfn.IFS(D25="Second Lien",D25,D25="First Lien",CONCATENATE(D25," ",EI25),D25="FILO",CONCATENATE(D25," ",EJ25))</f>
        <v>First Lien &lt;= $20MM</v>
      </c>
      <c r="U25" s="409">
        <f>VLOOKUP(T25,'Concentration Limits'!D:G,4,FALSE)</f>
        <v>0.65</v>
      </c>
      <c r="V25" s="410">
        <f t="shared" si="5"/>
        <v>6815322.9192201942</v>
      </c>
      <c r="W25" s="448">
        <f>(SUMIFS('Loan Tape - Settled'!$AR$4:$AR$55,'Loan Tape - Settled'!$E$4:$E$55,$A25,'Loan Tape - Settled'!$C$4:$C$55,$A$5))</f>
        <v>6865952.6793287368</v>
      </c>
      <c r="X25" s="449">
        <v>1</v>
      </c>
      <c r="Y25" s="411">
        <f t="shared" si="6"/>
        <v>6865952.6793287368</v>
      </c>
      <c r="Z25" s="449">
        <f>(SUMIFS('Loan Tape - Settled'!$AQ$4:$AQ$55,'Loan Tape - Settled'!$E$4:$E$55,$A25,'Loan Tape - Settled'!$C$4:$C$55,$A$5))</f>
        <v>6865952.6793287368</v>
      </c>
      <c r="AA25" s="411">
        <f t="shared" si="7"/>
        <v>6865952.6793287368</v>
      </c>
      <c r="AB25" s="411">
        <f t="shared" si="8"/>
        <v>0</v>
      </c>
      <c r="AC25" s="450">
        <f>VLOOKUP(CONCATENATE($A$5,A25),'Loan Tape - Settled'!$A$5:$Q$55,17,FALSE)</f>
        <v>1</v>
      </c>
      <c r="AD25" s="412"/>
      <c r="AE25" s="413">
        <f>INDEX('Loan Tape - Settled'!$B$4:$AP$55,MATCH($A25,'Loan Tape - Settled'!$E$4:$E$55,0),MATCH("FMV",'Loan Tape - Settled'!$B$4:$AM$4,0))</f>
        <v>1.0002</v>
      </c>
      <c r="AF25" s="413">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0.99262596722214924</v>
      </c>
      <c r="AG25" s="414" t="str">
        <f>IF(COUNTIFS(VAE!$C$5:$C$96,B25,VAE!$G$5:$G$96,"&lt;="&amp;Availability!$F$8)&gt;=1,"Yes","-")</f>
        <v>-</v>
      </c>
      <c r="AH25" s="414" t="str">
        <f t="array" ref="AH25">IFERROR(IF(AG25="Yes",INDEX(VAE!$D$5:$D$96,MATCH(B25&amp;AJ25,VAE!$C$5:$C$96&amp;VAE!$G$5:$G$96,0)),"-"),0)</f>
        <v>-</v>
      </c>
      <c r="AI25" s="414" t="str">
        <f t="array" ref="AI25">IFERROR(IF(AG25="Yes",INDEX(VAE!$F$5:$F$96,MATCH(B25&amp;AJ25,VAE!$C$5:$C$96&amp;VAE!$G$5:$G$96,0)),"-"),0)</f>
        <v>-</v>
      </c>
      <c r="AJ25" s="415" t="str">
        <f>IF(AG25="-","-",_xlfn.MAXIFS(VAE!$G$5:$G$96,VAE!$C$5:$C$96,$B25))</f>
        <v>-</v>
      </c>
      <c r="AK25" s="416" t="str">
        <f t="array" ref="AK25">IFERROR(IF(AG25="Yes",INDEX(VAE!$P$5:$P$96,MATCH(B25&amp;AJ25,VAE!$C$5:$C$96&amp;VAE!$G$5:$G$96,0)),"-"),0)</f>
        <v>-</v>
      </c>
      <c r="AL25" s="413">
        <f t="shared" si="9"/>
        <v>0.99262596722214924</v>
      </c>
      <c r="AM25" s="410"/>
      <c r="AN25" s="410"/>
      <c r="AO25" s="410">
        <f t="shared" si="10"/>
        <v>6865952.6793287368</v>
      </c>
      <c r="AP25" s="410">
        <f t="shared" si="11"/>
        <v>0</v>
      </c>
      <c r="AQ25" s="410">
        <f t="shared" si="83"/>
        <v>6815322.9192201942</v>
      </c>
      <c r="AR25" s="410"/>
      <c r="AS25" s="410"/>
      <c r="AT25" s="410"/>
      <c r="AU25" s="410">
        <f t="shared" si="12"/>
        <v>0</v>
      </c>
      <c r="AV25" s="410">
        <f t="shared" si="13"/>
        <v>0</v>
      </c>
      <c r="AW25" s="410">
        <f t="shared" si="14"/>
        <v>0</v>
      </c>
      <c r="AX25" s="410"/>
      <c r="AY25" s="410"/>
      <c r="AZ25" s="410"/>
      <c r="BA25" s="410">
        <f t="shared" si="15"/>
        <v>0</v>
      </c>
      <c r="BB25" s="410"/>
      <c r="BC25" s="410"/>
      <c r="BD25" s="410">
        <f t="shared" si="16"/>
        <v>0</v>
      </c>
      <c r="BE25" s="410"/>
      <c r="BF25" s="410"/>
      <c r="BG25" s="410"/>
      <c r="BH25" s="410"/>
      <c r="BI25" s="410">
        <f t="shared" si="17"/>
        <v>0</v>
      </c>
      <c r="BJ25" s="410" t="b">
        <f t="shared" si="18"/>
        <v>1</v>
      </c>
      <c r="BK25" s="509">
        <f>INDEX('Loan Tape - Settled'!$B$4:$AP$55,MATCH($A25,'Loan Tape - Settled'!$E$4:$E$55,0),MATCH("Inception Date",'Loan Tape - Settled'!$B$4:$AP$4,0))</f>
        <v>44651</v>
      </c>
      <c r="BL25" s="509">
        <f>INDEX('Loan Tape - Settled'!$B$4:$AP$55,MATCH($A25,'Loan Tape - Settled'!$E$4:$E$55,0),MATCH("Inclusion Date",'Loan Tape - Settled'!$B$4:$AP$4,0))</f>
        <v>44651</v>
      </c>
      <c r="BM25" s="509">
        <f>INDEX('Loan Tape - Settled'!$B$4:$AP$55,MATCH($A25,'Loan Tape - Settled'!$E$4:$E$55,0),MATCH("Maturity Date",'Loan Tape - Settled'!$B$4:$AP$4,0))</f>
        <v>46477</v>
      </c>
      <c r="BN25" s="510"/>
      <c r="BO25" s="510"/>
      <c r="BP25" s="511"/>
      <c r="BQ25" s="510"/>
      <c r="BR25" s="512" t="str">
        <f>INDEX('Loan Tape - Settled'!$B$4:$AP$55,MATCH($A25,'Loan Tape - Settled'!$E$4:$E$55,0),MATCH("Industry Classification",'Loan Tape - Settled'!$B$4:$AP$4,0))</f>
        <v>Food Products</v>
      </c>
      <c r="BS25" s="510" t="str">
        <f>IF(INDEX('Loan Tape - Settled'!$B$4:$AP$55,MATCH($A25,'Loan Tape - Settled'!$E$4:$E$55,0),MATCH("Covenant Lite",'Loan Tape - Settled'!$B$4:$AP$4,0))=-1, "Yes", "No")</f>
        <v>No</v>
      </c>
      <c r="BT25" s="513">
        <f>INDEX('Loan Tape - Settled'!$B$4:$AP$55,MATCH($A25,'Loan Tape - Settled'!$E$4:$E$55,0),MATCH("Spread / Coupon (%)",'Loan Tape - Settled'!$B$4:$AP$4,0))</f>
        <v>8.1144800000000003E-2</v>
      </c>
      <c r="BU25" s="510" t="str">
        <f>IF(INDEX('Loan Tape - Settled'!$B$4:$AP$55,MATCH($A25,'Loan Tape - Settled'!$E$4:$E$55,0),MATCH("Security Type",'Loan Tape - Settled'!$B$4:$AP$4,0))="Delayed Draw Term Loan", "Yes", "No")</f>
        <v>No</v>
      </c>
      <c r="BV25" s="514" t="s">
        <v>244</v>
      </c>
      <c r="BW25" s="514" t="s">
        <v>244</v>
      </c>
      <c r="BX25" s="506" t="s">
        <v>244</v>
      </c>
      <c r="BY25" s="510" t="str">
        <f>IF(INDEX('Loan Tape - Settled'!$B$4:$AP$55,MATCH($A25,'Loan Tape - Settled'!$E$4:$E$55,0),MATCH("Fixed/Floating",'Loan Tape - Settled'!$B$4:$AP$4,0))="Fixed", "Yes", "No")</f>
        <v>No</v>
      </c>
      <c r="BZ25" s="514" t="s">
        <v>244</v>
      </c>
      <c r="CA25" s="514" t="s">
        <v>244</v>
      </c>
      <c r="CB25" s="510" t="str">
        <f>IF(INDEX('Loan Tape - Settled'!$B$4:$AP$55,MATCH($A25,'Loan Tape - Settled'!$E$4:$E$55,0),MATCH("Loan Denomination",'Loan Tape - Settled'!$B$4:$AP$4,0))="CAD", "Yes", "No")</f>
        <v>No</v>
      </c>
      <c r="CC25" s="510" t="str">
        <f>INDEX('Loan Tape - Settled'!$B$4:$AP$55,MATCH($A25,'Loan Tape - Settled'!$E$4:$E$55,0),MATCH("Payment Frequency",'Loan Tape - Settled'!$B$4:$AP$4,0))</f>
        <v>Q</v>
      </c>
      <c r="CD25" s="514" t="s">
        <v>244</v>
      </c>
      <c r="CE25" s="510">
        <f>INDEX('Loan Tape - Settled'!$B$4:$AP$55,MATCH($A25,'Loan Tape - Settled'!$E$4:$E$55,0),MATCH("S&amp;P Loan Rating (if applicable)",'Loan Tape - Settled'!$B$4:$AP$4,0))</f>
        <v>0</v>
      </c>
      <c r="CF25" s="510">
        <f>INDEX('Loan Tape - Settled'!$B$4:$AP$55,MATCH($A25,'Loan Tape - Settled'!$E$4:$E$55,0),MATCH("Moody's Loan Rating (if applicable)",'Loan Tape - Settled'!$B$4:$AP$4,0))</f>
        <v>0</v>
      </c>
      <c r="CG25" s="510"/>
      <c r="CH25" s="510"/>
      <c r="CI25" s="515"/>
      <c r="CJ25" s="508" t="str">
        <f>INDEX('Loan Tape - Settled'!$B$4:$BF$55,MATCH($A25,'Loan Tape - Settled'!$E$4:$E$55,0),MATCH("Last Financial Received",'Loan Tape - Settled'!$B$4:$BF$4,0))</f>
        <v>9/30/2025 or Latest Financing</v>
      </c>
      <c r="CK25" s="516">
        <f>INDEX('Loan Tape - Settled'!$B$4:$BJ$55,MATCH($A25,'Loan Tape - Settled'!$E$4:$E$55,0),MATCH("Initial Adjusted TTM EBITDA",'Loan Tape - Settled'!$B$4:$BJ$4,0))</f>
        <v>7.1710000000000003</v>
      </c>
      <c r="CL25" s="516">
        <f>INDEX('Loan Tape - Settled'!$B$4:$BJ$55,MATCH($A25,'Loan Tape - Settled'!$E$4:$E$55,0),MATCH("Initial TTM Non-adjusted EBITDA",'Loan Tape - Settled'!$B$4:$BJ$4,0))</f>
        <v>7.1710000000000003</v>
      </c>
      <c r="CM25" s="417"/>
      <c r="CN25" s="418"/>
      <c r="CO25" s="418"/>
      <c r="CP25" s="419"/>
      <c r="CQ25" s="420" t="s">
        <v>245</v>
      </c>
      <c r="CR25" s="419"/>
      <c r="CS25" s="421">
        <f t="shared" si="19"/>
        <v>7.1710000000000003</v>
      </c>
      <c r="CT25" s="422">
        <f t="shared" si="20"/>
        <v>0</v>
      </c>
      <c r="CU25" s="516">
        <f>INDEX('Loan Tape - Settled'!$B$4:$BJ$55,MATCH($A25,'Loan Tape - Settled'!$E$4:$E$55,0),MATCH("Current TTM Non-adjusted EBITDA",'Loan Tape - Settled'!$B$4:$BJ$4,0))</f>
        <v>15.367852490000001</v>
      </c>
      <c r="CV25" s="423">
        <f t="shared" si="21"/>
        <v>0</v>
      </c>
      <c r="CW25" s="652" t="s">
        <v>245</v>
      </c>
      <c r="CX25" s="517"/>
      <c r="CY25" s="658">
        <f t="shared" si="22"/>
        <v>15.367852490000001</v>
      </c>
      <c r="CZ25" s="656"/>
      <c r="DA25" s="518"/>
      <c r="DB25" s="519"/>
      <c r="DC25" s="853"/>
      <c r="DD25" s="853">
        <f>INDEX('Loan Tape - Settled'!$B$4:$BJ$55,MATCH($A25,'Loan Tape - Settled'!$E$4:$E$55,0),MATCH("Initial Senior Net Leverage Senior",'Loan Tape - Settled'!$B$4:$BJ$4,0))</f>
        <v>4.0440663784688331</v>
      </c>
      <c r="DE25" s="659">
        <f>INDEX('Loan Tape - Settled'!$B$4:$BJ$55,MATCH($A25,'Loan Tape - Settled'!$E$4:$E$55,0),MATCH("Initial Total Net Leverage",'Loan Tape - Settled'!$B$4:$BJ$4,0))</f>
        <v>4.0440663784688331</v>
      </c>
      <c r="DF25" s="656"/>
      <c r="DG25" s="518"/>
      <c r="DH25" s="519"/>
      <c r="DI25" s="424">
        <f>INDEX('Loan Tape - Settled'!$B$4:$BJ$55,MATCH($A25,'Loan Tape - Settled'!$E$4:$E$55,0),MATCH("Net Attachment",'Loan Tape - Settled'!$B$4:$BJ$4,0))</f>
        <v>0.15450594359524594</v>
      </c>
      <c r="DJ25" s="522">
        <f t="array" ref="DJ25">IF(AG25="Yes",INDEX(VAE!$M$5:$M$53,MATCH($B25&amp;$AJ25,VAE!$C$5:$C$53&amp;VAE!$G$5:$G$53,0)),DD25)</f>
        <v>4.0440663784688331</v>
      </c>
      <c r="DK25" s="649">
        <f t="array" ref="DK25">IF(AG25="Yes",INDEX(VAE!$N$5:$N$53,MATCH($B25&amp;$AJ25,VAE!$C$5:$C$53&amp;VAE!$G$5:$G$53,0)),DE25)</f>
        <v>4.0440663784688331</v>
      </c>
      <c r="DL25" s="651">
        <f>INDEX('Loan Tape - Settled'!$B$4:$BJ$55,MATCH($A25,'Loan Tape - Settled'!$E$4:$E$55,0),MATCH("Current Senior Net Leverage Senior",'Loan Tape - Settled'!$B$4:$BJ$4,0))</f>
        <v>3.6043846766625682</v>
      </c>
      <c r="DM25" s="433">
        <f>INDEX('Loan Tape - Settled'!$B$4:$BJ$55,MATCH($A25,'Loan Tape - Settled'!$E$4:$E$55,0),MATCH("Current Total Net Leverage",'Loan Tape - Settled'!$B$4:$BJ$4,0))</f>
        <v>3.6043846766625682</v>
      </c>
      <c r="DN25" s="425"/>
      <c r="DO25" s="426">
        <f>INDEX('Loan Tape - Settled'!$B$4:$BJ$55,MATCH($A25,'Loan Tape - Settled'!$E$4:$E$55,0),MATCH("Initial Interest Coverage",'Loan Tape - Settled'!$B$4:$BJ$4,0))</f>
        <v>2.31</v>
      </c>
      <c r="DP25" s="854">
        <f t="array" ref="DP25">IF(AG25="Yes",INDEX(VAE!$O$5:$O$53,MATCH($B25&amp;$AJ25,VAE!$C$5:$C$53&amp;VAE!$G$5:$G$53,0)),DO25)</f>
        <v>2.31</v>
      </c>
      <c r="DQ25" s="427">
        <f>INDEX('Loan Tape - Settled'!$B$4:$BJ$55,MATCH($A25,'Loan Tape - Settled'!$E$4:$E$55,0),MATCH("Current Interest Coverage",'Loan Tape - Settled'!$B$4:$BJ$4,0))</f>
        <v>2.42</v>
      </c>
      <c r="DR25" s="855" t="str">
        <f t="shared" si="23"/>
        <v>No</v>
      </c>
      <c r="DS25" s="428" t="str">
        <f>IF(AG25="Yes",DATEDIF(AJ25,Availability!$F$8,"m"),"")</f>
        <v/>
      </c>
      <c r="DT25" s="428" t="str">
        <f t="shared" si="24"/>
        <v>No</v>
      </c>
      <c r="DU25" s="647" t="str">
        <f t="shared" si="25"/>
        <v>No</v>
      </c>
      <c r="DV25" s="648" t="str">
        <f t="shared" si="26"/>
        <v>No</v>
      </c>
      <c r="DW25" s="648" t="str">
        <f t="array" ref="DW25">_xlfn.IFS(D25&lt;&gt;"Second Lien","No",D25="Second Lien",IF(AND((DM25-DK25)&gt;0.5,DM25&gt;4.5),"Yes","No"))</f>
        <v>No</v>
      </c>
      <c r="DX25" s="685" t="s">
        <v>244</v>
      </c>
      <c r="DY25" s="685" t="s">
        <v>244</v>
      </c>
      <c r="DZ25" s="686" t="s">
        <v>244</v>
      </c>
      <c r="EA25" s="686" t="s">
        <v>244</v>
      </c>
      <c r="EB25" s="686" t="s">
        <v>244</v>
      </c>
      <c r="EC25" s="686" t="s">
        <v>244</v>
      </c>
      <c r="ED25" s="686" t="s">
        <v>244</v>
      </c>
      <c r="EE25" s="686" t="s">
        <v>244</v>
      </c>
      <c r="EF25" s="409" t="str">
        <f t="shared" si="27"/>
        <v>No</v>
      </c>
      <c r="EG25" s="686" t="s">
        <v>244</v>
      </c>
      <c r="EH25" s="691" t="s">
        <v>244</v>
      </c>
      <c r="EI25" s="856" t="str">
        <f t="array" ref="EI25">IF(D25="First Lien",_xlfn.IFS(CY25&gt;AGENT!$B$23, "&gt; $20MM",CY25&lt;=AGENT!$C$25, "&lt;= $10MM",AND(CY25&lt;=AGENT!$C$24,CY25&gt;AGENT!$B$24),"&lt;= $20MM"), "N/A")</f>
        <v>&lt;= $20MM</v>
      </c>
      <c r="EJ25" s="856" t="str">
        <f t="array" ref="EJ25">IF(D25="FILO",_xlfn.IFS(DI25&gt;AGENT!$B$29, "&gt; 1.25x",DI25&lt;AGENT!$C$27, "&lt; 0.75x",AND(DI25&lt;=AGENT!$C$28,DI25&gt;=AGENT!$B$28),"&lt;= 1.25x"), "N/A")</f>
        <v>N/A</v>
      </c>
      <c r="EK25" s="429">
        <f t="shared" si="28"/>
        <v>6815322.9192201942</v>
      </c>
      <c r="EL25" s="429">
        <f>'Concentration Limits'!$J$49</f>
        <v>49599340.729726665</v>
      </c>
      <c r="EM25" s="429" t="str">
        <f>IF(OR(D25="Second Lien",AND(D25="FILO",DI25&gt;AGENT!$C$57)), "Yes", "No")</f>
        <v>No</v>
      </c>
      <c r="EN25" s="429">
        <f t="shared" si="29"/>
        <v>0</v>
      </c>
      <c r="EO25" s="429">
        <f t="shared" si="30"/>
        <v>0</v>
      </c>
      <c r="EP25" s="429">
        <f t="shared" si="31"/>
        <v>6815322.9192201942</v>
      </c>
      <c r="EQ25" s="429">
        <f>'Concentration Limits'!$J$50</f>
        <v>24799670.364863332</v>
      </c>
      <c r="ER25" s="429">
        <f t="shared" si="32"/>
        <v>0</v>
      </c>
      <c r="ES25" s="429">
        <f t="shared" si="84"/>
        <v>0</v>
      </c>
      <c r="ET25" s="429">
        <f t="shared" si="33"/>
        <v>6815322.9192201942</v>
      </c>
      <c r="EU25" s="429">
        <f>'Concentration Limits'!$J$51</f>
        <v>74399011.094589993</v>
      </c>
      <c r="EV25" s="429" t="str">
        <f>IF(OR(D25="Second Lien", AND(D25="FILO",DI25&gt;AGENT!$C$59)), "Yes", "No")</f>
        <v>No</v>
      </c>
      <c r="EW25" s="429">
        <f t="shared" si="34"/>
        <v>0</v>
      </c>
      <c r="EX25" s="429">
        <f t="shared" si="35"/>
        <v>0</v>
      </c>
      <c r="EY25" s="429">
        <f t="shared" si="36"/>
        <v>6815322.9192201942</v>
      </c>
      <c r="EZ25" s="429">
        <f>'Concentration Limits'!$J$52</f>
        <v>37199505.547294997</v>
      </c>
      <c r="FA25" s="429" t="str">
        <f>IF(CY25&gt;'Concentration Limits'!$E$52, "No", "Yes")</f>
        <v>No</v>
      </c>
      <c r="FB25" s="429">
        <f t="shared" si="37"/>
        <v>0</v>
      </c>
      <c r="FC25" s="429">
        <f t="shared" si="38"/>
        <v>0</v>
      </c>
      <c r="FD25" s="429">
        <f t="shared" si="39"/>
        <v>6815322.9192201942</v>
      </c>
      <c r="FE25" s="430">
        <f>'Concentration Limits'!$J$54</f>
        <v>247996703.6486333</v>
      </c>
      <c r="FF25" s="430">
        <f>'Concentration Limits'!$J$55</f>
        <v>247996703.6486333</v>
      </c>
      <c r="FG25" s="430">
        <f>'Concentration Limits'!$J$56</f>
        <v>247996703.6486333</v>
      </c>
      <c r="FH25" s="431">
        <f>'Concentration Limits'!$J$57</f>
        <v>18599752.773647498</v>
      </c>
      <c r="FI25" s="431">
        <f t="shared" si="40"/>
        <v>6815322.9192201942</v>
      </c>
      <c r="FJ25" s="431">
        <f t="shared" si="41"/>
        <v>6815322.9192201942</v>
      </c>
      <c r="FK25" s="431">
        <f t="shared" si="42"/>
        <v>18</v>
      </c>
      <c r="FL25" s="431">
        <f>IF(FJ25&gt;0,RANK(FJ25,$FJ$9:$FJ$60)+COUNTIF($FJ$9:FJ25,FJ25)-1,0)</f>
        <v>18</v>
      </c>
      <c r="FM25" s="430">
        <f t="shared" si="43"/>
        <v>0</v>
      </c>
      <c r="FN25" s="430">
        <f t="shared" si="44"/>
        <v>0</v>
      </c>
      <c r="FO25" s="430">
        <f t="shared" si="45"/>
        <v>0</v>
      </c>
      <c r="FP25" s="431">
        <f t="shared" si="46"/>
        <v>0</v>
      </c>
      <c r="FQ25" s="431">
        <f t="shared" si="47"/>
        <v>6815322.9192201942</v>
      </c>
      <c r="FR25" s="431">
        <f>'Concentration Limits'!$J$58</f>
        <v>49599340.729726665</v>
      </c>
      <c r="FS25" s="431">
        <f t="shared" si="48"/>
        <v>6815322.9192201942</v>
      </c>
      <c r="FT25" s="431">
        <f>VLOOKUP(BR25,'Concentration Limits'!$E$81:$H$153,4,FALSE)</f>
        <v>15</v>
      </c>
      <c r="FU25" s="431">
        <f t="shared" si="49"/>
        <v>0</v>
      </c>
      <c r="FV25" s="431">
        <f t="shared" si="50"/>
        <v>6815322.9192201942</v>
      </c>
      <c r="FW25" s="431">
        <f>'Concentration Limits'!$J$59</f>
        <v>37199505.547294997</v>
      </c>
      <c r="FX25" s="431">
        <f t="shared" si="51"/>
        <v>6815322.9192201942</v>
      </c>
      <c r="FY25" s="431">
        <f>VLOOKUP(BR25,'Concentration Limits'!$E$81:$H$153,4,FALSE)</f>
        <v>15</v>
      </c>
      <c r="FZ25" s="431">
        <f t="shared" si="52"/>
        <v>0</v>
      </c>
      <c r="GA25" s="431">
        <f t="shared" si="53"/>
        <v>6815322.9192201942</v>
      </c>
      <c r="GB25" s="431">
        <f>'Concentration Limits'!$J$61</f>
        <v>24799670.364863332</v>
      </c>
      <c r="GC25" s="431">
        <f t="shared" si="54"/>
        <v>6815322.9192201942</v>
      </c>
      <c r="GD25" s="429">
        <f>VLOOKUP(BR25,'Concentration Limits'!$E$81:$H$153,4,FALSE)</f>
        <v>15</v>
      </c>
      <c r="GE25" s="431">
        <f t="shared" si="55"/>
        <v>0</v>
      </c>
      <c r="GF25" s="431">
        <f t="shared" si="56"/>
        <v>6815322.9192201942</v>
      </c>
      <c r="GG25" s="431">
        <f>'Concentration Limits'!$J$64</f>
        <v>24799670.364863332</v>
      </c>
      <c r="GH25" s="431">
        <f t="shared" si="57"/>
        <v>0</v>
      </c>
      <c r="GI25" s="431">
        <f t="shared" si="58"/>
        <v>0</v>
      </c>
      <c r="GJ25" s="431">
        <f t="shared" si="59"/>
        <v>6815322.9192201942</v>
      </c>
      <c r="GK25" s="431">
        <f>'Concentration Limits'!$J$67</f>
        <v>24799670.364863332</v>
      </c>
      <c r="GL25" s="429" t="str">
        <f t="shared" si="60"/>
        <v>No</v>
      </c>
      <c r="GM25" s="431">
        <f t="shared" si="61"/>
        <v>0</v>
      </c>
      <c r="GN25" s="431">
        <f t="shared" si="62"/>
        <v>0</v>
      </c>
      <c r="GO25" s="431">
        <f t="shared" si="63"/>
        <v>6815322.9192201942</v>
      </c>
      <c r="GP25" s="431">
        <f>'Concentration Limits'!$J$68</f>
        <v>37199505.547294997</v>
      </c>
      <c r="GQ25" s="429" t="str">
        <f t="shared" si="64"/>
        <v>No</v>
      </c>
      <c r="GR25" s="431">
        <f t="shared" si="65"/>
        <v>0</v>
      </c>
      <c r="GS25" s="431">
        <f t="shared" si="66"/>
        <v>0</v>
      </c>
      <c r="GT25" s="431">
        <f t="shared" si="67"/>
        <v>6815322.9192201942</v>
      </c>
      <c r="GU25" s="429">
        <f>'Concentration Limits'!$J$69</f>
        <v>37199505.547294997</v>
      </c>
      <c r="GV25" s="429" t="str">
        <f t="shared" si="68"/>
        <v>No</v>
      </c>
      <c r="GW25" s="429">
        <f t="shared" si="69"/>
        <v>0</v>
      </c>
      <c r="GX25" s="429">
        <f t="shared" si="70"/>
        <v>0</v>
      </c>
      <c r="GY25" s="429">
        <f t="shared" si="71"/>
        <v>6815322.9192201942</v>
      </c>
      <c r="GZ25" s="429">
        <f>'Concentration Limits'!$J$70</f>
        <v>24799670.364863332</v>
      </c>
      <c r="HA25" s="429" t="str">
        <f t="shared" si="72"/>
        <v>No</v>
      </c>
      <c r="HB25" s="429">
        <f t="shared" si="73"/>
        <v>0</v>
      </c>
      <c r="HC25" s="429">
        <f t="shared" si="74"/>
        <v>0</v>
      </c>
      <c r="HD25" s="429">
        <f t="shared" si="75"/>
        <v>6815322.9192201942</v>
      </c>
      <c r="HE25" s="431">
        <f t="shared" si="76"/>
        <v>6815322.9192201942</v>
      </c>
      <c r="HF25" s="431">
        <f t="shared" si="77"/>
        <v>0</v>
      </c>
      <c r="HG25" s="431">
        <f t="shared" si="78"/>
        <v>0</v>
      </c>
      <c r="HH25" s="431">
        <f t="shared" si="79"/>
        <v>0</v>
      </c>
      <c r="HI25" s="431">
        <f>IF(BE25=0,0,#REF!*BE25/(BE25+BG25))</f>
        <v>0</v>
      </c>
      <c r="HJ25" s="431">
        <f>IF(BG25=0,0,#REF!*BG25/(BG25+BE25))</f>
        <v>0</v>
      </c>
      <c r="HK25" s="857">
        <f>IF(BF25=0,0,#REF!*BF25/(BF25+BH25))</f>
        <v>0</v>
      </c>
      <c r="HL25" s="431">
        <f>IF(BH25=0,0,#REF!*BH25/(BH25+BF25))</f>
        <v>0</v>
      </c>
      <c r="HM25" s="431">
        <f t="shared" si="80"/>
        <v>0</v>
      </c>
      <c r="HN25" s="431" t="b">
        <f t="shared" si="81"/>
        <v>1</v>
      </c>
    </row>
    <row r="26" spans="1:222" s="432" customFormat="1" ht="12.75" customHeight="1" x14ac:dyDescent="0.35">
      <c r="A26" s="49">
        <f t="shared" si="82"/>
        <v>18</v>
      </c>
      <c r="B26" s="404" t="str">
        <f>INDEX('Loan Tape - Settled'!$B$4:$AP$55,MATCH($A26,'Loan Tape - Settled'!$E$4:$E$55,0),MATCH("Obligor Name",'Loan Tape - Settled'!$B$4:$AM$4,0))</f>
        <v>Padsquad</v>
      </c>
      <c r="C26" s="404" t="str">
        <f>INDEX('Loan Tape - Settled'!$B$4:$AP$55,MATCH($A26,'Loan Tape - Settled'!$E$4:$E$55,0),MATCH("Security",'Loan Tape - Settled'!$B$4:$AM$4,0))</f>
        <v>FILO</v>
      </c>
      <c r="D26" s="405" t="str">
        <f>INDEX('Loan Tape - Settled'!$B$4:$AP$55,MATCH($A26,'Loan Tape - Settled'!$E$4:$E$55,0),MATCH("Loan Type",'Loan Tape - Settled'!$B$4:$AM$4,0))</f>
        <v>FILO</v>
      </c>
      <c r="E26" s="406" t="b">
        <f>IF(ISERROR(MATCH(D26,AGENT!$A$4:$A$10,0))=FALSE, TRUE)</f>
        <v>1</v>
      </c>
      <c r="F26" s="406" t="b">
        <f t="shared" si="0"/>
        <v>1</v>
      </c>
      <c r="G26" s="406" t="b">
        <f>IF(D26&lt;&gt;"Second Lien",TRUE, IF(CY26&gt;=AGENT!$B$4,TRUE))</f>
        <v>1</v>
      </c>
      <c r="H26" s="406" t="b">
        <f>IF(DE26&lt;=AGENT!$D$4,TRUE)</f>
        <v>1</v>
      </c>
      <c r="I26" s="406" t="b">
        <f>IF(VLOOKUP(CONCATENATE($A$5,A26),'Loan Tape - Settled'!$A$5:$Q$55,17,FALSE)&gt;=AGENT!$E$4,TRUE)</f>
        <v>1</v>
      </c>
      <c r="J26" s="406" t="b">
        <f>IF(INDEX('Loan Tape - Settled'!$B$4:$AP$55,MATCH($A26,'Loan Tape - Settled'!$E$4:$E$55,0),MATCH("Loan Denomination",'Loan Tape - Settled'!$B$4:$AP$4,0))="USD", TRUE)</f>
        <v>1</v>
      </c>
      <c r="K26" s="406" t="b">
        <f>IF(INDEX('Loan Tape - Settled'!$B$4:$AP$55,MATCH($A26,'Loan Tape - Settled'!$E$4:$E$55,0),MATCH("Exposure Country",'Loan Tape - Settled'!$B$4:$AP$4,0))="United States", TRUE)</f>
        <v>1</v>
      </c>
      <c r="L26" s="406" t="b">
        <f t="shared" si="1"/>
        <v>1</v>
      </c>
      <c r="M26" s="406" t="b">
        <f>IF(((BM26-BL26)/365)&lt;=AGENT!$F$4,TRUE)</f>
        <v>1</v>
      </c>
      <c r="N26" s="406" t="b">
        <f t="shared" si="2"/>
        <v>1</v>
      </c>
      <c r="O26" s="453"/>
      <c r="P26" s="680" t="str">
        <f t="shared" si="3"/>
        <v>Yes</v>
      </c>
      <c r="Q26" s="680" t="s">
        <v>243</v>
      </c>
      <c r="R26" s="407" t="str">
        <f t="shared" si="4"/>
        <v>Padsquad</v>
      </c>
      <c r="S26" s="407"/>
      <c r="T26" s="408" t="str">
        <f t="array" ref="T26">_xlfn.IFS(D26="Second Lien",D26,D26="First Lien",CONCATENATE(D26," ",EI26),D26="FILO",CONCATENATE(D26," ",EJ26))</f>
        <v>FILO &lt; 0.75x</v>
      </c>
      <c r="U26" s="409">
        <f>VLOOKUP(T26,'Concentration Limits'!D:G,4,FALSE)</f>
        <v>0.625</v>
      </c>
      <c r="V26" s="410">
        <f t="shared" si="5"/>
        <v>2581527.2906674999</v>
      </c>
      <c r="W26" s="448">
        <f>(SUMIFS('Loan Tape - Settled'!$AR$4:$AR$55,'Loan Tape - Settled'!$E$4:$E$55,$A26,'Loan Tape - Settled'!$C$4:$C$55,$A$5))</f>
        <v>2620174.87</v>
      </c>
      <c r="X26" s="449">
        <v>1</v>
      </c>
      <c r="Y26" s="411">
        <f t="shared" si="6"/>
        <v>2620174.87</v>
      </c>
      <c r="Z26" s="449">
        <f>(SUMIFS('Loan Tape - Settled'!$AQ$4:$AQ$55,'Loan Tape - Settled'!$E$4:$E$55,$A26,'Loan Tape - Settled'!$C$4:$C$55,$A$5))</f>
        <v>2620174.87</v>
      </c>
      <c r="AA26" s="411">
        <f t="shared" si="7"/>
        <v>2620174.87</v>
      </c>
      <c r="AB26" s="411">
        <f t="shared" si="8"/>
        <v>0</v>
      </c>
      <c r="AC26" s="450">
        <f>VLOOKUP(CONCATENATE($A$5,A26),'Loan Tape - Settled'!$A$5:$Q$55,17,FALSE)</f>
        <v>1</v>
      </c>
      <c r="AD26" s="412"/>
      <c r="AE26" s="413">
        <f>INDEX('Loan Tape - Settled'!$B$4:$AP$55,MATCH($A26,'Loan Tape - Settled'!$E$4:$E$55,0),MATCH("FMV",'Loan Tape - Settled'!$B$4:$AM$4,0))</f>
        <v>0.98524999999999996</v>
      </c>
      <c r="AF26" s="413">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1</v>
      </c>
      <c r="AG26" s="414" t="str">
        <f>IF(COUNTIFS(VAE!$C$5:$C$96,B26,VAE!$G$5:$G$96,"&lt;="&amp;Availability!$F$8)&gt;=1,"Yes","-")</f>
        <v>-</v>
      </c>
      <c r="AH26" s="414" t="str">
        <f t="array" ref="AH26">IFERROR(IF(AG26="Yes",INDEX(VAE!$D$5:$D$96,MATCH(B26&amp;AJ26,VAE!$C$5:$C$96&amp;VAE!$G$5:$G$96,0)),"-"),0)</f>
        <v>-</v>
      </c>
      <c r="AI26" s="414" t="str">
        <f t="array" ref="AI26">IFERROR(IF(AG26="Yes",INDEX(VAE!$F$5:$F$96,MATCH(B26&amp;AJ26,VAE!$C$5:$C$96&amp;VAE!$G$5:$G$96,0)),"-"),0)</f>
        <v>-</v>
      </c>
      <c r="AJ26" s="415" t="str">
        <f>IF(AG26="-","-",_xlfn.MAXIFS(VAE!$G$5:$G$96,VAE!$C$5:$C$96,$B26))</f>
        <v>-</v>
      </c>
      <c r="AK26" s="416" t="str">
        <f t="array" ref="AK26">IFERROR(IF(AG26="Yes",INDEX(VAE!$P$5:$P$96,MATCH(B26&amp;AJ26,VAE!$C$5:$C$96&amp;VAE!$G$5:$G$96,0)),"-"),0)</f>
        <v>-</v>
      </c>
      <c r="AL26" s="413">
        <f t="shared" si="9"/>
        <v>0.98524999999999996</v>
      </c>
      <c r="AM26" s="410"/>
      <c r="AN26" s="410"/>
      <c r="AO26" s="410">
        <f t="shared" si="10"/>
        <v>0</v>
      </c>
      <c r="AP26" s="410">
        <f t="shared" si="11"/>
        <v>0</v>
      </c>
      <c r="AQ26" s="410">
        <f t="shared" si="83"/>
        <v>0</v>
      </c>
      <c r="AR26" s="410"/>
      <c r="AS26" s="410"/>
      <c r="AT26" s="410"/>
      <c r="AU26" s="410">
        <f t="shared" si="12"/>
        <v>2620174.87</v>
      </c>
      <c r="AV26" s="410">
        <f t="shared" si="13"/>
        <v>0</v>
      </c>
      <c r="AW26" s="410">
        <f t="shared" si="14"/>
        <v>2581527.2906674999</v>
      </c>
      <c r="AX26" s="410"/>
      <c r="AY26" s="410"/>
      <c r="AZ26" s="410"/>
      <c r="BA26" s="410">
        <f t="shared" si="15"/>
        <v>0</v>
      </c>
      <c r="BB26" s="410"/>
      <c r="BC26" s="410"/>
      <c r="BD26" s="410">
        <f t="shared" si="16"/>
        <v>0</v>
      </c>
      <c r="BE26" s="410"/>
      <c r="BF26" s="410"/>
      <c r="BG26" s="410"/>
      <c r="BH26" s="410"/>
      <c r="BI26" s="410">
        <f t="shared" si="17"/>
        <v>0</v>
      </c>
      <c r="BJ26" s="410" t="b">
        <f t="shared" si="18"/>
        <v>1</v>
      </c>
      <c r="BK26" s="509">
        <f>INDEX('Loan Tape - Settled'!$B$4:$AP$55,MATCH($A26,'Loan Tape - Settled'!$E$4:$E$55,0),MATCH("Inception Date",'Loan Tape - Settled'!$B$4:$AP$4,0))</f>
        <v>44651</v>
      </c>
      <c r="BL26" s="509">
        <f>INDEX('Loan Tape - Settled'!$B$4:$AP$55,MATCH($A26,'Loan Tape - Settled'!$E$4:$E$55,0),MATCH("Inclusion Date",'Loan Tape - Settled'!$B$4:$AP$4,0))</f>
        <v>44651</v>
      </c>
      <c r="BM26" s="509">
        <f>INDEX('Loan Tape - Settled'!$B$4:$AP$55,MATCH($A26,'Loan Tape - Settled'!$E$4:$E$55,0),MATCH("Maturity Date",'Loan Tape - Settled'!$B$4:$AP$4,0))</f>
        <v>46476</v>
      </c>
      <c r="BN26" s="510"/>
      <c r="BO26" s="510"/>
      <c r="BP26" s="511"/>
      <c r="BQ26" s="510"/>
      <c r="BR26" s="512" t="str">
        <f>INDEX('Loan Tape - Settled'!$B$4:$AP$55,MATCH($A26,'Loan Tape - Settled'!$E$4:$E$55,0),MATCH("Industry Classification",'Loan Tape - Settled'!$B$4:$AP$4,0))</f>
        <v>Media</v>
      </c>
      <c r="BS26" s="510" t="str">
        <f>IF(INDEX('Loan Tape - Settled'!$B$4:$AP$55,MATCH($A26,'Loan Tape - Settled'!$E$4:$E$55,0),MATCH("Covenant Lite",'Loan Tape - Settled'!$B$4:$AP$4,0))=-1, "Yes", "No")</f>
        <v>No</v>
      </c>
      <c r="BT26" s="513">
        <f>INDEX('Loan Tape - Settled'!$B$4:$AP$55,MATCH($A26,'Loan Tape - Settled'!$E$4:$E$55,0),MATCH("Spread / Coupon (%)",'Loan Tape - Settled'!$B$4:$AP$4,0))</f>
        <v>6.7172362762000004E-2</v>
      </c>
      <c r="BU26" s="510" t="str">
        <f>IF(INDEX('Loan Tape - Settled'!$B$4:$AP$55,MATCH($A26,'Loan Tape - Settled'!$E$4:$E$55,0),MATCH("Security Type",'Loan Tape - Settled'!$B$4:$AP$4,0))="Delayed Draw Term Loan", "Yes", "No")</f>
        <v>No</v>
      </c>
      <c r="BV26" s="514" t="s">
        <v>244</v>
      </c>
      <c r="BW26" s="514" t="s">
        <v>244</v>
      </c>
      <c r="BX26" s="506" t="s">
        <v>244</v>
      </c>
      <c r="BY26" s="510" t="str">
        <f>IF(INDEX('Loan Tape - Settled'!$B$4:$AP$55,MATCH($A26,'Loan Tape - Settled'!$E$4:$E$55,0),MATCH("Fixed/Floating",'Loan Tape - Settled'!$B$4:$AP$4,0))="Fixed", "Yes", "No")</f>
        <v>No</v>
      </c>
      <c r="BZ26" s="514" t="s">
        <v>244</v>
      </c>
      <c r="CA26" s="514" t="s">
        <v>244</v>
      </c>
      <c r="CB26" s="510" t="str">
        <f>IF(INDEX('Loan Tape - Settled'!$B$4:$AP$55,MATCH($A26,'Loan Tape - Settled'!$E$4:$E$55,0),MATCH("Loan Denomination",'Loan Tape - Settled'!$B$4:$AP$4,0))="CAD", "Yes", "No")</f>
        <v>No</v>
      </c>
      <c r="CC26" s="510" t="str">
        <f>INDEX('Loan Tape - Settled'!$B$4:$AP$55,MATCH($A26,'Loan Tape - Settled'!$E$4:$E$55,0),MATCH("Payment Frequency",'Loan Tape - Settled'!$B$4:$AP$4,0))</f>
        <v>M</v>
      </c>
      <c r="CD26" s="514" t="s">
        <v>244</v>
      </c>
      <c r="CE26" s="510">
        <f>INDEX('Loan Tape - Settled'!$B$4:$AP$55,MATCH($A26,'Loan Tape - Settled'!$E$4:$E$55,0),MATCH("S&amp;P Loan Rating (if applicable)",'Loan Tape - Settled'!$B$4:$AP$4,0))</f>
        <v>0</v>
      </c>
      <c r="CF26" s="510">
        <f>INDEX('Loan Tape - Settled'!$B$4:$AP$55,MATCH($A26,'Loan Tape - Settled'!$E$4:$E$55,0),MATCH("Moody's Loan Rating (if applicable)",'Loan Tape - Settled'!$B$4:$AP$4,0))</f>
        <v>0</v>
      </c>
      <c r="CG26" s="510"/>
      <c r="CH26" s="510"/>
      <c r="CI26" s="515"/>
      <c r="CJ26" s="508" t="str">
        <f>INDEX('Loan Tape - Settled'!$B$4:$BF$55,MATCH($A26,'Loan Tape - Settled'!$E$4:$E$55,0),MATCH("Last Financial Received",'Loan Tape - Settled'!$B$4:$BF$4,0))</f>
        <v>9/30/2025 or Latest Financing</v>
      </c>
      <c r="CK26" s="516">
        <f>INDEX('Loan Tape - Settled'!$B$4:$BJ$55,MATCH($A26,'Loan Tape - Settled'!$E$4:$E$55,0),MATCH("Initial Adjusted TTM EBITDA",'Loan Tape - Settled'!$B$4:$BJ$4,0))</f>
        <v>8.1549999999999994</v>
      </c>
      <c r="CL26" s="516">
        <f>INDEX('Loan Tape - Settled'!$B$4:$BJ$55,MATCH($A26,'Loan Tape - Settled'!$E$4:$E$55,0),MATCH("Initial TTM Non-adjusted EBITDA",'Loan Tape - Settled'!$B$4:$BJ$4,0))</f>
        <v>8.1549999999999994</v>
      </c>
      <c r="CM26" s="417"/>
      <c r="CN26" s="418"/>
      <c r="CO26" s="418"/>
      <c r="CP26" s="419"/>
      <c r="CQ26" s="420" t="s">
        <v>245</v>
      </c>
      <c r="CR26" s="419"/>
      <c r="CS26" s="421">
        <f t="shared" si="19"/>
        <v>8.1549999999999994</v>
      </c>
      <c r="CT26" s="422">
        <f t="shared" si="20"/>
        <v>0</v>
      </c>
      <c r="CU26" s="516">
        <f>INDEX('Loan Tape - Settled'!$B$4:$BJ$55,MATCH($A26,'Loan Tape - Settled'!$E$4:$E$55,0),MATCH("Current TTM Non-adjusted EBITDA",'Loan Tape - Settled'!$B$4:$BJ$4,0))</f>
        <v>7.2144320399999984</v>
      </c>
      <c r="CV26" s="423">
        <f t="shared" si="21"/>
        <v>0</v>
      </c>
      <c r="CW26" s="652" t="s">
        <v>245</v>
      </c>
      <c r="CX26" s="517"/>
      <c r="CY26" s="658">
        <f t="shared" si="22"/>
        <v>7.2144320399999984</v>
      </c>
      <c r="CZ26" s="656"/>
      <c r="DA26" s="518"/>
      <c r="DB26" s="519"/>
      <c r="DC26" s="853"/>
      <c r="DD26" s="853">
        <f>INDEX('Loan Tape - Settled'!$B$4:$BJ$55,MATCH($A26,'Loan Tape - Settled'!$E$4:$E$55,0),MATCH("Initial Senior Net Leverage Senior",'Loan Tape - Settled'!$B$4:$BJ$4,0))</f>
        <v>3.433476394849786</v>
      </c>
      <c r="DE26" s="659">
        <f>INDEX('Loan Tape - Settled'!$B$4:$BJ$55,MATCH($A26,'Loan Tape - Settled'!$E$4:$E$55,0),MATCH("Initial Total Net Leverage",'Loan Tape - Settled'!$B$4:$BJ$4,0))</f>
        <v>3.433476394849786</v>
      </c>
      <c r="DF26" s="656"/>
      <c r="DG26" s="518"/>
      <c r="DH26" s="519"/>
      <c r="DI26" s="424">
        <f>INDEX('Loan Tape - Settled'!$B$4:$BJ$55,MATCH($A26,'Loan Tape - Settled'!$E$4:$E$55,0),MATCH("Net Attachment",'Loan Tape - Settled'!$B$4:$BJ$4,0))</f>
        <v>0.49153626929168504</v>
      </c>
      <c r="DJ26" s="522">
        <f t="array" ref="DJ26">IF(AG26="Yes",INDEX(VAE!$M$5:$M$53,MATCH($B26&amp;$AJ26,VAE!$C$5:$C$53&amp;VAE!$G$5:$G$53,0)),DD26)</f>
        <v>3.433476394849786</v>
      </c>
      <c r="DK26" s="649">
        <f t="array" ref="DK26">IF(AG26="Yes",INDEX(VAE!$N$5:$N$53,MATCH($B26&amp;$AJ26,VAE!$C$5:$C$53&amp;VAE!$G$5:$G$53,0)),DE26)</f>
        <v>3.433476394849786</v>
      </c>
      <c r="DL26" s="651">
        <f>INDEX('Loan Tape - Settled'!$B$4:$BJ$55,MATCH($A26,'Loan Tape - Settled'!$E$4:$E$55,0),MATCH("Current Senior Net Leverage Senior",'Loan Tape - Settled'!$B$4:$BJ$4,0))</f>
        <v>2.5369173524018676</v>
      </c>
      <c r="DM26" s="433">
        <f>INDEX('Loan Tape - Settled'!$B$4:$BJ$55,MATCH($A26,'Loan Tape - Settled'!$E$4:$E$55,0),MATCH("Current Total Net Leverage",'Loan Tape - Settled'!$B$4:$BJ$4,0))</f>
        <v>2.5369173524018676</v>
      </c>
      <c r="DN26" s="425"/>
      <c r="DO26" s="426">
        <f>INDEX('Loan Tape - Settled'!$B$4:$BJ$55,MATCH($A26,'Loan Tape - Settled'!$E$4:$E$55,0),MATCH("Initial Interest Coverage",'Loan Tape - Settled'!$B$4:$BJ$4,0))</f>
        <v>2.78</v>
      </c>
      <c r="DP26" s="854">
        <f t="array" ref="DP26">IF(AG26="Yes",INDEX(VAE!$O$5:$O$53,MATCH($B26&amp;$AJ26,VAE!$C$5:$C$53&amp;VAE!$G$5:$G$53,0)),DO26)</f>
        <v>2.78</v>
      </c>
      <c r="DQ26" s="427">
        <f>INDEX('Loan Tape - Settled'!$B$4:$BJ$55,MATCH($A26,'Loan Tape - Settled'!$E$4:$E$55,0),MATCH("Current Interest Coverage",'Loan Tape - Settled'!$B$4:$BJ$4,0))</f>
        <v>2.791822213848</v>
      </c>
      <c r="DR26" s="855" t="str">
        <f t="shared" si="23"/>
        <v>No</v>
      </c>
      <c r="DS26" s="428" t="str">
        <f>IF(AG26="Yes",DATEDIF(AJ26,Availability!$F$8,"m"),"")</f>
        <v/>
      </c>
      <c r="DT26" s="428" t="str">
        <f t="shared" si="24"/>
        <v>No</v>
      </c>
      <c r="DU26" s="647" t="str">
        <f t="shared" si="25"/>
        <v>No</v>
      </c>
      <c r="DV26" s="648" t="str">
        <f t="shared" si="26"/>
        <v>No</v>
      </c>
      <c r="DW26" s="648" t="str">
        <f t="array" ref="DW26">_xlfn.IFS(D26&lt;&gt;"Second Lien","No",D26="Second Lien",IF(AND((DM26-DK26)&gt;0.5,DM26&gt;4.5),"Yes","No"))</f>
        <v>No</v>
      </c>
      <c r="DX26" s="685" t="s">
        <v>244</v>
      </c>
      <c r="DY26" s="685" t="s">
        <v>244</v>
      </c>
      <c r="DZ26" s="686" t="s">
        <v>244</v>
      </c>
      <c r="EA26" s="686" t="s">
        <v>244</v>
      </c>
      <c r="EB26" s="686" t="s">
        <v>244</v>
      </c>
      <c r="EC26" s="686" t="s">
        <v>244</v>
      </c>
      <c r="ED26" s="686" t="s">
        <v>244</v>
      </c>
      <c r="EE26" s="686" t="s">
        <v>244</v>
      </c>
      <c r="EF26" s="409" t="str">
        <f t="shared" si="27"/>
        <v>No</v>
      </c>
      <c r="EG26" s="686" t="s">
        <v>244</v>
      </c>
      <c r="EH26" s="691" t="s">
        <v>244</v>
      </c>
      <c r="EI26" s="856" t="str">
        <f t="array" ref="EI26">IF(D26="First Lien",_xlfn.IFS(CY26&gt;AGENT!$B$23, "&gt; $20MM",CY26&lt;=AGENT!$C$25, "&lt;= $10MM",AND(CY26&lt;=AGENT!$C$24,CY26&gt;AGENT!$B$24),"&lt;= $20MM"), "N/A")</f>
        <v>N/A</v>
      </c>
      <c r="EJ26" s="856" t="str">
        <f t="array" ref="EJ26">IF(D26="FILO",_xlfn.IFS(DI26&gt;AGENT!$B$29, "&gt; 1.25x",DI26&lt;AGENT!$C$27, "&lt; 0.75x",AND(DI26&lt;=AGENT!$C$28,DI26&gt;=AGENT!$B$28),"&lt;= 1.25x"), "N/A")</f>
        <v>&lt; 0.75x</v>
      </c>
      <c r="EK26" s="429">
        <f t="shared" si="28"/>
        <v>2581527.2906674999</v>
      </c>
      <c r="EL26" s="429">
        <f>'Concentration Limits'!$J$49</f>
        <v>49599340.729726665</v>
      </c>
      <c r="EM26" s="429" t="str">
        <f>IF(OR(D26="Second Lien",AND(D26="FILO",DI26&gt;AGENT!$C$57)), "Yes", "No")</f>
        <v>No</v>
      </c>
      <c r="EN26" s="429">
        <f t="shared" si="29"/>
        <v>0</v>
      </c>
      <c r="EO26" s="429">
        <f t="shared" si="30"/>
        <v>0</v>
      </c>
      <c r="EP26" s="429">
        <f t="shared" si="31"/>
        <v>2581527.2906674999</v>
      </c>
      <c r="EQ26" s="429">
        <f>'Concentration Limits'!$J$50</f>
        <v>24799670.364863332</v>
      </c>
      <c r="ER26" s="429">
        <f t="shared" si="32"/>
        <v>0</v>
      </c>
      <c r="ES26" s="429">
        <f t="shared" si="84"/>
        <v>0</v>
      </c>
      <c r="ET26" s="429">
        <f t="shared" si="33"/>
        <v>2581527.2906674999</v>
      </c>
      <c r="EU26" s="429">
        <f>'Concentration Limits'!$J$51</f>
        <v>74399011.094589993</v>
      </c>
      <c r="EV26" s="429" t="str">
        <f>IF(OR(D26="Second Lien", AND(D26="FILO",DI26&gt;AGENT!$C$59)), "Yes", "No")</f>
        <v>No</v>
      </c>
      <c r="EW26" s="429">
        <f t="shared" si="34"/>
        <v>0</v>
      </c>
      <c r="EX26" s="429">
        <f t="shared" si="35"/>
        <v>0</v>
      </c>
      <c r="EY26" s="429">
        <f t="shared" si="36"/>
        <v>2581527.2906674999</v>
      </c>
      <c r="EZ26" s="429">
        <f>'Concentration Limits'!$J$52</f>
        <v>37199505.547294997</v>
      </c>
      <c r="FA26" s="429" t="str">
        <f>IF(CY26&gt;'Concentration Limits'!$E$52, "No", "Yes")</f>
        <v>No</v>
      </c>
      <c r="FB26" s="429">
        <f t="shared" si="37"/>
        <v>0</v>
      </c>
      <c r="FC26" s="429">
        <f t="shared" si="38"/>
        <v>0</v>
      </c>
      <c r="FD26" s="429">
        <f t="shared" si="39"/>
        <v>2581527.2906674999</v>
      </c>
      <c r="FE26" s="430">
        <f>'Concentration Limits'!$J$54</f>
        <v>247996703.6486333</v>
      </c>
      <c r="FF26" s="430">
        <f>'Concentration Limits'!$J$55</f>
        <v>247996703.6486333</v>
      </c>
      <c r="FG26" s="430">
        <f>'Concentration Limits'!$J$56</f>
        <v>247996703.6486333</v>
      </c>
      <c r="FH26" s="431">
        <f>'Concentration Limits'!$J$57</f>
        <v>18599752.773647498</v>
      </c>
      <c r="FI26" s="431">
        <f t="shared" si="40"/>
        <v>2581527.2906674999</v>
      </c>
      <c r="FJ26" s="431">
        <f t="shared" si="41"/>
        <v>2581527.2906674999</v>
      </c>
      <c r="FK26" s="431">
        <f t="shared" si="42"/>
        <v>27</v>
      </c>
      <c r="FL26" s="431">
        <f>IF(FJ26&gt;0,RANK(FJ26,$FJ$9:$FJ$60)+COUNTIF($FJ$9:FJ26,FJ26)-1,0)</f>
        <v>27</v>
      </c>
      <c r="FM26" s="430">
        <f t="shared" si="43"/>
        <v>0</v>
      </c>
      <c r="FN26" s="430">
        <f t="shared" si="44"/>
        <v>0</v>
      </c>
      <c r="FO26" s="430">
        <f t="shared" si="45"/>
        <v>0</v>
      </c>
      <c r="FP26" s="431">
        <f t="shared" si="46"/>
        <v>0</v>
      </c>
      <c r="FQ26" s="431">
        <f t="shared" si="47"/>
        <v>2581527.2906674999</v>
      </c>
      <c r="FR26" s="431">
        <f>'Concentration Limits'!$J$58</f>
        <v>49599340.729726665</v>
      </c>
      <c r="FS26" s="431">
        <f t="shared" si="48"/>
        <v>13656662.095759427</v>
      </c>
      <c r="FT26" s="431">
        <f>VLOOKUP(BR26,'Concentration Limits'!$E$81:$H$153,4,FALSE)</f>
        <v>7</v>
      </c>
      <c r="FU26" s="431">
        <f t="shared" si="49"/>
        <v>0</v>
      </c>
      <c r="FV26" s="431">
        <f t="shared" si="50"/>
        <v>2581527.2906674999</v>
      </c>
      <c r="FW26" s="431">
        <f>'Concentration Limits'!$J$59</f>
        <v>37199505.547294997</v>
      </c>
      <c r="FX26" s="431">
        <f t="shared" si="51"/>
        <v>13656662.095759427</v>
      </c>
      <c r="FY26" s="431">
        <f>VLOOKUP(BR26,'Concentration Limits'!$E$81:$H$153,4,FALSE)</f>
        <v>7</v>
      </c>
      <c r="FZ26" s="431">
        <f t="shared" si="52"/>
        <v>0</v>
      </c>
      <c r="GA26" s="431">
        <f t="shared" si="53"/>
        <v>2581527.2906674999</v>
      </c>
      <c r="GB26" s="431">
        <f>'Concentration Limits'!$J$61</f>
        <v>24799670.364863332</v>
      </c>
      <c r="GC26" s="431">
        <f t="shared" si="54"/>
        <v>13656662.095759427</v>
      </c>
      <c r="GD26" s="429">
        <f>VLOOKUP(BR26,'Concentration Limits'!$E$81:$H$153,4,FALSE)</f>
        <v>7</v>
      </c>
      <c r="GE26" s="431">
        <f t="shared" si="55"/>
        <v>0</v>
      </c>
      <c r="GF26" s="431">
        <f t="shared" si="56"/>
        <v>2581527.2906674999</v>
      </c>
      <c r="GG26" s="431">
        <f>'Concentration Limits'!$J$64</f>
        <v>24799670.364863332</v>
      </c>
      <c r="GH26" s="431">
        <f t="shared" si="57"/>
        <v>0</v>
      </c>
      <c r="GI26" s="431">
        <f t="shared" si="58"/>
        <v>0</v>
      </c>
      <c r="GJ26" s="431">
        <f t="shared" si="59"/>
        <v>2581527.2906674999</v>
      </c>
      <c r="GK26" s="431">
        <f>'Concentration Limits'!$J$67</f>
        <v>24799670.364863332</v>
      </c>
      <c r="GL26" s="429" t="str">
        <f t="shared" si="60"/>
        <v>No</v>
      </c>
      <c r="GM26" s="431">
        <f t="shared" si="61"/>
        <v>0</v>
      </c>
      <c r="GN26" s="431">
        <f t="shared" si="62"/>
        <v>0</v>
      </c>
      <c r="GO26" s="431">
        <f t="shared" si="63"/>
        <v>2581527.2906674999</v>
      </c>
      <c r="GP26" s="431">
        <f>'Concentration Limits'!$J$68</f>
        <v>37199505.547294997</v>
      </c>
      <c r="GQ26" s="429" t="str">
        <f t="shared" si="64"/>
        <v>No</v>
      </c>
      <c r="GR26" s="431">
        <f t="shared" si="65"/>
        <v>0</v>
      </c>
      <c r="GS26" s="431">
        <f t="shared" si="66"/>
        <v>0</v>
      </c>
      <c r="GT26" s="431">
        <f t="shared" si="67"/>
        <v>2581527.2906674999</v>
      </c>
      <c r="GU26" s="429">
        <f>'Concentration Limits'!$J$69</f>
        <v>37199505.547294997</v>
      </c>
      <c r="GV26" s="429" t="str">
        <f t="shared" si="68"/>
        <v>No</v>
      </c>
      <c r="GW26" s="429">
        <f t="shared" si="69"/>
        <v>0</v>
      </c>
      <c r="GX26" s="429">
        <f t="shared" si="70"/>
        <v>0</v>
      </c>
      <c r="GY26" s="429">
        <f t="shared" si="71"/>
        <v>2581527.2906674999</v>
      </c>
      <c r="GZ26" s="429">
        <f>'Concentration Limits'!$J$70</f>
        <v>24799670.364863332</v>
      </c>
      <c r="HA26" s="429" t="str">
        <f t="shared" si="72"/>
        <v>No</v>
      </c>
      <c r="HB26" s="429">
        <f t="shared" si="73"/>
        <v>0</v>
      </c>
      <c r="HC26" s="429">
        <f t="shared" si="74"/>
        <v>0</v>
      </c>
      <c r="HD26" s="429">
        <f t="shared" si="75"/>
        <v>2581527.2906674999</v>
      </c>
      <c r="HE26" s="431">
        <f t="shared" si="76"/>
        <v>0</v>
      </c>
      <c r="HF26" s="431">
        <f t="shared" si="77"/>
        <v>0</v>
      </c>
      <c r="HG26" s="431">
        <f t="shared" si="78"/>
        <v>2581527.2906674999</v>
      </c>
      <c r="HH26" s="431">
        <f t="shared" si="79"/>
        <v>0</v>
      </c>
      <c r="HI26" s="431">
        <f>IF(BE26=0,0,#REF!*BE26/(BE26+BG26))</f>
        <v>0</v>
      </c>
      <c r="HJ26" s="431">
        <f>IF(BG26=0,0,#REF!*BG26/(BG26+BE26))</f>
        <v>0</v>
      </c>
      <c r="HK26" s="857">
        <f>IF(BF26=0,0,#REF!*BF26/(BF26+BH26))</f>
        <v>0</v>
      </c>
      <c r="HL26" s="431">
        <f>IF(BH26=0,0,#REF!*BH26/(BH26+BF26))</f>
        <v>0</v>
      </c>
      <c r="HM26" s="431">
        <f t="shared" si="80"/>
        <v>0</v>
      </c>
      <c r="HN26" s="431" t="b">
        <f t="shared" si="81"/>
        <v>1</v>
      </c>
    </row>
    <row r="27" spans="1:222" s="432" customFormat="1" ht="12.75" customHeight="1" x14ac:dyDescent="0.35">
      <c r="A27" s="49">
        <f t="shared" si="82"/>
        <v>19</v>
      </c>
      <c r="B27" s="404" t="str">
        <f>INDEX('Loan Tape - Settled'!$B$4:$AP$55,MATCH($A27,'Loan Tape - Settled'!$E$4:$E$55,0),MATCH("Obligor Name",'Loan Tape - Settled'!$B$4:$AM$4,0))</f>
        <v>Watt Contracting Holdings</v>
      </c>
      <c r="C27" s="404" t="str">
        <f>INDEX('Loan Tape - Settled'!$B$4:$AP$55,MATCH($A27,'Loan Tape - Settled'!$E$4:$E$55,0),MATCH("Security",'Loan Tape - Settled'!$B$4:$AM$4,0))</f>
        <v>1st Lien</v>
      </c>
      <c r="D27" s="405" t="str">
        <f>INDEX('Loan Tape - Settled'!$B$4:$AP$55,MATCH($A27,'Loan Tape - Settled'!$E$4:$E$55,0),MATCH("Loan Type",'Loan Tape - Settled'!$B$4:$AM$4,0))</f>
        <v>First Lien</v>
      </c>
      <c r="E27" s="406" t="b">
        <f>IF(ISERROR(MATCH(D27,AGENT!$A$4:$A$10,0))=FALSE, TRUE)</f>
        <v>1</v>
      </c>
      <c r="F27" s="406" t="b">
        <f t="shared" si="0"/>
        <v>1</v>
      </c>
      <c r="G27" s="406" t="b">
        <f>IF(D27&lt;&gt;"Second Lien",TRUE, IF(CY27&gt;=AGENT!$B$4,TRUE))</f>
        <v>1</v>
      </c>
      <c r="H27" s="406" t="b">
        <f>IF(DE27&lt;=AGENT!$D$4,TRUE)</f>
        <v>1</v>
      </c>
      <c r="I27" s="406" t="b">
        <f>IF(VLOOKUP(CONCATENATE($A$5,A27),'Loan Tape - Settled'!$A$5:$Q$55,17,FALSE)&gt;=AGENT!$E$4,TRUE)</f>
        <v>1</v>
      </c>
      <c r="J27" s="406" t="b">
        <f>IF(INDEX('Loan Tape - Settled'!$B$4:$AP$55,MATCH($A27,'Loan Tape - Settled'!$E$4:$E$55,0),MATCH("Loan Denomination",'Loan Tape - Settled'!$B$4:$AP$4,0))="USD", TRUE)</f>
        <v>1</v>
      </c>
      <c r="K27" s="406" t="b">
        <f>IF(INDEX('Loan Tape - Settled'!$B$4:$AP$55,MATCH($A27,'Loan Tape - Settled'!$E$4:$E$55,0),MATCH("Exposure Country",'Loan Tape - Settled'!$B$4:$AP$4,0))="United States", TRUE)</f>
        <v>1</v>
      </c>
      <c r="L27" s="406" t="b">
        <f t="shared" si="1"/>
        <v>1</v>
      </c>
      <c r="M27" s="406" t="b">
        <f>IF(((BM27-BL27)/365)&lt;=AGENT!$F$4,TRUE)</f>
        <v>1</v>
      </c>
      <c r="N27" s="406" t="b">
        <f t="shared" si="2"/>
        <v>0</v>
      </c>
      <c r="O27" s="453"/>
      <c r="P27" s="709" t="str">
        <f t="shared" si="3"/>
        <v>No</v>
      </c>
      <c r="Q27" s="680" t="s">
        <v>243</v>
      </c>
      <c r="R27" s="407" t="str">
        <f t="shared" si="4"/>
        <v>N/A</v>
      </c>
      <c r="S27" s="407"/>
      <c r="T27" s="408" t="str">
        <f t="array" ref="T27">_xlfn.IFS(D27="Second Lien",D27,D27="First Lien",CONCATENATE(D27," ",EI27),D27="FILO",CONCATENATE(D27," ",EJ27))</f>
        <v>First Lien &lt;= $10MM</v>
      </c>
      <c r="U27" s="409">
        <f>VLOOKUP(T27,'Concentration Limits'!D:G,4,FALSE)</f>
        <v>0.625</v>
      </c>
      <c r="V27" s="410">
        <f t="shared" si="5"/>
        <v>0</v>
      </c>
      <c r="W27" s="448">
        <f>(SUMIFS('Loan Tape - Settled'!$AR$4:$AR$55,'Loan Tape - Settled'!$E$4:$E$55,$A27,'Loan Tape - Settled'!$C$4:$C$55,$A$5))</f>
        <v>1602557.3769414299</v>
      </c>
      <c r="X27" s="449">
        <v>1</v>
      </c>
      <c r="Y27" s="411">
        <f t="shared" si="6"/>
        <v>1602557.3769414299</v>
      </c>
      <c r="Z27" s="449">
        <f>(SUMIFS('Loan Tape - Settled'!$AQ$4:$AQ$55,'Loan Tape - Settled'!$E$4:$E$55,$A27,'Loan Tape - Settled'!$C$4:$C$55,$A$5))</f>
        <v>1602557.3769414299</v>
      </c>
      <c r="AA27" s="411">
        <f t="shared" si="7"/>
        <v>1602557.3769414299</v>
      </c>
      <c r="AB27" s="411">
        <f t="shared" si="8"/>
        <v>0</v>
      </c>
      <c r="AC27" s="450">
        <f>VLOOKUP(CONCATENATE($A$5,A27),'Loan Tape - Settled'!$A$5:$Q$55,17,FALSE)</f>
        <v>1</v>
      </c>
      <c r="AD27" s="412"/>
      <c r="AE27" s="413">
        <f>INDEX('Loan Tape - Settled'!$B$4:$AP$55,MATCH($A27,'Loan Tape - Settled'!$E$4:$E$55,0),MATCH("FMV",'Loan Tape - Settled'!$B$4:$AM$4,0))</f>
        <v>1</v>
      </c>
      <c r="AF27" s="413">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1</v>
      </c>
      <c r="AG27" s="414" t="str">
        <f>IF(COUNTIFS(VAE!$C$5:$C$96,B27,VAE!$G$5:$G$96,"&lt;="&amp;Availability!$F$8)&gt;=1,"Yes","-")</f>
        <v>-</v>
      </c>
      <c r="AH27" s="414" t="str">
        <f t="array" ref="AH27">IFERROR(IF(AG27="Yes",INDEX(VAE!$D$5:$D$96,MATCH(B27&amp;AJ27,VAE!$C$5:$C$96&amp;VAE!$G$5:$G$96,0)),"-"),0)</f>
        <v>-</v>
      </c>
      <c r="AI27" s="414" t="str">
        <f t="array" ref="AI27">IFERROR(IF(AG27="Yes",INDEX(VAE!$F$5:$F$96,MATCH(B27&amp;AJ27,VAE!$C$5:$C$96&amp;VAE!$G$5:$G$96,0)),"-"),0)</f>
        <v>-</v>
      </c>
      <c r="AJ27" s="415" t="str">
        <f>IF(AG27="-","-",_xlfn.MAXIFS(VAE!$G$5:$G$96,VAE!$C$5:$C$96,$B27))</f>
        <v>-</v>
      </c>
      <c r="AK27" s="416" t="str">
        <f t="array" ref="AK27">IFERROR(IF(AG27="Yes",INDEX(VAE!$P$5:$P$96,MATCH(B27&amp;AJ27,VAE!$C$5:$C$96&amp;VAE!$G$5:$G$96,0)),"-"),0)</f>
        <v>-</v>
      </c>
      <c r="AL27" s="413">
        <f t="shared" si="9"/>
        <v>0</v>
      </c>
      <c r="AM27" s="410"/>
      <c r="AN27" s="410"/>
      <c r="AO27" s="410">
        <f t="shared" si="10"/>
        <v>0</v>
      </c>
      <c r="AP27" s="410">
        <f t="shared" si="11"/>
        <v>1602557.3769414299</v>
      </c>
      <c r="AQ27" s="410">
        <f t="shared" si="83"/>
        <v>0</v>
      </c>
      <c r="AR27" s="410"/>
      <c r="AS27" s="410"/>
      <c r="AT27" s="410"/>
      <c r="AU27" s="410">
        <f t="shared" si="12"/>
        <v>0</v>
      </c>
      <c r="AV27" s="410">
        <f t="shared" si="13"/>
        <v>0</v>
      </c>
      <c r="AW27" s="410">
        <f t="shared" si="14"/>
        <v>0</v>
      </c>
      <c r="AX27" s="410"/>
      <c r="AY27" s="410"/>
      <c r="AZ27" s="410"/>
      <c r="BA27" s="410">
        <f t="shared" si="15"/>
        <v>0</v>
      </c>
      <c r="BB27" s="410"/>
      <c r="BC27" s="410"/>
      <c r="BD27" s="410">
        <f t="shared" si="16"/>
        <v>0</v>
      </c>
      <c r="BE27" s="410"/>
      <c r="BF27" s="410"/>
      <c r="BG27" s="410"/>
      <c r="BH27" s="410"/>
      <c r="BI27" s="410">
        <f t="shared" si="17"/>
        <v>0</v>
      </c>
      <c r="BJ27" s="410" t="b">
        <f t="shared" si="18"/>
        <v>1</v>
      </c>
      <c r="BK27" s="509">
        <f>INDEX('Loan Tape - Settled'!$B$4:$AP$55,MATCH($A27,'Loan Tape - Settled'!$E$4:$E$55,0),MATCH("Inception Date",'Loan Tape - Settled'!$B$4:$AP$4,0))</f>
        <v>44676</v>
      </c>
      <c r="BL27" s="509">
        <f>INDEX('Loan Tape - Settled'!$B$4:$AP$55,MATCH($A27,'Loan Tape - Settled'!$E$4:$E$55,0),MATCH("Inclusion Date",'Loan Tape - Settled'!$B$4:$AP$4,0))</f>
        <v>44676</v>
      </c>
      <c r="BM27" s="509">
        <f>INDEX('Loan Tape - Settled'!$B$4:$AP$55,MATCH($A27,'Loan Tape - Settled'!$E$4:$E$55,0),MATCH("Maturity Date",'Loan Tape - Settled'!$B$4:$AP$4,0))</f>
        <v>46492</v>
      </c>
      <c r="BN27" s="510"/>
      <c r="BO27" s="510"/>
      <c r="BP27" s="511"/>
      <c r="BQ27" s="510"/>
      <c r="BR27" s="512" t="str">
        <f>INDEX('Loan Tape - Settled'!$B$4:$AP$55,MATCH($A27,'Loan Tape - Settled'!$E$4:$E$55,0),MATCH("Industry Classification",'Loan Tape - Settled'!$B$4:$AP$4,0))</f>
        <v>Construction &amp; Engineering</v>
      </c>
      <c r="BS27" s="510" t="str">
        <f>IF(INDEX('Loan Tape - Settled'!$B$4:$AP$55,MATCH($A27,'Loan Tape - Settled'!$E$4:$E$55,0),MATCH("Covenant Lite",'Loan Tape - Settled'!$B$4:$AP$4,0))=-1, "Yes", "No")</f>
        <v>No</v>
      </c>
      <c r="BT27" s="513">
        <f>INDEX('Loan Tape - Settled'!$B$4:$AP$55,MATCH($A27,'Loan Tape - Settled'!$E$4:$E$55,0),MATCH("Spread / Coupon (%)",'Loan Tape - Settled'!$B$4:$AP$4,0))</f>
        <v>8.686316999999999E-2</v>
      </c>
      <c r="BU27" s="510" t="str">
        <f>IF(INDEX('Loan Tape - Settled'!$B$4:$AP$55,MATCH($A27,'Loan Tape - Settled'!$E$4:$E$55,0),MATCH("Security Type",'Loan Tape - Settled'!$B$4:$AP$4,0))="Delayed Draw Term Loan", "Yes", "No")</f>
        <v>No</v>
      </c>
      <c r="BV27" s="514" t="s">
        <v>244</v>
      </c>
      <c r="BW27" s="514" t="s">
        <v>243</v>
      </c>
      <c r="BX27" s="506" t="s">
        <v>244</v>
      </c>
      <c r="BY27" s="510" t="str">
        <f>IF(INDEX('Loan Tape - Settled'!$B$4:$AP$55,MATCH($A27,'Loan Tape - Settled'!$E$4:$E$55,0),MATCH("Fixed/Floating",'Loan Tape - Settled'!$B$4:$AP$4,0))="Fixed", "Yes", "No")</f>
        <v>No</v>
      </c>
      <c r="BZ27" s="514" t="s">
        <v>244</v>
      </c>
      <c r="CA27" s="514" t="s">
        <v>244</v>
      </c>
      <c r="CB27" s="510" t="str">
        <f>IF(INDEX('Loan Tape - Settled'!$B$4:$AP$55,MATCH($A27,'Loan Tape - Settled'!$E$4:$E$55,0),MATCH("Loan Denomination",'Loan Tape - Settled'!$B$4:$AP$4,0))="CAD", "Yes", "No")</f>
        <v>No</v>
      </c>
      <c r="CC27" s="510" t="str">
        <f>INDEX('Loan Tape - Settled'!$B$4:$AP$55,MATCH($A27,'Loan Tape - Settled'!$E$4:$E$55,0),MATCH("Payment Frequency",'Loan Tape - Settled'!$B$4:$AP$4,0))</f>
        <v>M</v>
      </c>
      <c r="CD27" s="514" t="s">
        <v>244</v>
      </c>
      <c r="CE27" s="510">
        <f>INDEX('Loan Tape - Settled'!$B$4:$AP$55,MATCH($A27,'Loan Tape - Settled'!$E$4:$E$55,0),MATCH("S&amp;P Loan Rating (if applicable)",'Loan Tape - Settled'!$B$4:$AP$4,0))</f>
        <v>0</v>
      </c>
      <c r="CF27" s="510">
        <f>INDEX('Loan Tape - Settled'!$B$4:$AP$55,MATCH($A27,'Loan Tape - Settled'!$E$4:$E$55,0),MATCH("Moody's Loan Rating (if applicable)",'Loan Tape - Settled'!$B$4:$AP$4,0))</f>
        <v>0</v>
      </c>
      <c r="CG27" s="510"/>
      <c r="CH27" s="510"/>
      <c r="CI27" s="515"/>
      <c r="CJ27" s="508" t="str">
        <f>INDEX('Loan Tape - Settled'!$B$4:$BF$55,MATCH($A27,'Loan Tape - Settled'!$E$4:$E$55,0),MATCH("Last Financial Received",'Loan Tape - Settled'!$B$4:$BF$4,0))</f>
        <v>9/30/2025 or Latest Financing</v>
      </c>
      <c r="CK27" s="516">
        <f>INDEX('Loan Tape - Settled'!$B$4:$BJ$55,MATCH($A27,'Loan Tape - Settled'!$E$4:$E$55,0),MATCH("Initial Adjusted TTM EBITDA",'Loan Tape - Settled'!$B$4:$BJ$4,0))</f>
        <v>7.8150000000000004</v>
      </c>
      <c r="CL27" s="516">
        <f>INDEX('Loan Tape - Settled'!$B$4:$BJ$55,MATCH($A27,'Loan Tape - Settled'!$E$4:$E$55,0),MATCH("Initial TTM Non-adjusted EBITDA",'Loan Tape - Settled'!$B$4:$BJ$4,0))</f>
        <v>7.8150000000000004</v>
      </c>
      <c r="CM27" s="417"/>
      <c r="CN27" s="418"/>
      <c r="CO27" s="418"/>
      <c r="CP27" s="419"/>
      <c r="CQ27" s="420" t="s">
        <v>245</v>
      </c>
      <c r="CR27" s="419"/>
      <c r="CS27" s="421">
        <f t="shared" si="19"/>
        <v>7.8150000000000004</v>
      </c>
      <c r="CT27" s="422">
        <f t="shared" si="20"/>
        <v>0</v>
      </c>
      <c r="CU27" s="516">
        <f>INDEX('Loan Tape - Settled'!$B$4:$BJ$55,MATCH($A27,'Loan Tape - Settled'!$E$4:$E$55,0),MATCH("Current TTM Non-adjusted EBITDA",'Loan Tape - Settled'!$B$4:$BJ$4,0))</f>
        <v>6.6062166600000003</v>
      </c>
      <c r="CV27" s="423">
        <f t="shared" si="21"/>
        <v>0</v>
      </c>
      <c r="CW27" s="652" t="s">
        <v>245</v>
      </c>
      <c r="CX27" s="517"/>
      <c r="CY27" s="658">
        <f t="shared" si="22"/>
        <v>6.6062166600000003</v>
      </c>
      <c r="CZ27" s="656"/>
      <c r="DA27" s="518"/>
      <c r="DB27" s="519"/>
      <c r="DC27" s="853"/>
      <c r="DD27" s="853">
        <f>INDEX('Loan Tape - Settled'!$B$4:$BJ$55,MATCH($A27,'Loan Tape - Settled'!$E$4:$E$55,0),MATCH("Initial Senior Net Leverage Senior",'Loan Tape - Settled'!$B$4:$BJ$4,0))</f>
        <v>2.1512476007677539</v>
      </c>
      <c r="DE27" s="659">
        <f>INDEX('Loan Tape - Settled'!$B$4:$BJ$55,MATCH($A27,'Loan Tape - Settled'!$E$4:$E$55,0),MATCH("Initial Total Net Leverage",'Loan Tape - Settled'!$B$4:$BJ$4,0))</f>
        <v>2.1512476007677539</v>
      </c>
      <c r="DF27" s="656"/>
      <c r="DG27" s="518"/>
      <c r="DH27" s="519"/>
      <c r="DI27" s="424">
        <f>INDEX('Loan Tape - Settled'!$B$4:$BJ$55,MATCH($A27,'Loan Tape - Settled'!$E$4:$E$55,0),MATCH("Net Attachment",'Loan Tape - Settled'!$B$4:$BJ$4,0))</f>
        <v>0.27277416148201228</v>
      </c>
      <c r="DJ27" s="522">
        <f t="array" ref="DJ27">IF(AG27="Yes",INDEX(VAE!$M$5:$M$53,MATCH($B27&amp;$AJ27,VAE!$C$5:$C$53&amp;VAE!$G$5:$G$53,0)),DD27)</f>
        <v>2.1512476007677539</v>
      </c>
      <c r="DK27" s="649">
        <f t="array" ref="DK27">IF(AG27="Yes",INDEX(VAE!$N$5:$N$53,MATCH($B27&amp;$AJ27,VAE!$C$5:$C$53&amp;VAE!$G$5:$G$53,0)),DE27)</f>
        <v>2.1512476007677539</v>
      </c>
      <c r="DL27" s="651">
        <f>INDEX('Loan Tape - Settled'!$B$4:$BJ$55,MATCH($A27,'Loan Tape - Settled'!$E$4:$E$55,0),MATCH("Current Senior Net Leverage Senior",'Loan Tape - Settled'!$B$4:$BJ$4,0))</f>
        <v>1.1616193622974893</v>
      </c>
      <c r="DM27" s="433">
        <f>INDEX('Loan Tape - Settled'!$B$4:$BJ$55,MATCH($A27,'Loan Tape - Settled'!$E$4:$E$55,0),MATCH("Current Total Net Leverage",'Loan Tape - Settled'!$B$4:$BJ$4,0))</f>
        <v>1.1616193622974893</v>
      </c>
      <c r="DN27" s="425"/>
      <c r="DO27" s="426">
        <f>INDEX('Loan Tape - Settled'!$B$4:$BJ$55,MATCH($A27,'Loan Tape - Settled'!$E$4:$E$55,0),MATCH("Initial Interest Coverage",'Loan Tape - Settled'!$B$4:$BJ$4,0))</f>
        <v>3.66</v>
      </c>
      <c r="DP27" s="854">
        <f t="array" ref="DP27">IF(AG27="Yes",INDEX(VAE!$O$5:$O$53,MATCH($B27&amp;$AJ27,VAE!$C$5:$C$53&amp;VAE!$G$5:$G$53,0)),DO27)</f>
        <v>3.66</v>
      </c>
      <c r="DQ27" s="427">
        <f>INDEX('Loan Tape - Settled'!$B$4:$BJ$55,MATCH($A27,'Loan Tape - Settled'!$E$4:$E$55,0),MATCH("Current Interest Coverage",'Loan Tape - Settled'!$B$4:$BJ$4,0))</f>
        <v>3.2237242965030002</v>
      </c>
      <c r="DR27" s="855" t="str">
        <f t="shared" si="23"/>
        <v>Yes</v>
      </c>
      <c r="DS27" s="428" t="str">
        <f>IF(AG27="Yes",DATEDIF(AJ27,Availability!$F$8,"m"),"")</f>
        <v/>
      </c>
      <c r="DT27" s="428" t="str">
        <f t="shared" si="24"/>
        <v>No</v>
      </c>
      <c r="DU27" s="647" t="str">
        <f t="shared" si="25"/>
        <v>No</v>
      </c>
      <c r="DV27" s="648" t="str">
        <f t="shared" si="26"/>
        <v>No</v>
      </c>
      <c r="DW27" s="648" t="str">
        <f t="array" ref="DW27">_xlfn.IFS(D27&lt;&gt;"Second Lien","No",D27="Second Lien",IF(AND((DM27-DK27)&gt;0.5,DM27&gt;4.5),"Yes","No"))</f>
        <v>No</v>
      </c>
      <c r="DX27" s="685" t="s">
        <v>243</v>
      </c>
      <c r="DY27" s="685" t="s">
        <v>244</v>
      </c>
      <c r="DZ27" s="686" t="s">
        <v>243</v>
      </c>
      <c r="EA27" s="686" t="s">
        <v>243</v>
      </c>
      <c r="EB27" s="686" t="s">
        <v>243</v>
      </c>
      <c r="EC27" s="686" t="s">
        <v>244</v>
      </c>
      <c r="ED27" s="686" t="s">
        <v>244</v>
      </c>
      <c r="EE27" s="686" t="s">
        <v>244</v>
      </c>
      <c r="EF27" s="409" t="str">
        <f t="shared" si="27"/>
        <v>Yes</v>
      </c>
      <c r="EG27" s="686" t="s">
        <v>244</v>
      </c>
      <c r="EH27" s="691" t="s">
        <v>244</v>
      </c>
      <c r="EI27" s="856" t="str">
        <f t="array" ref="EI27">IF(D27="First Lien",_xlfn.IFS(CY27&gt;AGENT!$B$23, "&gt; $20MM",CY27&lt;=AGENT!$C$25, "&lt;= $10MM",AND(CY27&lt;=AGENT!$C$24,CY27&gt;AGENT!$B$24),"&lt;= $20MM"), "N/A")</f>
        <v>&lt;= $10MM</v>
      </c>
      <c r="EJ27" s="856" t="str">
        <f t="array" ref="EJ27">IF(D27="FILO",_xlfn.IFS(DI27&gt;AGENT!$B$29, "&gt; 1.25x",DI27&lt;AGENT!$C$27, "&lt; 0.75x",AND(DI27&lt;=AGENT!$C$28,DI27&gt;=AGENT!$B$28),"&lt;= 1.25x"), "N/A")</f>
        <v>N/A</v>
      </c>
      <c r="EK27" s="429">
        <f t="shared" si="28"/>
        <v>0</v>
      </c>
      <c r="EL27" s="429">
        <f>'Concentration Limits'!$J$49</f>
        <v>49599340.729726665</v>
      </c>
      <c r="EM27" s="429" t="str">
        <f>IF(OR(D27="Second Lien",AND(D27="FILO",DI27&gt;AGENT!$C$57)), "Yes", "No")</f>
        <v>No</v>
      </c>
      <c r="EN27" s="429">
        <f t="shared" si="29"/>
        <v>0</v>
      </c>
      <c r="EO27" s="429">
        <f t="shared" si="30"/>
        <v>0</v>
      </c>
      <c r="EP27" s="429">
        <f t="shared" si="31"/>
        <v>0</v>
      </c>
      <c r="EQ27" s="429">
        <f>'Concentration Limits'!$J$50</f>
        <v>24799670.364863332</v>
      </c>
      <c r="ER27" s="429">
        <f t="shared" si="32"/>
        <v>0</v>
      </c>
      <c r="ES27" s="429">
        <f t="shared" si="84"/>
        <v>0</v>
      </c>
      <c r="ET27" s="429">
        <f t="shared" si="33"/>
        <v>0</v>
      </c>
      <c r="EU27" s="429">
        <f>'Concentration Limits'!$J$51</f>
        <v>74399011.094589993</v>
      </c>
      <c r="EV27" s="429" t="str">
        <f>IF(OR(D27="Second Lien", AND(D27="FILO",DI27&gt;AGENT!$C$59)), "Yes", "No")</f>
        <v>No</v>
      </c>
      <c r="EW27" s="429">
        <f t="shared" si="34"/>
        <v>0</v>
      </c>
      <c r="EX27" s="429">
        <f t="shared" si="35"/>
        <v>0</v>
      </c>
      <c r="EY27" s="429">
        <f t="shared" si="36"/>
        <v>0</v>
      </c>
      <c r="EZ27" s="429">
        <f>'Concentration Limits'!$J$52</f>
        <v>37199505.547294997</v>
      </c>
      <c r="FA27" s="429" t="str">
        <f>IF(CY27&gt;'Concentration Limits'!$E$52, "No", "Yes")</f>
        <v>No</v>
      </c>
      <c r="FB27" s="429">
        <f t="shared" si="37"/>
        <v>0</v>
      </c>
      <c r="FC27" s="429">
        <f t="shared" si="38"/>
        <v>0</v>
      </c>
      <c r="FD27" s="429">
        <f t="shared" si="39"/>
        <v>0</v>
      </c>
      <c r="FE27" s="430">
        <f>'Concentration Limits'!$J$54</f>
        <v>247996703.6486333</v>
      </c>
      <c r="FF27" s="430">
        <f>'Concentration Limits'!$J$55</f>
        <v>247996703.6486333</v>
      </c>
      <c r="FG27" s="430">
        <f>'Concentration Limits'!$J$56</f>
        <v>247996703.6486333</v>
      </c>
      <c r="FH27" s="431">
        <f>'Concentration Limits'!$J$57</f>
        <v>18599752.773647498</v>
      </c>
      <c r="FI27" s="431">
        <f t="shared" si="40"/>
        <v>0</v>
      </c>
      <c r="FJ27" s="431">
        <f t="shared" si="41"/>
        <v>0</v>
      </c>
      <c r="FK27" s="431">
        <f t="shared" si="42"/>
        <v>0</v>
      </c>
      <c r="FL27" s="431">
        <f>IF(FJ27&gt;0,RANK(FJ27,$FJ$9:$FJ$60)+COUNTIF($FJ$9:FJ27,FJ27)-1,0)</f>
        <v>0</v>
      </c>
      <c r="FM27" s="430">
        <f t="shared" si="43"/>
        <v>0</v>
      </c>
      <c r="FN27" s="430">
        <f t="shared" si="44"/>
        <v>0</v>
      </c>
      <c r="FO27" s="430">
        <f t="shared" si="45"/>
        <v>0</v>
      </c>
      <c r="FP27" s="431">
        <f t="shared" si="46"/>
        <v>0</v>
      </c>
      <c r="FQ27" s="431">
        <f t="shared" si="47"/>
        <v>0</v>
      </c>
      <c r="FR27" s="431">
        <f>'Concentration Limits'!$J$58</f>
        <v>49599340.729726665</v>
      </c>
      <c r="FS27" s="431">
        <f t="shared" si="48"/>
        <v>46042971.865242489</v>
      </c>
      <c r="FT27" s="431">
        <f>VLOOKUP(BR27,'Concentration Limits'!$E$81:$H$153,4,FALSE)</f>
        <v>1</v>
      </c>
      <c r="FU27" s="431">
        <f t="shared" si="49"/>
        <v>0</v>
      </c>
      <c r="FV27" s="431">
        <f t="shared" si="50"/>
        <v>0</v>
      </c>
      <c r="FW27" s="431">
        <f>'Concentration Limits'!$J$59</f>
        <v>37199505.547294997</v>
      </c>
      <c r="FX27" s="431">
        <f t="shared" si="51"/>
        <v>46042971.865242489</v>
      </c>
      <c r="FY27" s="431">
        <f>VLOOKUP(BR27,'Concentration Limits'!$E$81:$H$153,4,FALSE)</f>
        <v>1</v>
      </c>
      <c r="FZ27" s="431">
        <f t="shared" si="52"/>
        <v>0</v>
      </c>
      <c r="GA27" s="431">
        <f t="shared" si="53"/>
        <v>0</v>
      </c>
      <c r="GB27" s="431">
        <f>'Concentration Limits'!$J$61</f>
        <v>24799670.364863332</v>
      </c>
      <c r="GC27" s="431">
        <f t="shared" si="54"/>
        <v>46042971.865242489</v>
      </c>
      <c r="GD27" s="429">
        <f>VLOOKUP(BR27,'Concentration Limits'!$E$81:$H$153,4,FALSE)</f>
        <v>1</v>
      </c>
      <c r="GE27" s="431">
        <f t="shared" si="55"/>
        <v>0</v>
      </c>
      <c r="GF27" s="431">
        <f t="shared" si="56"/>
        <v>0</v>
      </c>
      <c r="GG27" s="431">
        <f>'Concentration Limits'!$J$64</f>
        <v>24799670.364863332</v>
      </c>
      <c r="GH27" s="431">
        <f t="shared" si="57"/>
        <v>0</v>
      </c>
      <c r="GI27" s="431">
        <f t="shared" si="58"/>
        <v>0</v>
      </c>
      <c r="GJ27" s="431">
        <f t="shared" si="59"/>
        <v>0</v>
      </c>
      <c r="GK27" s="431">
        <f>'Concentration Limits'!$J$67</f>
        <v>24799670.364863332</v>
      </c>
      <c r="GL27" s="429" t="str">
        <f t="shared" si="60"/>
        <v>No</v>
      </c>
      <c r="GM27" s="431">
        <f t="shared" si="61"/>
        <v>0</v>
      </c>
      <c r="GN27" s="431">
        <f t="shared" si="62"/>
        <v>0</v>
      </c>
      <c r="GO27" s="431">
        <f t="shared" si="63"/>
        <v>0</v>
      </c>
      <c r="GP27" s="431">
        <f>'Concentration Limits'!$J$68</f>
        <v>37199505.547294997</v>
      </c>
      <c r="GQ27" s="429" t="str">
        <f t="shared" si="64"/>
        <v>No</v>
      </c>
      <c r="GR27" s="431">
        <f t="shared" si="65"/>
        <v>0</v>
      </c>
      <c r="GS27" s="431">
        <f t="shared" si="66"/>
        <v>0</v>
      </c>
      <c r="GT27" s="431">
        <f t="shared" si="67"/>
        <v>0</v>
      </c>
      <c r="GU27" s="429">
        <f>'Concentration Limits'!$J$69</f>
        <v>37199505.547294997</v>
      </c>
      <c r="GV27" s="429" t="str">
        <f t="shared" si="68"/>
        <v>Yes</v>
      </c>
      <c r="GW27" s="429">
        <f t="shared" si="69"/>
        <v>12656117.589817706</v>
      </c>
      <c r="GX27" s="429">
        <f t="shared" si="70"/>
        <v>0</v>
      </c>
      <c r="GY27" s="429">
        <f t="shared" si="71"/>
        <v>0</v>
      </c>
      <c r="GZ27" s="429">
        <f>'Concentration Limits'!$J$70</f>
        <v>24799670.364863332</v>
      </c>
      <c r="HA27" s="429" t="str">
        <f t="shared" si="72"/>
        <v>No</v>
      </c>
      <c r="HB27" s="429">
        <f t="shared" si="73"/>
        <v>0</v>
      </c>
      <c r="HC27" s="429">
        <f t="shared" si="74"/>
        <v>0</v>
      </c>
      <c r="HD27" s="429">
        <f t="shared" si="75"/>
        <v>0</v>
      </c>
      <c r="HE27" s="431">
        <f t="shared" si="76"/>
        <v>0</v>
      </c>
      <c r="HF27" s="431">
        <f t="shared" si="77"/>
        <v>0</v>
      </c>
      <c r="HG27" s="431">
        <f t="shared" si="78"/>
        <v>0</v>
      </c>
      <c r="HH27" s="431">
        <f t="shared" si="79"/>
        <v>0</v>
      </c>
      <c r="HI27" s="431">
        <f>IF(BE27=0,0,#REF!*BE27/(BE27+BG27))</f>
        <v>0</v>
      </c>
      <c r="HJ27" s="431">
        <f>IF(BG27=0,0,#REF!*BG27/(BG27+BE27))</f>
        <v>0</v>
      </c>
      <c r="HK27" s="857">
        <f>IF(BF27=0,0,#REF!*BF27/(BF27+BH27))</f>
        <v>0</v>
      </c>
      <c r="HL27" s="431">
        <f>IF(BH27=0,0,#REF!*BH27/(BH27+BF27))</f>
        <v>0</v>
      </c>
      <c r="HM27" s="431">
        <f t="shared" si="80"/>
        <v>0</v>
      </c>
      <c r="HN27" s="431" t="b">
        <f t="shared" si="81"/>
        <v>1</v>
      </c>
    </row>
    <row r="28" spans="1:222" s="432" customFormat="1" ht="12.75" customHeight="1" x14ac:dyDescent="0.35">
      <c r="A28" s="49">
        <f t="shared" si="82"/>
        <v>20</v>
      </c>
      <c r="B28" s="404" t="str">
        <f>INDEX('Loan Tape - Settled'!$B$4:$AP$55,MATCH($A28,'Loan Tape - Settled'!$E$4:$E$55,0),MATCH("Obligor Name",'Loan Tape - Settled'!$B$4:$AM$4,0))</f>
        <v>Klein Hersh</v>
      </c>
      <c r="C28" s="404" t="str">
        <f>INDEX('Loan Tape - Settled'!$B$4:$AP$55,MATCH($A28,'Loan Tape - Settled'!$E$4:$E$55,0),MATCH("Security",'Loan Tape - Settled'!$B$4:$AM$4,0))</f>
        <v>FILO</v>
      </c>
      <c r="D28" s="405" t="str">
        <f>INDEX('Loan Tape - Settled'!$B$4:$AP$55,MATCH($A28,'Loan Tape - Settled'!$E$4:$E$55,0),MATCH("Loan Type",'Loan Tape - Settled'!$B$4:$AM$4,0))</f>
        <v>FILO</v>
      </c>
      <c r="E28" s="406" t="b">
        <f>IF(ISERROR(MATCH(D28,AGENT!$A$4:$A$10,0))=FALSE, TRUE)</f>
        <v>1</v>
      </c>
      <c r="F28" s="406" t="b">
        <f t="shared" si="0"/>
        <v>1</v>
      </c>
      <c r="G28" s="406" t="b">
        <f>IF(D28&lt;&gt;"Second Lien",TRUE, IF(CY28&gt;=AGENT!$B$4,TRUE))</f>
        <v>1</v>
      </c>
      <c r="H28" s="406" t="b">
        <f>IF(DE28&lt;=AGENT!$D$4,TRUE)</f>
        <v>1</v>
      </c>
      <c r="I28" s="406" t="b">
        <f>IF(VLOOKUP(CONCATENATE($A$5,A28),'Loan Tape - Settled'!$A$5:$Q$55,17,FALSE)&gt;=AGENT!$E$4,TRUE)</f>
        <v>1</v>
      </c>
      <c r="J28" s="406" t="b">
        <f>IF(INDEX('Loan Tape - Settled'!$B$4:$AP$55,MATCH($A28,'Loan Tape - Settled'!$E$4:$E$55,0),MATCH("Loan Denomination",'Loan Tape - Settled'!$B$4:$AP$4,0))="USD", TRUE)</f>
        <v>1</v>
      </c>
      <c r="K28" s="406" t="b">
        <f>IF(INDEX('Loan Tape - Settled'!$B$4:$AP$55,MATCH($A28,'Loan Tape - Settled'!$E$4:$E$55,0),MATCH("Exposure Country",'Loan Tape - Settled'!$B$4:$AP$4,0))="United States", TRUE)</f>
        <v>1</v>
      </c>
      <c r="L28" s="406" t="b">
        <f t="shared" si="1"/>
        <v>1</v>
      </c>
      <c r="M28" s="406" t="b">
        <f>IF(((BM28-BL28)/365)&lt;=AGENT!$F$4,TRUE)</f>
        <v>1</v>
      </c>
      <c r="N28" s="406" t="b">
        <f t="shared" si="2"/>
        <v>1</v>
      </c>
      <c r="O28" s="453"/>
      <c r="P28" s="680" t="str">
        <f t="shared" si="3"/>
        <v>Yes</v>
      </c>
      <c r="Q28" s="680" t="s">
        <v>243</v>
      </c>
      <c r="R28" s="407" t="str">
        <f t="shared" si="4"/>
        <v>Klein Hersh</v>
      </c>
      <c r="S28" s="407"/>
      <c r="T28" s="408" t="str">
        <f t="array" ref="T28">_xlfn.IFS(D28="Second Lien",D28,D28="First Lien",CONCATENATE(D28," ",EI28),D28="FILO",CONCATENATE(D28," ",EJ28))</f>
        <v>FILO &lt; 0.75x</v>
      </c>
      <c r="U28" s="409">
        <f>VLOOKUP(T28,'Concentration Limits'!D:G,4,FALSE)</f>
        <v>0.625</v>
      </c>
      <c r="V28" s="410">
        <f t="shared" si="5"/>
        <v>0</v>
      </c>
      <c r="W28" s="448">
        <f>(SUMIFS('Loan Tape - Settled'!$AR$4:$AR$55,'Loan Tape - Settled'!$E$4:$E$55,$A28,'Loan Tape - Settled'!$C$4:$C$55,$A$5))</f>
        <v>14423881.374424499</v>
      </c>
      <c r="X28" s="449">
        <v>1</v>
      </c>
      <c r="Y28" s="411">
        <f t="shared" si="6"/>
        <v>14423881.374424499</v>
      </c>
      <c r="Z28" s="449">
        <f>(SUMIFS('Loan Tape - Settled'!$AQ$4:$AQ$55,'Loan Tape - Settled'!$E$4:$E$55,$A28,'Loan Tape - Settled'!$C$4:$C$55,$A$5))</f>
        <v>14423881.374424499</v>
      </c>
      <c r="AA28" s="411">
        <f t="shared" si="7"/>
        <v>14423881.374424499</v>
      </c>
      <c r="AB28" s="411">
        <f t="shared" si="8"/>
        <v>0</v>
      </c>
      <c r="AC28" s="450">
        <f>VLOOKUP(CONCATENATE($A$5,A28),'Loan Tape - Settled'!$A$5:$Q$55,17,FALSE)</f>
        <v>1</v>
      </c>
      <c r="AD28" s="412"/>
      <c r="AE28" s="413">
        <f>INDEX('Loan Tape - Settled'!$B$4:$AP$55,MATCH($A28,'Loan Tape - Settled'!$E$4:$E$55,0),MATCH("FMV",'Loan Tape - Settled'!$B$4:$AM$4,0))</f>
        <v>0.87644999999999995</v>
      </c>
      <c r="AF28" s="413">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0</v>
      </c>
      <c r="AG28" s="414" t="str">
        <f>IF(COUNTIFS(VAE!$C$5:$C$96,B28,VAE!$G$5:$G$96,"&lt;="&amp;Availability!$F$8)&gt;=1,"Yes","-")</f>
        <v>Yes</v>
      </c>
      <c r="AH28" s="414" t="str">
        <f t="array" ref="AH28">IFERROR(IF(AG28="Yes",INDEX(VAE!$D$5:$D$96,MATCH(B28&amp;AJ28,VAE!$C$5:$C$96&amp;VAE!$G$5:$G$96,0)),"-"),0)</f>
        <v>Increase in Lev</v>
      </c>
      <c r="AI28" s="414" t="str">
        <f t="array" ref="AI28">IFERROR(IF(AG28="Yes",INDEX(VAE!$F$5:$F$96,MATCH(B28&amp;AJ28,VAE!$C$5:$C$96&amp;VAE!$G$5:$G$96,0)),"-"),0)</f>
        <v>n/a</v>
      </c>
      <c r="AJ28" s="415">
        <f>IF(AG28="-","-",_xlfn.MAXIFS(VAE!$G$5:$G$96,VAE!$C$5:$C$96,$B28))</f>
        <v>45016</v>
      </c>
      <c r="AK28" s="416">
        <f t="array" ref="AK28">IFERROR(IF(AG28="Yes",INDEX(VAE!$P$5:$P$96,MATCH(B28&amp;AJ28,VAE!$C$5:$C$96&amp;VAE!$G$5:$G$96,0)),"-"),0)</f>
        <v>0</v>
      </c>
      <c r="AL28" s="413">
        <f t="shared" si="9"/>
        <v>0</v>
      </c>
      <c r="AM28" s="410"/>
      <c r="AN28" s="410"/>
      <c r="AO28" s="410">
        <f t="shared" si="10"/>
        <v>0</v>
      </c>
      <c r="AP28" s="410">
        <f t="shared" si="11"/>
        <v>0</v>
      </c>
      <c r="AQ28" s="410">
        <f t="shared" si="83"/>
        <v>0</v>
      </c>
      <c r="AR28" s="410"/>
      <c r="AS28" s="410"/>
      <c r="AT28" s="410"/>
      <c r="AU28" s="410">
        <f t="shared" si="12"/>
        <v>14423881.374424499</v>
      </c>
      <c r="AV28" s="410">
        <f t="shared" si="13"/>
        <v>0</v>
      </c>
      <c r="AW28" s="410">
        <f t="shared" si="14"/>
        <v>0</v>
      </c>
      <c r="AX28" s="410"/>
      <c r="AY28" s="410"/>
      <c r="AZ28" s="410"/>
      <c r="BA28" s="410">
        <f t="shared" si="15"/>
        <v>0</v>
      </c>
      <c r="BB28" s="410"/>
      <c r="BC28" s="410"/>
      <c r="BD28" s="410">
        <f t="shared" si="16"/>
        <v>0</v>
      </c>
      <c r="BE28" s="410"/>
      <c r="BF28" s="410"/>
      <c r="BG28" s="410"/>
      <c r="BH28" s="410"/>
      <c r="BI28" s="410">
        <f t="shared" si="17"/>
        <v>0</v>
      </c>
      <c r="BJ28" s="410" t="b">
        <f t="shared" si="18"/>
        <v>1</v>
      </c>
      <c r="BK28" s="509">
        <f>INDEX('Loan Tape - Settled'!$B$4:$AP$55,MATCH($A28,'Loan Tape - Settled'!$E$4:$E$55,0),MATCH("Inception Date",'Loan Tape - Settled'!$B$4:$AP$4,0))</f>
        <v>44676</v>
      </c>
      <c r="BL28" s="509">
        <f>INDEX('Loan Tape - Settled'!$B$4:$AP$55,MATCH($A28,'Loan Tape - Settled'!$E$4:$E$55,0),MATCH("Inclusion Date",'Loan Tape - Settled'!$B$4:$AP$4,0))</f>
        <v>44676</v>
      </c>
      <c r="BM28" s="509">
        <f>INDEX('Loan Tape - Settled'!$B$4:$AP$55,MATCH($A28,'Loan Tape - Settled'!$E$4:$E$55,0),MATCH("Maturity Date",'Loan Tape - Settled'!$B$4:$AP$4,0))</f>
        <v>46870</v>
      </c>
      <c r="BN28" s="510"/>
      <c r="BO28" s="510"/>
      <c r="BP28" s="511"/>
      <c r="BQ28" s="510"/>
      <c r="BR28" s="512" t="str">
        <f>INDEX('Loan Tape - Settled'!$B$4:$AP$55,MATCH($A28,'Loan Tape - Settled'!$E$4:$E$55,0),MATCH("Industry Classification",'Loan Tape - Settled'!$B$4:$AP$4,0))</f>
        <v>Health Care Providers &amp; Services</v>
      </c>
      <c r="BS28" s="510" t="str">
        <f>IF(INDEX('Loan Tape - Settled'!$B$4:$AP$55,MATCH($A28,'Loan Tape - Settled'!$E$4:$E$55,0),MATCH("Covenant Lite",'Loan Tape - Settled'!$B$4:$AP$4,0))=-1, "Yes", "No")</f>
        <v>No</v>
      </c>
      <c r="BT28" s="513">
        <f>INDEX('Loan Tape - Settled'!$B$4:$AP$55,MATCH($A28,'Loan Tape - Settled'!$E$4:$E$55,0),MATCH("Spread / Coupon (%)",'Loan Tape - Settled'!$B$4:$AP$4,0))</f>
        <v>-1.704485227999999E-3</v>
      </c>
      <c r="BU28" s="510" t="str">
        <f>IF(INDEX('Loan Tape - Settled'!$B$4:$AP$55,MATCH($A28,'Loan Tape - Settled'!$E$4:$E$55,0),MATCH("Security Type",'Loan Tape - Settled'!$B$4:$AP$4,0))="Delayed Draw Term Loan", "Yes", "No")</f>
        <v>No</v>
      </c>
      <c r="BV28" s="514" t="s">
        <v>244</v>
      </c>
      <c r="BW28" s="514" t="s">
        <v>244</v>
      </c>
      <c r="BX28" s="506" t="s">
        <v>244</v>
      </c>
      <c r="BY28" s="510" t="str">
        <f>IF(INDEX('Loan Tape - Settled'!$B$4:$AP$55,MATCH($A28,'Loan Tape - Settled'!$E$4:$E$55,0),MATCH("Fixed/Floating",'Loan Tape - Settled'!$B$4:$AP$4,0))="Fixed", "Yes", "No")</f>
        <v>No</v>
      </c>
      <c r="BZ28" s="514" t="s">
        <v>244</v>
      </c>
      <c r="CA28" s="514" t="s">
        <v>244</v>
      </c>
      <c r="CB28" s="510" t="str">
        <f>IF(INDEX('Loan Tape - Settled'!$B$4:$AP$55,MATCH($A28,'Loan Tape - Settled'!$E$4:$E$55,0),MATCH("Loan Denomination",'Loan Tape - Settled'!$B$4:$AP$4,0))="CAD", "Yes", "No")</f>
        <v>No</v>
      </c>
      <c r="CC28" s="510" t="str">
        <f>INDEX('Loan Tape - Settled'!$B$4:$AP$55,MATCH($A28,'Loan Tape - Settled'!$E$4:$E$55,0),MATCH("Payment Frequency",'Loan Tape - Settled'!$B$4:$AP$4,0))</f>
        <v>M</v>
      </c>
      <c r="CD28" s="514" t="s">
        <v>244</v>
      </c>
      <c r="CE28" s="510">
        <f>INDEX('Loan Tape - Settled'!$B$4:$AP$55,MATCH($A28,'Loan Tape - Settled'!$E$4:$E$55,0),MATCH("S&amp;P Loan Rating (if applicable)",'Loan Tape - Settled'!$B$4:$AP$4,0))</f>
        <v>0</v>
      </c>
      <c r="CF28" s="510">
        <f>INDEX('Loan Tape - Settled'!$B$4:$AP$55,MATCH($A28,'Loan Tape - Settled'!$E$4:$E$55,0),MATCH("Moody's Loan Rating (if applicable)",'Loan Tape - Settled'!$B$4:$AP$4,0))</f>
        <v>0</v>
      </c>
      <c r="CG28" s="510"/>
      <c r="CH28" s="510"/>
      <c r="CI28" s="515"/>
      <c r="CJ28" s="508" t="str">
        <f>INDEX('Loan Tape - Settled'!$B$4:$BF$55,MATCH($A28,'Loan Tape - Settled'!$E$4:$E$55,0),MATCH("Last Financial Received",'Loan Tape - Settled'!$B$4:$BF$4,0))</f>
        <v>9/30/2025 or Latest Financing</v>
      </c>
      <c r="CK28" s="516">
        <f>INDEX('Loan Tape - Settled'!$B$4:$BJ$55,MATCH($A28,'Loan Tape - Settled'!$E$4:$E$55,0),MATCH("Initial Adjusted TTM EBITDA",'Loan Tape - Settled'!$B$4:$BJ$4,0))</f>
        <v>52.213000000000001</v>
      </c>
      <c r="CL28" s="516">
        <f>INDEX('Loan Tape - Settled'!$B$4:$BJ$55,MATCH($A28,'Loan Tape - Settled'!$E$4:$E$55,0),MATCH("Initial TTM Non-adjusted EBITDA",'Loan Tape - Settled'!$B$4:$BJ$4,0))</f>
        <v>52.213000000000001</v>
      </c>
      <c r="CM28" s="417"/>
      <c r="CN28" s="418"/>
      <c r="CO28" s="418"/>
      <c r="CP28" s="419"/>
      <c r="CQ28" s="420" t="s">
        <v>245</v>
      </c>
      <c r="CR28" s="419"/>
      <c r="CS28" s="421">
        <f t="shared" si="19"/>
        <v>52.213000000000001</v>
      </c>
      <c r="CT28" s="422">
        <f t="shared" si="20"/>
        <v>0</v>
      </c>
      <c r="CU28" s="516">
        <f>INDEX('Loan Tape - Settled'!$B$4:$BJ$55,MATCH($A28,'Loan Tape - Settled'!$E$4:$E$55,0),MATCH("Current TTM Non-adjusted EBITDA",'Loan Tape - Settled'!$B$4:$BJ$4,0))</f>
        <v>20.717486000000001</v>
      </c>
      <c r="CV28" s="423">
        <f t="shared" si="21"/>
        <v>0</v>
      </c>
      <c r="CW28" s="652" t="s">
        <v>245</v>
      </c>
      <c r="CX28" s="517"/>
      <c r="CY28" s="658">
        <f t="shared" si="22"/>
        <v>20.717486000000001</v>
      </c>
      <c r="CZ28" s="656"/>
      <c r="DA28" s="518"/>
      <c r="DB28" s="519"/>
      <c r="DC28" s="853"/>
      <c r="DD28" s="853">
        <f>INDEX('Loan Tape - Settled'!$B$4:$BJ$55,MATCH($A28,'Loan Tape - Settled'!$E$4:$E$55,0),MATCH("Initial Senior Net Leverage Senior",'Loan Tape - Settled'!$B$4:$BJ$4,0))</f>
        <v>3.9453775879570219</v>
      </c>
      <c r="DE28" s="659">
        <f>INDEX('Loan Tape - Settled'!$B$4:$BJ$55,MATCH($A28,'Loan Tape - Settled'!$E$4:$E$55,0),MATCH("Initial Total Net Leverage",'Loan Tape - Settled'!$B$4:$BJ$4,0))</f>
        <v>3.9453775879570219</v>
      </c>
      <c r="DF28" s="656"/>
      <c r="DG28" s="518"/>
      <c r="DH28" s="519"/>
      <c r="DI28" s="424">
        <f>INDEX('Loan Tape - Settled'!$B$4:$BJ$55,MATCH($A28,'Loan Tape - Settled'!$E$4:$E$55,0),MATCH("Net Attachment",'Loan Tape - Settled'!$B$4:$BJ$4,0))</f>
        <v>0.6022698528967414</v>
      </c>
      <c r="DJ28" s="522">
        <f t="array" ref="DJ28">IF(AG28="Yes",INDEX(VAE!$M$5:$M$53,MATCH($B28&amp;$AJ28,VAE!$C$5:$C$53&amp;VAE!$G$5:$G$53,0)),DD28)</f>
        <v>5.2752101423429743</v>
      </c>
      <c r="DK28" s="649">
        <f t="array" ref="DK28">IF(AG28="Yes",INDEX(VAE!$N$5:$N$53,MATCH($B28&amp;$AJ28,VAE!$C$5:$C$53&amp;VAE!$G$5:$G$53,0)),DE28)</f>
        <v>5.2752101423429743</v>
      </c>
      <c r="DL28" s="651">
        <f>INDEX('Loan Tape - Settled'!$B$4:$BJ$55,MATCH($A28,'Loan Tape - Settled'!$E$4:$E$55,0),MATCH("Current Senior Net Leverage Senior",'Loan Tape - Settled'!$B$4:$BJ$4,0))</f>
        <v>9.5475482472967208</v>
      </c>
      <c r="DM28" s="433">
        <f>INDEX('Loan Tape - Settled'!$B$4:$BJ$55,MATCH($A28,'Loan Tape - Settled'!$E$4:$E$55,0),MATCH("Current Total Net Leverage",'Loan Tape - Settled'!$B$4:$BJ$4,0))</f>
        <v>9.5475482472967208</v>
      </c>
      <c r="DN28" s="425"/>
      <c r="DO28" s="426">
        <f>INDEX('Loan Tape - Settled'!$B$4:$BJ$55,MATCH($A28,'Loan Tape - Settled'!$E$4:$E$55,0),MATCH("Initial Interest Coverage",'Loan Tape - Settled'!$B$4:$BJ$4,0))</f>
        <v>2.97</v>
      </c>
      <c r="DP28" s="854" t="str">
        <f t="array" ref="DP28">IF(AG28="Yes",INDEX(VAE!$O$5:$O$53,MATCH($B28&amp;$AJ28,VAE!$C$5:$C$53&amp;VAE!$G$5:$G$53,0)),DO28)</f>
        <v>N/A</v>
      </c>
      <c r="DQ28" s="427">
        <f>INDEX('Loan Tape - Settled'!$B$4:$BJ$55,MATCH($A28,'Loan Tape - Settled'!$E$4:$E$55,0),MATCH("Current Interest Coverage",'Loan Tape - Settled'!$B$4:$BJ$4,0))</f>
        <v>1.573628340647</v>
      </c>
      <c r="DR28" s="855" t="str">
        <f t="shared" si="23"/>
        <v>Yes</v>
      </c>
      <c r="DS28" s="428">
        <f>IF(AG28="Yes",DATEDIF(AJ28,Availability!$F$8,"m"),"")</f>
        <v>33</v>
      </c>
      <c r="DT28" s="428" t="str">
        <f t="shared" si="24"/>
        <v>Yes</v>
      </c>
      <c r="DU28" s="647" t="str">
        <f t="shared" si="25"/>
        <v>N/A</v>
      </c>
      <c r="DV28" s="648" t="str">
        <f t="shared" si="26"/>
        <v>Yes</v>
      </c>
      <c r="DW28" s="648" t="str">
        <f t="array" ref="DW28">_xlfn.IFS(D28&lt;&gt;"Second Lien","No",D28="Second Lien",IF(AND((DM28-DK28)&gt;0.5,DM28&gt;4.5),"Yes","No"))</f>
        <v>No</v>
      </c>
      <c r="DX28" s="685" t="s">
        <v>244</v>
      </c>
      <c r="DY28" s="685" t="s">
        <v>244</v>
      </c>
      <c r="DZ28" s="686" t="s">
        <v>244</v>
      </c>
      <c r="EA28" s="686" t="s">
        <v>244</v>
      </c>
      <c r="EB28" s="686" t="s">
        <v>244</v>
      </c>
      <c r="EC28" s="686" t="s">
        <v>244</v>
      </c>
      <c r="ED28" s="686" t="s">
        <v>244</v>
      </c>
      <c r="EE28" s="686" t="s">
        <v>244</v>
      </c>
      <c r="EF28" s="409" t="str">
        <f t="shared" si="27"/>
        <v>No</v>
      </c>
      <c r="EG28" s="686" t="s">
        <v>244</v>
      </c>
      <c r="EH28" s="691" t="s">
        <v>244</v>
      </c>
      <c r="EI28" s="856" t="str">
        <f t="array" ref="EI28">IF(D28="First Lien",_xlfn.IFS(CY28&gt;AGENT!$B$23, "&gt; $20MM",CY28&lt;=AGENT!$C$25, "&lt;= $10MM",AND(CY28&lt;=AGENT!$C$24,CY28&gt;AGENT!$B$24),"&lt;= $20MM"), "N/A")</f>
        <v>N/A</v>
      </c>
      <c r="EJ28" s="856" t="str">
        <f t="array" ref="EJ28">IF(D28="FILO",_xlfn.IFS(DI28&gt;AGENT!$B$29, "&gt; 1.25x",DI28&lt;AGENT!$C$27, "&lt; 0.75x",AND(DI28&lt;=AGENT!$C$28,DI28&gt;=AGENT!$B$28),"&lt;= 1.25x"), "N/A")</f>
        <v>&lt; 0.75x</v>
      </c>
      <c r="EK28" s="429">
        <f t="shared" si="28"/>
        <v>0</v>
      </c>
      <c r="EL28" s="429">
        <f>'Concentration Limits'!$J$49</f>
        <v>49599340.729726665</v>
      </c>
      <c r="EM28" s="429" t="str">
        <f>IF(OR(D28="Second Lien",AND(D28="FILO",DI28&gt;AGENT!$C$57)), "Yes", "No")</f>
        <v>No</v>
      </c>
      <c r="EN28" s="429">
        <f t="shared" si="29"/>
        <v>0</v>
      </c>
      <c r="EO28" s="429">
        <f t="shared" si="30"/>
        <v>0</v>
      </c>
      <c r="EP28" s="429">
        <f t="shared" si="31"/>
        <v>0</v>
      </c>
      <c r="EQ28" s="429">
        <f>'Concentration Limits'!$J$50</f>
        <v>24799670.364863332</v>
      </c>
      <c r="ER28" s="429">
        <f t="shared" si="32"/>
        <v>0</v>
      </c>
      <c r="ES28" s="429">
        <f t="shared" si="84"/>
        <v>0</v>
      </c>
      <c r="ET28" s="429">
        <f t="shared" si="33"/>
        <v>0</v>
      </c>
      <c r="EU28" s="429">
        <f>'Concentration Limits'!$J$51</f>
        <v>74399011.094589993</v>
      </c>
      <c r="EV28" s="429" t="str">
        <f>IF(OR(D28="Second Lien", AND(D28="FILO",DI28&gt;AGENT!$C$59)), "Yes", "No")</f>
        <v>No</v>
      </c>
      <c r="EW28" s="429">
        <f t="shared" si="34"/>
        <v>0</v>
      </c>
      <c r="EX28" s="429">
        <f t="shared" si="35"/>
        <v>0</v>
      </c>
      <c r="EY28" s="429">
        <f t="shared" si="36"/>
        <v>0</v>
      </c>
      <c r="EZ28" s="429">
        <f>'Concentration Limits'!$J$52</f>
        <v>37199505.547294997</v>
      </c>
      <c r="FA28" s="429" t="str">
        <f>IF(CY28&gt;'Concentration Limits'!$E$52, "No", "Yes")</f>
        <v>No</v>
      </c>
      <c r="FB28" s="429">
        <f t="shared" si="37"/>
        <v>0</v>
      </c>
      <c r="FC28" s="429">
        <f t="shared" si="38"/>
        <v>0</v>
      </c>
      <c r="FD28" s="429">
        <f t="shared" si="39"/>
        <v>0</v>
      </c>
      <c r="FE28" s="430">
        <f>'Concentration Limits'!$J$54</f>
        <v>247996703.6486333</v>
      </c>
      <c r="FF28" s="430">
        <f>'Concentration Limits'!$J$55</f>
        <v>247996703.6486333</v>
      </c>
      <c r="FG28" s="430">
        <f>'Concentration Limits'!$J$56</f>
        <v>247996703.6486333</v>
      </c>
      <c r="FH28" s="431">
        <f>'Concentration Limits'!$J$57</f>
        <v>18599752.773647498</v>
      </c>
      <c r="FI28" s="431">
        <f t="shared" si="40"/>
        <v>0</v>
      </c>
      <c r="FJ28" s="431">
        <f t="shared" si="41"/>
        <v>0</v>
      </c>
      <c r="FK28" s="431">
        <f t="shared" si="42"/>
        <v>0</v>
      </c>
      <c r="FL28" s="431">
        <f>IF(FJ28&gt;0,RANK(FJ28,$FJ$9:$FJ$60)+COUNTIF($FJ$9:FJ28,FJ28)-1,0)</f>
        <v>0</v>
      </c>
      <c r="FM28" s="430">
        <f t="shared" si="43"/>
        <v>0</v>
      </c>
      <c r="FN28" s="430">
        <f t="shared" si="44"/>
        <v>0</v>
      </c>
      <c r="FO28" s="430">
        <f t="shared" si="45"/>
        <v>0</v>
      </c>
      <c r="FP28" s="431">
        <f t="shared" si="46"/>
        <v>0</v>
      </c>
      <c r="FQ28" s="431">
        <f t="shared" si="47"/>
        <v>0</v>
      </c>
      <c r="FR28" s="431">
        <f>'Concentration Limits'!$J$58</f>
        <v>49599340.729726665</v>
      </c>
      <c r="FS28" s="431">
        <f t="shared" si="48"/>
        <v>16096607.119937314</v>
      </c>
      <c r="FT28" s="431">
        <f>VLOOKUP(BR28,'Concentration Limits'!$E$81:$H$153,4,FALSE)</f>
        <v>5</v>
      </c>
      <c r="FU28" s="431">
        <f t="shared" si="49"/>
        <v>0</v>
      </c>
      <c r="FV28" s="431">
        <f t="shared" si="50"/>
        <v>0</v>
      </c>
      <c r="FW28" s="431">
        <f>'Concentration Limits'!$J$59</f>
        <v>37199505.547294997</v>
      </c>
      <c r="FX28" s="431">
        <f t="shared" si="51"/>
        <v>16096607.119937314</v>
      </c>
      <c r="FY28" s="431">
        <f>VLOOKUP(BR28,'Concentration Limits'!$E$81:$H$153,4,FALSE)</f>
        <v>5</v>
      </c>
      <c r="FZ28" s="431">
        <f t="shared" si="52"/>
        <v>0</v>
      </c>
      <c r="GA28" s="431">
        <f t="shared" si="53"/>
        <v>0</v>
      </c>
      <c r="GB28" s="431">
        <f>'Concentration Limits'!$J$61</f>
        <v>24799670.364863332</v>
      </c>
      <c r="GC28" s="431">
        <f t="shared" si="54"/>
        <v>16096607.119937314</v>
      </c>
      <c r="GD28" s="429">
        <f>VLOOKUP(BR28,'Concentration Limits'!$E$81:$H$153,4,FALSE)</f>
        <v>5</v>
      </c>
      <c r="GE28" s="431">
        <f t="shared" si="55"/>
        <v>0</v>
      </c>
      <c r="GF28" s="431">
        <f t="shared" si="56"/>
        <v>0</v>
      </c>
      <c r="GG28" s="431">
        <f>'Concentration Limits'!$J$64</f>
        <v>24799670.364863332</v>
      </c>
      <c r="GH28" s="431">
        <f t="shared" si="57"/>
        <v>0</v>
      </c>
      <c r="GI28" s="431">
        <f t="shared" si="58"/>
        <v>0</v>
      </c>
      <c r="GJ28" s="431">
        <f t="shared" si="59"/>
        <v>0</v>
      </c>
      <c r="GK28" s="431">
        <f>'Concentration Limits'!$J$67</f>
        <v>24799670.364863332</v>
      </c>
      <c r="GL28" s="429" t="str">
        <f t="shared" si="60"/>
        <v>No</v>
      </c>
      <c r="GM28" s="431">
        <f t="shared" si="61"/>
        <v>0</v>
      </c>
      <c r="GN28" s="431">
        <f t="shared" si="62"/>
        <v>0</v>
      </c>
      <c r="GO28" s="431">
        <f t="shared" si="63"/>
        <v>0</v>
      </c>
      <c r="GP28" s="431">
        <f>'Concentration Limits'!$J$68</f>
        <v>37199505.547294997</v>
      </c>
      <c r="GQ28" s="429" t="str">
        <f t="shared" si="64"/>
        <v>No</v>
      </c>
      <c r="GR28" s="431">
        <f t="shared" si="65"/>
        <v>0</v>
      </c>
      <c r="GS28" s="431">
        <f t="shared" si="66"/>
        <v>0</v>
      </c>
      <c r="GT28" s="431">
        <f t="shared" si="67"/>
        <v>0</v>
      </c>
      <c r="GU28" s="429">
        <f>'Concentration Limits'!$J$69</f>
        <v>37199505.547294997</v>
      </c>
      <c r="GV28" s="429" t="str">
        <f t="shared" si="68"/>
        <v>No</v>
      </c>
      <c r="GW28" s="429">
        <f t="shared" si="69"/>
        <v>0</v>
      </c>
      <c r="GX28" s="429">
        <f t="shared" si="70"/>
        <v>0</v>
      </c>
      <c r="GY28" s="429">
        <f t="shared" si="71"/>
        <v>0</v>
      </c>
      <c r="GZ28" s="429">
        <f>'Concentration Limits'!$J$70</f>
        <v>24799670.364863332</v>
      </c>
      <c r="HA28" s="429" t="str">
        <f t="shared" si="72"/>
        <v>No</v>
      </c>
      <c r="HB28" s="429">
        <f t="shared" si="73"/>
        <v>0</v>
      </c>
      <c r="HC28" s="429">
        <f t="shared" si="74"/>
        <v>0</v>
      </c>
      <c r="HD28" s="429">
        <f t="shared" si="75"/>
        <v>0</v>
      </c>
      <c r="HE28" s="431">
        <f t="shared" si="76"/>
        <v>0</v>
      </c>
      <c r="HF28" s="431">
        <f t="shared" si="77"/>
        <v>0</v>
      </c>
      <c r="HG28" s="431">
        <f t="shared" si="78"/>
        <v>0</v>
      </c>
      <c r="HH28" s="431">
        <f t="shared" si="79"/>
        <v>0</v>
      </c>
      <c r="HI28" s="431">
        <f>IF(BE28=0,0,#REF!*BE28/(BE28+BG28))</f>
        <v>0</v>
      </c>
      <c r="HJ28" s="431">
        <f>IF(BG28=0,0,#REF!*BG28/(BG28+BE28))</f>
        <v>0</v>
      </c>
      <c r="HK28" s="857">
        <f>IF(BF28=0,0,#REF!*BF28/(BF28+BH28))</f>
        <v>0</v>
      </c>
      <c r="HL28" s="431">
        <f>IF(BH28=0,0,#REF!*BH28/(BH28+BF28))</f>
        <v>0</v>
      </c>
      <c r="HM28" s="431">
        <f t="shared" si="80"/>
        <v>0</v>
      </c>
      <c r="HN28" s="431" t="b">
        <f t="shared" si="81"/>
        <v>1</v>
      </c>
    </row>
    <row r="29" spans="1:222" s="432" customFormat="1" ht="12.75" customHeight="1" x14ac:dyDescent="0.35">
      <c r="A29" s="49">
        <f t="shared" si="82"/>
        <v>21</v>
      </c>
      <c r="B29" s="404" t="str">
        <f>INDEX('Loan Tape - Settled'!$B$4:$AP$55,MATCH($A29,'Loan Tape - Settled'!$E$4:$E$55,0),MATCH("Obligor Name",'Loan Tape - Settled'!$B$4:$AM$4,0))</f>
        <v>Texas Contract Manufacturing Group</v>
      </c>
      <c r="C29" s="404" t="str">
        <f>INDEX('Loan Tape - Settled'!$B$4:$AP$55,MATCH($A29,'Loan Tape - Settled'!$E$4:$E$55,0),MATCH("Security",'Loan Tape - Settled'!$B$4:$AM$4,0))</f>
        <v>1st Lien</v>
      </c>
      <c r="D29" s="405" t="str">
        <f>INDEX('Loan Tape - Settled'!$B$4:$AP$55,MATCH($A29,'Loan Tape - Settled'!$E$4:$E$55,0),MATCH("Loan Type",'Loan Tape - Settled'!$B$4:$AM$4,0))</f>
        <v>First Lien</v>
      </c>
      <c r="E29" s="406" t="b">
        <f>IF(ISERROR(MATCH(D29,AGENT!$A$4:$A$10,0))=FALSE, TRUE)</f>
        <v>1</v>
      </c>
      <c r="F29" s="406" t="b">
        <f t="shared" si="0"/>
        <v>1</v>
      </c>
      <c r="G29" s="406" t="b">
        <f>IF(D29&lt;&gt;"Second Lien",TRUE, IF(CY29&gt;=AGENT!$B$4,TRUE))</f>
        <v>1</v>
      </c>
      <c r="H29" s="406" t="b">
        <f>IF(DE29&lt;=AGENT!$D$4,TRUE)</f>
        <v>1</v>
      </c>
      <c r="I29" s="406" t="b">
        <f>IF(VLOOKUP(CONCATENATE($A$5,A29),'Loan Tape - Settled'!$A$5:$Q$55,17,FALSE)&gt;=AGENT!$E$4,TRUE)</f>
        <v>1</v>
      </c>
      <c r="J29" s="406" t="b">
        <f>IF(INDEX('Loan Tape - Settled'!$B$4:$AP$55,MATCH($A29,'Loan Tape - Settled'!$E$4:$E$55,0),MATCH("Loan Denomination",'Loan Tape - Settled'!$B$4:$AP$4,0))="USD", TRUE)</f>
        <v>1</v>
      </c>
      <c r="K29" s="406" t="b">
        <f>IF(INDEX('Loan Tape - Settled'!$B$4:$AP$55,MATCH($A29,'Loan Tape - Settled'!$E$4:$E$55,0),MATCH("Exposure Country",'Loan Tape - Settled'!$B$4:$AP$4,0))="United States", TRUE)</f>
        <v>1</v>
      </c>
      <c r="L29" s="406" t="b">
        <f t="shared" si="1"/>
        <v>1</v>
      </c>
      <c r="M29" s="406" t="b">
        <f>IF(((BM29-BL29)/365)&lt;=AGENT!$F$4,TRUE)</f>
        <v>1</v>
      </c>
      <c r="N29" s="406" t="b">
        <f t="shared" si="2"/>
        <v>0</v>
      </c>
      <c r="O29" s="453"/>
      <c r="P29" s="709" t="str">
        <f t="shared" si="3"/>
        <v>No</v>
      </c>
      <c r="Q29" s="680" t="s">
        <v>243</v>
      </c>
      <c r="R29" s="407" t="str">
        <f t="shared" si="4"/>
        <v>N/A</v>
      </c>
      <c r="S29" s="407"/>
      <c r="T29" s="408" t="str">
        <f t="array" ref="T29">_xlfn.IFS(D29="Second Lien",D29,D29="First Lien",CONCATENATE(D29," ",EI29),D29="FILO",CONCATENATE(D29," ",EJ29))</f>
        <v>First Lien &lt;= $10MM</v>
      </c>
      <c r="U29" s="409">
        <f>VLOOKUP(T29,'Concentration Limits'!D:G,4,FALSE)</f>
        <v>0.625</v>
      </c>
      <c r="V29" s="410">
        <f t="shared" si="5"/>
        <v>0</v>
      </c>
      <c r="W29" s="448">
        <f>(SUMIFS('Loan Tape - Settled'!$AR$4:$AR$55,'Loan Tape - Settled'!$E$4:$E$55,$A29,'Loan Tape - Settled'!$C$4:$C$55,$A$5))</f>
        <v>4483598.4772002399</v>
      </c>
      <c r="X29" s="449">
        <v>1</v>
      </c>
      <c r="Y29" s="411">
        <f t="shared" si="6"/>
        <v>4483598.4772002399</v>
      </c>
      <c r="Z29" s="449">
        <f>(SUMIFS('Loan Tape - Settled'!$AQ$4:$AQ$55,'Loan Tape - Settled'!$E$4:$E$55,$A29,'Loan Tape - Settled'!$C$4:$C$55,$A$5))</f>
        <v>4483598.4772002399</v>
      </c>
      <c r="AA29" s="411">
        <f t="shared" si="7"/>
        <v>4483598.4772002399</v>
      </c>
      <c r="AB29" s="411">
        <f t="shared" si="8"/>
        <v>0</v>
      </c>
      <c r="AC29" s="450">
        <f>VLOOKUP(CONCATENATE($A$5,A29),'Loan Tape - Settled'!$A$5:$Q$55,17,FALSE)</f>
        <v>1</v>
      </c>
      <c r="AD29" s="412"/>
      <c r="AE29" s="413">
        <f>INDEX('Loan Tape - Settled'!$B$4:$AP$55,MATCH($A29,'Loan Tape - Settled'!$E$4:$E$55,0),MATCH("FMV",'Loan Tape - Settled'!$B$4:$AM$4,0))</f>
        <v>0.84329999999999994</v>
      </c>
      <c r="AF29" s="413">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0.75644502839828109</v>
      </c>
      <c r="AG29" s="414" t="str">
        <f>IF(COUNTIFS(VAE!$C$5:$C$96,B29,VAE!$G$5:$G$96,"&lt;="&amp;Availability!$F$8)&gt;=1,"Yes","-")</f>
        <v>Yes</v>
      </c>
      <c r="AH29" s="414" t="str">
        <f t="array" ref="AH29">IFERROR(IF(AG29="Yes",INDEX(VAE!$D$5:$D$96,MATCH(B29&amp;AJ29,VAE!$C$5:$C$96&amp;VAE!$G$5:$G$96,0)),"-"),0)</f>
        <v>Obligor payment default</v>
      </c>
      <c r="AI29" s="414" t="str">
        <f t="array" ref="AI29">IFERROR(IF(AG29="Yes",INDEX(VAE!$F$5:$F$96,MATCH(B29&amp;AJ29,VAE!$C$5:$C$96&amp;VAE!$G$5:$G$96,0)),"-"),0)</f>
        <v>-</v>
      </c>
      <c r="AJ29" s="415">
        <f>IF(AG29="-","-",_xlfn.MAXIFS(VAE!$G$5:$G$96,VAE!$C$5:$C$96,$B29))</f>
        <v>45859</v>
      </c>
      <c r="AK29" s="416">
        <f t="array" ref="AK29">IFERROR(IF(AG29="Yes",INDEX(VAE!$P$5:$P$96,MATCH(B29&amp;AJ29,VAE!$C$5:$C$96&amp;VAE!$G$5:$G$96,0)),"-"),0)</f>
        <v>0</v>
      </c>
      <c r="AL29" s="413">
        <f t="shared" si="9"/>
        <v>0</v>
      </c>
      <c r="AM29" s="410"/>
      <c r="AN29" s="410"/>
      <c r="AO29" s="410">
        <f t="shared" si="10"/>
        <v>0</v>
      </c>
      <c r="AP29" s="410">
        <f t="shared" si="11"/>
        <v>4483598.4772002399</v>
      </c>
      <c r="AQ29" s="410">
        <f t="shared" si="83"/>
        <v>0</v>
      </c>
      <c r="AR29" s="410"/>
      <c r="AS29" s="410"/>
      <c r="AT29" s="410"/>
      <c r="AU29" s="410">
        <f t="shared" si="12"/>
        <v>0</v>
      </c>
      <c r="AV29" s="410">
        <f t="shared" si="13"/>
        <v>0</v>
      </c>
      <c r="AW29" s="410">
        <f t="shared" si="14"/>
        <v>0</v>
      </c>
      <c r="AX29" s="410"/>
      <c r="AY29" s="410"/>
      <c r="AZ29" s="410"/>
      <c r="BA29" s="410">
        <f t="shared" si="15"/>
        <v>0</v>
      </c>
      <c r="BB29" s="410"/>
      <c r="BC29" s="410"/>
      <c r="BD29" s="410">
        <f t="shared" si="16"/>
        <v>0</v>
      </c>
      <c r="BE29" s="410"/>
      <c r="BF29" s="410"/>
      <c r="BG29" s="410"/>
      <c r="BH29" s="410"/>
      <c r="BI29" s="410">
        <f t="shared" si="17"/>
        <v>0</v>
      </c>
      <c r="BJ29" s="410" t="b">
        <f t="shared" si="18"/>
        <v>1</v>
      </c>
      <c r="BK29" s="509">
        <f>INDEX('Loan Tape - Settled'!$B$4:$AP$55,MATCH($A29,'Loan Tape - Settled'!$E$4:$E$55,0),MATCH("Inception Date",'Loan Tape - Settled'!$B$4:$AP$4,0))</f>
        <v>44676</v>
      </c>
      <c r="BL29" s="509">
        <f>INDEX('Loan Tape - Settled'!$B$4:$AP$55,MATCH($A29,'Loan Tape - Settled'!$E$4:$E$55,0),MATCH("Inclusion Date",'Loan Tape - Settled'!$B$4:$AP$4,0))</f>
        <v>44676</v>
      </c>
      <c r="BM29" s="509">
        <f>INDEX('Loan Tape - Settled'!$B$4:$AP$55,MATCH($A29,'Loan Tape - Settled'!$E$4:$E$55,0),MATCH("Maturity Date",'Loan Tape - Settled'!$B$4:$AP$4,0))</f>
        <v>46504</v>
      </c>
      <c r="BN29" s="510"/>
      <c r="BO29" s="510"/>
      <c r="BP29" s="511"/>
      <c r="BQ29" s="510"/>
      <c r="BR29" s="512" t="str">
        <f>INDEX('Loan Tape - Settled'!$B$4:$AP$55,MATCH($A29,'Loan Tape - Settled'!$E$4:$E$55,0),MATCH("Industry Classification",'Loan Tape - Settled'!$B$4:$AP$4,0))</f>
        <v>Machinery</v>
      </c>
      <c r="BS29" s="510" t="str">
        <f>IF(INDEX('Loan Tape - Settled'!$B$4:$AP$55,MATCH($A29,'Loan Tape - Settled'!$E$4:$E$55,0),MATCH("Covenant Lite",'Loan Tape - Settled'!$B$4:$AP$4,0))=-1, "Yes", "No")</f>
        <v>No</v>
      </c>
      <c r="BT29" s="513">
        <f>INDEX('Loan Tape - Settled'!$B$4:$AP$55,MATCH($A29,'Loan Tape - Settled'!$E$4:$E$55,0),MATCH("Spread / Coupon (%)",'Loan Tape - Settled'!$B$4:$AP$4,0))</f>
        <v>1.9578100000000001E-2</v>
      </c>
      <c r="BU29" s="510" t="str">
        <f>IF(INDEX('Loan Tape - Settled'!$B$4:$AP$55,MATCH($A29,'Loan Tape - Settled'!$E$4:$E$55,0),MATCH("Security Type",'Loan Tape - Settled'!$B$4:$AP$4,0))="Delayed Draw Term Loan", "Yes", "No")</f>
        <v>No</v>
      </c>
      <c r="BV29" s="514" t="s">
        <v>244</v>
      </c>
      <c r="BW29" s="514" t="s">
        <v>244</v>
      </c>
      <c r="BX29" s="506" t="s">
        <v>244</v>
      </c>
      <c r="BY29" s="510" t="str">
        <f>IF(INDEX('Loan Tape - Settled'!$B$4:$AP$55,MATCH($A29,'Loan Tape - Settled'!$E$4:$E$55,0),MATCH("Fixed/Floating",'Loan Tape - Settled'!$B$4:$AP$4,0))="Fixed", "Yes", "No")</f>
        <v>No</v>
      </c>
      <c r="BZ29" s="514" t="s">
        <v>244</v>
      </c>
      <c r="CA29" s="514" t="s">
        <v>244</v>
      </c>
      <c r="CB29" s="510" t="str">
        <f>IF(INDEX('Loan Tape - Settled'!$B$4:$AP$55,MATCH($A29,'Loan Tape - Settled'!$E$4:$E$55,0),MATCH("Loan Denomination",'Loan Tape - Settled'!$B$4:$AP$4,0))="CAD", "Yes", "No")</f>
        <v>No</v>
      </c>
      <c r="CC29" s="510" t="str">
        <f>INDEX('Loan Tape - Settled'!$B$4:$AP$55,MATCH($A29,'Loan Tape - Settled'!$E$4:$E$55,0),MATCH("Payment Frequency",'Loan Tape - Settled'!$B$4:$AP$4,0))</f>
        <v>M</v>
      </c>
      <c r="CD29" s="514" t="s">
        <v>244</v>
      </c>
      <c r="CE29" s="510">
        <f>INDEX('Loan Tape - Settled'!$B$4:$AP$55,MATCH($A29,'Loan Tape - Settled'!$E$4:$E$55,0),MATCH("S&amp;P Loan Rating (if applicable)",'Loan Tape - Settled'!$B$4:$AP$4,0))</f>
        <v>0</v>
      </c>
      <c r="CF29" s="510">
        <f>INDEX('Loan Tape - Settled'!$B$4:$AP$55,MATCH($A29,'Loan Tape - Settled'!$E$4:$E$55,0),MATCH("Moody's Loan Rating (if applicable)",'Loan Tape - Settled'!$B$4:$AP$4,0))</f>
        <v>0</v>
      </c>
      <c r="CG29" s="510"/>
      <c r="CH29" s="510"/>
      <c r="CI29" s="515"/>
      <c r="CJ29" s="508" t="str">
        <f>INDEX('Loan Tape - Settled'!$B$4:$BF$55,MATCH($A29,'Loan Tape - Settled'!$E$4:$E$55,0),MATCH("Last Financial Received",'Loan Tape - Settled'!$B$4:$BF$4,0))</f>
        <v>9/30/2025 or Latest Financing</v>
      </c>
      <c r="CK29" s="516">
        <f>INDEX('Loan Tape - Settled'!$B$4:$BJ$55,MATCH($A29,'Loan Tape - Settled'!$E$4:$E$55,0),MATCH("Initial Adjusted TTM EBITDA",'Loan Tape - Settled'!$B$4:$BJ$4,0))</f>
        <v>18.013000000000002</v>
      </c>
      <c r="CL29" s="516">
        <f>INDEX('Loan Tape - Settled'!$B$4:$BJ$55,MATCH($A29,'Loan Tape - Settled'!$E$4:$E$55,0),MATCH("Initial TTM Non-adjusted EBITDA",'Loan Tape - Settled'!$B$4:$BJ$4,0))</f>
        <v>18.013000000000002</v>
      </c>
      <c r="CM29" s="417"/>
      <c r="CN29" s="418"/>
      <c r="CO29" s="418"/>
      <c r="CP29" s="419"/>
      <c r="CQ29" s="420" t="s">
        <v>245</v>
      </c>
      <c r="CR29" s="419"/>
      <c r="CS29" s="421">
        <f t="shared" si="19"/>
        <v>18.013000000000002</v>
      </c>
      <c r="CT29" s="422">
        <f t="shared" si="20"/>
        <v>0</v>
      </c>
      <c r="CU29" s="516">
        <f>INDEX('Loan Tape - Settled'!$B$4:$BJ$55,MATCH($A29,'Loan Tape - Settled'!$E$4:$E$55,0),MATCH("Current TTM Non-adjusted EBITDA",'Loan Tape - Settled'!$B$4:$BJ$4,0))</f>
        <v>2.1169199199999991</v>
      </c>
      <c r="CV29" s="423">
        <f t="shared" si="21"/>
        <v>0</v>
      </c>
      <c r="CW29" s="652" t="s">
        <v>245</v>
      </c>
      <c r="CX29" s="517"/>
      <c r="CY29" s="658">
        <f t="shared" si="22"/>
        <v>2.1169199199999991</v>
      </c>
      <c r="CZ29" s="656"/>
      <c r="DA29" s="518"/>
      <c r="DB29" s="519"/>
      <c r="DC29" s="853"/>
      <c r="DD29" s="853">
        <f>INDEX('Loan Tape - Settled'!$B$4:$BJ$55,MATCH($A29,'Loan Tape - Settled'!$E$4:$E$55,0),MATCH("Initial Senior Net Leverage Senior",'Loan Tape - Settled'!$B$4:$BJ$4,0))</f>
        <v>1.0336978848609339</v>
      </c>
      <c r="DE29" s="659">
        <f>INDEX('Loan Tape - Settled'!$B$4:$BJ$55,MATCH($A29,'Loan Tape - Settled'!$E$4:$E$55,0),MATCH("Initial Total Net Leverage",'Loan Tape - Settled'!$B$4:$BJ$4,0))</f>
        <v>1.0336978848609339</v>
      </c>
      <c r="DF29" s="656"/>
      <c r="DG29" s="518"/>
      <c r="DH29" s="519"/>
      <c r="DI29" s="424">
        <f>INDEX('Loan Tape - Settled'!$B$4:$BJ$55,MATCH($A29,'Loan Tape - Settled'!$E$4:$E$55,0),MATCH("Net Attachment",'Loan Tape - Settled'!$B$4:$BJ$4,0))</f>
        <v>-0.3399594728174698</v>
      </c>
      <c r="DJ29" s="522">
        <f t="array" ref="DJ29">IF(AG29="Yes",INDEX(VAE!$M$5:$M$53,MATCH($B29&amp;$AJ29,VAE!$C$5:$C$53&amp;VAE!$G$5:$G$53,0)),DD29)</f>
        <v>2.88</v>
      </c>
      <c r="DK29" s="649">
        <f t="array" ref="DK29">IF(AG29="Yes",INDEX(VAE!$N$5:$N$53,MATCH($B29&amp;$AJ29,VAE!$C$5:$C$53&amp;VAE!$G$5:$G$53,0)),DE29)</f>
        <v>2.881597221064061</v>
      </c>
      <c r="DL29" s="651">
        <f>INDEX('Loan Tape - Settled'!$B$4:$BJ$55,MATCH($A29,'Loan Tape - Settled'!$E$4:$E$55,0),MATCH("Current Senior Net Leverage Senior",'Loan Tape - Settled'!$B$4:$BJ$4,0))</f>
        <v>6.3372086801210488</v>
      </c>
      <c r="DM29" s="433">
        <f>INDEX('Loan Tape - Settled'!$B$4:$BJ$55,MATCH($A29,'Loan Tape - Settled'!$E$4:$E$55,0),MATCH("Current Total Net Leverage",'Loan Tape - Settled'!$B$4:$BJ$4,0))</f>
        <v>6.3372086801210488</v>
      </c>
      <c r="DN29" s="425"/>
      <c r="DO29" s="426">
        <f>INDEX('Loan Tape - Settled'!$B$4:$BJ$55,MATCH($A29,'Loan Tape - Settled'!$E$4:$E$55,0),MATCH("Initial Interest Coverage",'Loan Tape - Settled'!$B$4:$BJ$4,0))</f>
        <v>9</v>
      </c>
      <c r="DP29" s="854">
        <f t="array" ref="DP29">IF(AG29="Yes",INDEX(VAE!$O$5:$O$53,MATCH($B29&amp;$AJ29,VAE!$C$5:$C$53&amp;VAE!$G$5:$G$53,0)),DO29)</f>
        <v>1.71</v>
      </c>
      <c r="DQ29" s="427">
        <f>INDEX('Loan Tape - Settled'!$B$4:$BJ$55,MATCH($A29,'Loan Tape - Settled'!$E$4:$E$55,0),MATCH("Current Interest Coverage",'Loan Tape - Settled'!$B$4:$BJ$4,0))</f>
        <v>0.92549902455800004</v>
      </c>
      <c r="DR29" s="855" t="str">
        <f t="shared" si="23"/>
        <v>Yes</v>
      </c>
      <c r="DS29" s="428">
        <f>IF(AG29="Yes",DATEDIF(AJ29,Availability!$F$8,"m"),"")</f>
        <v>5</v>
      </c>
      <c r="DT29" s="428" t="str">
        <f t="shared" si="24"/>
        <v>No</v>
      </c>
      <c r="DU29" s="647" t="str">
        <f t="shared" si="25"/>
        <v>Yes</v>
      </c>
      <c r="DV29" s="648" t="str">
        <f t="shared" si="26"/>
        <v>Yes</v>
      </c>
      <c r="DW29" s="648" t="str">
        <f t="array" ref="DW29">_xlfn.IFS(D29&lt;&gt;"Second Lien","No",D29="Second Lien",IF(AND((DM29-DK29)&gt;0.5,DM29&gt;4.5),"Yes","No"))</f>
        <v>No</v>
      </c>
      <c r="DX29" s="685" t="s">
        <v>243</v>
      </c>
      <c r="DY29" s="685" t="s">
        <v>244</v>
      </c>
      <c r="DZ29" s="686" t="s">
        <v>244</v>
      </c>
      <c r="EA29" s="686" t="s">
        <v>244</v>
      </c>
      <c r="EB29" s="686" t="s">
        <v>244</v>
      </c>
      <c r="EC29" s="686" t="s">
        <v>244</v>
      </c>
      <c r="ED29" s="686" t="s">
        <v>244</v>
      </c>
      <c r="EE29" s="686" t="s">
        <v>244</v>
      </c>
      <c r="EF29" s="409" t="str">
        <f t="shared" si="27"/>
        <v>No</v>
      </c>
      <c r="EG29" s="686" t="s">
        <v>244</v>
      </c>
      <c r="EH29" s="691" t="s">
        <v>244</v>
      </c>
      <c r="EI29" s="856" t="str">
        <f t="array" ref="EI29">IF(D29="First Lien",_xlfn.IFS(CY29&gt;AGENT!$B$23, "&gt; $20MM",CY29&lt;=AGENT!$C$25, "&lt;= $10MM",AND(CY29&lt;=AGENT!$C$24,CY29&gt;AGENT!$B$24),"&lt;= $20MM"), "N/A")</f>
        <v>&lt;= $10MM</v>
      </c>
      <c r="EJ29" s="856" t="str">
        <f t="array" ref="EJ29">IF(D29="FILO",_xlfn.IFS(DI29&gt;AGENT!$B$29, "&gt; 1.25x",DI29&lt;AGENT!$C$27, "&lt; 0.75x",AND(DI29&lt;=AGENT!$C$28,DI29&gt;=AGENT!$B$28),"&lt;= 1.25x"), "N/A")</f>
        <v>N/A</v>
      </c>
      <c r="EK29" s="429">
        <f t="shared" si="28"/>
        <v>0</v>
      </c>
      <c r="EL29" s="429">
        <f>'Concentration Limits'!$J$49</f>
        <v>49599340.729726665</v>
      </c>
      <c r="EM29" s="429" t="str">
        <f>IF(OR(D29="Second Lien",AND(D29="FILO",DI29&gt;AGENT!$C$57)), "Yes", "No")</f>
        <v>No</v>
      </c>
      <c r="EN29" s="429">
        <f t="shared" si="29"/>
        <v>0</v>
      </c>
      <c r="EO29" s="429">
        <f t="shared" si="30"/>
        <v>0</v>
      </c>
      <c r="EP29" s="429">
        <f t="shared" si="31"/>
        <v>0</v>
      </c>
      <c r="EQ29" s="429">
        <f>'Concentration Limits'!$J$50</f>
        <v>24799670.364863332</v>
      </c>
      <c r="ER29" s="429">
        <f t="shared" si="32"/>
        <v>0</v>
      </c>
      <c r="ES29" s="429">
        <f t="shared" si="84"/>
        <v>0</v>
      </c>
      <c r="ET29" s="429">
        <f t="shared" si="33"/>
        <v>0</v>
      </c>
      <c r="EU29" s="429">
        <f>'Concentration Limits'!$J$51</f>
        <v>74399011.094589993</v>
      </c>
      <c r="EV29" s="429" t="str">
        <f>IF(OR(D29="Second Lien", AND(D29="FILO",DI29&gt;AGENT!$C$59)), "Yes", "No")</f>
        <v>No</v>
      </c>
      <c r="EW29" s="429">
        <f t="shared" si="34"/>
        <v>0</v>
      </c>
      <c r="EX29" s="429">
        <f t="shared" si="35"/>
        <v>0</v>
      </c>
      <c r="EY29" s="429">
        <f t="shared" si="36"/>
        <v>0</v>
      </c>
      <c r="EZ29" s="429">
        <f>'Concentration Limits'!$J$52</f>
        <v>37199505.547294997</v>
      </c>
      <c r="FA29" s="429" t="str">
        <f>IF(CY29&gt;'Concentration Limits'!$E$52, "No", "Yes")</f>
        <v>Yes</v>
      </c>
      <c r="FB29" s="429">
        <f t="shared" si="37"/>
        <v>0</v>
      </c>
      <c r="FC29" s="429">
        <f t="shared" si="38"/>
        <v>0</v>
      </c>
      <c r="FD29" s="429">
        <f t="shared" si="39"/>
        <v>0</v>
      </c>
      <c r="FE29" s="430">
        <f>'Concentration Limits'!$J$54</f>
        <v>247996703.6486333</v>
      </c>
      <c r="FF29" s="430">
        <f>'Concentration Limits'!$J$55</f>
        <v>247996703.6486333</v>
      </c>
      <c r="FG29" s="430">
        <f>'Concentration Limits'!$J$56</f>
        <v>247996703.6486333</v>
      </c>
      <c r="FH29" s="431">
        <f>'Concentration Limits'!$J$57</f>
        <v>18599752.773647498</v>
      </c>
      <c r="FI29" s="431">
        <f t="shared" si="40"/>
        <v>0</v>
      </c>
      <c r="FJ29" s="431">
        <f t="shared" si="41"/>
        <v>0</v>
      </c>
      <c r="FK29" s="431">
        <f t="shared" si="42"/>
        <v>0</v>
      </c>
      <c r="FL29" s="431">
        <f>IF(FJ29&gt;0,RANK(FJ29,$FJ$9:$FJ$60)+COUNTIF($FJ$9:FJ29,FJ29)-1,0)</f>
        <v>0</v>
      </c>
      <c r="FM29" s="430">
        <f t="shared" si="43"/>
        <v>0</v>
      </c>
      <c r="FN29" s="430">
        <f t="shared" si="44"/>
        <v>0</v>
      </c>
      <c r="FO29" s="430">
        <f t="shared" si="45"/>
        <v>0</v>
      </c>
      <c r="FP29" s="431">
        <f t="shared" si="46"/>
        <v>0</v>
      </c>
      <c r="FQ29" s="431">
        <f t="shared" si="47"/>
        <v>0</v>
      </c>
      <c r="FR29" s="431">
        <f>'Concentration Limits'!$J$58</f>
        <v>49599340.729726665</v>
      </c>
      <c r="FS29" s="431">
        <f t="shared" si="48"/>
        <v>0</v>
      </c>
      <c r="FT29" s="431" t="str">
        <f>VLOOKUP(BR29,'Concentration Limits'!$E$81:$H$153,4,FALSE)</f>
        <v/>
      </c>
      <c r="FU29" s="431">
        <f t="shared" si="49"/>
        <v>0</v>
      </c>
      <c r="FV29" s="431">
        <f t="shared" si="50"/>
        <v>0</v>
      </c>
      <c r="FW29" s="431">
        <f>'Concentration Limits'!$J$59</f>
        <v>37199505.547294997</v>
      </c>
      <c r="FX29" s="431">
        <f t="shared" si="51"/>
        <v>0</v>
      </c>
      <c r="FY29" s="431" t="str">
        <f>VLOOKUP(BR29,'Concentration Limits'!$E$81:$H$153,4,FALSE)</f>
        <v/>
      </c>
      <c r="FZ29" s="431">
        <f t="shared" si="52"/>
        <v>0</v>
      </c>
      <c r="GA29" s="431">
        <f t="shared" si="53"/>
        <v>0</v>
      </c>
      <c r="GB29" s="431">
        <f>'Concentration Limits'!$J$61</f>
        <v>24799670.364863332</v>
      </c>
      <c r="GC29" s="431">
        <f t="shared" si="54"/>
        <v>0</v>
      </c>
      <c r="GD29" s="429" t="str">
        <f>VLOOKUP(BR29,'Concentration Limits'!$E$81:$H$153,4,FALSE)</f>
        <v/>
      </c>
      <c r="GE29" s="431">
        <f t="shared" si="55"/>
        <v>0</v>
      </c>
      <c r="GF29" s="431">
        <f t="shared" si="56"/>
        <v>0</v>
      </c>
      <c r="GG29" s="431">
        <f>'Concentration Limits'!$J$64</f>
        <v>24799670.364863332</v>
      </c>
      <c r="GH29" s="431">
        <f t="shared" si="57"/>
        <v>0</v>
      </c>
      <c r="GI29" s="431">
        <f t="shared" si="58"/>
        <v>0</v>
      </c>
      <c r="GJ29" s="431">
        <f t="shared" si="59"/>
        <v>0</v>
      </c>
      <c r="GK29" s="431">
        <f>'Concentration Limits'!$J$67</f>
        <v>24799670.364863332</v>
      </c>
      <c r="GL29" s="429" t="str">
        <f t="shared" si="60"/>
        <v>No</v>
      </c>
      <c r="GM29" s="431">
        <f t="shared" si="61"/>
        <v>0</v>
      </c>
      <c r="GN29" s="431">
        <f t="shared" si="62"/>
        <v>0</v>
      </c>
      <c r="GO29" s="431">
        <f t="shared" si="63"/>
        <v>0</v>
      </c>
      <c r="GP29" s="431">
        <f>'Concentration Limits'!$J$68</f>
        <v>37199505.547294997</v>
      </c>
      <c r="GQ29" s="429" t="str">
        <f t="shared" si="64"/>
        <v>No</v>
      </c>
      <c r="GR29" s="431">
        <f t="shared" si="65"/>
        <v>0</v>
      </c>
      <c r="GS29" s="431">
        <f t="shared" si="66"/>
        <v>0</v>
      </c>
      <c r="GT29" s="431">
        <f t="shared" si="67"/>
        <v>0</v>
      </c>
      <c r="GU29" s="429">
        <f>'Concentration Limits'!$J$69</f>
        <v>37199505.547294997</v>
      </c>
      <c r="GV29" s="429" t="str">
        <f t="shared" si="68"/>
        <v>No</v>
      </c>
      <c r="GW29" s="429">
        <f t="shared" si="69"/>
        <v>0</v>
      </c>
      <c r="GX29" s="429">
        <f t="shared" si="70"/>
        <v>0</v>
      </c>
      <c r="GY29" s="429">
        <f t="shared" si="71"/>
        <v>0</v>
      </c>
      <c r="GZ29" s="429">
        <f>'Concentration Limits'!$J$70</f>
        <v>24799670.364863332</v>
      </c>
      <c r="HA29" s="429" t="str">
        <f t="shared" si="72"/>
        <v>No</v>
      </c>
      <c r="HB29" s="429">
        <f t="shared" si="73"/>
        <v>0</v>
      </c>
      <c r="HC29" s="429">
        <f t="shared" si="74"/>
        <v>0</v>
      </c>
      <c r="HD29" s="429">
        <f t="shared" si="75"/>
        <v>0</v>
      </c>
      <c r="HE29" s="431">
        <f t="shared" si="76"/>
        <v>0</v>
      </c>
      <c r="HF29" s="431">
        <f t="shared" si="77"/>
        <v>0</v>
      </c>
      <c r="HG29" s="431">
        <f t="shared" si="78"/>
        <v>0</v>
      </c>
      <c r="HH29" s="431">
        <f t="shared" si="79"/>
        <v>0</v>
      </c>
      <c r="HI29" s="431">
        <f>IF(BE29=0,0,#REF!*BE29/(BE29+BG29))</f>
        <v>0</v>
      </c>
      <c r="HJ29" s="431">
        <f>IF(BG29=0,0,#REF!*BG29/(BG29+BE29))</f>
        <v>0</v>
      </c>
      <c r="HK29" s="857">
        <f>IF(BF29=0,0,#REF!*BF29/(BF29+BH29))</f>
        <v>0</v>
      </c>
      <c r="HL29" s="431">
        <f>IF(BH29=0,0,#REF!*BH29/(BH29+BF29))</f>
        <v>0</v>
      </c>
      <c r="HM29" s="431">
        <f t="shared" si="80"/>
        <v>0</v>
      </c>
      <c r="HN29" s="431" t="b">
        <f t="shared" si="81"/>
        <v>1</v>
      </c>
    </row>
    <row r="30" spans="1:222" s="432" customFormat="1" ht="12.75" customHeight="1" x14ac:dyDescent="0.35">
      <c r="A30" s="49">
        <f t="shared" si="82"/>
        <v>22</v>
      </c>
      <c r="B30" s="404" t="str">
        <f>INDEX('Loan Tape - Settled'!$B$4:$AP$55,MATCH($A30,'Loan Tape - Settled'!$E$4:$E$55,0),MATCH("Obligor Name",'Loan Tape - Settled'!$B$4:$AM$4,0))</f>
        <v>PQT Ayaquhs</v>
      </c>
      <c r="C30" s="404" t="str">
        <f>INDEX('Loan Tape - Settled'!$B$4:$AP$55,MATCH($A30,'Loan Tape - Settled'!$E$4:$E$55,0),MATCH("Security",'Loan Tape - Settled'!$B$4:$AM$4,0))</f>
        <v>FILO</v>
      </c>
      <c r="D30" s="405" t="str">
        <f>INDEX('Loan Tape - Settled'!$B$4:$AP$55,MATCH($A30,'Loan Tape - Settled'!$E$4:$E$55,0),MATCH("Loan Type",'Loan Tape - Settled'!$B$4:$AM$4,0))</f>
        <v>FILO</v>
      </c>
      <c r="E30" s="406" t="b">
        <f>IF(ISERROR(MATCH(D30,AGENT!$A$4:$A$10,0))=FALSE, TRUE)</f>
        <v>1</v>
      </c>
      <c r="F30" s="406" t="b">
        <f t="shared" si="0"/>
        <v>1</v>
      </c>
      <c r="G30" s="406" t="b">
        <f>IF(D30&lt;&gt;"Second Lien",TRUE, IF(CY30&gt;=AGENT!$B$4,TRUE))</f>
        <v>1</v>
      </c>
      <c r="H30" s="406" t="b">
        <f>IF(DE30&lt;=AGENT!$D$4,TRUE)</f>
        <v>1</v>
      </c>
      <c r="I30" s="406" t="b">
        <f>IF(VLOOKUP(CONCATENATE($A$5,A30),'Loan Tape - Settled'!$A$5:$Q$55,17,FALSE)&gt;=AGENT!$E$4,TRUE)</f>
        <v>1</v>
      </c>
      <c r="J30" s="406" t="b">
        <f>IF(INDEX('Loan Tape - Settled'!$B$4:$AP$55,MATCH($A30,'Loan Tape - Settled'!$E$4:$E$55,0),MATCH("Loan Denomination",'Loan Tape - Settled'!$B$4:$AP$4,0))="USD", TRUE)</f>
        <v>1</v>
      </c>
      <c r="K30" s="406" t="b">
        <f>IF(INDEX('Loan Tape - Settled'!$B$4:$AP$55,MATCH($A30,'Loan Tape - Settled'!$E$4:$E$55,0),MATCH("Exposure Country",'Loan Tape - Settled'!$B$4:$AP$4,0))="United States", TRUE)</f>
        <v>1</v>
      </c>
      <c r="L30" s="406" t="b">
        <f t="shared" si="1"/>
        <v>1</v>
      </c>
      <c r="M30" s="406" t="b">
        <f>IF(((BM30-BL30)/365)&lt;=AGENT!$F$4,TRUE)</f>
        <v>1</v>
      </c>
      <c r="N30" s="406" t="b">
        <f t="shared" si="2"/>
        <v>1</v>
      </c>
      <c r="O30" s="453"/>
      <c r="P30" s="709" t="str">
        <f t="shared" si="3"/>
        <v>Yes</v>
      </c>
      <c r="Q30" s="680" t="s">
        <v>243</v>
      </c>
      <c r="R30" s="407" t="str">
        <f t="shared" si="4"/>
        <v>PQT Ayaquhs</v>
      </c>
      <c r="S30" s="407"/>
      <c r="T30" s="408" t="str">
        <f t="array" ref="T30">_xlfn.IFS(D30="Second Lien",D30,D30="First Lien",CONCATENATE(D30," ",EI30),D30="FILO",CONCATENATE(D30," ",EJ30))</f>
        <v>FILO &lt; 0.75x</v>
      </c>
      <c r="U30" s="409">
        <f>VLOOKUP(T30,'Concentration Limits'!D:G,4,FALSE)</f>
        <v>0.625</v>
      </c>
      <c r="V30" s="410">
        <f t="shared" si="5"/>
        <v>3384358.74158662</v>
      </c>
      <c r="W30" s="448">
        <f>(SUMIFS('Loan Tape - Settled'!$AR$4:$AR$55,'Loan Tape - Settled'!$E$4:$E$55,$A30,'Loan Tape - Settled'!$C$4:$C$55,$A$5))</f>
        <v>3437642.19561871</v>
      </c>
      <c r="X30" s="449">
        <v>1</v>
      </c>
      <c r="Y30" s="411">
        <f t="shared" si="6"/>
        <v>3437642.19561871</v>
      </c>
      <c r="Z30" s="449">
        <f>(SUMIFS('Loan Tape - Settled'!$AQ$4:$AQ$55,'Loan Tape - Settled'!$E$4:$E$55,$A30,'Loan Tape - Settled'!$C$4:$C$55,$A$5))</f>
        <v>3437642.19561871</v>
      </c>
      <c r="AA30" s="411">
        <f t="shared" si="7"/>
        <v>3437642.19561871</v>
      </c>
      <c r="AB30" s="411">
        <f t="shared" si="8"/>
        <v>0</v>
      </c>
      <c r="AC30" s="450">
        <f>VLOOKUP(CONCATENATE($A$5,A30),'Loan Tape - Settled'!$A$5:$Q$55,17,FALSE)</f>
        <v>1</v>
      </c>
      <c r="AD30" s="412"/>
      <c r="AE30" s="413">
        <f>INDEX('Loan Tape - Settled'!$B$4:$AP$55,MATCH($A30,'Loan Tape - Settled'!$E$4:$E$55,0),MATCH("FMV",'Loan Tape - Settled'!$B$4:$AM$4,0))</f>
        <v>0.98450000000000004</v>
      </c>
      <c r="AF30" s="413">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1</v>
      </c>
      <c r="AG30" s="414" t="str">
        <f>IF(COUNTIFS(VAE!$C$5:$C$96,B30,VAE!$G$5:$G$96,"&lt;="&amp;Availability!$F$8)&gt;=1,"Yes","-")</f>
        <v>-</v>
      </c>
      <c r="AH30" s="414" t="str">
        <f t="array" ref="AH30">IFERROR(IF(AG30="Yes",INDEX(VAE!$D$5:$D$96,MATCH(B30&amp;AJ30,VAE!$C$5:$C$96&amp;VAE!$G$5:$G$96,0)),"-"),0)</f>
        <v>-</v>
      </c>
      <c r="AI30" s="414" t="str">
        <f t="array" ref="AI30">IFERROR(IF(AG30="Yes",INDEX(VAE!$F$5:$F$96,MATCH(B30&amp;AJ30,VAE!$C$5:$C$96&amp;VAE!$G$5:$G$96,0)),"-"),0)</f>
        <v>-</v>
      </c>
      <c r="AJ30" s="415" t="str">
        <f>IF(AG30="-","-",_xlfn.MAXIFS(VAE!$G$5:$G$96,VAE!$C$5:$C$96,$B30))</f>
        <v>-</v>
      </c>
      <c r="AK30" s="416" t="str">
        <f t="array" ref="AK30">IFERROR(IF(AG30="Yes",INDEX(VAE!$P$5:$P$96,MATCH(B30&amp;AJ30,VAE!$C$5:$C$96&amp;VAE!$G$5:$G$96,0)),"-"),0)</f>
        <v>-</v>
      </c>
      <c r="AL30" s="413">
        <f t="shared" si="9"/>
        <v>0.98450000000000004</v>
      </c>
      <c r="AM30" s="410"/>
      <c r="AN30" s="410"/>
      <c r="AO30" s="410">
        <f t="shared" si="10"/>
        <v>0</v>
      </c>
      <c r="AP30" s="410">
        <f t="shared" si="11"/>
        <v>0</v>
      </c>
      <c r="AQ30" s="410">
        <f t="shared" si="83"/>
        <v>0</v>
      </c>
      <c r="AR30" s="410"/>
      <c r="AS30" s="410"/>
      <c r="AT30" s="410"/>
      <c r="AU30" s="410">
        <f t="shared" si="12"/>
        <v>3437642.19561871</v>
      </c>
      <c r="AV30" s="410">
        <f t="shared" si="13"/>
        <v>0</v>
      </c>
      <c r="AW30" s="410">
        <f t="shared" si="14"/>
        <v>3384358.74158662</v>
      </c>
      <c r="AX30" s="410"/>
      <c r="AY30" s="410"/>
      <c r="AZ30" s="410"/>
      <c r="BA30" s="410">
        <f t="shared" si="15"/>
        <v>0</v>
      </c>
      <c r="BB30" s="410"/>
      <c r="BC30" s="410"/>
      <c r="BD30" s="410">
        <f t="shared" si="16"/>
        <v>0</v>
      </c>
      <c r="BE30" s="410"/>
      <c r="BF30" s="410"/>
      <c r="BG30" s="410"/>
      <c r="BH30" s="410"/>
      <c r="BI30" s="410">
        <f t="shared" si="17"/>
        <v>0</v>
      </c>
      <c r="BJ30" s="410" t="b">
        <f t="shared" si="18"/>
        <v>1</v>
      </c>
      <c r="BK30" s="509">
        <f>INDEX('Loan Tape - Settled'!$B$4:$AP$55,MATCH($A30,'Loan Tape - Settled'!$E$4:$E$55,0),MATCH("Inception Date",'Loan Tape - Settled'!$B$4:$AP$4,0))</f>
        <v>44760</v>
      </c>
      <c r="BL30" s="509">
        <f>INDEX('Loan Tape - Settled'!$B$4:$AP$55,MATCH($A30,'Loan Tape - Settled'!$E$4:$E$55,0),MATCH("Inclusion Date",'Loan Tape - Settled'!$B$4:$AP$4,0))</f>
        <v>44760</v>
      </c>
      <c r="BM30" s="509">
        <f>INDEX('Loan Tape - Settled'!$B$4:$AP$55,MATCH($A30,'Loan Tape - Settled'!$E$4:$E$55,0),MATCH("Maturity Date",'Loan Tape - Settled'!$B$4:$AP$4,0))</f>
        <v>46600</v>
      </c>
      <c r="BN30" s="510"/>
      <c r="BO30" s="510"/>
      <c r="BP30" s="511"/>
      <c r="BQ30" s="510"/>
      <c r="BR30" s="512" t="str">
        <f>INDEX('Loan Tape - Settled'!$B$4:$AP$55,MATCH($A30,'Loan Tape - Settled'!$E$4:$E$55,0),MATCH("Industry Classification",'Loan Tape - Settled'!$B$4:$AP$4,0))</f>
        <v>Professional Services</v>
      </c>
      <c r="BS30" s="510" t="str">
        <f>IF(INDEX('Loan Tape - Settled'!$B$4:$AP$55,MATCH($A30,'Loan Tape - Settled'!$E$4:$E$55,0),MATCH("Covenant Lite",'Loan Tape - Settled'!$B$4:$AP$4,0))=-1, "Yes", "No")</f>
        <v>No</v>
      </c>
      <c r="BT30" s="513">
        <f>INDEX('Loan Tape - Settled'!$B$4:$AP$55,MATCH($A30,'Loan Tape - Settled'!$E$4:$E$55,0),MATCH("Spread / Coupon (%)",'Loan Tape - Settled'!$B$4:$AP$4,0))</f>
        <v>7.2734596698999995E-2</v>
      </c>
      <c r="BU30" s="510" t="str">
        <f>IF(INDEX('Loan Tape - Settled'!$B$4:$AP$55,MATCH($A30,'Loan Tape - Settled'!$E$4:$E$55,0),MATCH("Security Type",'Loan Tape - Settled'!$B$4:$AP$4,0))="Delayed Draw Term Loan", "Yes", "No")</f>
        <v>No</v>
      </c>
      <c r="BV30" s="514" t="s">
        <v>244</v>
      </c>
      <c r="BW30" s="514" t="s">
        <v>244</v>
      </c>
      <c r="BX30" s="506" t="s">
        <v>244</v>
      </c>
      <c r="BY30" s="510" t="str">
        <f>IF(INDEX('Loan Tape - Settled'!$B$4:$AP$55,MATCH($A30,'Loan Tape - Settled'!$E$4:$E$55,0),MATCH("Fixed/Floating",'Loan Tape - Settled'!$B$4:$AP$4,0))="Fixed", "Yes", "No")</f>
        <v>No</v>
      </c>
      <c r="BZ30" s="514" t="s">
        <v>244</v>
      </c>
      <c r="CA30" s="514" t="s">
        <v>244</v>
      </c>
      <c r="CB30" s="510" t="str">
        <f>IF(INDEX('Loan Tape - Settled'!$B$4:$AP$55,MATCH($A30,'Loan Tape - Settled'!$E$4:$E$55,0),MATCH("Loan Denomination",'Loan Tape - Settled'!$B$4:$AP$4,0))="CAD", "Yes", "No")</f>
        <v>No</v>
      </c>
      <c r="CC30" s="510" t="str">
        <f>INDEX('Loan Tape - Settled'!$B$4:$AP$55,MATCH($A30,'Loan Tape - Settled'!$E$4:$E$55,0),MATCH("Payment Frequency",'Loan Tape - Settled'!$B$4:$AP$4,0))</f>
        <v>M</v>
      </c>
      <c r="CD30" s="514" t="s">
        <v>244</v>
      </c>
      <c r="CE30" s="510">
        <f>INDEX('Loan Tape - Settled'!$B$4:$AP$55,MATCH($A30,'Loan Tape - Settled'!$E$4:$E$55,0),MATCH("S&amp;P Loan Rating (if applicable)",'Loan Tape - Settled'!$B$4:$AP$4,0))</f>
        <v>0</v>
      </c>
      <c r="CF30" s="510">
        <f>INDEX('Loan Tape - Settled'!$B$4:$AP$55,MATCH($A30,'Loan Tape - Settled'!$E$4:$E$55,0),MATCH("Moody's Loan Rating (if applicable)",'Loan Tape - Settled'!$B$4:$AP$4,0))</f>
        <v>0</v>
      </c>
      <c r="CG30" s="510"/>
      <c r="CH30" s="510"/>
      <c r="CI30" s="515"/>
      <c r="CJ30" s="508" t="str">
        <f>INDEX('Loan Tape - Settled'!$B$4:$BF$55,MATCH($A30,'Loan Tape - Settled'!$E$4:$E$55,0),MATCH("Last Financial Received",'Loan Tape - Settled'!$B$4:$BF$4,0))</f>
        <v>9/30/2025 or Latest Financing</v>
      </c>
      <c r="CK30" s="516">
        <f>INDEX('Loan Tape - Settled'!$B$4:$BJ$55,MATCH($A30,'Loan Tape - Settled'!$E$4:$E$55,0),MATCH("Initial Adjusted TTM EBITDA",'Loan Tape - Settled'!$B$4:$BJ$4,0))</f>
        <v>6.9169999999999998</v>
      </c>
      <c r="CL30" s="516">
        <f>INDEX('Loan Tape - Settled'!$B$4:$BJ$55,MATCH($A30,'Loan Tape - Settled'!$E$4:$E$55,0),MATCH("Initial TTM Non-adjusted EBITDA",'Loan Tape - Settled'!$B$4:$BJ$4,0))</f>
        <v>6.9169999999999998</v>
      </c>
      <c r="CM30" s="417"/>
      <c r="CN30" s="418"/>
      <c r="CO30" s="418"/>
      <c r="CP30" s="419"/>
      <c r="CQ30" s="420" t="s">
        <v>245</v>
      </c>
      <c r="CR30" s="419"/>
      <c r="CS30" s="421">
        <f t="shared" si="19"/>
        <v>6.9169999999999998</v>
      </c>
      <c r="CT30" s="422">
        <f t="shared" si="20"/>
        <v>0</v>
      </c>
      <c r="CU30" s="516">
        <f>INDEX('Loan Tape - Settled'!$B$4:$BJ$55,MATCH($A30,'Loan Tape - Settled'!$E$4:$E$55,0),MATCH("Current TTM Non-adjusted EBITDA",'Loan Tape - Settled'!$B$4:$BJ$4,0))</f>
        <v>17.03146151666666</v>
      </c>
      <c r="CV30" s="423">
        <f t="shared" si="21"/>
        <v>0</v>
      </c>
      <c r="CW30" s="652" t="s">
        <v>245</v>
      </c>
      <c r="CX30" s="517"/>
      <c r="CY30" s="658">
        <f t="shared" si="22"/>
        <v>17.03146151666666</v>
      </c>
      <c r="CZ30" s="656"/>
      <c r="DA30" s="518"/>
      <c r="DB30" s="519"/>
      <c r="DC30" s="853"/>
      <c r="DD30" s="853">
        <f>INDEX('Loan Tape - Settled'!$B$4:$BJ$55,MATCH($A30,'Loan Tape - Settled'!$E$4:$E$55,0),MATCH("Initial Senior Net Leverage Senior",'Loan Tape - Settled'!$B$4:$BJ$4,0))</f>
        <v>3.5419979760011571</v>
      </c>
      <c r="DE30" s="659">
        <f>INDEX('Loan Tape - Settled'!$B$4:$BJ$55,MATCH($A30,'Loan Tape - Settled'!$E$4:$E$55,0),MATCH("Initial Total Net Leverage",'Loan Tape - Settled'!$B$4:$BJ$4,0))</f>
        <v>3.5419979760011571</v>
      </c>
      <c r="DF30" s="656"/>
      <c r="DG30" s="518"/>
      <c r="DH30" s="519"/>
      <c r="DI30" s="424">
        <f>INDEX('Loan Tape - Settled'!$B$4:$BJ$55,MATCH($A30,'Loan Tape - Settled'!$E$4:$E$55,0),MATCH("Net Attachment",'Loan Tape - Settled'!$B$4:$BJ$4,0))</f>
        <v>-0.33241125112079517</v>
      </c>
      <c r="DJ30" s="522">
        <f t="array" ref="DJ30">IF(AG30="Yes",INDEX(VAE!$M$5:$M$53,MATCH($B30&amp;$AJ30,VAE!$C$5:$C$53&amp;VAE!$G$5:$G$53,0)),DD30)</f>
        <v>3.5419979760011571</v>
      </c>
      <c r="DK30" s="649">
        <f t="array" ref="DK30">IF(AG30="Yes",INDEX(VAE!$N$5:$N$53,MATCH($B30&amp;$AJ30,VAE!$C$5:$C$53&amp;VAE!$G$5:$G$53,0)),DE30)</f>
        <v>3.5419979760011571</v>
      </c>
      <c r="DL30" s="651">
        <f>INDEX('Loan Tape - Settled'!$B$4:$BJ$55,MATCH($A30,'Loan Tape - Settled'!$E$4:$E$55,0),MATCH("Current Senior Net Leverage Senior",'Loan Tape - Settled'!$B$4:$BJ$4,0))</f>
        <v>0.29329493358903957</v>
      </c>
      <c r="DM30" s="433">
        <f>INDEX('Loan Tape - Settled'!$B$4:$BJ$55,MATCH($A30,'Loan Tape - Settled'!$E$4:$E$55,0),MATCH("Current Total Net Leverage",'Loan Tape - Settled'!$B$4:$BJ$4,0))</f>
        <v>0.29329493358903957</v>
      </c>
      <c r="DN30" s="425"/>
      <c r="DO30" s="426">
        <f>INDEX('Loan Tape - Settled'!$B$4:$BJ$55,MATCH($A30,'Loan Tape - Settled'!$E$4:$E$55,0),MATCH("Initial Interest Coverage",'Loan Tape - Settled'!$B$4:$BJ$4,0))</f>
        <v>3.14</v>
      </c>
      <c r="DP30" s="854">
        <f t="array" ref="DP30">IF(AG30="Yes",INDEX(VAE!$O$5:$O$53,MATCH($B30&amp;$AJ30,VAE!$C$5:$C$53&amp;VAE!$G$5:$G$53,0)),DO30)</f>
        <v>3.14</v>
      </c>
      <c r="DQ30" s="427">
        <f>INDEX('Loan Tape - Settled'!$B$4:$BJ$55,MATCH($A30,'Loan Tape - Settled'!$E$4:$E$55,0),MATCH("Current Interest Coverage",'Loan Tape - Settled'!$B$4:$BJ$4,0))</f>
        <v>5.9179490302630002</v>
      </c>
      <c r="DR30" s="855" t="str">
        <f t="shared" si="23"/>
        <v>No</v>
      </c>
      <c r="DS30" s="428" t="str">
        <f>IF(AG30="Yes",DATEDIF(AJ30,Availability!$F$8,"m"),"")</f>
        <v/>
      </c>
      <c r="DT30" s="428" t="str">
        <f t="shared" si="24"/>
        <v>No</v>
      </c>
      <c r="DU30" s="647" t="str">
        <f t="shared" si="25"/>
        <v>No</v>
      </c>
      <c r="DV30" s="648" t="str">
        <f t="shared" si="26"/>
        <v>No</v>
      </c>
      <c r="DW30" s="648" t="str">
        <f t="array" ref="DW30">_xlfn.IFS(D30&lt;&gt;"Second Lien","No",D30="Second Lien",IF(AND((DM30-DK30)&gt;0.5,DM30&gt;4.5),"Yes","No"))</f>
        <v>No</v>
      </c>
      <c r="DX30" s="685" t="s">
        <v>244</v>
      </c>
      <c r="DY30" s="685" t="s">
        <v>244</v>
      </c>
      <c r="DZ30" s="686" t="s">
        <v>244</v>
      </c>
      <c r="EA30" s="686" t="s">
        <v>244</v>
      </c>
      <c r="EB30" s="686" t="s">
        <v>244</v>
      </c>
      <c r="EC30" s="686" t="s">
        <v>244</v>
      </c>
      <c r="ED30" s="686" t="s">
        <v>244</v>
      </c>
      <c r="EE30" s="686" t="s">
        <v>244</v>
      </c>
      <c r="EF30" s="409" t="str">
        <f t="shared" si="27"/>
        <v>No</v>
      </c>
      <c r="EG30" s="686" t="s">
        <v>244</v>
      </c>
      <c r="EH30" s="691" t="s">
        <v>244</v>
      </c>
      <c r="EI30" s="856" t="str">
        <f t="array" ref="EI30">IF(D30="First Lien",_xlfn.IFS(CY30&gt;AGENT!$B$23, "&gt; $20MM",CY30&lt;=AGENT!$C$25, "&lt;= $10MM",AND(CY30&lt;=AGENT!$C$24,CY30&gt;AGENT!$B$24),"&lt;= $20MM"), "N/A")</f>
        <v>N/A</v>
      </c>
      <c r="EJ30" s="856" t="str">
        <f t="array" ref="EJ30">IF(D30="FILO",_xlfn.IFS(DI30&gt;AGENT!$B$29, "&gt; 1.25x",DI30&lt;AGENT!$C$27, "&lt; 0.75x",AND(DI30&lt;=AGENT!$C$28,DI30&gt;=AGENT!$B$28),"&lt;= 1.25x"), "N/A")</f>
        <v>&lt; 0.75x</v>
      </c>
      <c r="EK30" s="429">
        <f t="shared" si="28"/>
        <v>3384358.74158662</v>
      </c>
      <c r="EL30" s="429">
        <f>'Concentration Limits'!$J$49</f>
        <v>49599340.729726665</v>
      </c>
      <c r="EM30" s="429" t="str">
        <f>IF(OR(D30="Second Lien",AND(D30="FILO",DI30&gt;AGENT!$C$57)), "Yes", "No")</f>
        <v>No</v>
      </c>
      <c r="EN30" s="429">
        <f t="shared" si="29"/>
        <v>0</v>
      </c>
      <c r="EO30" s="429">
        <f t="shared" si="30"/>
        <v>0</v>
      </c>
      <c r="EP30" s="429">
        <f t="shared" si="31"/>
        <v>3384358.74158662</v>
      </c>
      <c r="EQ30" s="429">
        <f>'Concentration Limits'!$J$50</f>
        <v>24799670.364863332</v>
      </c>
      <c r="ER30" s="429">
        <f t="shared" si="32"/>
        <v>0</v>
      </c>
      <c r="ES30" s="429">
        <f t="shared" si="84"/>
        <v>0</v>
      </c>
      <c r="ET30" s="429">
        <f t="shared" si="33"/>
        <v>3384358.74158662</v>
      </c>
      <c r="EU30" s="429">
        <f>'Concentration Limits'!$J$51</f>
        <v>74399011.094589993</v>
      </c>
      <c r="EV30" s="429" t="str">
        <f>IF(OR(D30="Second Lien", AND(D30="FILO",DI30&gt;AGENT!$C$59)), "Yes", "No")</f>
        <v>No</v>
      </c>
      <c r="EW30" s="429">
        <f t="shared" si="34"/>
        <v>0</v>
      </c>
      <c r="EX30" s="429">
        <f t="shared" si="35"/>
        <v>0</v>
      </c>
      <c r="EY30" s="429">
        <f t="shared" si="36"/>
        <v>3384358.74158662</v>
      </c>
      <c r="EZ30" s="429">
        <f>'Concentration Limits'!$J$52</f>
        <v>37199505.547294997</v>
      </c>
      <c r="FA30" s="429" t="str">
        <f>IF(CY30&gt;'Concentration Limits'!$E$52, "No", "Yes")</f>
        <v>No</v>
      </c>
      <c r="FB30" s="429">
        <f t="shared" si="37"/>
        <v>0</v>
      </c>
      <c r="FC30" s="429">
        <f t="shared" si="38"/>
        <v>0</v>
      </c>
      <c r="FD30" s="429">
        <f t="shared" si="39"/>
        <v>3384358.74158662</v>
      </c>
      <c r="FE30" s="430">
        <f>'Concentration Limits'!$J$54</f>
        <v>247996703.6486333</v>
      </c>
      <c r="FF30" s="430">
        <f>'Concentration Limits'!$J$55</f>
        <v>247996703.6486333</v>
      </c>
      <c r="FG30" s="430">
        <f>'Concentration Limits'!$J$56</f>
        <v>247996703.6486333</v>
      </c>
      <c r="FH30" s="431">
        <f>'Concentration Limits'!$J$57</f>
        <v>18599752.773647498</v>
      </c>
      <c r="FI30" s="431">
        <f t="shared" si="40"/>
        <v>3384358.74158662</v>
      </c>
      <c r="FJ30" s="431">
        <f t="shared" si="41"/>
        <v>3384358.74158662</v>
      </c>
      <c r="FK30" s="431">
        <f t="shared" si="42"/>
        <v>25</v>
      </c>
      <c r="FL30" s="431">
        <f>IF(FJ30&gt;0,RANK(FJ30,$FJ$9:$FJ$60)+COUNTIF($FJ$9:FJ30,FJ30)-1,0)</f>
        <v>25</v>
      </c>
      <c r="FM30" s="430">
        <f t="shared" si="43"/>
        <v>0</v>
      </c>
      <c r="FN30" s="430">
        <f t="shared" si="44"/>
        <v>0</v>
      </c>
      <c r="FO30" s="430">
        <f t="shared" si="45"/>
        <v>0</v>
      </c>
      <c r="FP30" s="431">
        <f t="shared" si="46"/>
        <v>0</v>
      </c>
      <c r="FQ30" s="431">
        <f t="shared" si="47"/>
        <v>3384358.74158662</v>
      </c>
      <c r="FR30" s="431">
        <f>'Concentration Limits'!$J$58</f>
        <v>49599340.729726665</v>
      </c>
      <c r="FS30" s="431">
        <f t="shared" si="48"/>
        <v>24394399.03040082</v>
      </c>
      <c r="FT30" s="431">
        <f>VLOOKUP(BR30,'Concentration Limits'!$E$81:$H$153,4,FALSE)</f>
        <v>3</v>
      </c>
      <c r="FU30" s="431">
        <f t="shared" si="49"/>
        <v>0</v>
      </c>
      <c r="FV30" s="431">
        <f t="shared" si="50"/>
        <v>3384358.74158662</v>
      </c>
      <c r="FW30" s="431">
        <f>'Concentration Limits'!$J$59</f>
        <v>37199505.547294997</v>
      </c>
      <c r="FX30" s="431">
        <f t="shared" si="51"/>
        <v>24394399.03040082</v>
      </c>
      <c r="FY30" s="431">
        <f>VLOOKUP(BR30,'Concentration Limits'!$E$81:$H$153,4,FALSE)</f>
        <v>3</v>
      </c>
      <c r="FZ30" s="431">
        <f t="shared" si="52"/>
        <v>0</v>
      </c>
      <c r="GA30" s="431">
        <f t="shared" si="53"/>
        <v>3384358.74158662</v>
      </c>
      <c r="GB30" s="431">
        <f>'Concentration Limits'!$J$61</f>
        <v>24799670.364863332</v>
      </c>
      <c r="GC30" s="431">
        <f t="shared" si="54"/>
        <v>24394399.03040082</v>
      </c>
      <c r="GD30" s="429">
        <f>VLOOKUP(BR30,'Concentration Limits'!$E$81:$H$153,4,FALSE)</f>
        <v>3</v>
      </c>
      <c r="GE30" s="431">
        <f t="shared" si="55"/>
        <v>0</v>
      </c>
      <c r="GF30" s="431">
        <f t="shared" si="56"/>
        <v>3384358.74158662</v>
      </c>
      <c r="GG30" s="431">
        <f>'Concentration Limits'!$J$64</f>
        <v>24799670.364863332</v>
      </c>
      <c r="GH30" s="431">
        <f t="shared" si="57"/>
        <v>0</v>
      </c>
      <c r="GI30" s="431">
        <f t="shared" si="58"/>
        <v>0</v>
      </c>
      <c r="GJ30" s="431">
        <f t="shared" si="59"/>
        <v>3384358.74158662</v>
      </c>
      <c r="GK30" s="431">
        <f>'Concentration Limits'!$J$67</f>
        <v>24799670.364863332</v>
      </c>
      <c r="GL30" s="429" t="str">
        <f t="shared" si="60"/>
        <v>No</v>
      </c>
      <c r="GM30" s="431">
        <f t="shared" si="61"/>
        <v>0</v>
      </c>
      <c r="GN30" s="431">
        <f t="shared" si="62"/>
        <v>0</v>
      </c>
      <c r="GO30" s="431">
        <f t="shared" si="63"/>
        <v>3384358.74158662</v>
      </c>
      <c r="GP30" s="431">
        <f>'Concentration Limits'!$J$68</f>
        <v>37199505.547294997</v>
      </c>
      <c r="GQ30" s="429" t="str">
        <f t="shared" si="64"/>
        <v>No</v>
      </c>
      <c r="GR30" s="431">
        <f t="shared" si="65"/>
        <v>0</v>
      </c>
      <c r="GS30" s="431">
        <f t="shared" si="66"/>
        <v>0</v>
      </c>
      <c r="GT30" s="431">
        <f t="shared" si="67"/>
        <v>3384358.74158662</v>
      </c>
      <c r="GU30" s="429">
        <f>'Concentration Limits'!$J$69</f>
        <v>37199505.547294997</v>
      </c>
      <c r="GV30" s="429" t="str">
        <f t="shared" si="68"/>
        <v>No</v>
      </c>
      <c r="GW30" s="429">
        <f t="shared" si="69"/>
        <v>0</v>
      </c>
      <c r="GX30" s="429">
        <f t="shared" si="70"/>
        <v>0</v>
      </c>
      <c r="GY30" s="429">
        <f t="shared" si="71"/>
        <v>3384358.74158662</v>
      </c>
      <c r="GZ30" s="429">
        <f>'Concentration Limits'!$J$70</f>
        <v>24799670.364863332</v>
      </c>
      <c r="HA30" s="429" t="str">
        <f t="shared" si="72"/>
        <v>No</v>
      </c>
      <c r="HB30" s="429">
        <f t="shared" si="73"/>
        <v>0</v>
      </c>
      <c r="HC30" s="429">
        <f t="shared" si="74"/>
        <v>0</v>
      </c>
      <c r="HD30" s="429">
        <f t="shared" si="75"/>
        <v>3384358.74158662</v>
      </c>
      <c r="HE30" s="431">
        <f t="shared" si="76"/>
        <v>0</v>
      </c>
      <c r="HF30" s="431">
        <f t="shared" si="77"/>
        <v>0</v>
      </c>
      <c r="HG30" s="431">
        <f t="shared" si="78"/>
        <v>3384358.74158662</v>
      </c>
      <c r="HH30" s="431">
        <f t="shared" si="79"/>
        <v>0</v>
      </c>
      <c r="HI30" s="431">
        <f>IF(BE30=0,0,#REF!*BE30/(BE30+BG30))</f>
        <v>0</v>
      </c>
      <c r="HJ30" s="431">
        <f>IF(BG30=0,0,#REF!*BG30/(BG30+BE30))</f>
        <v>0</v>
      </c>
      <c r="HK30" s="857">
        <f>IF(BF30=0,0,#REF!*BF30/(BF30+BH30))</f>
        <v>0</v>
      </c>
      <c r="HL30" s="431">
        <f>IF(BH30=0,0,#REF!*BH30/(BH30+BF30))</f>
        <v>0</v>
      </c>
      <c r="HM30" s="431">
        <f t="shared" si="80"/>
        <v>0</v>
      </c>
      <c r="HN30" s="431" t="b">
        <f t="shared" si="81"/>
        <v>1</v>
      </c>
    </row>
    <row r="31" spans="1:222" s="432" customFormat="1" ht="12.75" customHeight="1" x14ac:dyDescent="0.35">
      <c r="A31" s="49">
        <f t="shared" si="82"/>
        <v>23</v>
      </c>
      <c r="B31" s="404" t="str">
        <f>INDEX('Loan Tape - Settled'!$B$4:$AP$55,MATCH($A31,'Loan Tape - Settled'!$E$4:$E$55,0),MATCH("Obligor Name",'Loan Tape - Settled'!$B$4:$AM$4,0))</f>
        <v>HighStar Traffic</v>
      </c>
      <c r="C31" s="404" t="str">
        <f>INDEX('Loan Tape - Settled'!$B$4:$AP$55,MATCH($A31,'Loan Tape - Settled'!$E$4:$E$55,0),MATCH("Security",'Loan Tape - Settled'!$B$4:$AM$4,0))</f>
        <v>1st Lien</v>
      </c>
      <c r="D31" s="405" t="str">
        <f>INDEX('Loan Tape - Settled'!$B$4:$AP$55,MATCH($A31,'Loan Tape - Settled'!$E$4:$E$55,0),MATCH("Loan Type",'Loan Tape - Settled'!$B$4:$AM$4,0))</f>
        <v>First Lien</v>
      </c>
      <c r="E31" s="406" t="b">
        <f>IF(ISERROR(MATCH(D31,AGENT!$A$4:$A$10,0))=FALSE, TRUE)</f>
        <v>1</v>
      </c>
      <c r="F31" s="406" t="b">
        <f t="shared" si="0"/>
        <v>1</v>
      </c>
      <c r="G31" s="406" t="b">
        <f>IF(D31&lt;&gt;"Second Lien",TRUE, IF(CY31&gt;=AGENT!$B$4,TRUE))</f>
        <v>1</v>
      </c>
      <c r="H31" s="406" t="b">
        <f>IF(DE31&lt;=AGENT!$D$4,TRUE)</f>
        <v>1</v>
      </c>
      <c r="I31" s="406" t="b">
        <f>IF(VLOOKUP(CONCATENATE($A$5,A31),'Loan Tape - Settled'!$A$5:$Q$55,17,FALSE)&gt;=AGENT!$E$4,TRUE)</f>
        <v>1</v>
      </c>
      <c r="J31" s="406" t="b">
        <f>IF(INDEX('Loan Tape - Settled'!$B$4:$AP$55,MATCH($A31,'Loan Tape - Settled'!$E$4:$E$55,0),MATCH("Loan Denomination",'Loan Tape - Settled'!$B$4:$AP$4,0))="USD", TRUE)</f>
        <v>1</v>
      </c>
      <c r="K31" s="406" t="b">
        <f>IF(INDEX('Loan Tape - Settled'!$B$4:$AP$55,MATCH($A31,'Loan Tape - Settled'!$E$4:$E$55,0),MATCH("Exposure Country",'Loan Tape - Settled'!$B$4:$AP$4,0))="United States", TRUE)</f>
        <v>1</v>
      </c>
      <c r="L31" s="406" t="b">
        <f t="shared" si="1"/>
        <v>1</v>
      </c>
      <c r="M31" s="406" t="b">
        <f>IF(((BM31-BL31)/365)&lt;=AGENT!$F$4,TRUE)</f>
        <v>1</v>
      </c>
      <c r="N31" s="406" t="b">
        <f t="shared" si="2"/>
        <v>1</v>
      </c>
      <c r="O31" s="453"/>
      <c r="P31" s="709" t="str">
        <f t="shared" si="3"/>
        <v>Yes</v>
      </c>
      <c r="Q31" s="680" t="s">
        <v>243</v>
      </c>
      <c r="R31" s="407" t="str">
        <f t="shared" si="4"/>
        <v>HighStar Traffic</v>
      </c>
      <c r="S31" s="407"/>
      <c r="T31" s="408" t="str">
        <f t="array" ref="T31">_xlfn.IFS(D31="Second Lien",D31,D31="First Lien",CONCATENATE(D31," ",EI31),D31="FILO",CONCATENATE(D31," ",EJ31))</f>
        <v>First Lien &lt;= $20MM</v>
      </c>
      <c r="U31" s="409">
        <f>VLOOKUP(T31,'Concentration Limits'!D:G,4,FALSE)</f>
        <v>0.65</v>
      </c>
      <c r="V31" s="410">
        <f t="shared" si="5"/>
        <v>7992480.5747497557</v>
      </c>
      <c r="W31" s="448">
        <f>(SUMIFS('Loan Tape - Settled'!$AR$4:$AR$55,'Loan Tape - Settled'!$E$4:$E$55,$A31,'Loan Tape - Settled'!$C$4:$C$55,$A$5))</f>
        <v>9984614.3509859107</v>
      </c>
      <c r="X31" s="449">
        <v>1</v>
      </c>
      <c r="Y31" s="411">
        <f t="shared" si="6"/>
        <v>9984614.3509859107</v>
      </c>
      <c r="Z31" s="449">
        <f>(SUMIFS('Loan Tape - Settled'!$AQ$4:$AQ$55,'Loan Tape - Settled'!$E$4:$E$55,$A31,'Loan Tape - Settled'!$C$4:$C$55,$A$5))</f>
        <v>9984614.3509859107</v>
      </c>
      <c r="AA31" s="411">
        <f t="shared" si="7"/>
        <v>9984614.3509859107</v>
      </c>
      <c r="AB31" s="411">
        <f t="shared" si="8"/>
        <v>0</v>
      </c>
      <c r="AC31" s="450">
        <f>VLOOKUP(CONCATENATE($A$5,A31),'Loan Tape - Settled'!$A$5:$Q$55,17,FALSE)</f>
        <v>1</v>
      </c>
      <c r="AD31" s="412"/>
      <c r="AE31" s="413">
        <f>INDEX('Loan Tape - Settled'!$B$4:$AP$55,MATCH($A31,'Loan Tape - Settled'!$E$4:$E$55,0),MATCH("FMV",'Loan Tape - Settled'!$B$4:$AM$4,0))</f>
        <v>0.95690000000000008</v>
      </c>
      <c r="AF31" s="413">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0.80047964736470312</v>
      </c>
      <c r="AG31" s="414" t="str">
        <f>IF(COUNTIFS(VAE!$C$5:$C$96,B31,VAE!$G$5:$G$96,"&lt;="&amp;Availability!$F$8)&gt;=1,"Yes","-")</f>
        <v>Yes</v>
      </c>
      <c r="AH31" s="414" t="str">
        <f t="array" ref="AH31">IFERROR(IF(AG31="Yes",INDEX(VAE!$D$5:$D$96,MATCH(B31&amp;AJ31,VAE!$C$5:$C$96&amp;VAE!$G$5:$G$96,0)),"-"),0)</f>
        <v>Increase in Lev</v>
      </c>
      <c r="AI31" s="414" t="str">
        <f t="array" ref="AI31">IFERROR(IF(AG31="Yes",INDEX(VAE!$F$5:$F$96,MATCH(B31&amp;AJ31,VAE!$C$5:$C$96&amp;VAE!$G$5:$G$96,0)),"-"),0)</f>
        <v>n/a</v>
      </c>
      <c r="AJ31" s="415">
        <f>IF(AG31="-","-",_xlfn.MAXIFS(VAE!$G$5:$G$96,VAE!$C$5:$C$96,$B31))</f>
        <v>45382</v>
      </c>
      <c r="AK31" s="416">
        <f t="array" ref="AK31">IFERROR(IF(AG31="Yes",INDEX(VAE!$P$5:$P$96,MATCH(B31&amp;AJ31,VAE!$C$5:$C$96&amp;VAE!$G$5:$G$96,0)),"-"),0)</f>
        <v>0.80047964736470312</v>
      </c>
      <c r="AL31" s="413">
        <f t="shared" si="9"/>
        <v>0.80047964736470312</v>
      </c>
      <c r="AM31" s="410"/>
      <c r="AN31" s="410"/>
      <c r="AO31" s="410">
        <f t="shared" si="10"/>
        <v>9984614.3509859107</v>
      </c>
      <c r="AP31" s="410">
        <f t="shared" si="11"/>
        <v>0</v>
      </c>
      <c r="AQ31" s="410">
        <f t="shared" si="83"/>
        <v>7992480.5747497557</v>
      </c>
      <c r="AR31" s="410"/>
      <c r="AS31" s="410"/>
      <c r="AT31" s="410"/>
      <c r="AU31" s="410">
        <f t="shared" si="12"/>
        <v>0</v>
      </c>
      <c r="AV31" s="410">
        <f t="shared" si="13"/>
        <v>0</v>
      </c>
      <c r="AW31" s="410">
        <f t="shared" si="14"/>
        <v>0</v>
      </c>
      <c r="AX31" s="410"/>
      <c r="AY31" s="410"/>
      <c r="AZ31" s="410"/>
      <c r="BA31" s="410">
        <f t="shared" si="15"/>
        <v>0</v>
      </c>
      <c r="BB31" s="410"/>
      <c r="BC31" s="410"/>
      <c r="BD31" s="410">
        <f t="shared" si="16"/>
        <v>0</v>
      </c>
      <c r="BE31" s="410"/>
      <c r="BF31" s="410"/>
      <c r="BG31" s="410"/>
      <c r="BH31" s="410"/>
      <c r="BI31" s="410">
        <f t="shared" si="17"/>
        <v>0</v>
      </c>
      <c r="BJ31" s="410" t="b">
        <f t="shared" si="18"/>
        <v>1</v>
      </c>
      <c r="BK31" s="509">
        <f>INDEX('Loan Tape - Settled'!$B$4:$AP$55,MATCH($A31,'Loan Tape - Settled'!$E$4:$E$55,0),MATCH("Inception Date",'Loan Tape - Settled'!$B$4:$AP$4,0))</f>
        <v>44760</v>
      </c>
      <c r="BL31" s="509">
        <f>INDEX('Loan Tape - Settled'!$B$4:$AP$55,MATCH($A31,'Loan Tape - Settled'!$E$4:$E$55,0),MATCH("Inclusion Date",'Loan Tape - Settled'!$B$4:$AP$4,0))</f>
        <v>44760</v>
      </c>
      <c r="BM31" s="509">
        <f>INDEX('Loan Tape - Settled'!$B$4:$AP$55,MATCH($A31,'Loan Tape - Settled'!$E$4:$E$55,0),MATCH("Maturity Date",'Loan Tape - Settled'!$B$4:$AP$4,0))</f>
        <v>46594</v>
      </c>
      <c r="BN31" s="510"/>
      <c r="BO31" s="510"/>
      <c r="BP31" s="511"/>
      <c r="BQ31" s="510"/>
      <c r="BR31" s="512" t="str">
        <f>INDEX('Loan Tape - Settled'!$B$4:$AP$55,MATCH($A31,'Loan Tape - Settled'!$E$4:$E$55,0),MATCH("Industry Classification",'Loan Tape - Settled'!$B$4:$AP$4,0))</f>
        <v>Transportation Infrastructure</v>
      </c>
      <c r="BS31" s="510" t="str">
        <f>IF(INDEX('Loan Tape - Settled'!$B$4:$AP$55,MATCH($A31,'Loan Tape - Settled'!$E$4:$E$55,0),MATCH("Covenant Lite",'Loan Tape - Settled'!$B$4:$AP$4,0))=-1, "Yes", "No")</f>
        <v>No</v>
      </c>
      <c r="BT31" s="513">
        <f>INDEX('Loan Tape - Settled'!$B$4:$AP$55,MATCH($A31,'Loan Tape - Settled'!$E$4:$E$55,0),MATCH("Spread / Coupon (%)",'Loan Tape - Settled'!$B$4:$AP$4,0))</f>
        <v>9.4979999999999995E-2</v>
      </c>
      <c r="BU31" s="510" t="str">
        <f>IF(INDEX('Loan Tape - Settled'!$B$4:$AP$55,MATCH($A31,'Loan Tape - Settled'!$E$4:$E$55,0),MATCH("Security Type",'Loan Tape - Settled'!$B$4:$AP$4,0))="Delayed Draw Term Loan", "Yes", "No")</f>
        <v>No</v>
      </c>
      <c r="BV31" s="514" t="s">
        <v>244</v>
      </c>
      <c r="BW31" s="514" t="s">
        <v>244</v>
      </c>
      <c r="BX31" s="506" t="s">
        <v>244</v>
      </c>
      <c r="BY31" s="510" t="str">
        <f>IF(INDEX('Loan Tape - Settled'!$B$4:$AP$55,MATCH($A31,'Loan Tape - Settled'!$E$4:$E$55,0),MATCH("Fixed/Floating",'Loan Tape - Settled'!$B$4:$AP$4,0))="Fixed", "Yes", "No")</f>
        <v>No</v>
      </c>
      <c r="BZ31" s="514" t="s">
        <v>244</v>
      </c>
      <c r="CA31" s="514" t="s">
        <v>244</v>
      </c>
      <c r="CB31" s="510" t="str">
        <f>IF(INDEX('Loan Tape - Settled'!$B$4:$AP$55,MATCH($A31,'Loan Tape - Settled'!$E$4:$E$55,0),MATCH("Loan Denomination",'Loan Tape - Settled'!$B$4:$AP$4,0))="CAD", "Yes", "No")</f>
        <v>No</v>
      </c>
      <c r="CC31" s="510" t="str">
        <f>INDEX('Loan Tape - Settled'!$B$4:$AP$55,MATCH($A31,'Loan Tape - Settled'!$E$4:$E$55,0),MATCH("Payment Frequency",'Loan Tape - Settled'!$B$4:$AP$4,0))</f>
        <v>M</v>
      </c>
      <c r="CD31" s="514" t="s">
        <v>244</v>
      </c>
      <c r="CE31" s="510">
        <f>INDEX('Loan Tape - Settled'!$B$4:$AP$55,MATCH($A31,'Loan Tape - Settled'!$E$4:$E$55,0),MATCH("S&amp;P Loan Rating (if applicable)",'Loan Tape - Settled'!$B$4:$AP$4,0))</f>
        <v>0</v>
      </c>
      <c r="CF31" s="510">
        <f>INDEX('Loan Tape - Settled'!$B$4:$AP$55,MATCH($A31,'Loan Tape - Settled'!$E$4:$E$55,0),MATCH("Moody's Loan Rating (if applicable)",'Loan Tape - Settled'!$B$4:$AP$4,0))</f>
        <v>0</v>
      </c>
      <c r="CG31" s="510"/>
      <c r="CH31" s="510"/>
      <c r="CI31" s="515"/>
      <c r="CJ31" s="508" t="str">
        <f>INDEX('Loan Tape - Settled'!$B$4:$BF$55,MATCH($A31,'Loan Tape - Settled'!$E$4:$E$55,0),MATCH("Last Financial Received",'Loan Tape - Settled'!$B$4:$BF$4,0))</f>
        <v>9/30/2025 or Latest Financing</v>
      </c>
      <c r="CK31" s="516">
        <f>INDEX('Loan Tape - Settled'!$B$4:$BJ$55,MATCH($A31,'Loan Tape - Settled'!$E$4:$E$55,0),MATCH("Initial Adjusted TTM EBITDA",'Loan Tape - Settled'!$B$4:$BJ$4,0))</f>
        <v>15.944000000000001</v>
      </c>
      <c r="CL31" s="516">
        <f>INDEX('Loan Tape - Settled'!$B$4:$BJ$55,MATCH($A31,'Loan Tape - Settled'!$E$4:$E$55,0),MATCH("Initial TTM Non-adjusted EBITDA",'Loan Tape - Settled'!$B$4:$BJ$4,0))</f>
        <v>15.944000000000001</v>
      </c>
      <c r="CM31" s="417"/>
      <c r="CN31" s="418"/>
      <c r="CO31" s="418"/>
      <c r="CP31" s="419"/>
      <c r="CQ31" s="420" t="s">
        <v>245</v>
      </c>
      <c r="CR31" s="419"/>
      <c r="CS31" s="421">
        <f t="shared" si="19"/>
        <v>15.944000000000001</v>
      </c>
      <c r="CT31" s="422">
        <f t="shared" si="20"/>
        <v>0</v>
      </c>
      <c r="CU31" s="516">
        <f>INDEX('Loan Tape - Settled'!$B$4:$BJ$55,MATCH($A31,'Loan Tape - Settled'!$E$4:$E$55,0),MATCH("Current TTM Non-adjusted EBITDA",'Loan Tape - Settled'!$B$4:$BJ$4,0))</f>
        <v>17.236000000000001</v>
      </c>
      <c r="CV31" s="423">
        <f t="shared" si="21"/>
        <v>0</v>
      </c>
      <c r="CW31" s="652" t="s">
        <v>245</v>
      </c>
      <c r="CX31" s="517"/>
      <c r="CY31" s="658">
        <f t="shared" si="22"/>
        <v>17.236000000000001</v>
      </c>
      <c r="CZ31" s="656"/>
      <c r="DA31" s="518"/>
      <c r="DB31" s="519"/>
      <c r="DC31" s="853"/>
      <c r="DD31" s="853">
        <f>INDEX('Loan Tape - Settled'!$B$4:$BJ$55,MATCH($A31,'Loan Tape - Settled'!$E$4:$E$55,0),MATCH("Initial Senior Net Leverage Senior",'Loan Tape - Settled'!$B$4:$BJ$4,0))</f>
        <v>2.82237832413447</v>
      </c>
      <c r="DE31" s="659">
        <f>INDEX('Loan Tape - Settled'!$B$4:$BJ$55,MATCH($A31,'Loan Tape - Settled'!$E$4:$E$55,0),MATCH("Initial Total Net Leverage",'Loan Tape - Settled'!$B$4:$BJ$4,0))</f>
        <v>2.82237832413447</v>
      </c>
      <c r="DF31" s="656"/>
      <c r="DG31" s="518"/>
      <c r="DH31" s="519"/>
      <c r="DI31" s="424">
        <f>INDEX('Loan Tape - Settled'!$B$4:$BJ$55,MATCH($A31,'Loan Tape - Settled'!$E$4:$E$55,0),MATCH("Net Attachment",'Loan Tape - Settled'!$B$4:$BJ$4,0))</f>
        <v>0.95074263170109075</v>
      </c>
      <c r="DJ31" s="522">
        <f t="array" ref="DJ31">IF(AG31="Yes",INDEX(VAE!$M$5:$M$53,MATCH($B31&amp;$AJ31,VAE!$C$5:$C$53&amp;VAE!$G$5:$G$53,0)),DD31)</f>
        <v>4.2220910991438121</v>
      </c>
      <c r="DK31" s="649">
        <f t="array" ref="DK31">IF(AG31="Yes",INDEX(VAE!$N$5:$N$53,MATCH($B31&amp;$AJ31,VAE!$C$5:$C$53&amp;VAE!$G$5:$G$53,0)),DE31)</f>
        <v>4.2220910991438121</v>
      </c>
      <c r="DL31" s="651">
        <f>INDEX('Loan Tape - Settled'!$B$4:$BJ$55,MATCH($A31,'Loan Tape - Settled'!$E$4:$E$55,0),MATCH("Current Senior Net Leverage Senior",'Loan Tape - Settled'!$B$4:$BJ$4,0))</f>
        <v>5.9885969815494136</v>
      </c>
      <c r="DM31" s="433">
        <f>INDEX('Loan Tape - Settled'!$B$4:$BJ$55,MATCH($A31,'Loan Tape - Settled'!$E$4:$E$55,0),MATCH("Current Total Net Leverage",'Loan Tape - Settled'!$B$4:$BJ$4,0))</f>
        <v>5.9885969815494136</v>
      </c>
      <c r="DN31" s="425"/>
      <c r="DO31" s="426">
        <f>INDEX('Loan Tape - Settled'!$B$4:$BJ$55,MATCH($A31,'Loan Tape - Settled'!$E$4:$E$55,0),MATCH("Initial Interest Coverage",'Loan Tape - Settled'!$B$4:$BJ$4,0))</f>
        <v>3.15</v>
      </c>
      <c r="DP31" s="854">
        <f t="array" ref="DP31">IF(AG31="Yes",INDEX(VAE!$O$5:$O$53,MATCH($B31&amp;$AJ31,VAE!$C$5:$C$53&amp;VAE!$G$5:$G$53,0)),DO31)</f>
        <v>2.23</v>
      </c>
      <c r="DQ31" s="427">
        <f>INDEX('Loan Tape - Settled'!$B$4:$BJ$55,MATCH($A31,'Loan Tape - Settled'!$E$4:$E$55,0),MATCH("Current Interest Coverage",'Loan Tape - Settled'!$B$4:$BJ$4,0))</f>
        <v>0</v>
      </c>
      <c r="DR31" s="855" t="str">
        <f t="shared" si="23"/>
        <v>Yes</v>
      </c>
      <c r="DS31" s="428">
        <f>IF(AG31="Yes",DATEDIF(AJ31,Availability!$F$8,"m"),"")</f>
        <v>21</v>
      </c>
      <c r="DT31" s="428" t="str">
        <f t="shared" si="24"/>
        <v>Yes</v>
      </c>
      <c r="DU31" s="647" t="str">
        <f t="shared" si="25"/>
        <v>Yes</v>
      </c>
      <c r="DV31" s="648" t="str">
        <f t="shared" si="26"/>
        <v>Yes</v>
      </c>
      <c r="DW31" s="648" t="str">
        <f t="array" ref="DW31">_xlfn.IFS(D31&lt;&gt;"Second Lien","No",D31="Second Lien",IF(AND((DM31-DK31)&gt;0.5,DM31&gt;4.5),"Yes","No"))</f>
        <v>No</v>
      </c>
      <c r="DX31" s="685" t="s">
        <v>244</v>
      </c>
      <c r="DY31" s="685" t="s">
        <v>244</v>
      </c>
      <c r="DZ31" s="686" t="s">
        <v>244</v>
      </c>
      <c r="EA31" s="686" t="s">
        <v>244</v>
      </c>
      <c r="EB31" s="686" t="s">
        <v>244</v>
      </c>
      <c r="EC31" s="686" t="s">
        <v>244</v>
      </c>
      <c r="ED31" s="686" t="s">
        <v>244</v>
      </c>
      <c r="EE31" s="686" t="s">
        <v>244</v>
      </c>
      <c r="EF31" s="409" t="str">
        <f t="shared" si="27"/>
        <v>No</v>
      </c>
      <c r="EG31" s="686" t="s">
        <v>244</v>
      </c>
      <c r="EH31" s="691" t="s">
        <v>244</v>
      </c>
      <c r="EI31" s="856" t="str">
        <f t="array" ref="EI31">IF(D31="First Lien",_xlfn.IFS(CY31&gt;AGENT!$B$23, "&gt; $20MM",CY31&lt;=AGENT!$C$25, "&lt;= $10MM",AND(CY31&lt;=AGENT!$C$24,CY31&gt;AGENT!$B$24),"&lt;= $20MM"), "N/A")</f>
        <v>&lt;= $20MM</v>
      </c>
      <c r="EJ31" s="856" t="str">
        <f t="array" ref="EJ31">IF(D31="FILO",_xlfn.IFS(DI31&gt;AGENT!$B$29, "&gt; 1.25x",DI31&lt;AGENT!$C$27, "&lt; 0.75x",AND(DI31&lt;=AGENT!$C$28,DI31&gt;=AGENT!$B$28),"&lt;= 1.25x"), "N/A")</f>
        <v>N/A</v>
      </c>
      <c r="EK31" s="429">
        <f t="shared" si="28"/>
        <v>7992480.5747497557</v>
      </c>
      <c r="EL31" s="429">
        <f>'Concentration Limits'!$J$49</f>
        <v>49599340.729726665</v>
      </c>
      <c r="EM31" s="429" t="str">
        <f>IF(OR(D31="Second Lien",AND(D31="FILO",DI31&gt;AGENT!$C$57)), "Yes", "No")</f>
        <v>No</v>
      </c>
      <c r="EN31" s="429">
        <f t="shared" si="29"/>
        <v>0</v>
      </c>
      <c r="EO31" s="429">
        <f t="shared" si="30"/>
        <v>0</v>
      </c>
      <c r="EP31" s="429">
        <f t="shared" si="31"/>
        <v>7992480.5747497557</v>
      </c>
      <c r="EQ31" s="429">
        <f>'Concentration Limits'!$J$50</f>
        <v>24799670.364863332</v>
      </c>
      <c r="ER31" s="429">
        <f t="shared" si="32"/>
        <v>0</v>
      </c>
      <c r="ES31" s="429">
        <f t="shared" si="84"/>
        <v>0</v>
      </c>
      <c r="ET31" s="429">
        <f t="shared" si="33"/>
        <v>7992480.5747497557</v>
      </c>
      <c r="EU31" s="429">
        <f>'Concentration Limits'!$J$51</f>
        <v>74399011.094589993</v>
      </c>
      <c r="EV31" s="429" t="str">
        <f>IF(OR(D31="Second Lien", AND(D31="FILO",DI31&gt;AGENT!$C$59)), "Yes", "No")</f>
        <v>No</v>
      </c>
      <c r="EW31" s="429">
        <f t="shared" si="34"/>
        <v>0</v>
      </c>
      <c r="EX31" s="429">
        <f t="shared" si="35"/>
        <v>0</v>
      </c>
      <c r="EY31" s="429">
        <f t="shared" si="36"/>
        <v>7992480.5747497557</v>
      </c>
      <c r="EZ31" s="429">
        <f>'Concentration Limits'!$J$52</f>
        <v>37199505.547294997</v>
      </c>
      <c r="FA31" s="429" t="str">
        <f>IF(CY31&gt;'Concentration Limits'!$E$52, "No", "Yes")</f>
        <v>No</v>
      </c>
      <c r="FB31" s="429">
        <f t="shared" si="37"/>
        <v>0</v>
      </c>
      <c r="FC31" s="429">
        <f t="shared" si="38"/>
        <v>0</v>
      </c>
      <c r="FD31" s="429">
        <f t="shared" si="39"/>
        <v>7992480.5747497557</v>
      </c>
      <c r="FE31" s="430">
        <f>'Concentration Limits'!$J$54</f>
        <v>247996703.6486333</v>
      </c>
      <c r="FF31" s="430">
        <f>'Concentration Limits'!$J$55</f>
        <v>247996703.6486333</v>
      </c>
      <c r="FG31" s="430">
        <f>'Concentration Limits'!$J$56</f>
        <v>247996703.6486333</v>
      </c>
      <c r="FH31" s="431">
        <f>'Concentration Limits'!$J$57</f>
        <v>18599752.773647498</v>
      </c>
      <c r="FI31" s="431">
        <f t="shared" si="40"/>
        <v>7992480.5747497557</v>
      </c>
      <c r="FJ31" s="431">
        <f t="shared" si="41"/>
        <v>7992480.5747497557</v>
      </c>
      <c r="FK31" s="431">
        <f t="shared" si="42"/>
        <v>15</v>
      </c>
      <c r="FL31" s="431">
        <f>IF(FJ31&gt;0,RANK(FJ31,$FJ$9:$FJ$60)+COUNTIF($FJ$9:FJ31,FJ31)-1,0)</f>
        <v>15</v>
      </c>
      <c r="FM31" s="430">
        <f t="shared" si="43"/>
        <v>0</v>
      </c>
      <c r="FN31" s="430">
        <f t="shared" si="44"/>
        <v>0</v>
      </c>
      <c r="FO31" s="430">
        <f t="shared" si="45"/>
        <v>0</v>
      </c>
      <c r="FP31" s="431">
        <f t="shared" si="46"/>
        <v>0</v>
      </c>
      <c r="FQ31" s="431">
        <f t="shared" si="47"/>
        <v>7992480.5747497557</v>
      </c>
      <c r="FR31" s="431">
        <f>'Concentration Limits'!$J$58</f>
        <v>49599340.729726665</v>
      </c>
      <c r="FS31" s="431">
        <f t="shared" si="48"/>
        <v>7992480.5747497557</v>
      </c>
      <c r="FT31" s="431">
        <f>VLOOKUP(BR31,'Concentration Limits'!$E$81:$H$153,4,FALSE)</f>
        <v>14</v>
      </c>
      <c r="FU31" s="431">
        <f t="shared" si="49"/>
        <v>0</v>
      </c>
      <c r="FV31" s="431">
        <f t="shared" si="50"/>
        <v>7992480.5747497557</v>
      </c>
      <c r="FW31" s="431">
        <f>'Concentration Limits'!$J$59</f>
        <v>37199505.547294997</v>
      </c>
      <c r="FX31" s="431">
        <f t="shared" si="51"/>
        <v>7992480.5747497557</v>
      </c>
      <c r="FY31" s="431">
        <f>VLOOKUP(BR31,'Concentration Limits'!$E$81:$H$153,4,FALSE)</f>
        <v>14</v>
      </c>
      <c r="FZ31" s="431">
        <f t="shared" si="52"/>
        <v>0</v>
      </c>
      <c r="GA31" s="431">
        <f t="shared" si="53"/>
        <v>7992480.5747497557</v>
      </c>
      <c r="GB31" s="431">
        <f>'Concentration Limits'!$J$61</f>
        <v>24799670.364863332</v>
      </c>
      <c r="GC31" s="431">
        <f t="shared" si="54"/>
        <v>7992480.5747497557</v>
      </c>
      <c r="GD31" s="429">
        <f>VLOOKUP(BR31,'Concentration Limits'!$E$81:$H$153,4,FALSE)</f>
        <v>14</v>
      </c>
      <c r="GE31" s="431">
        <f t="shared" si="55"/>
        <v>0</v>
      </c>
      <c r="GF31" s="431">
        <f t="shared" si="56"/>
        <v>7992480.5747497557</v>
      </c>
      <c r="GG31" s="431">
        <f>'Concentration Limits'!$J$64</f>
        <v>24799670.364863332</v>
      </c>
      <c r="GH31" s="431">
        <f t="shared" si="57"/>
        <v>0</v>
      </c>
      <c r="GI31" s="431">
        <f t="shared" si="58"/>
        <v>0</v>
      </c>
      <c r="GJ31" s="431">
        <f t="shared" si="59"/>
        <v>7992480.5747497557</v>
      </c>
      <c r="GK31" s="431">
        <f>'Concentration Limits'!$J$67</f>
        <v>24799670.364863332</v>
      </c>
      <c r="GL31" s="429" t="str">
        <f t="shared" si="60"/>
        <v>No</v>
      </c>
      <c r="GM31" s="431">
        <f t="shared" si="61"/>
        <v>0</v>
      </c>
      <c r="GN31" s="431">
        <f t="shared" si="62"/>
        <v>0</v>
      </c>
      <c r="GO31" s="431">
        <f t="shared" si="63"/>
        <v>7992480.5747497557</v>
      </c>
      <c r="GP31" s="431">
        <f>'Concentration Limits'!$J$68</f>
        <v>37199505.547294997</v>
      </c>
      <c r="GQ31" s="429" t="str">
        <f t="shared" si="64"/>
        <v>No</v>
      </c>
      <c r="GR31" s="431">
        <f t="shared" si="65"/>
        <v>0</v>
      </c>
      <c r="GS31" s="431">
        <f t="shared" si="66"/>
        <v>0</v>
      </c>
      <c r="GT31" s="431">
        <f t="shared" si="67"/>
        <v>7992480.5747497557</v>
      </c>
      <c r="GU31" s="429">
        <f>'Concentration Limits'!$J$69</f>
        <v>37199505.547294997</v>
      </c>
      <c r="GV31" s="429" t="str">
        <f t="shared" si="68"/>
        <v>No</v>
      </c>
      <c r="GW31" s="429">
        <f t="shared" si="69"/>
        <v>0</v>
      </c>
      <c r="GX31" s="429">
        <f t="shared" si="70"/>
        <v>0</v>
      </c>
      <c r="GY31" s="429">
        <f t="shared" si="71"/>
        <v>7992480.5747497557</v>
      </c>
      <c r="GZ31" s="429">
        <f>'Concentration Limits'!$J$70</f>
        <v>24799670.364863332</v>
      </c>
      <c r="HA31" s="429" t="str">
        <f t="shared" si="72"/>
        <v>No</v>
      </c>
      <c r="HB31" s="429">
        <f t="shared" si="73"/>
        <v>0</v>
      </c>
      <c r="HC31" s="429">
        <f t="shared" si="74"/>
        <v>0</v>
      </c>
      <c r="HD31" s="429">
        <f t="shared" si="75"/>
        <v>7992480.5747497557</v>
      </c>
      <c r="HE31" s="431">
        <f t="shared" si="76"/>
        <v>7992480.5747497557</v>
      </c>
      <c r="HF31" s="431">
        <f t="shared" si="77"/>
        <v>0</v>
      </c>
      <c r="HG31" s="431">
        <f t="shared" si="78"/>
        <v>0</v>
      </c>
      <c r="HH31" s="431">
        <f t="shared" si="79"/>
        <v>0</v>
      </c>
      <c r="HI31" s="431">
        <f>IF(BE31=0,0,#REF!*BE31/(BE31+BG31))</f>
        <v>0</v>
      </c>
      <c r="HJ31" s="431">
        <f>IF(BG31=0,0,#REF!*BG31/(BG31+BE31))</f>
        <v>0</v>
      </c>
      <c r="HK31" s="857">
        <f>IF(BF31=0,0,#REF!*BF31/(BF31+BH31))</f>
        <v>0</v>
      </c>
      <c r="HL31" s="431">
        <f>IF(BH31=0,0,#REF!*BH31/(BH31+BF31))</f>
        <v>0</v>
      </c>
      <c r="HM31" s="431">
        <f t="shared" si="80"/>
        <v>0</v>
      </c>
      <c r="HN31" s="431" t="b">
        <f t="shared" si="81"/>
        <v>1</v>
      </c>
    </row>
    <row r="32" spans="1:222" s="432" customFormat="1" ht="12.75" customHeight="1" x14ac:dyDescent="0.35">
      <c r="A32" s="49">
        <f t="shared" si="82"/>
        <v>24</v>
      </c>
      <c r="B32" s="404" t="str">
        <f>INDEX('Loan Tape - Settled'!$B$4:$AP$55,MATCH($A32,'Loan Tape - Settled'!$E$4:$E$55,0),MATCH("Obligor Name",'Loan Tape - Settled'!$B$4:$AM$4,0))</f>
        <v>Five Iron Golf</v>
      </c>
      <c r="C32" s="404" t="str">
        <f>INDEX('Loan Tape - Settled'!$B$4:$AP$55,MATCH($A32,'Loan Tape - Settled'!$E$4:$E$55,0),MATCH("Security",'Loan Tape - Settled'!$B$4:$AM$4,0))</f>
        <v>1st Lien</v>
      </c>
      <c r="D32" s="405" t="str">
        <f>INDEX('Loan Tape - Settled'!$B$4:$AP$55,MATCH($A32,'Loan Tape - Settled'!$E$4:$E$55,0),MATCH("Loan Type",'Loan Tape - Settled'!$B$4:$AM$4,0))</f>
        <v>First Lien</v>
      </c>
      <c r="E32" s="406" t="b">
        <f>IF(ISERROR(MATCH(D32,AGENT!$A$4:$A$10,0))=FALSE, TRUE)</f>
        <v>1</v>
      </c>
      <c r="F32" s="406" t="b">
        <f t="shared" si="0"/>
        <v>1</v>
      </c>
      <c r="G32" s="406" t="b">
        <f>IF(D32&lt;&gt;"Second Lien",TRUE, IF(CY32&gt;=AGENT!$B$4,TRUE))</f>
        <v>1</v>
      </c>
      <c r="H32" s="406" t="b">
        <f>IF(DE32&lt;=AGENT!$D$4,TRUE)</f>
        <v>1</v>
      </c>
      <c r="I32" s="406" t="b">
        <f>IF(VLOOKUP(CONCATENATE($A$5,A32),'Loan Tape - Settled'!$A$5:$Q$55,17,FALSE)&gt;=AGENT!$E$4,TRUE)</f>
        <v>1</v>
      </c>
      <c r="J32" s="406" t="b">
        <f>IF(INDEX('Loan Tape - Settled'!$B$4:$AP$55,MATCH($A32,'Loan Tape - Settled'!$E$4:$E$55,0),MATCH("Loan Denomination",'Loan Tape - Settled'!$B$4:$AP$4,0))="USD", TRUE)</f>
        <v>1</v>
      </c>
      <c r="K32" s="406" t="b">
        <f>IF(INDEX('Loan Tape - Settled'!$B$4:$AP$55,MATCH($A32,'Loan Tape - Settled'!$E$4:$E$55,0),MATCH("Exposure Country",'Loan Tape - Settled'!$B$4:$AP$4,0))="United States", TRUE)</f>
        <v>1</v>
      </c>
      <c r="L32" s="406" t="b">
        <f t="shared" si="1"/>
        <v>1</v>
      </c>
      <c r="M32" s="406" t="b">
        <f>IF(((BM32-BL32)/365)&lt;=AGENT!$F$4,TRUE)</f>
        <v>1</v>
      </c>
      <c r="N32" s="406" t="b">
        <f t="shared" si="2"/>
        <v>1</v>
      </c>
      <c r="O32" s="453"/>
      <c r="P32" s="709" t="str">
        <f t="shared" si="3"/>
        <v>Yes</v>
      </c>
      <c r="Q32" s="680" t="s">
        <v>243</v>
      </c>
      <c r="R32" s="407" t="str">
        <f t="shared" si="4"/>
        <v>Five Iron Golf</v>
      </c>
      <c r="S32" s="407"/>
      <c r="T32" s="408" t="str">
        <f t="array" ref="T32">_xlfn.IFS(D32="Second Lien",D32,D32="First Lien",CONCATENATE(D32," ",EI32),D32="FILO",CONCATENATE(D32," ",EJ32))</f>
        <v>First Lien &lt;= $20MM</v>
      </c>
      <c r="U32" s="409">
        <f>VLOOKUP(T32,'Concentration Limits'!D:G,4,FALSE)</f>
        <v>0.65</v>
      </c>
      <c r="V32" s="410">
        <f t="shared" si="5"/>
        <v>8077912.1877550166</v>
      </c>
      <c r="W32" s="448">
        <f>(SUMIFS('Loan Tape - Settled'!$AR$4:$AR$55,'Loan Tape - Settled'!$E$4:$E$55,$A32,'Loan Tape - Settled'!$C$4:$C$55,$A$5))</f>
        <v>8174369.7508146297</v>
      </c>
      <c r="X32" s="449">
        <v>1</v>
      </c>
      <c r="Y32" s="411">
        <f t="shared" si="6"/>
        <v>8174369.7508146297</v>
      </c>
      <c r="Z32" s="449">
        <f>(SUMIFS('Loan Tape - Settled'!$AQ$4:$AQ$55,'Loan Tape - Settled'!$E$4:$E$55,$A32,'Loan Tape - Settled'!$C$4:$C$55,$A$5))</f>
        <v>8174369.7508146297</v>
      </c>
      <c r="AA32" s="411">
        <f t="shared" si="7"/>
        <v>8174369.7508146297</v>
      </c>
      <c r="AB32" s="411">
        <f t="shared" si="8"/>
        <v>0</v>
      </c>
      <c r="AC32" s="450">
        <f>VLOOKUP(CONCATENATE($A$5,A32),'Loan Tape - Settled'!$A$5:$Q$55,17,FALSE)</f>
        <v>1</v>
      </c>
      <c r="AD32" s="412"/>
      <c r="AE32" s="413">
        <f>INDEX('Loan Tape - Settled'!$B$4:$AP$55,MATCH($A32,'Loan Tape - Settled'!$E$4:$E$55,0),MATCH("FMV",'Loan Tape - Settled'!$B$4:$AM$4,0))</f>
        <v>0.98819999999999997</v>
      </c>
      <c r="AF32" s="413">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1</v>
      </c>
      <c r="AG32" s="414" t="str">
        <f>IF(COUNTIFS(VAE!$C$5:$C$96,B32,VAE!$G$5:$G$96,"&lt;="&amp;Availability!$F$8)&gt;=1,"Yes","-")</f>
        <v>Yes</v>
      </c>
      <c r="AH32" s="414">
        <f t="array" ref="AH32">IFERROR(IF(AG32="Yes",INDEX(VAE!$D$5:$D$96,MATCH(B32&amp;AJ32,VAE!$C$5:$C$96&amp;VAE!$G$5:$G$96,0)),"-"),0)</f>
        <v>0</v>
      </c>
      <c r="AI32" s="414">
        <f t="array" ref="AI32">IFERROR(IF(AG32="Yes",INDEX(VAE!$F$5:$F$96,MATCH(B32&amp;AJ32,VAE!$C$5:$C$96&amp;VAE!$G$5:$G$96,0)),"-"),0)</f>
        <v>0</v>
      </c>
      <c r="AJ32" s="415">
        <f>IF(AG32="-","-",_xlfn.MAXIFS(VAE!$G$5:$G$96,VAE!$C$5:$C$96,$B32))</f>
        <v>45657</v>
      </c>
      <c r="AK32" s="711">
        <f t="array" ref="AK32">IFERROR(IF(AG32="Yes",INDEX(VAE!$P$5:$P$96,MATCH(B32&amp;AJ32,VAE!$C$5:$C$96&amp;VAE!$G$5:$G$96,0)),"-"),0)</f>
        <v>1</v>
      </c>
      <c r="AL32" s="413">
        <f t="shared" si="9"/>
        <v>0.98819999999999997</v>
      </c>
      <c r="AM32" s="410"/>
      <c r="AN32" s="410"/>
      <c r="AO32" s="410">
        <f t="shared" si="10"/>
        <v>8174369.7508146297</v>
      </c>
      <c r="AP32" s="410">
        <f t="shared" si="11"/>
        <v>0</v>
      </c>
      <c r="AQ32" s="410">
        <f t="shared" si="83"/>
        <v>8077912.1877550166</v>
      </c>
      <c r="AR32" s="410"/>
      <c r="AS32" s="410"/>
      <c r="AT32" s="410"/>
      <c r="AU32" s="410">
        <f t="shared" si="12"/>
        <v>0</v>
      </c>
      <c r="AV32" s="410">
        <f t="shared" si="13"/>
        <v>0</v>
      </c>
      <c r="AW32" s="410">
        <f t="shared" si="14"/>
        <v>0</v>
      </c>
      <c r="AX32" s="410"/>
      <c r="AY32" s="410"/>
      <c r="AZ32" s="410"/>
      <c r="BA32" s="410">
        <f t="shared" si="15"/>
        <v>0</v>
      </c>
      <c r="BB32" s="410"/>
      <c r="BC32" s="410"/>
      <c r="BD32" s="410">
        <f t="shared" si="16"/>
        <v>0</v>
      </c>
      <c r="BE32" s="410"/>
      <c r="BF32" s="410"/>
      <c r="BG32" s="410"/>
      <c r="BH32" s="410"/>
      <c r="BI32" s="410">
        <f t="shared" si="17"/>
        <v>0</v>
      </c>
      <c r="BJ32" s="410" t="b">
        <f t="shared" si="18"/>
        <v>1</v>
      </c>
      <c r="BK32" s="509">
        <f>INDEX('Loan Tape - Settled'!$B$4:$AP$55,MATCH($A32,'Loan Tape - Settled'!$E$4:$E$55,0),MATCH("Inception Date",'Loan Tape - Settled'!$B$4:$AP$4,0))</f>
        <v>44817</v>
      </c>
      <c r="BL32" s="509">
        <f>INDEX('Loan Tape - Settled'!$B$4:$AP$55,MATCH($A32,'Loan Tape - Settled'!$E$4:$E$55,0),MATCH("Inclusion Date",'Loan Tape - Settled'!$B$4:$AP$4,0))</f>
        <v>44816</v>
      </c>
      <c r="BM32" s="509">
        <f>INDEX('Loan Tape - Settled'!$B$4:$AP$55,MATCH($A32,'Loan Tape - Settled'!$E$4:$E$55,0),MATCH("Maturity Date",'Loan Tape - Settled'!$B$4:$AP$4,0))</f>
        <v>46645</v>
      </c>
      <c r="BN32" s="510"/>
      <c r="BO32" s="510"/>
      <c r="BP32" s="511"/>
      <c r="BQ32" s="510"/>
      <c r="BR32" s="512" t="str">
        <f>INDEX('Loan Tape - Settled'!$B$4:$AP$55,MATCH($A32,'Loan Tape - Settled'!$E$4:$E$55,0),MATCH("Industry Classification",'Loan Tape - Settled'!$B$4:$AP$4,0))</f>
        <v>Hotels, Restaurants &amp; Leisure</v>
      </c>
      <c r="BS32" s="510" t="str">
        <f>IF(INDEX('Loan Tape - Settled'!$B$4:$AP$55,MATCH($A32,'Loan Tape - Settled'!$E$4:$E$55,0),MATCH("Covenant Lite",'Loan Tape - Settled'!$B$4:$AP$4,0))=-1, "Yes", "No")</f>
        <v>No</v>
      </c>
      <c r="BT32" s="513">
        <f>INDEX('Loan Tape - Settled'!$B$4:$AP$55,MATCH($A32,'Loan Tape - Settled'!$E$4:$E$55,0),MATCH("Spread / Coupon (%)",'Loan Tape - Settled'!$B$4:$AP$4,0))</f>
        <v>7.6144799999999999E-2</v>
      </c>
      <c r="BU32" s="510" t="str">
        <f>IF(INDEX('Loan Tape - Settled'!$B$4:$AP$55,MATCH($A32,'Loan Tape - Settled'!$E$4:$E$55,0),MATCH("Security Type",'Loan Tape - Settled'!$B$4:$AP$4,0))="Delayed Draw Term Loan", "Yes", "No")</f>
        <v>No</v>
      </c>
      <c r="BV32" s="514" t="s">
        <v>244</v>
      </c>
      <c r="BW32" s="514" t="s">
        <v>244</v>
      </c>
      <c r="BX32" s="506" t="s">
        <v>244</v>
      </c>
      <c r="BY32" s="510" t="str">
        <f>IF(INDEX('Loan Tape - Settled'!$B$4:$AP$55,MATCH($A32,'Loan Tape - Settled'!$E$4:$E$55,0),MATCH("Fixed/Floating",'Loan Tape - Settled'!$B$4:$AP$4,0))="Fixed", "Yes", "No")</f>
        <v>No</v>
      </c>
      <c r="BZ32" s="514" t="s">
        <v>244</v>
      </c>
      <c r="CA32" s="514" t="s">
        <v>244</v>
      </c>
      <c r="CB32" s="510" t="str">
        <f>IF(INDEX('Loan Tape - Settled'!$B$4:$AP$55,MATCH($A32,'Loan Tape - Settled'!$E$4:$E$55,0),MATCH("Loan Denomination",'Loan Tape - Settled'!$B$4:$AP$4,0))="CAD", "Yes", "No")</f>
        <v>No</v>
      </c>
      <c r="CC32" s="510" t="str">
        <f>INDEX('Loan Tape - Settled'!$B$4:$AP$55,MATCH($A32,'Loan Tape - Settled'!$E$4:$E$55,0),MATCH("Payment Frequency",'Loan Tape - Settled'!$B$4:$AP$4,0))</f>
        <v>M</v>
      </c>
      <c r="CD32" s="514" t="s">
        <v>244</v>
      </c>
      <c r="CE32" s="510">
        <f>INDEX('Loan Tape - Settled'!$B$4:$AP$55,MATCH($A32,'Loan Tape - Settled'!$E$4:$E$55,0),MATCH("S&amp;P Loan Rating (if applicable)",'Loan Tape - Settled'!$B$4:$AP$4,0))</f>
        <v>0</v>
      </c>
      <c r="CF32" s="510">
        <f>INDEX('Loan Tape - Settled'!$B$4:$AP$55,MATCH($A32,'Loan Tape - Settled'!$E$4:$E$55,0),MATCH("Moody's Loan Rating (if applicable)",'Loan Tape - Settled'!$B$4:$AP$4,0))</f>
        <v>0</v>
      </c>
      <c r="CG32" s="510"/>
      <c r="CH32" s="510"/>
      <c r="CI32" s="515"/>
      <c r="CJ32" s="508" t="str">
        <f>INDEX('Loan Tape - Settled'!$B$4:$BF$55,MATCH($A32,'Loan Tape - Settled'!$E$4:$E$55,0),MATCH("Last Financial Received",'Loan Tape - Settled'!$B$4:$BF$4,0))</f>
        <v>9/30/2025 or Latest Financing</v>
      </c>
      <c r="CK32" s="516">
        <f>INDEX('Loan Tape - Settled'!$B$4:$BJ$55,MATCH($A32,'Loan Tape - Settled'!$E$4:$E$55,0),MATCH("Initial Adjusted TTM EBITDA",'Loan Tape - Settled'!$B$4:$BJ$4,0))</f>
        <v>2.786</v>
      </c>
      <c r="CL32" s="516">
        <f>INDEX('Loan Tape - Settled'!$B$4:$BJ$55,MATCH($A32,'Loan Tape - Settled'!$E$4:$E$55,0),MATCH("Initial TTM Non-adjusted EBITDA",'Loan Tape - Settled'!$B$4:$BJ$4,0))</f>
        <v>2.786</v>
      </c>
      <c r="CM32" s="417"/>
      <c r="CN32" s="418"/>
      <c r="CO32" s="418"/>
      <c r="CP32" s="419"/>
      <c r="CQ32" s="420" t="s">
        <v>245</v>
      </c>
      <c r="CR32" s="419"/>
      <c r="CS32" s="421">
        <f t="shared" si="19"/>
        <v>2.786</v>
      </c>
      <c r="CT32" s="422">
        <f t="shared" si="20"/>
        <v>0</v>
      </c>
      <c r="CU32" s="516">
        <f>INDEX('Loan Tape - Settled'!$B$4:$BJ$55,MATCH($A32,'Loan Tape - Settled'!$E$4:$E$55,0),MATCH("Current TTM Non-adjusted EBITDA",'Loan Tape - Settled'!$B$4:$BJ$4,0))</f>
        <v>10.297637242</v>
      </c>
      <c r="CV32" s="423">
        <f t="shared" si="21"/>
        <v>0</v>
      </c>
      <c r="CW32" s="652" t="s">
        <v>245</v>
      </c>
      <c r="CX32" s="517"/>
      <c r="CY32" s="658">
        <f t="shared" si="22"/>
        <v>10.297637242</v>
      </c>
      <c r="CZ32" s="656"/>
      <c r="DA32" s="518"/>
      <c r="DB32" s="519"/>
      <c r="DC32" s="853"/>
      <c r="DD32" s="853">
        <f>INDEX('Loan Tape - Settled'!$B$4:$BJ$55,MATCH($A32,'Loan Tape - Settled'!$E$4:$E$55,0),MATCH("Initial Senior Net Leverage Senior",'Loan Tape - Settled'!$B$4:$BJ$4,0))</f>
        <v>5.3840631730078963</v>
      </c>
      <c r="DE32" s="659">
        <f>INDEX('Loan Tape - Settled'!$B$4:$BJ$55,MATCH($A32,'Loan Tape - Settled'!$E$4:$E$55,0),MATCH("Initial Total Net Leverage",'Loan Tape - Settled'!$B$4:$BJ$4,0))</f>
        <v>5.3840631730078963</v>
      </c>
      <c r="DF32" s="656"/>
      <c r="DG32" s="518"/>
      <c r="DH32" s="519"/>
      <c r="DI32" s="424">
        <f>INDEX('Loan Tape - Settled'!$B$4:$BJ$55,MATCH($A32,'Loan Tape - Settled'!$E$4:$E$55,0),MATCH("Net Attachment",'Loan Tape - Settled'!$B$4:$BJ$4,0))</f>
        <v>-0.19678300491447823</v>
      </c>
      <c r="DJ32" s="522">
        <f t="array" ref="DJ32">IF(AG32="Yes",INDEX(VAE!$M$5:$M$53,MATCH($B32&amp;$AJ32,VAE!$C$5:$C$53&amp;VAE!$G$5:$G$53,0)),DD32)</f>
        <v>2.6282943383475552</v>
      </c>
      <c r="DK32" s="649">
        <f t="array" ref="DK32">IF(AG32="Yes",INDEX(VAE!$N$5:$N$53,MATCH($B32&amp;$AJ32,VAE!$C$5:$C$53&amp;VAE!$G$5:$G$53,0)),DE32)</f>
        <v>2.6282943383475552</v>
      </c>
      <c r="DL32" s="651">
        <f>INDEX('Loan Tape - Settled'!$B$4:$BJ$55,MATCH($A32,'Loan Tape - Settled'!$E$4:$E$55,0),MATCH("Current Senior Net Leverage Senior",'Loan Tape - Settled'!$B$4:$BJ$4,0))</f>
        <v>2.6236406828068337</v>
      </c>
      <c r="DM32" s="433">
        <f>INDEX('Loan Tape - Settled'!$B$4:$BJ$55,MATCH($A32,'Loan Tape - Settled'!$E$4:$E$55,0),MATCH("Current Total Net Leverage",'Loan Tape - Settled'!$B$4:$BJ$4,0))</f>
        <v>2.6236406828068337</v>
      </c>
      <c r="DN32" s="425"/>
      <c r="DO32" s="426">
        <f>INDEX('Loan Tape - Settled'!$B$4:$BJ$55,MATCH($A32,'Loan Tape - Settled'!$E$4:$E$55,0),MATCH("Initial Interest Coverage",'Loan Tape - Settled'!$B$4:$BJ$4,0))</f>
        <v>1.55</v>
      </c>
      <c r="DP32" s="854">
        <f t="array" ref="DP32">IF(AG32="Yes",INDEX(VAE!$O$5:$O$53,MATCH($B32&amp;$AJ32,VAE!$C$5:$C$53&amp;VAE!$G$5:$G$53,0)),DO32)</f>
        <v>0</v>
      </c>
      <c r="DQ32" s="427">
        <f>INDEX('Loan Tape - Settled'!$B$4:$BJ$55,MATCH($A32,'Loan Tape - Settled'!$E$4:$E$55,0),MATCH("Current Interest Coverage",'Loan Tape - Settled'!$B$4:$BJ$4,0))</f>
        <v>4.1516172598479999</v>
      </c>
      <c r="DR32" s="855" t="str">
        <f t="shared" si="23"/>
        <v>Yes</v>
      </c>
      <c r="DS32" s="428">
        <f>IF(AG32="Yes",DATEDIF(AJ32,Availability!$F$8,"m"),"")</f>
        <v>12</v>
      </c>
      <c r="DT32" s="428" t="str">
        <f t="shared" si="24"/>
        <v>No</v>
      </c>
      <c r="DU32" s="647" t="str">
        <f t="shared" si="25"/>
        <v>N/A</v>
      </c>
      <c r="DV32" s="648" t="str">
        <f t="shared" si="26"/>
        <v>No</v>
      </c>
      <c r="DW32" s="648" t="str">
        <f t="array" ref="DW32">_xlfn.IFS(D32&lt;&gt;"Second Lien","No",D32="Second Lien",IF(AND((DM32-DK32)&gt;0.5,DM32&gt;4.5),"Yes","No"))</f>
        <v>No</v>
      </c>
      <c r="DX32" s="685" t="s">
        <v>244</v>
      </c>
      <c r="DY32" s="685" t="s">
        <v>244</v>
      </c>
      <c r="DZ32" s="686" t="s">
        <v>244</v>
      </c>
      <c r="EA32" s="686" t="s">
        <v>244</v>
      </c>
      <c r="EB32" s="686" t="s">
        <v>244</v>
      </c>
      <c r="EC32" s="686" t="s">
        <v>244</v>
      </c>
      <c r="ED32" s="686" t="s">
        <v>244</v>
      </c>
      <c r="EE32" s="686" t="s">
        <v>244</v>
      </c>
      <c r="EF32" s="409" t="str">
        <f t="shared" si="27"/>
        <v>No</v>
      </c>
      <c r="EG32" s="686" t="s">
        <v>244</v>
      </c>
      <c r="EH32" s="691" t="s">
        <v>244</v>
      </c>
      <c r="EI32" s="856" t="str">
        <f t="array" ref="EI32">IF(D32="First Lien",_xlfn.IFS(CY32&gt;AGENT!$B$23, "&gt; $20MM",CY32&lt;=AGENT!$C$25, "&lt;= $10MM",AND(CY32&lt;=AGENT!$C$24,CY32&gt;AGENT!$B$24),"&lt;= $20MM"), "N/A")</f>
        <v>&lt;= $20MM</v>
      </c>
      <c r="EJ32" s="856" t="str">
        <f t="array" ref="EJ32">IF(D32="FILO",_xlfn.IFS(DI32&gt;AGENT!$B$29, "&gt; 1.25x",DI32&lt;AGENT!$C$27, "&lt; 0.75x",AND(DI32&lt;=AGENT!$C$28,DI32&gt;=AGENT!$B$28),"&lt;= 1.25x"), "N/A")</f>
        <v>N/A</v>
      </c>
      <c r="EK32" s="429">
        <f t="shared" si="28"/>
        <v>8077912.1877550166</v>
      </c>
      <c r="EL32" s="429">
        <f>'Concentration Limits'!$J$49</f>
        <v>49599340.729726665</v>
      </c>
      <c r="EM32" s="429" t="str">
        <f>IF(OR(D32="Second Lien",AND(D32="FILO",DI32&gt;AGENT!$C$57)), "Yes", "No")</f>
        <v>No</v>
      </c>
      <c r="EN32" s="429">
        <f t="shared" si="29"/>
        <v>0</v>
      </c>
      <c r="EO32" s="429">
        <f t="shared" si="30"/>
        <v>0</v>
      </c>
      <c r="EP32" s="429">
        <f t="shared" si="31"/>
        <v>8077912.1877550166</v>
      </c>
      <c r="EQ32" s="429">
        <f>'Concentration Limits'!$J$50</f>
        <v>24799670.364863332</v>
      </c>
      <c r="ER32" s="429">
        <f t="shared" si="32"/>
        <v>0</v>
      </c>
      <c r="ES32" s="429">
        <f t="shared" si="84"/>
        <v>0</v>
      </c>
      <c r="ET32" s="429">
        <f t="shared" si="33"/>
        <v>8077912.1877550166</v>
      </c>
      <c r="EU32" s="429">
        <f>'Concentration Limits'!$J$51</f>
        <v>74399011.094589993</v>
      </c>
      <c r="EV32" s="429" t="str">
        <f>IF(OR(D32="Second Lien", AND(D32="FILO",DI32&gt;AGENT!$C$59)), "Yes", "No")</f>
        <v>No</v>
      </c>
      <c r="EW32" s="429">
        <f t="shared" si="34"/>
        <v>0</v>
      </c>
      <c r="EX32" s="429">
        <f t="shared" si="35"/>
        <v>0</v>
      </c>
      <c r="EY32" s="429">
        <f t="shared" si="36"/>
        <v>8077912.1877550166</v>
      </c>
      <c r="EZ32" s="429">
        <f>'Concentration Limits'!$J$52</f>
        <v>37199505.547294997</v>
      </c>
      <c r="FA32" s="429" t="str">
        <f>IF(CY32&gt;'Concentration Limits'!$E$52, "No", "Yes")</f>
        <v>No</v>
      </c>
      <c r="FB32" s="429">
        <f t="shared" si="37"/>
        <v>0</v>
      </c>
      <c r="FC32" s="429">
        <f t="shared" si="38"/>
        <v>0</v>
      </c>
      <c r="FD32" s="429">
        <f t="shared" si="39"/>
        <v>8077912.1877550166</v>
      </c>
      <c r="FE32" s="430">
        <f>'Concentration Limits'!$J$54</f>
        <v>247996703.6486333</v>
      </c>
      <c r="FF32" s="430">
        <f>'Concentration Limits'!$J$55</f>
        <v>247996703.6486333</v>
      </c>
      <c r="FG32" s="430">
        <f>'Concentration Limits'!$J$56</f>
        <v>247996703.6486333</v>
      </c>
      <c r="FH32" s="431">
        <f>'Concentration Limits'!$J$57</f>
        <v>18599752.773647498</v>
      </c>
      <c r="FI32" s="431">
        <f t="shared" si="40"/>
        <v>8077912.1877550166</v>
      </c>
      <c r="FJ32" s="431">
        <f t="shared" si="41"/>
        <v>8077912.1877550166</v>
      </c>
      <c r="FK32" s="431">
        <f t="shared" si="42"/>
        <v>14</v>
      </c>
      <c r="FL32" s="431">
        <f>IF(FJ32&gt;0,RANK(FJ32,$FJ$9:$FJ$60)+COUNTIF($FJ$9:FJ32,FJ32)-1,0)</f>
        <v>14</v>
      </c>
      <c r="FM32" s="430">
        <f t="shared" si="43"/>
        <v>0</v>
      </c>
      <c r="FN32" s="430">
        <f t="shared" si="44"/>
        <v>0</v>
      </c>
      <c r="FO32" s="430">
        <f t="shared" si="45"/>
        <v>0</v>
      </c>
      <c r="FP32" s="431">
        <f t="shared" si="46"/>
        <v>0</v>
      </c>
      <c r="FQ32" s="431">
        <f t="shared" si="47"/>
        <v>8077912.1877550166</v>
      </c>
      <c r="FR32" s="431">
        <f>'Concentration Limits'!$J$58</f>
        <v>49599340.729726665</v>
      </c>
      <c r="FS32" s="431">
        <f t="shared" si="48"/>
        <v>8077912.1877550166</v>
      </c>
      <c r="FT32" s="431">
        <f>VLOOKUP(BR32,'Concentration Limits'!$E$81:$H$153,4,FALSE)</f>
        <v>13</v>
      </c>
      <c r="FU32" s="431">
        <f t="shared" si="49"/>
        <v>0</v>
      </c>
      <c r="FV32" s="431">
        <f t="shared" si="50"/>
        <v>8077912.1877550166</v>
      </c>
      <c r="FW32" s="431">
        <f>'Concentration Limits'!$J$59</f>
        <v>37199505.547294997</v>
      </c>
      <c r="FX32" s="431">
        <f t="shared" si="51"/>
        <v>8077912.1877550166</v>
      </c>
      <c r="FY32" s="431">
        <f>VLOOKUP(BR32,'Concentration Limits'!$E$81:$H$153,4,FALSE)</f>
        <v>13</v>
      </c>
      <c r="FZ32" s="431">
        <f t="shared" si="52"/>
        <v>0</v>
      </c>
      <c r="GA32" s="431">
        <f t="shared" si="53"/>
        <v>8077912.1877550166</v>
      </c>
      <c r="GB32" s="431">
        <f>'Concentration Limits'!$J$61</f>
        <v>24799670.364863332</v>
      </c>
      <c r="GC32" s="431">
        <f t="shared" si="54"/>
        <v>8077912.1877550166</v>
      </c>
      <c r="GD32" s="429">
        <f>VLOOKUP(BR32,'Concentration Limits'!$E$81:$H$153,4,FALSE)</f>
        <v>13</v>
      </c>
      <c r="GE32" s="431">
        <f t="shared" si="55"/>
        <v>0</v>
      </c>
      <c r="GF32" s="431">
        <f t="shared" si="56"/>
        <v>8077912.1877550166</v>
      </c>
      <c r="GG32" s="431">
        <f>'Concentration Limits'!$J$64</f>
        <v>24799670.364863332</v>
      </c>
      <c r="GH32" s="431">
        <f t="shared" si="57"/>
        <v>0</v>
      </c>
      <c r="GI32" s="431">
        <f t="shared" si="58"/>
        <v>0</v>
      </c>
      <c r="GJ32" s="431">
        <f t="shared" si="59"/>
        <v>8077912.1877550166</v>
      </c>
      <c r="GK32" s="431">
        <f>'Concentration Limits'!$J$67</f>
        <v>24799670.364863332</v>
      </c>
      <c r="GL32" s="429" t="str">
        <f t="shared" si="60"/>
        <v>Yes</v>
      </c>
      <c r="GM32" s="431">
        <f t="shared" si="61"/>
        <v>8077912.1877550166</v>
      </c>
      <c r="GN32" s="431">
        <f t="shared" si="62"/>
        <v>0</v>
      </c>
      <c r="GO32" s="431">
        <f t="shared" si="63"/>
        <v>8077912.1877550166</v>
      </c>
      <c r="GP32" s="431">
        <f>'Concentration Limits'!$J$68</f>
        <v>37199505.547294997</v>
      </c>
      <c r="GQ32" s="429" t="str">
        <f t="shared" si="64"/>
        <v>No</v>
      </c>
      <c r="GR32" s="431">
        <f t="shared" si="65"/>
        <v>0</v>
      </c>
      <c r="GS32" s="431">
        <f t="shared" si="66"/>
        <v>0</v>
      </c>
      <c r="GT32" s="431">
        <f t="shared" si="67"/>
        <v>8077912.1877550166</v>
      </c>
      <c r="GU32" s="429">
        <f>'Concentration Limits'!$J$69</f>
        <v>37199505.547294997</v>
      </c>
      <c r="GV32" s="429" t="str">
        <f t="shared" si="68"/>
        <v>No</v>
      </c>
      <c r="GW32" s="429">
        <f t="shared" si="69"/>
        <v>0</v>
      </c>
      <c r="GX32" s="429">
        <f t="shared" si="70"/>
        <v>0</v>
      </c>
      <c r="GY32" s="429">
        <f t="shared" si="71"/>
        <v>8077912.1877550166</v>
      </c>
      <c r="GZ32" s="429">
        <f>'Concentration Limits'!$J$70</f>
        <v>24799670.364863332</v>
      </c>
      <c r="HA32" s="429" t="str">
        <f t="shared" si="72"/>
        <v>No</v>
      </c>
      <c r="HB32" s="429">
        <f t="shared" si="73"/>
        <v>0</v>
      </c>
      <c r="HC32" s="429">
        <f t="shared" si="74"/>
        <v>0</v>
      </c>
      <c r="HD32" s="429">
        <f t="shared" si="75"/>
        <v>8077912.1877550166</v>
      </c>
      <c r="HE32" s="431">
        <f t="shared" si="76"/>
        <v>8077912.1877550166</v>
      </c>
      <c r="HF32" s="431">
        <f t="shared" si="77"/>
        <v>0</v>
      </c>
      <c r="HG32" s="431">
        <f t="shared" si="78"/>
        <v>0</v>
      </c>
      <c r="HH32" s="431">
        <f t="shared" si="79"/>
        <v>0</v>
      </c>
      <c r="HI32" s="431">
        <f>IF(BE32=0,0,#REF!*BE32/(BE32+BG32))</f>
        <v>0</v>
      </c>
      <c r="HJ32" s="431">
        <f>IF(BG32=0,0,#REF!*BG32/(BG32+BE32))</f>
        <v>0</v>
      </c>
      <c r="HK32" s="857">
        <f>IF(BF32=0,0,#REF!*BF32/(BF32+BH32))</f>
        <v>0</v>
      </c>
      <c r="HL32" s="431">
        <f>IF(BH32=0,0,#REF!*BH32/(BH32+BF32))</f>
        <v>0</v>
      </c>
      <c r="HM32" s="431">
        <f t="shared" si="80"/>
        <v>0</v>
      </c>
      <c r="HN32" s="431" t="b">
        <f t="shared" si="81"/>
        <v>1</v>
      </c>
    </row>
    <row r="33" spans="1:222" s="432" customFormat="1" ht="12.75" customHeight="1" x14ac:dyDescent="0.35">
      <c r="A33" s="49">
        <f t="shared" si="82"/>
        <v>25</v>
      </c>
      <c r="B33" s="404" t="str">
        <f>INDEX('Loan Tape - Settled'!$B$4:$AP$55,MATCH($A33,'Loan Tape - Settled'!$E$4:$E$55,0),MATCH("Obligor Name",'Loan Tape - Settled'!$B$4:$AM$4,0))</f>
        <v>48forty Intermediate Holdings, Inc.</v>
      </c>
      <c r="C33" s="404" t="str">
        <f>INDEX('Loan Tape - Settled'!$B$4:$AP$55,MATCH($A33,'Loan Tape - Settled'!$E$4:$E$55,0),MATCH("Security",'Loan Tape - Settled'!$B$4:$AM$4,0))</f>
        <v>1st Lien</v>
      </c>
      <c r="D33" s="405" t="str">
        <f>INDEX('Loan Tape - Settled'!$B$4:$AP$55,MATCH($A33,'Loan Tape - Settled'!$E$4:$E$55,0),MATCH("Loan Type",'Loan Tape - Settled'!$B$4:$AM$4,0))</f>
        <v>First Lien</v>
      </c>
      <c r="E33" s="406" t="b">
        <f>IF(ISERROR(MATCH(D33,AGENT!$A$4:$A$10,0))=FALSE, TRUE)</f>
        <v>1</v>
      </c>
      <c r="F33" s="406" t="b">
        <f t="shared" si="0"/>
        <v>1</v>
      </c>
      <c r="G33" s="406" t="b">
        <f>IF(D33&lt;&gt;"Second Lien",TRUE, IF(CY33&gt;=AGENT!$B$4,TRUE))</f>
        <v>1</v>
      </c>
      <c r="H33" s="406" t="b">
        <f>IF(DE33&lt;=AGENT!$D$4,TRUE)</f>
        <v>1</v>
      </c>
      <c r="I33" s="406" t="b">
        <f>IF(VLOOKUP(CONCATENATE($A$5,A33),'Loan Tape - Settled'!$A$5:$Q$55,17,FALSE)&gt;=AGENT!$E$4,TRUE)</f>
        <v>1</v>
      </c>
      <c r="J33" s="406" t="b">
        <f>IF(INDEX('Loan Tape - Settled'!$B$4:$AP$55,MATCH($A33,'Loan Tape - Settled'!$E$4:$E$55,0),MATCH("Loan Denomination",'Loan Tape - Settled'!$B$4:$AP$4,0))="USD", TRUE)</f>
        <v>1</v>
      </c>
      <c r="K33" s="406" t="b">
        <f>IF(INDEX('Loan Tape - Settled'!$B$4:$AP$55,MATCH($A33,'Loan Tape - Settled'!$E$4:$E$55,0),MATCH("Exposure Country",'Loan Tape - Settled'!$B$4:$AP$4,0))="United States", TRUE)</f>
        <v>1</v>
      </c>
      <c r="L33" s="406" t="b">
        <f t="shared" si="1"/>
        <v>1</v>
      </c>
      <c r="M33" s="406" t="b">
        <f>IF(((BM33-BL33)/365)&lt;=AGENT!$F$4,TRUE)</f>
        <v>0</v>
      </c>
      <c r="N33" s="406" t="b">
        <f t="shared" si="2"/>
        <v>1</v>
      </c>
      <c r="O33" s="453"/>
      <c r="P33" s="709" t="str">
        <f t="shared" si="3"/>
        <v>No</v>
      </c>
      <c r="Q33" s="680" t="s">
        <v>243</v>
      </c>
      <c r="R33" s="407" t="str">
        <f t="shared" si="4"/>
        <v>N/A</v>
      </c>
      <c r="S33" s="407"/>
      <c r="T33" s="408" t="str">
        <f t="array" ref="T33">_xlfn.IFS(D33="Second Lien",D33,D33="First Lien",CONCATENATE(D33," ",EI33),D33="FILO",CONCATENATE(D33," ",EJ33))</f>
        <v>First Lien &gt; $20MM</v>
      </c>
      <c r="U33" s="409">
        <f>VLOOKUP(T33,'Concentration Limits'!D:G,4,FALSE)</f>
        <v>0.67500000000000004</v>
      </c>
      <c r="V33" s="410">
        <f t="shared" si="5"/>
        <v>0</v>
      </c>
      <c r="W33" s="448">
        <f>(SUMIFS('Loan Tape - Settled'!$AR$4:$AR$55,'Loan Tape - Settled'!$E$4:$E$55,$A33,'Loan Tape - Settled'!$C$4:$C$55,$A$5))</f>
        <v>15198793.3855295</v>
      </c>
      <c r="X33" s="449">
        <v>1</v>
      </c>
      <c r="Y33" s="411">
        <f t="shared" si="6"/>
        <v>15198793.3855295</v>
      </c>
      <c r="Z33" s="449">
        <f>(SUMIFS('Loan Tape - Settled'!$AQ$4:$AQ$55,'Loan Tape - Settled'!$E$4:$E$55,$A33,'Loan Tape - Settled'!$C$4:$C$55,$A$5))</f>
        <v>15198793.3855295</v>
      </c>
      <c r="AA33" s="411">
        <f t="shared" si="7"/>
        <v>15198793.3855295</v>
      </c>
      <c r="AB33" s="411">
        <f t="shared" si="8"/>
        <v>0</v>
      </c>
      <c r="AC33" s="450">
        <f>VLOOKUP(CONCATENATE($A$5,A33),'Loan Tape - Settled'!$A$5:$Q$55,17,FALSE)</f>
        <v>1</v>
      </c>
      <c r="AD33" s="412"/>
      <c r="AE33" s="413">
        <f>INDEX('Loan Tape - Settled'!$B$4:$AP$55,MATCH($A33,'Loan Tape - Settled'!$E$4:$E$55,0),MATCH("FMV",'Loan Tape - Settled'!$B$4:$AM$4,0))</f>
        <v>0.45784999999999998</v>
      </c>
      <c r="AF33" s="413">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0</v>
      </c>
      <c r="AG33" s="414" t="str">
        <f>IF(COUNTIFS(VAE!$C$5:$C$96,B33,VAE!$G$5:$G$96,"&lt;="&amp;Availability!$F$8)&gt;=1,"Yes","-")</f>
        <v>Yes</v>
      </c>
      <c r="AH33" s="414" t="str">
        <f t="array" ref="AH33">IFERROR(IF(AG33="Yes",INDEX(VAE!$D$5:$D$96,MATCH(B33&amp;AJ33,VAE!$C$5:$C$96&amp;VAE!$G$5:$G$96,0)),"-"),0)</f>
        <v>Increase in Lev</v>
      </c>
      <c r="AI33" s="414" t="str">
        <f t="array" ref="AI33">IFERROR(IF(AG33="Yes",INDEX(VAE!$F$5:$F$96,MATCH(B33&amp;AJ33,VAE!$C$5:$C$96&amp;VAE!$G$5:$G$96,0)),"-"),0)</f>
        <v>n/a</v>
      </c>
      <c r="AJ33" s="415">
        <f>IF(AG33="-","-",_xlfn.MAXIFS(VAE!$G$5:$G$96,VAE!$C$5:$C$96,$B33))</f>
        <v>45107</v>
      </c>
      <c r="AK33" s="416">
        <f t="array" ref="AK33">IFERROR(IF(AG33="Yes",INDEX(VAE!$P$5:$P$96,MATCH(B33&amp;AJ33,VAE!$C$5:$C$96&amp;VAE!$G$5:$G$96,0)),"-"),0)</f>
        <v>0</v>
      </c>
      <c r="AL33" s="413">
        <f t="shared" si="9"/>
        <v>0</v>
      </c>
      <c r="AM33" s="410"/>
      <c r="AN33" s="410"/>
      <c r="AO33" s="410">
        <f t="shared" si="10"/>
        <v>0</v>
      </c>
      <c r="AP33" s="410">
        <f t="shared" si="11"/>
        <v>15198793.3855295</v>
      </c>
      <c r="AQ33" s="410">
        <f t="shared" si="83"/>
        <v>0</v>
      </c>
      <c r="AR33" s="410"/>
      <c r="AS33" s="410"/>
      <c r="AT33" s="410"/>
      <c r="AU33" s="410">
        <f t="shared" si="12"/>
        <v>0</v>
      </c>
      <c r="AV33" s="410">
        <f t="shared" si="13"/>
        <v>0</v>
      </c>
      <c r="AW33" s="410">
        <f t="shared" si="14"/>
        <v>0</v>
      </c>
      <c r="AX33" s="410"/>
      <c r="AY33" s="410"/>
      <c r="AZ33" s="410"/>
      <c r="BA33" s="410">
        <f t="shared" si="15"/>
        <v>0</v>
      </c>
      <c r="BB33" s="410"/>
      <c r="BC33" s="410"/>
      <c r="BD33" s="410">
        <f t="shared" si="16"/>
        <v>0</v>
      </c>
      <c r="BE33" s="410"/>
      <c r="BF33" s="410"/>
      <c r="BG33" s="410"/>
      <c r="BH33" s="410"/>
      <c r="BI33" s="410">
        <f t="shared" si="17"/>
        <v>0</v>
      </c>
      <c r="BJ33" s="410" t="b">
        <f t="shared" si="18"/>
        <v>1</v>
      </c>
      <c r="BK33" s="509">
        <f>INDEX('Loan Tape - Settled'!$B$4:$AP$55,MATCH($A33,'Loan Tape - Settled'!$E$4:$E$55,0),MATCH("Inception Date",'Loan Tape - Settled'!$B$4:$AP$4,0))</f>
        <v>44845</v>
      </c>
      <c r="BL33" s="509">
        <f>INDEX('Loan Tape - Settled'!$B$4:$AP$55,MATCH($A33,'Loan Tape - Settled'!$E$4:$E$55,0),MATCH("Inclusion Date",'Loan Tape - Settled'!$B$4:$AP$4,0))</f>
        <v>44845</v>
      </c>
      <c r="BM33" s="509">
        <f>INDEX('Loan Tape - Settled'!$B$4:$AP$55,MATCH($A33,'Loan Tape - Settled'!$E$4:$E$55,0),MATCH("Maturity Date",'Loan Tape - Settled'!$B$4:$AP$4,0))</f>
        <v>47452</v>
      </c>
      <c r="BN33" s="510"/>
      <c r="BO33" s="510"/>
      <c r="BP33" s="511"/>
      <c r="BQ33" s="510"/>
      <c r="BR33" s="512" t="str">
        <f>INDEX('Loan Tape - Settled'!$B$4:$AP$55,MATCH($A33,'Loan Tape - Settled'!$E$4:$E$55,0),MATCH("Industry Classification",'Loan Tape - Settled'!$B$4:$AP$4,0))</f>
        <v>Distributors</v>
      </c>
      <c r="BS33" s="510" t="str">
        <f>IF(INDEX('Loan Tape - Settled'!$B$4:$AP$55,MATCH($A33,'Loan Tape - Settled'!$E$4:$E$55,0),MATCH("Covenant Lite",'Loan Tape - Settled'!$B$4:$AP$4,0))=-1, "Yes", "No")</f>
        <v>No</v>
      </c>
      <c r="BT33" s="513">
        <f>INDEX('Loan Tape - Settled'!$B$4:$AP$55,MATCH($A33,'Loan Tape - Settled'!$E$4:$E$55,0),MATCH("Spread / Coupon (%)",'Loan Tape - Settled'!$B$4:$AP$4,0))</f>
        <v>6.1000000000000013E-2</v>
      </c>
      <c r="BU33" s="510" t="str">
        <f>IF(INDEX('Loan Tape - Settled'!$B$4:$AP$55,MATCH($A33,'Loan Tape - Settled'!$E$4:$E$55,0),MATCH("Security Type",'Loan Tape - Settled'!$B$4:$AP$4,0))="Delayed Draw Term Loan", "Yes", "No")</f>
        <v>No</v>
      </c>
      <c r="BV33" s="514" t="s">
        <v>244</v>
      </c>
      <c r="BW33" s="514" t="s">
        <v>244</v>
      </c>
      <c r="BX33" s="506" t="s">
        <v>244</v>
      </c>
      <c r="BY33" s="510" t="str">
        <f>IF(INDEX('Loan Tape - Settled'!$B$4:$AP$55,MATCH($A33,'Loan Tape - Settled'!$E$4:$E$55,0),MATCH("Fixed/Floating",'Loan Tape - Settled'!$B$4:$AP$4,0))="Fixed", "Yes", "No")</f>
        <v>No</v>
      </c>
      <c r="BZ33" s="514" t="s">
        <v>244</v>
      </c>
      <c r="CA33" s="514" t="s">
        <v>244</v>
      </c>
      <c r="CB33" s="510" t="str">
        <f>IF(INDEX('Loan Tape - Settled'!$B$4:$AP$55,MATCH($A33,'Loan Tape - Settled'!$E$4:$E$55,0),MATCH("Loan Denomination",'Loan Tape - Settled'!$B$4:$AP$4,0))="CAD", "Yes", "No")</f>
        <v>No</v>
      </c>
      <c r="CC33" s="510" t="str">
        <f>INDEX('Loan Tape - Settled'!$B$4:$AP$55,MATCH($A33,'Loan Tape - Settled'!$E$4:$E$55,0),MATCH("Payment Frequency",'Loan Tape - Settled'!$B$4:$AP$4,0))</f>
        <v>M</v>
      </c>
      <c r="CD33" s="514" t="s">
        <v>244</v>
      </c>
      <c r="CE33" s="510">
        <f>INDEX('Loan Tape - Settled'!$B$4:$AP$55,MATCH($A33,'Loan Tape - Settled'!$E$4:$E$55,0),MATCH("S&amp;P Loan Rating (if applicable)",'Loan Tape - Settled'!$B$4:$AP$4,0))</f>
        <v>0</v>
      </c>
      <c r="CF33" s="510">
        <f>INDEX('Loan Tape - Settled'!$B$4:$AP$55,MATCH($A33,'Loan Tape - Settled'!$E$4:$E$55,0),MATCH("Moody's Loan Rating (if applicable)",'Loan Tape - Settled'!$B$4:$AP$4,0))</f>
        <v>0</v>
      </c>
      <c r="CG33" s="510"/>
      <c r="CH33" s="510"/>
      <c r="CI33" s="515"/>
      <c r="CJ33" s="508" t="str">
        <f>INDEX('Loan Tape - Settled'!$B$4:$BF$55,MATCH($A33,'Loan Tape - Settled'!$E$4:$E$55,0),MATCH("Last Financial Received",'Loan Tape - Settled'!$B$4:$BF$4,0))</f>
        <v>9/30/2025 or Latest Financing</v>
      </c>
      <c r="CK33" s="516">
        <f>INDEX('Loan Tape - Settled'!$B$4:$BJ$55,MATCH($A33,'Loan Tape - Settled'!$E$4:$E$55,0),MATCH("Initial Adjusted TTM EBITDA",'Loan Tape - Settled'!$B$4:$BJ$4,0))</f>
        <v>392</v>
      </c>
      <c r="CL33" s="516">
        <f>INDEX('Loan Tape - Settled'!$B$4:$BJ$55,MATCH($A33,'Loan Tape - Settled'!$E$4:$E$55,0),MATCH("Initial TTM Non-adjusted EBITDA",'Loan Tape - Settled'!$B$4:$BJ$4,0))</f>
        <v>392</v>
      </c>
      <c r="CM33" s="417"/>
      <c r="CN33" s="418"/>
      <c r="CO33" s="418"/>
      <c r="CP33" s="419"/>
      <c r="CQ33" s="420" t="s">
        <v>245</v>
      </c>
      <c r="CR33" s="419"/>
      <c r="CS33" s="421">
        <f t="shared" si="19"/>
        <v>392</v>
      </c>
      <c r="CT33" s="422">
        <f t="shared" si="20"/>
        <v>0</v>
      </c>
      <c r="CU33" s="516">
        <f>INDEX('Loan Tape - Settled'!$B$4:$BJ$55,MATCH($A33,'Loan Tape - Settled'!$E$4:$E$55,0),MATCH("Current TTM Non-adjusted EBITDA",'Loan Tape - Settled'!$B$4:$BJ$4,0))</f>
        <v>81.75513573180001</v>
      </c>
      <c r="CV33" s="423">
        <f t="shared" si="21"/>
        <v>0</v>
      </c>
      <c r="CW33" s="652" t="s">
        <v>245</v>
      </c>
      <c r="CX33" s="517"/>
      <c r="CY33" s="658">
        <f t="shared" si="22"/>
        <v>81.75513573180001</v>
      </c>
      <c r="CZ33" s="656"/>
      <c r="DA33" s="518"/>
      <c r="DB33" s="519"/>
      <c r="DC33" s="853"/>
      <c r="DD33" s="853">
        <f>INDEX('Loan Tape - Settled'!$B$4:$BJ$55,MATCH($A33,'Loan Tape - Settled'!$E$4:$E$55,0),MATCH("Initial Senior Net Leverage Senior",'Loan Tape - Settled'!$B$4:$BJ$4,0))</f>
        <v>4.4003852040816316</v>
      </c>
      <c r="DE33" s="659">
        <f>INDEX('Loan Tape - Settled'!$B$4:$BJ$55,MATCH($A33,'Loan Tape - Settled'!$E$4:$E$55,0),MATCH("Initial Total Net Leverage",'Loan Tape - Settled'!$B$4:$BJ$4,0))</f>
        <v>4.4003852040816316</v>
      </c>
      <c r="DF33" s="656"/>
      <c r="DG33" s="518"/>
      <c r="DH33" s="519"/>
      <c r="DI33" s="424">
        <f>INDEX('Loan Tape - Settled'!$B$4:$BJ$55,MATCH($A33,'Loan Tape - Settled'!$E$4:$E$55,0),MATCH("Net Attachment",'Loan Tape - Settled'!$B$4:$BJ$4,0))</f>
        <v>0.88991351245106853</v>
      </c>
      <c r="DJ33" s="522">
        <f t="array" ref="DJ33">IF(AG33="Yes",INDEX(VAE!$M$5:$M$53,MATCH($B33&amp;$AJ33,VAE!$C$5:$C$53&amp;VAE!$G$5:$G$53,0)),DD33)</f>
        <v>6.0071835651819931</v>
      </c>
      <c r="DK33" s="649">
        <f t="array" ref="DK33">IF(AG33="Yes",INDEX(VAE!$N$5:$N$53,MATCH($B33&amp;$AJ33,VAE!$C$5:$C$53&amp;VAE!$G$5:$G$53,0)),DE33)</f>
        <v>6.0071835651819931</v>
      </c>
      <c r="DL33" s="651">
        <f>INDEX('Loan Tape - Settled'!$B$4:$BJ$55,MATCH($A33,'Loan Tape - Settled'!$E$4:$E$55,0),MATCH("Current Senior Net Leverage Senior",'Loan Tape - Settled'!$B$4:$BJ$4,0))</f>
        <v>22.409760360624894</v>
      </c>
      <c r="DM33" s="433">
        <f>INDEX('Loan Tape - Settled'!$B$4:$BJ$55,MATCH($A33,'Loan Tape - Settled'!$E$4:$E$55,0),MATCH("Current Total Net Leverage",'Loan Tape - Settled'!$B$4:$BJ$4,0))</f>
        <v>22.409760360624894</v>
      </c>
      <c r="DN33" s="425"/>
      <c r="DO33" s="426">
        <f>INDEX('Loan Tape - Settled'!$B$4:$BJ$55,MATCH($A33,'Loan Tape - Settled'!$E$4:$E$55,0),MATCH("Initial Interest Coverage",'Loan Tape - Settled'!$B$4:$BJ$4,0))</f>
        <v>2.0299999999999998</v>
      </c>
      <c r="DP33" s="854" t="str">
        <f t="array" ref="DP33">IF(AG33="Yes",INDEX(VAE!$O$5:$O$53,MATCH($B33&amp;$AJ33,VAE!$C$5:$C$53&amp;VAE!$G$5:$G$53,0)),DO33)</f>
        <v>N/A</v>
      </c>
      <c r="DQ33" s="427">
        <f>INDEX('Loan Tape - Settled'!$B$4:$BJ$55,MATCH($A33,'Loan Tape - Settled'!$E$4:$E$55,0),MATCH("Current Interest Coverage",'Loan Tape - Settled'!$B$4:$BJ$4,0))</f>
        <v>0.37779637583999998</v>
      </c>
      <c r="DR33" s="855" t="str">
        <f t="shared" si="23"/>
        <v>Yes</v>
      </c>
      <c r="DS33" s="428">
        <f>IF(AG33="Yes",DATEDIF(AJ33,Availability!$F$8,"m"),"")</f>
        <v>30</v>
      </c>
      <c r="DT33" s="428" t="str">
        <f t="shared" si="24"/>
        <v>Yes</v>
      </c>
      <c r="DU33" s="647" t="str">
        <f t="shared" si="25"/>
        <v>N/A</v>
      </c>
      <c r="DV33" s="648" t="str">
        <f t="shared" si="26"/>
        <v>Yes</v>
      </c>
      <c r="DW33" s="648" t="str">
        <f t="array" ref="DW33">_xlfn.IFS(D33&lt;&gt;"Second Lien","No",D33="Second Lien",IF(AND((DM33-DK33)&gt;0.5,DM33&gt;4.5),"Yes","No"))</f>
        <v>No</v>
      </c>
      <c r="DX33" s="685" t="s">
        <v>244</v>
      </c>
      <c r="DY33" s="685" t="s">
        <v>244</v>
      </c>
      <c r="DZ33" s="686" t="s">
        <v>244</v>
      </c>
      <c r="EA33" s="686" t="s">
        <v>244</v>
      </c>
      <c r="EB33" s="686" t="s">
        <v>244</v>
      </c>
      <c r="EC33" s="686" t="s">
        <v>244</v>
      </c>
      <c r="ED33" s="686" t="s">
        <v>244</v>
      </c>
      <c r="EE33" s="686" t="s">
        <v>244</v>
      </c>
      <c r="EF33" s="409" t="str">
        <f t="shared" si="27"/>
        <v>No</v>
      </c>
      <c r="EG33" s="686" t="s">
        <v>244</v>
      </c>
      <c r="EH33" s="691" t="s">
        <v>244</v>
      </c>
      <c r="EI33" s="856" t="str">
        <f t="array" ref="EI33">IF(D33="First Lien",_xlfn.IFS(CY33&gt;AGENT!$B$23, "&gt; $20MM",CY33&lt;=AGENT!$C$25, "&lt;= $10MM",AND(CY33&lt;=AGENT!$C$24,CY33&gt;AGENT!$B$24),"&lt;= $20MM"), "N/A")</f>
        <v>&gt; $20MM</v>
      </c>
      <c r="EJ33" s="856" t="str">
        <f t="array" ref="EJ33">IF(D33="FILO",_xlfn.IFS(DI33&gt;AGENT!$B$29, "&gt; 1.25x",DI33&lt;AGENT!$C$27, "&lt; 0.75x",AND(DI33&lt;=AGENT!$C$28,DI33&gt;=AGENT!$B$28),"&lt;= 1.25x"), "N/A")</f>
        <v>N/A</v>
      </c>
      <c r="EK33" s="429">
        <f t="shared" si="28"/>
        <v>0</v>
      </c>
      <c r="EL33" s="429">
        <f>'Concentration Limits'!$J$49</f>
        <v>49599340.729726665</v>
      </c>
      <c r="EM33" s="429" t="str">
        <f>IF(OR(D33="Second Lien",AND(D33="FILO",DI33&gt;AGENT!$C$57)), "Yes", "No")</f>
        <v>No</v>
      </c>
      <c r="EN33" s="429">
        <f t="shared" si="29"/>
        <v>0</v>
      </c>
      <c r="EO33" s="429">
        <f t="shared" si="30"/>
        <v>0</v>
      </c>
      <c r="EP33" s="429">
        <f t="shared" si="31"/>
        <v>0</v>
      </c>
      <c r="EQ33" s="429">
        <f>'Concentration Limits'!$J$50</f>
        <v>24799670.364863332</v>
      </c>
      <c r="ER33" s="429">
        <f t="shared" si="32"/>
        <v>0</v>
      </c>
      <c r="ES33" s="429">
        <f t="shared" si="84"/>
        <v>0</v>
      </c>
      <c r="ET33" s="429">
        <f t="shared" si="33"/>
        <v>0</v>
      </c>
      <c r="EU33" s="429">
        <f>'Concentration Limits'!$J$51</f>
        <v>74399011.094589993</v>
      </c>
      <c r="EV33" s="429" t="str">
        <f>IF(OR(D33="Second Lien", AND(D33="FILO",DI33&gt;AGENT!$C$59)), "Yes", "No")</f>
        <v>No</v>
      </c>
      <c r="EW33" s="429">
        <f t="shared" si="34"/>
        <v>0</v>
      </c>
      <c r="EX33" s="429">
        <f t="shared" si="35"/>
        <v>0</v>
      </c>
      <c r="EY33" s="429">
        <f t="shared" si="36"/>
        <v>0</v>
      </c>
      <c r="EZ33" s="429">
        <f>'Concentration Limits'!$J$52</f>
        <v>37199505.547294997</v>
      </c>
      <c r="FA33" s="429" t="str">
        <f>IF(CY33&gt;'Concentration Limits'!$E$52, "No", "Yes")</f>
        <v>No</v>
      </c>
      <c r="FB33" s="429">
        <f t="shared" si="37"/>
        <v>0</v>
      </c>
      <c r="FC33" s="429">
        <f t="shared" si="38"/>
        <v>0</v>
      </c>
      <c r="FD33" s="429">
        <f t="shared" si="39"/>
        <v>0</v>
      </c>
      <c r="FE33" s="430">
        <f>'Concentration Limits'!$J$54</f>
        <v>247996703.6486333</v>
      </c>
      <c r="FF33" s="430">
        <f>'Concentration Limits'!$J$55</f>
        <v>247996703.6486333</v>
      </c>
      <c r="FG33" s="430">
        <f>'Concentration Limits'!$J$56</f>
        <v>247996703.6486333</v>
      </c>
      <c r="FH33" s="431">
        <f>'Concentration Limits'!$J$57</f>
        <v>18599752.773647498</v>
      </c>
      <c r="FI33" s="431">
        <f t="shared" si="40"/>
        <v>0</v>
      </c>
      <c r="FJ33" s="431">
        <f t="shared" si="41"/>
        <v>0</v>
      </c>
      <c r="FK33" s="431">
        <f t="shared" si="42"/>
        <v>0</v>
      </c>
      <c r="FL33" s="431">
        <f>IF(FJ33&gt;0,RANK(FJ33,$FJ$9:$FJ$60)+COUNTIF($FJ$9:FJ33,FJ33)-1,0)</f>
        <v>0</v>
      </c>
      <c r="FM33" s="430">
        <f t="shared" si="43"/>
        <v>0</v>
      </c>
      <c r="FN33" s="430">
        <f t="shared" si="44"/>
        <v>0</v>
      </c>
      <c r="FO33" s="430">
        <f t="shared" si="45"/>
        <v>0</v>
      </c>
      <c r="FP33" s="431">
        <f t="shared" si="46"/>
        <v>0</v>
      </c>
      <c r="FQ33" s="431">
        <f t="shared" si="47"/>
        <v>0</v>
      </c>
      <c r="FR33" s="431">
        <f>'Concentration Limits'!$J$58</f>
        <v>49599340.729726665</v>
      </c>
      <c r="FS33" s="431">
        <f t="shared" si="48"/>
        <v>0</v>
      </c>
      <c r="FT33" s="431" t="str">
        <f>VLOOKUP(BR33,'Concentration Limits'!$E$81:$H$153,4,FALSE)</f>
        <v/>
      </c>
      <c r="FU33" s="431">
        <f t="shared" si="49"/>
        <v>0</v>
      </c>
      <c r="FV33" s="431">
        <f t="shared" si="50"/>
        <v>0</v>
      </c>
      <c r="FW33" s="431">
        <f>'Concentration Limits'!$J$59</f>
        <v>37199505.547294997</v>
      </c>
      <c r="FX33" s="431">
        <f t="shared" si="51"/>
        <v>0</v>
      </c>
      <c r="FY33" s="431" t="str">
        <f>VLOOKUP(BR33,'Concentration Limits'!$E$81:$H$153,4,FALSE)</f>
        <v/>
      </c>
      <c r="FZ33" s="431">
        <f t="shared" si="52"/>
        <v>0</v>
      </c>
      <c r="GA33" s="431">
        <f t="shared" si="53"/>
        <v>0</v>
      </c>
      <c r="GB33" s="431">
        <f>'Concentration Limits'!$J$61</f>
        <v>24799670.364863332</v>
      </c>
      <c r="GC33" s="431">
        <f t="shared" si="54"/>
        <v>0</v>
      </c>
      <c r="GD33" s="429" t="str">
        <f>VLOOKUP(BR33,'Concentration Limits'!$E$81:$H$153,4,FALSE)</f>
        <v/>
      </c>
      <c r="GE33" s="431">
        <f t="shared" si="55"/>
        <v>0</v>
      </c>
      <c r="GF33" s="431">
        <f t="shared" si="56"/>
        <v>0</v>
      </c>
      <c r="GG33" s="431">
        <f>'Concentration Limits'!$J$64</f>
        <v>24799670.364863332</v>
      </c>
      <c r="GH33" s="431">
        <f t="shared" si="57"/>
        <v>0</v>
      </c>
      <c r="GI33" s="431">
        <f t="shared" si="58"/>
        <v>0</v>
      </c>
      <c r="GJ33" s="431">
        <f t="shared" si="59"/>
        <v>0</v>
      </c>
      <c r="GK33" s="431">
        <f>'Concentration Limits'!$J$67</f>
        <v>24799670.364863332</v>
      </c>
      <c r="GL33" s="429" t="str">
        <f t="shared" si="60"/>
        <v>No</v>
      </c>
      <c r="GM33" s="431">
        <f t="shared" si="61"/>
        <v>0</v>
      </c>
      <c r="GN33" s="431">
        <f t="shared" si="62"/>
        <v>0</v>
      </c>
      <c r="GO33" s="431">
        <f t="shared" si="63"/>
        <v>0</v>
      </c>
      <c r="GP33" s="431">
        <f>'Concentration Limits'!$J$68</f>
        <v>37199505.547294997</v>
      </c>
      <c r="GQ33" s="429" t="str">
        <f t="shared" si="64"/>
        <v>No</v>
      </c>
      <c r="GR33" s="431">
        <f t="shared" si="65"/>
        <v>0</v>
      </c>
      <c r="GS33" s="431">
        <f t="shared" si="66"/>
        <v>0</v>
      </c>
      <c r="GT33" s="431">
        <f t="shared" si="67"/>
        <v>0</v>
      </c>
      <c r="GU33" s="429">
        <f>'Concentration Limits'!$J$69</f>
        <v>37199505.547294997</v>
      </c>
      <c r="GV33" s="429" t="str">
        <f t="shared" si="68"/>
        <v>No</v>
      </c>
      <c r="GW33" s="429">
        <f t="shared" si="69"/>
        <v>0</v>
      </c>
      <c r="GX33" s="429">
        <f t="shared" si="70"/>
        <v>0</v>
      </c>
      <c r="GY33" s="429">
        <f t="shared" si="71"/>
        <v>0</v>
      </c>
      <c r="GZ33" s="429">
        <f>'Concentration Limits'!$J$70</f>
        <v>24799670.364863332</v>
      </c>
      <c r="HA33" s="429" t="str">
        <f t="shared" si="72"/>
        <v>No</v>
      </c>
      <c r="HB33" s="429">
        <f t="shared" si="73"/>
        <v>0</v>
      </c>
      <c r="HC33" s="429">
        <f t="shared" si="74"/>
        <v>0</v>
      </c>
      <c r="HD33" s="429">
        <f t="shared" si="75"/>
        <v>0</v>
      </c>
      <c r="HE33" s="431">
        <f t="shared" si="76"/>
        <v>0</v>
      </c>
      <c r="HF33" s="431">
        <f t="shared" si="77"/>
        <v>0</v>
      </c>
      <c r="HG33" s="431">
        <f t="shared" si="78"/>
        <v>0</v>
      </c>
      <c r="HH33" s="431">
        <f t="shared" si="79"/>
        <v>0</v>
      </c>
      <c r="HI33" s="431">
        <f>IF(BE33=0,0,#REF!*BE33/(BE33+BG33))</f>
        <v>0</v>
      </c>
      <c r="HJ33" s="431">
        <f>IF(BG33=0,0,#REF!*BG33/(BG33+BE33))</f>
        <v>0</v>
      </c>
      <c r="HK33" s="857">
        <f>IF(BF33=0,0,#REF!*BF33/(BF33+BH33))</f>
        <v>0</v>
      </c>
      <c r="HL33" s="431">
        <f>IF(BH33=0,0,#REF!*BH33/(BH33+BF33))</f>
        <v>0</v>
      </c>
      <c r="HM33" s="431">
        <f t="shared" si="80"/>
        <v>0</v>
      </c>
      <c r="HN33" s="431" t="b">
        <f t="shared" si="81"/>
        <v>1</v>
      </c>
    </row>
    <row r="34" spans="1:222" s="432" customFormat="1" ht="12.75" customHeight="1" x14ac:dyDescent="0.35">
      <c r="A34" s="49">
        <f t="shared" si="82"/>
        <v>26</v>
      </c>
      <c r="B34" s="404" t="str">
        <f>INDEX('Loan Tape - Settled'!$B$4:$AP$55,MATCH($A34,'Loan Tape - Settled'!$E$4:$E$55,0),MATCH("Obligor Name",'Loan Tape - Settled'!$B$4:$AM$4,0))</f>
        <v>Rip-It</v>
      </c>
      <c r="C34" s="404" t="str">
        <f>INDEX('Loan Tape - Settled'!$B$4:$AP$55,MATCH($A34,'Loan Tape - Settled'!$E$4:$E$55,0),MATCH("Security",'Loan Tape - Settled'!$B$4:$AM$4,0))</f>
        <v>First Lien</v>
      </c>
      <c r="D34" s="405" t="str">
        <f>INDEX('Loan Tape - Settled'!$B$4:$AP$55,MATCH($A34,'Loan Tape - Settled'!$E$4:$E$55,0),MATCH("Loan Type",'Loan Tape - Settled'!$B$4:$AM$4,0))</f>
        <v>First Lien</v>
      </c>
      <c r="E34" s="406" t="b">
        <f>IF(ISERROR(MATCH(D34,AGENT!$A$4:$A$10,0))=FALSE, TRUE)</f>
        <v>1</v>
      </c>
      <c r="F34" s="406" t="b">
        <f t="shared" si="0"/>
        <v>1</v>
      </c>
      <c r="G34" s="406" t="b">
        <f>IF(D34&lt;&gt;"Second Lien",TRUE, IF(CY34&gt;=AGENT!$B$4,TRUE))</f>
        <v>1</v>
      </c>
      <c r="H34" s="406" t="b">
        <f>IF(DE34&lt;=AGENT!$D$4,TRUE)</f>
        <v>1</v>
      </c>
      <c r="I34" s="406" t="b">
        <f>IF(VLOOKUP(CONCATENATE($A$5,A34),'Loan Tape - Settled'!$A$5:$Q$55,17,FALSE)&gt;=AGENT!$E$4,TRUE)</f>
        <v>1</v>
      </c>
      <c r="J34" s="406" t="b">
        <f>IF(INDEX('Loan Tape - Settled'!$B$4:$AP$55,MATCH($A34,'Loan Tape - Settled'!$E$4:$E$55,0),MATCH("Loan Denomination",'Loan Tape - Settled'!$B$4:$AP$4,0))="USD", TRUE)</f>
        <v>1</v>
      </c>
      <c r="K34" s="406" t="b">
        <f>IF(INDEX('Loan Tape - Settled'!$B$4:$AP$55,MATCH($A34,'Loan Tape - Settled'!$E$4:$E$55,0),MATCH("Exposure Country",'Loan Tape - Settled'!$B$4:$AP$4,0))="United States", TRUE)</f>
        <v>1</v>
      </c>
      <c r="L34" s="406" t="b">
        <f t="shared" si="1"/>
        <v>1</v>
      </c>
      <c r="M34" s="406" t="b">
        <f>IF(((BM34-BL34)/365)&lt;=AGENT!$F$4,TRUE)</f>
        <v>1</v>
      </c>
      <c r="N34" s="406" t="b">
        <f t="shared" si="2"/>
        <v>1</v>
      </c>
      <c r="O34" s="453"/>
      <c r="P34" s="680" t="str">
        <f t="shared" si="3"/>
        <v>Yes</v>
      </c>
      <c r="Q34" s="680" t="s">
        <v>243</v>
      </c>
      <c r="R34" s="407" t="str">
        <f t="shared" si="4"/>
        <v>Rip-It</v>
      </c>
      <c r="S34" s="407"/>
      <c r="T34" s="408" t="str">
        <f t="array" ref="T34">_xlfn.IFS(D34="Second Lien",D34,D34="First Lien",CONCATENATE(D34," ",EI34),D34="FILO",CONCATENATE(D34," ",EJ34))</f>
        <v>First Lien &lt;= $10MM</v>
      </c>
      <c r="U34" s="409">
        <f>VLOOKUP(T34,'Concentration Limits'!D:G,4,FALSE)</f>
        <v>0.625</v>
      </c>
      <c r="V34" s="410">
        <f t="shared" si="5"/>
        <v>0</v>
      </c>
      <c r="W34" s="448">
        <f>(SUMIFS('Loan Tape - Settled'!$AR$4:$AR$55,'Loan Tape - Settled'!$E$4:$E$55,$A34,'Loan Tape - Settled'!$C$4:$C$55,$A$5))</f>
        <v>6317904.9559711795</v>
      </c>
      <c r="X34" s="449">
        <v>1</v>
      </c>
      <c r="Y34" s="411">
        <f t="shared" si="6"/>
        <v>6317904.9559711795</v>
      </c>
      <c r="Z34" s="449">
        <f>(SUMIFS('Loan Tape - Settled'!$AQ$4:$AQ$55,'Loan Tape - Settled'!$E$4:$E$55,$A34,'Loan Tape - Settled'!$C$4:$C$55,$A$5))</f>
        <v>6317904.9559711795</v>
      </c>
      <c r="AA34" s="411">
        <f t="shared" si="7"/>
        <v>6317904.9559711795</v>
      </c>
      <c r="AB34" s="411">
        <f t="shared" si="8"/>
        <v>0</v>
      </c>
      <c r="AC34" s="450">
        <f>VLOOKUP(CONCATENATE($A$5,A34),'Loan Tape - Settled'!$A$5:$Q$55,17,FALSE)</f>
        <v>1</v>
      </c>
      <c r="AD34" s="412"/>
      <c r="AE34" s="413">
        <f>INDEX('Loan Tape - Settled'!$B$4:$AP$55,MATCH($A34,'Loan Tape - Settled'!$E$4:$E$55,0),MATCH("FMV",'Loan Tape - Settled'!$B$4:$AM$4,0))</f>
        <v>1.0052000000000001</v>
      </c>
      <c r="AF34" s="413">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0</v>
      </c>
      <c r="AG34" s="414" t="str">
        <f>IF(COUNTIFS(VAE!$C$5:$C$96,B34,VAE!$G$5:$G$96,"&lt;="&amp;Availability!$F$8)&gt;=1,"Yes","-")</f>
        <v>Yes</v>
      </c>
      <c r="AH34" s="414" t="str">
        <f t="array" ref="AH34">IFERROR(IF(AG34="Yes",INDEX(VAE!$D$5:$D$96,MATCH(B34&amp;AJ34,VAE!$C$5:$C$96&amp;VAE!$G$5:$G$96,0)),"-"),0)</f>
        <v>Increase in Lev</v>
      </c>
      <c r="AI34" s="414" t="str">
        <f t="array" ref="AI34">IFERROR(IF(AG34="Yes",INDEX(VAE!$F$5:$F$96,MATCH(B34&amp;AJ34,VAE!$C$5:$C$96&amp;VAE!$G$5:$G$96,0)),"-"),0)</f>
        <v>n/a</v>
      </c>
      <c r="AJ34" s="415">
        <f>IF(AG34="-","-",_xlfn.MAXIFS(VAE!$G$5:$G$96,VAE!$C$5:$C$96,$B34))</f>
        <v>45107</v>
      </c>
      <c r="AK34" s="416">
        <f t="array" ref="AK34">IFERROR(IF(AG34="Yes",INDEX(VAE!$P$5:$P$96,MATCH(B34&amp;AJ34,VAE!$C$5:$C$96&amp;VAE!$G$5:$G$96,0)),"-"),0)</f>
        <v>0</v>
      </c>
      <c r="AL34" s="413">
        <f t="shared" si="9"/>
        <v>0</v>
      </c>
      <c r="AM34" s="410"/>
      <c r="AN34" s="410"/>
      <c r="AO34" s="410">
        <f t="shared" si="10"/>
        <v>6317904.9559711795</v>
      </c>
      <c r="AP34" s="410">
        <f t="shared" si="11"/>
        <v>0</v>
      </c>
      <c r="AQ34" s="410">
        <f t="shared" si="83"/>
        <v>0</v>
      </c>
      <c r="AR34" s="410"/>
      <c r="AS34" s="410"/>
      <c r="AT34" s="410"/>
      <c r="AU34" s="410">
        <f t="shared" si="12"/>
        <v>0</v>
      </c>
      <c r="AV34" s="410">
        <f t="shared" si="13"/>
        <v>0</v>
      </c>
      <c r="AW34" s="410">
        <f t="shared" si="14"/>
        <v>0</v>
      </c>
      <c r="AX34" s="410"/>
      <c r="AY34" s="410"/>
      <c r="AZ34" s="410"/>
      <c r="BA34" s="410">
        <f t="shared" si="15"/>
        <v>0</v>
      </c>
      <c r="BB34" s="410"/>
      <c r="BC34" s="410"/>
      <c r="BD34" s="410">
        <f t="shared" si="16"/>
        <v>0</v>
      </c>
      <c r="BE34" s="410"/>
      <c r="BF34" s="410"/>
      <c r="BG34" s="410"/>
      <c r="BH34" s="410"/>
      <c r="BI34" s="410">
        <f t="shared" si="17"/>
        <v>0</v>
      </c>
      <c r="BJ34" s="410" t="b">
        <f t="shared" si="18"/>
        <v>1</v>
      </c>
      <c r="BK34" s="509">
        <f>INDEX('Loan Tape - Settled'!$B$4:$AP$55,MATCH($A34,'Loan Tape - Settled'!$E$4:$E$55,0),MATCH("Inception Date",'Loan Tape - Settled'!$B$4:$AP$4,0))</f>
        <v>44845</v>
      </c>
      <c r="BL34" s="509">
        <f>INDEX('Loan Tape - Settled'!$B$4:$AP$55,MATCH($A34,'Loan Tape - Settled'!$E$4:$E$55,0),MATCH("Inclusion Date",'Loan Tape - Settled'!$B$4:$AP$4,0))</f>
        <v>44845</v>
      </c>
      <c r="BM34" s="509">
        <f>INDEX('Loan Tape - Settled'!$B$4:$AP$55,MATCH($A34,'Loan Tape - Settled'!$E$4:$E$55,0),MATCH("Maturity Date",'Loan Tape - Settled'!$B$4:$AP$4,0))</f>
        <v>46671</v>
      </c>
      <c r="BN34" s="510"/>
      <c r="BO34" s="510"/>
      <c r="BP34" s="511"/>
      <c r="BQ34" s="510"/>
      <c r="BR34" s="512" t="str">
        <f>INDEX('Loan Tape - Settled'!$B$4:$AP$55,MATCH($A34,'Loan Tape - Settled'!$E$4:$E$55,0),MATCH("Industry Classification",'Loan Tape - Settled'!$B$4:$AP$4,0))</f>
        <v>Specialty Retail</v>
      </c>
      <c r="BS34" s="510" t="str">
        <f>IF(INDEX('Loan Tape - Settled'!$B$4:$AP$55,MATCH($A34,'Loan Tape - Settled'!$E$4:$E$55,0),MATCH("Covenant Lite",'Loan Tape - Settled'!$B$4:$AP$4,0))=-1, "Yes", "No")</f>
        <v>No</v>
      </c>
      <c r="BT34" s="513">
        <f>INDEX('Loan Tape - Settled'!$B$4:$AP$55,MATCH($A34,'Loan Tape - Settled'!$E$4:$E$55,0),MATCH("Spread / Coupon (%)",'Loan Tape - Settled'!$B$4:$AP$4,0))</f>
        <v>4.1501700000000002E-2</v>
      </c>
      <c r="BU34" s="510" t="str">
        <f>IF(INDEX('Loan Tape - Settled'!$B$4:$AP$55,MATCH($A34,'Loan Tape - Settled'!$E$4:$E$55,0),MATCH("Security Type",'Loan Tape - Settled'!$B$4:$AP$4,0))="Delayed Draw Term Loan", "Yes", "No")</f>
        <v>No</v>
      </c>
      <c r="BV34" s="514" t="s">
        <v>244</v>
      </c>
      <c r="BW34" s="514" t="s">
        <v>244</v>
      </c>
      <c r="BX34" s="506" t="s">
        <v>244</v>
      </c>
      <c r="BY34" s="510" t="str">
        <f>IF(INDEX('Loan Tape - Settled'!$B$4:$AP$55,MATCH($A34,'Loan Tape - Settled'!$E$4:$E$55,0),MATCH("Fixed/Floating",'Loan Tape - Settled'!$B$4:$AP$4,0))="Fixed", "Yes", "No")</f>
        <v>No</v>
      </c>
      <c r="BZ34" s="514" t="s">
        <v>244</v>
      </c>
      <c r="CA34" s="514" t="s">
        <v>244</v>
      </c>
      <c r="CB34" s="510" t="str">
        <f>IF(INDEX('Loan Tape - Settled'!$B$4:$AP$55,MATCH($A34,'Loan Tape - Settled'!$E$4:$E$55,0),MATCH("Loan Denomination",'Loan Tape - Settled'!$B$4:$AP$4,0))="CAD", "Yes", "No")</f>
        <v>No</v>
      </c>
      <c r="CC34" s="510" t="str">
        <f>INDEX('Loan Tape - Settled'!$B$4:$AP$55,MATCH($A34,'Loan Tape - Settled'!$E$4:$E$55,0),MATCH("Payment Frequency",'Loan Tape - Settled'!$B$4:$AP$4,0))</f>
        <v>M</v>
      </c>
      <c r="CD34" s="514" t="s">
        <v>244</v>
      </c>
      <c r="CE34" s="510">
        <f>INDEX('Loan Tape - Settled'!$B$4:$AP$55,MATCH($A34,'Loan Tape - Settled'!$E$4:$E$55,0),MATCH("S&amp;P Loan Rating (if applicable)",'Loan Tape - Settled'!$B$4:$AP$4,0))</f>
        <v>0</v>
      </c>
      <c r="CF34" s="510">
        <f>INDEX('Loan Tape - Settled'!$B$4:$AP$55,MATCH($A34,'Loan Tape - Settled'!$E$4:$E$55,0),MATCH("Moody's Loan Rating (if applicable)",'Loan Tape - Settled'!$B$4:$AP$4,0))</f>
        <v>0</v>
      </c>
      <c r="CG34" s="510"/>
      <c r="CH34" s="510"/>
      <c r="CI34" s="515"/>
      <c r="CJ34" s="508" t="str">
        <f>INDEX('Loan Tape - Settled'!$B$4:$BF$55,MATCH($A34,'Loan Tape - Settled'!$E$4:$E$55,0),MATCH("Last Financial Received",'Loan Tape - Settled'!$B$4:$BF$4,0))</f>
        <v>9/30/2025 or Latest Financing</v>
      </c>
      <c r="CK34" s="516">
        <f>INDEX('Loan Tape - Settled'!$B$4:$BJ$55,MATCH($A34,'Loan Tape - Settled'!$E$4:$E$55,0),MATCH("Initial Adjusted TTM EBITDA",'Loan Tape - Settled'!$B$4:$BJ$4,0))</f>
        <v>5.9180000000000001</v>
      </c>
      <c r="CL34" s="516">
        <f>INDEX('Loan Tape - Settled'!$B$4:$BJ$55,MATCH($A34,'Loan Tape - Settled'!$E$4:$E$55,0),MATCH("Initial TTM Non-adjusted EBITDA",'Loan Tape - Settled'!$B$4:$BJ$4,0))</f>
        <v>5.9180000000000001</v>
      </c>
      <c r="CM34" s="417"/>
      <c r="CN34" s="418"/>
      <c r="CO34" s="418"/>
      <c r="CP34" s="419"/>
      <c r="CQ34" s="420" t="s">
        <v>245</v>
      </c>
      <c r="CR34" s="419"/>
      <c r="CS34" s="421">
        <f t="shared" si="19"/>
        <v>5.9180000000000001</v>
      </c>
      <c r="CT34" s="422">
        <f t="shared" si="20"/>
        <v>0</v>
      </c>
      <c r="CU34" s="516">
        <f>INDEX('Loan Tape - Settled'!$B$4:$BJ$55,MATCH($A34,'Loan Tape - Settled'!$E$4:$E$55,0),MATCH("Current TTM Non-adjusted EBITDA",'Loan Tape - Settled'!$B$4:$BJ$4,0))</f>
        <v>1.301711978656616</v>
      </c>
      <c r="CV34" s="423">
        <f t="shared" si="21"/>
        <v>0</v>
      </c>
      <c r="CW34" s="652" t="s">
        <v>245</v>
      </c>
      <c r="CX34" s="517"/>
      <c r="CY34" s="658">
        <f t="shared" si="22"/>
        <v>1.301711978656616</v>
      </c>
      <c r="CZ34" s="656"/>
      <c r="DA34" s="518"/>
      <c r="DB34" s="519"/>
      <c r="DC34" s="853"/>
      <c r="DD34" s="853">
        <f>INDEX('Loan Tape - Settled'!$B$4:$BJ$55,MATCH($A34,'Loan Tape - Settled'!$E$4:$E$55,0),MATCH("Initial Senior Net Leverage Senior",'Loan Tape - Settled'!$B$4:$BJ$4,0))</f>
        <v>2.9055424129773568</v>
      </c>
      <c r="DE34" s="659">
        <f>INDEX('Loan Tape - Settled'!$B$4:$BJ$55,MATCH($A34,'Loan Tape - Settled'!$E$4:$E$55,0),MATCH("Initial Total Net Leverage",'Loan Tape - Settled'!$B$4:$BJ$4,0))</f>
        <v>2.9055424129773568</v>
      </c>
      <c r="DF34" s="656"/>
      <c r="DG34" s="518"/>
      <c r="DH34" s="519"/>
      <c r="DI34" s="424">
        <f>INDEX('Loan Tape - Settled'!$B$4:$BJ$55,MATCH($A34,'Loan Tape - Settled'!$E$4:$E$55,0),MATCH("Net Attachment",'Loan Tape - Settled'!$B$4:$BJ$4,0))</f>
        <v>3.8772894025364106</v>
      </c>
      <c r="DJ34" s="522">
        <f t="array" ref="DJ34">IF(AG34="Yes",INDEX(VAE!$M$5:$M$53,MATCH($B34&amp;$AJ34,VAE!$C$5:$C$53&amp;VAE!$G$5:$G$53,0)),DD34)</f>
        <v>4.8361229996051609</v>
      </c>
      <c r="DK34" s="649">
        <f t="array" ref="DK34">IF(AG34="Yes",INDEX(VAE!$N$5:$N$53,MATCH($B34&amp;$AJ34,VAE!$C$5:$C$53&amp;VAE!$G$5:$G$53,0)),DE34)</f>
        <v>4.8361229996051609</v>
      </c>
      <c r="DL34" s="651">
        <f>INDEX('Loan Tape - Settled'!$B$4:$BJ$55,MATCH($A34,'Loan Tape - Settled'!$E$4:$E$55,0),MATCH("Current Senior Net Leverage Senior",'Loan Tape - Settled'!$B$4:$BJ$4,0))</f>
        <v>30.247324092402952</v>
      </c>
      <c r="DM34" s="433">
        <f>INDEX('Loan Tape - Settled'!$B$4:$BJ$55,MATCH($A34,'Loan Tape - Settled'!$E$4:$E$55,0),MATCH("Current Total Net Leverage",'Loan Tape - Settled'!$B$4:$BJ$4,0))</f>
        <v>30.247324092402952</v>
      </c>
      <c r="DN34" s="425"/>
      <c r="DO34" s="426">
        <f>INDEX('Loan Tape - Settled'!$B$4:$BJ$55,MATCH($A34,'Loan Tape - Settled'!$E$4:$E$55,0),MATCH("Initial Interest Coverage",'Loan Tape - Settled'!$B$4:$BJ$4,0))</f>
        <v>3.3</v>
      </c>
      <c r="DP34" s="854">
        <f t="array" ref="DP34">IF(AG34="Yes",INDEX(VAE!$O$5:$O$53,MATCH($B34&amp;$AJ34,VAE!$C$5:$C$53&amp;VAE!$G$5:$G$53,0)),DO34)</f>
        <v>3.3</v>
      </c>
      <c r="DQ34" s="427">
        <f>INDEX('Loan Tape - Settled'!$B$4:$BJ$55,MATCH($A34,'Loan Tape - Settled'!$E$4:$E$55,0),MATCH("Current Interest Coverage",'Loan Tape - Settled'!$B$4:$BJ$4,0))</f>
        <v>2.1225806808619998</v>
      </c>
      <c r="DR34" s="855" t="str">
        <f t="shared" si="23"/>
        <v>Yes</v>
      </c>
      <c r="DS34" s="428">
        <f>IF(AG34="Yes",DATEDIF(AJ34,Availability!$F$8,"m"),"")</f>
        <v>30</v>
      </c>
      <c r="DT34" s="428" t="str">
        <f t="shared" si="24"/>
        <v>Yes</v>
      </c>
      <c r="DU34" s="647" t="str">
        <f t="shared" si="25"/>
        <v>No</v>
      </c>
      <c r="DV34" s="648" t="str">
        <f t="shared" si="26"/>
        <v>Yes</v>
      </c>
      <c r="DW34" s="648" t="str">
        <f t="array" ref="DW34">_xlfn.IFS(D34&lt;&gt;"Second Lien","No",D34="Second Lien",IF(AND((DM34-DK34)&gt;0.5,DM34&gt;4.5),"Yes","No"))</f>
        <v>No</v>
      </c>
      <c r="DX34" s="685" t="s">
        <v>244</v>
      </c>
      <c r="DY34" s="685" t="s">
        <v>244</v>
      </c>
      <c r="DZ34" s="686" t="s">
        <v>244</v>
      </c>
      <c r="EA34" s="686" t="s">
        <v>244</v>
      </c>
      <c r="EB34" s="686" t="s">
        <v>244</v>
      </c>
      <c r="EC34" s="686" t="s">
        <v>244</v>
      </c>
      <c r="ED34" s="686" t="s">
        <v>244</v>
      </c>
      <c r="EE34" s="686" t="s">
        <v>244</v>
      </c>
      <c r="EF34" s="409" t="str">
        <f t="shared" si="27"/>
        <v>No</v>
      </c>
      <c r="EG34" s="686" t="s">
        <v>244</v>
      </c>
      <c r="EH34" s="691" t="s">
        <v>244</v>
      </c>
      <c r="EI34" s="856" t="str">
        <f t="array" ref="EI34">IF(D34="First Lien",_xlfn.IFS(CY34&gt;AGENT!$B$23, "&gt; $20MM",CY34&lt;=AGENT!$C$25, "&lt;= $10MM",AND(CY34&lt;=AGENT!$C$24,CY34&gt;AGENT!$B$24),"&lt;= $20MM"), "N/A")</f>
        <v>&lt;= $10MM</v>
      </c>
      <c r="EJ34" s="856" t="str">
        <f t="array" ref="EJ34">IF(D34="FILO",_xlfn.IFS(DI34&gt;AGENT!$B$29, "&gt; 1.25x",DI34&lt;AGENT!$C$27, "&lt; 0.75x",AND(DI34&lt;=AGENT!$C$28,DI34&gt;=AGENT!$B$28),"&lt;= 1.25x"), "N/A")</f>
        <v>N/A</v>
      </c>
      <c r="EK34" s="429">
        <f t="shared" si="28"/>
        <v>0</v>
      </c>
      <c r="EL34" s="429">
        <f>'Concentration Limits'!$J$49</f>
        <v>49599340.729726665</v>
      </c>
      <c r="EM34" s="429" t="str">
        <f>IF(OR(D34="Second Lien",AND(D34="FILO",DI34&gt;AGENT!$C$57)), "Yes", "No")</f>
        <v>No</v>
      </c>
      <c r="EN34" s="429">
        <f t="shared" si="29"/>
        <v>0</v>
      </c>
      <c r="EO34" s="429">
        <f t="shared" si="30"/>
        <v>0</v>
      </c>
      <c r="EP34" s="429">
        <f t="shared" si="31"/>
        <v>0</v>
      </c>
      <c r="EQ34" s="429">
        <f>'Concentration Limits'!$J$50</f>
        <v>24799670.364863332</v>
      </c>
      <c r="ER34" s="429">
        <f t="shared" si="32"/>
        <v>0</v>
      </c>
      <c r="ES34" s="429">
        <f t="shared" si="84"/>
        <v>0</v>
      </c>
      <c r="ET34" s="429">
        <f t="shared" si="33"/>
        <v>0</v>
      </c>
      <c r="EU34" s="429">
        <f>'Concentration Limits'!$J$51</f>
        <v>74399011.094589993</v>
      </c>
      <c r="EV34" s="429" t="str">
        <f>IF(OR(D34="Second Lien", AND(D34="FILO",DI34&gt;AGENT!$C$59)), "Yes", "No")</f>
        <v>No</v>
      </c>
      <c r="EW34" s="429">
        <f t="shared" si="34"/>
        <v>0</v>
      </c>
      <c r="EX34" s="429">
        <f t="shared" si="35"/>
        <v>0</v>
      </c>
      <c r="EY34" s="429">
        <f t="shared" si="36"/>
        <v>0</v>
      </c>
      <c r="EZ34" s="429">
        <f>'Concentration Limits'!$J$52</f>
        <v>37199505.547294997</v>
      </c>
      <c r="FA34" s="429" t="str">
        <f>IF(CY34&gt;'Concentration Limits'!$E$52, "No", "Yes")</f>
        <v>Yes</v>
      </c>
      <c r="FB34" s="429">
        <f t="shared" si="37"/>
        <v>0</v>
      </c>
      <c r="FC34" s="429">
        <f t="shared" si="38"/>
        <v>0</v>
      </c>
      <c r="FD34" s="429">
        <f t="shared" si="39"/>
        <v>0</v>
      </c>
      <c r="FE34" s="430">
        <f>'Concentration Limits'!$J$54</f>
        <v>247996703.6486333</v>
      </c>
      <c r="FF34" s="430">
        <f>'Concentration Limits'!$J$55</f>
        <v>247996703.6486333</v>
      </c>
      <c r="FG34" s="430">
        <f>'Concentration Limits'!$J$56</f>
        <v>247996703.6486333</v>
      </c>
      <c r="FH34" s="431">
        <f>'Concentration Limits'!$J$57</f>
        <v>18599752.773647498</v>
      </c>
      <c r="FI34" s="431">
        <f t="shared" si="40"/>
        <v>0</v>
      </c>
      <c r="FJ34" s="431">
        <f t="shared" si="41"/>
        <v>0</v>
      </c>
      <c r="FK34" s="431">
        <f t="shared" si="42"/>
        <v>0</v>
      </c>
      <c r="FL34" s="431">
        <f>IF(FJ34&gt;0,RANK(FJ34,$FJ$9:$FJ$60)+COUNTIF($FJ$9:FJ34,FJ34)-1,0)</f>
        <v>0</v>
      </c>
      <c r="FM34" s="430">
        <f t="shared" si="43"/>
        <v>0</v>
      </c>
      <c r="FN34" s="430">
        <f t="shared" si="44"/>
        <v>0</v>
      </c>
      <c r="FO34" s="430">
        <f t="shared" si="45"/>
        <v>0</v>
      </c>
      <c r="FP34" s="431">
        <f t="shared" si="46"/>
        <v>0</v>
      </c>
      <c r="FQ34" s="431">
        <f t="shared" si="47"/>
        <v>0</v>
      </c>
      <c r="FR34" s="431">
        <f>'Concentration Limits'!$J$58</f>
        <v>49599340.729726665</v>
      </c>
      <c r="FS34" s="431">
        <f t="shared" si="48"/>
        <v>0</v>
      </c>
      <c r="FT34" s="431" t="str">
        <f>VLOOKUP(BR34,'Concentration Limits'!$E$81:$H$153,4,FALSE)</f>
        <v/>
      </c>
      <c r="FU34" s="431">
        <f t="shared" si="49"/>
        <v>0</v>
      </c>
      <c r="FV34" s="431">
        <f t="shared" si="50"/>
        <v>0</v>
      </c>
      <c r="FW34" s="431">
        <f>'Concentration Limits'!$J$59</f>
        <v>37199505.547294997</v>
      </c>
      <c r="FX34" s="431">
        <f t="shared" si="51"/>
        <v>0</v>
      </c>
      <c r="FY34" s="431" t="str">
        <f>VLOOKUP(BR34,'Concentration Limits'!$E$81:$H$153,4,FALSE)</f>
        <v/>
      </c>
      <c r="FZ34" s="431">
        <f t="shared" si="52"/>
        <v>0</v>
      </c>
      <c r="GA34" s="431">
        <f t="shared" si="53"/>
        <v>0</v>
      </c>
      <c r="GB34" s="431">
        <f>'Concentration Limits'!$J$61</f>
        <v>24799670.364863332</v>
      </c>
      <c r="GC34" s="431">
        <f t="shared" si="54"/>
        <v>0</v>
      </c>
      <c r="GD34" s="429" t="str">
        <f>VLOOKUP(BR34,'Concentration Limits'!$E$81:$H$153,4,FALSE)</f>
        <v/>
      </c>
      <c r="GE34" s="431">
        <f t="shared" si="55"/>
        <v>0</v>
      </c>
      <c r="GF34" s="431">
        <f t="shared" si="56"/>
        <v>0</v>
      </c>
      <c r="GG34" s="431">
        <f>'Concentration Limits'!$J$64</f>
        <v>24799670.364863332</v>
      </c>
      <c r="GH34" s="431">
        <f t="shared" si="57"/>
        <v>0</v>
      </c>
      <c r="GI34" s="431">
        <f t="shared" si="58"/>
        <v>0</v>
      </c>
      <c r="GJ34" s="431">
        <f t="shared" si="59"/>
        <v>0</v>
      </c>
      <c r="GK34" s="431">
        <f>'Concentration Limits'!$J$67</f>
        <v>24799670.364863332</v>
      </c>
      <c r="GL34" s="429" t="str">
        <f t="shared" si="60"/>
        <v>No</v>
      </c>
      <c r="GM34" s="431">
        <f t="shared" si="61"/>
        <v>0</v>
      </c>
      <c r="GN34" s="431">
        <f t="shared" si="62"/>
        <v>0</v>
      </c>
      <c r="GO34" s="431">
        <f t="shared" si="63"/>
        <v>0</v>
      </c>
      <c r="GP34" s="431">
        <f>'Concentration Limits'!$J$68</f>
        <v>37199505.547294997</v>
      </c>
      <c r="GQ34" s="429" t="str">
        <f t="shared" si="64"/>
        <v>No</v>
      </c>
      <c r="GR34" s="431">
        <f t="shared" si="65"/>
        <v>0</v>
      </c>
      <c r="GS34" s="431">
        <f t="shared" si="66"/>
        <v>0</v>
      </c>
      <c r="GT34" s="431">
        <f t="shared" si="67"/>
        <v>0</v>
      </c>
      <c r="GU34" s="429">
        <f>'Concentration Limits'!$J$69</f>
        <v>37199505.547294997</v>
      </c>
      <c r="GV34" s="429" t="str">
        <f t="shared" si="68"/>
        <v>No</v>
      </c>
      <c r="GW34" s="429">
        <f t="shared" si="69"/>
        <v>0</v>
      </c>
      <c r="GX34" s="429">
        <f t="shared" si="70"/>
        <v>0</v>
      </c>
      <c r="GY34" s="429">
        <f t="shared" si="71"/>
        <v>0</v>
      </c>
      <c r="GZ34" s="429">
        <f>'Concentration Limits'!$J$70</f>
        <v>24799670.364863332</v>
      </c>
      <c r="HA34" s="429" t="str">
        <f t="shared" si="72"/>
        <v>No</v>
      </c>
      <c r="HB34" s="429">
        <f t="shared" si="73"/>
        <v>0</v>
      </c>
      <c r="HC34" s="429">
        <f t="shared" si="74"/>
        <v>0</v>
      </c>
      <c r="HD34" s="429">
        <f t="shared" si="75"/>
        <v>0</v>
      </c>
      <c r="HE34" s="431">
        <f t="shared" si="76"/>
        <v>0</v>
      </c>
      <c r="HF34" s="431">
        <f t="shared" si="77"/>
        <v>0</v>
      </c>
      <c r="HG34" s="431">
        <f t="shared" si="78"/>
        <v>0</v>
      </c>
      <c r="HH34" s="431">
        <f t="shared" si="79"/>
        <v>0</v>
      </c>
      <c r="HI34" s="431">
        <f>IF(BE34=0,0,#REF!*BE34/(BE34+BG34))</f>
        <v>0</v>
      </c>
      <c r="HJ34" s="431">
        <f>IF(BG34=0,0,#REF!*BG34/(BG34+BE34))</f>
        <v>0</v>
      </c>
      <c r="HK34" s="857">
        <f>IF(BF34=0,0,#REF!*BF34/(BF34+BH34))</f>
        <v>0</v>
      </c>
      <c r="HL34" s="431">
        <f>IF(BH34=0,0,#REF!*BH34/(BH34+BF34))</f>
        <v>0</v>
      </c>
      <c r="HM34" s="431">
        <f t="shared" si="80"/>
        <v>0</v>
      </c>
      <c r="HN34" s="431" t="b">
        <f t="shared" si="81"/>
        <v>1</v>
      </c>
    </row>
    <row r="35" spans="1:222" s="432" customFormat="1" ht="12.75" customHeight="1" x14ac:dyDescent="0.35">
      <c r="A35" s="49">
        <f t="shared" si="82"/>
        <v>27</v>
      </c>
      <c r="B35" s="404" t="str">
        <f>INDEX('Loan Tape - Settled'!$B$4:$AP$55,MATCH($A35,'Loan Tape - Settled'!$E$4:$E$55,0),MATCH("Obligor Name",'Loan Tape - Settled'!$B$4:$AM$4,0))</f>
        <v>NW Entertainment, LLC</v>
      </c>
      <c r="C35" s="404" t="str">
        <f>INDEX('Loan Tape - Settled'!$B$4:$AP$55,MATCH($A35,'Loan Tape - Settled'!$E$4:$E$55,0),MATCH("Security",'Loan Tape - Settled'!$B$4:$AM$4,0))</f>
        <v>1st Lien</v>
      </c>
      <c r="D35" s="405" t="str">
        <f>INDEX('Loan Tape - Settled'!$B$4:$AP$55,MATCH($A35,'Loan Tape - Settled'!$E$4:$E$55,0),MATCH("Loan Type",'Loan Tape - Settled'!$B$4:$AM$4,0))</f>
        <v>First Lien</v>
      </c>
      <c r="E35" s="406" t="b">
        <f>IF(ISERROR(MATCH(D35,AGENT!$A$4:$A$10,0))=FALSE, TRUE)</f>
        <v>1</v>
      </c>
      <c r="F35" s="406" t="b">
        <f t="shared" si="0"/>
        <v>1</v>
      </c>
      <c r="G35" s="406" t="b">
        <f>IF(D35&lt;&gt;"Second Lien",TRUE, IF(CY35&gt;=AGENT!$B$4,TRUE))</f>
        <v>1</v>
      </c>
      <c r="H35" s="406" t="b">
        <f>IF(DE35&lt;=AGENT!$D$4,TRUE)</f>
        <v>1</v>
      </c>
      <c r="I35" s="406" t="b">
        <f>IF(VLOOKUP(CONCATENATE($A$5,A35),'Loan Tape - Settled'!$A$5:$Q$55,17,FALSE)&gt;=AGENT!$E$4,TRUE)</f>
        <v>1</v>
      </c>
      <c r="J35" s="406" t="b">
        <f>IF(INDEX('Loan Tape - Settled'!$B$4:$AP$55,MATCH($A35,'Loan Tape - Settled'!$E$4:$E$55,0),MATCH("Loan Denomination",'Loan Tape - Settled'!$B$4:$AP$4,0))="USD", TRUE)</f>
        <v>1</v>
      </c>
      <c r="K35" s="406" t="b">
        <f>IF(INDEX('Loan Tape - Settled'!$B$4:$AP$55,MATCH($A35,'Loan Tape - Settled'!$E$4:$E$55,0),MATCH("Exposure Country",'Loan Tape - Settled'!$B$4:$AP$4,0))="United States", TRUE)</f>
        <v>1</v>
      </c>
      <c r="L35" s="406" t="b">
        <f t="shared" si="1"/>
        <v>1</v>
      </c>
      <c r="M35" s="406" t="b">
        <f>IF(((BM35-BL35)/365)&lt;=AGENT!$F$4,TRUE)</f>
        <v>1</v>
      </c>
      <c r="N35" s="406" t="b">
        <f t="shared" si="2"/>
        <v>1</v>
      </c>
      <c r="O35" s="453"/>
      <c r="P35" s="680" t="str">
        <f t="shared" si="3"/>
        <v>Yes</v>
      </c>
      <c r="Q35" s="680" t="s">
        <v>243</v>
      </c>
      <c r="R35" s="407" t="str">
        <f t="shared" si="4"/>
        <v>NW Entertainment, LLC</v>
      </c>
      <c r="S35" s="407"/>
      <c r="T35" s="408" t="str">
        <f t="array" ref="T35">_xlfn.IFS(D35="Second Lien",D35,D35="First Lien",CONCATENATE(D35," ",EI35),D35="FILO",CONCATENATE(D35," ",EJ35))</f>
        <v>First Lien &lt;= $10MM</v>
      </c>
      <c r="U35" s="409">
        <f>VLOOKUP(T35,'Concentration Limits'!D:G,4,FALSE)</f>
        <v>0.625</v>
      </c>
      <c r="V35" s="410">
        <f t="shared" si="5"/>
        <v>4666942.9311727853</v>
      </c>
      <c r="W35" s="448">
        <f>(SUMIFS('Loan Tape - Settled'!$AR$4:$AR$55,'Loan Tape - Settled'!$E$4:$E$55,$A35,'Loan Tape - Settled'!$C$4:$C$55,$A$5))</f>
        <v>6137824.8084000004</v>
      </c>
      <c r="X35" s="449">
        <v>1</v>
      </c>
      <c r="Y35" s="411">
        <f t="shared" si="6"/>
        <v>6137824.8084000004</v>
      </c>
      <c r="Z35" s="449">
        <f>(SUMIFS('Loan Tape - Settled'!$AQ$4:$AQ$55,'Loan Tape - Settled'!$E$4:$E$55,$A35,'Loan Tape - Settled'!$C$4:$C$55,$A$5))</f>
        <v>6137824.8084000004</v>
      </c>
      <c r="AA35" s="411">
        <f t="shared" si="7"/>
        <v>6137824.8084000004</v>
      </c>
      <c r="AB35" s="411">
        <f t="shared" si="8"/>
        <v>0</v>
      </c>
      <c r="AC35" s="450">
        <f>VLOOKUP(CONCATENATE($A$5,A35),'Loan Tape - Settled'!$A$5:$Q$55,17,FALSE)</f>
        <v>1</v>
      </c>
      <c r="AD35" s="412"/>
      <c r="AE35" s="413">
        <f>INDEX('Loan Tape - Settled'!$B$4:$AP$55,MATCH($A35,'Loan Tape - Settled'!$E$4:$E$55,0),MATCH("FMV",'Loan Tape - Settled'!$B$4:$AM$4,0))</f>
        <v>0.96055000000000013</v>
      </c>
      <c r="AF35" s="413">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0.76035779398359171</v>
      </c>
      <c r="AG35" s="414" t="str">
        <f>IF(COUNTIFS(VAE!$C$5:$C$96,B35,VAE!$G$5:$G$96,"&lt;="&amp;Availability!$F$8)&gt;=1,"Yes","-")</f>
        <v>Yes</v>
      </c>
      <c r="AH35" s="414" t="str">
        <f t="array" ref="AH35">IFERROR(IF(AG35="Yes",INDEX(VAE!$D$5:$D$96,MATCH(B35&amp;AJ35,VAE!$C$5:$C$96&amp;VAE!$G$5:$G$96,0)),"-"),0)</f>
        <v>Increase in Lev</v>
      </c>
      <c r="AI35" s="414" t="str">
        <f t="array" ref="AI35">IFERROR(IF(AG35="Yes",INDEX(VAE!$F$5:$F$96,MATCH(B35&amp;AJ35,VAE!$C$5:$C$96&amp;VAE!$G$5:$G$96,0)),"-"),0)</f>
        <v>-</v>
      </c>
      <c r="AJ35" s="415">
        <f>IF(AG35="-","-",_xlfn.MAXIFS(VAE!$G$5:$G$96,VAE!$C$5:$C$96,$B35))</f>
        <v>45657</v>
      </c>
      <c r="AK35" s="416">
        <f t="array" ref="AK35">IFERROR(IF(AG35="Yes",INDEX(VAE!$P$5:$P$96,MATCH(B35&amp;AJ35,VAE!$C$5:$C$96&amp;VAE!$G$5:$G$96,0)),"-"),0)</f>
        <v>0.76035779398359171</v>
      </c>
      <c r="AL35" s="413">
        <f t="shared" si="9"/>
        <v>0.76035779398359171</v>
      </c>
      <c r="AM35" s="410"/>
      <c r="AN35" s="410"/>
      <c r="AO35" s="410">
        <f t="shared" si="10"/>
        <v>6137824.8084000004</v>
      </c>
      <c r="AP35" s="410">
        <f t="shared" si="11"/>
        <v>0</v>
      </c>
      <c r="AQ35" s="410">
        <f t="shared" si="83"/>
        <v>4666942.9311727853</v>
      </c>
      <c r="AR35" s="410"/>
      <c r="AS35" s="410"/>
      <c r="AT35" s="410"/>
      <c r="AU35" s="410">
        <f t="shared" si="12"/>
        <v>0</v>
      </c>
      <c r="AV35" s="410">
        <f t="shared" si="13"/>
        <v>0</v>
      </c>
      <c r="AW35" s="410">
        <f t="shared" si="14"/>
        <v>0</v>
      </c>
      <c r="AX35" s="410"/>
      <c r="AY35" s="410"/>
      <c r="AZ35" s="410"/>
      <c r="BA35" s="410">
        <f t="shared" si="15"/>
        <v>0</v>
      </c>
      <c r="BB35" s="410"/>
      <c r="BC35" s="410"/>
      <c r="BD35" s="410">
        <f t="shared" si="16"/>
        <v>0</v>
      </c>
      <c r="BE35" s="410"/>
      <c r="BF35" s="410"/>
      <c r="BG35" s="410"/>
      <c r="BH35" s="410"/>
      <c r="BI35" s="410">
        <f t="shared" si="17"/>
        <v>0</v>
      </c>
      <c r="BJ35" s="410" t="b">
        <f t="shared" si="18"/>
        <v>1</v>
      </c>
      <c r="BK35" s="509">
        <f>INDEX('Loan Tape - Settled'!$B$4:$AP$55,MATCH($A35,'Loan Tape - Settled'!$E$4:$E$55,0),MATCH("Inception Date",'Loan Tape - Settled'!$B$4:$AP$4,0))</f>
        <v>44869</v>
      </c>
      <c r="BL35" s="509">
        <f>INDEX('Loan Tape - Settled'!$B$4:$AP$55,MATCH($A35,'Loan Tape - Settled'!$E$4:$E$55,0),MATCH("Inclusion Date",'Loan Tape - Settled'!$B$4:$AP$4,0))</f>
        <v>44869</v>
      </c>
      <c r="BM35" s="509">
        <f>INDEX('Loan Tape - Settled'!$B$4:$AP$55,MATCH($A35,'Loan Tape - Settled'!$E$4:$E$55,0),MATCH("Maturity Date",'Loan Tape - Settled'!$B$4:$AP$4,0))</f>
        <v>46695</v>
      </c>
      <c r="BN35" s="510"/>
      <c r="BO35" s="510"/>
      <c r="BP35" s="511"/>
      <c r="BQ35" s="510"/>
      <c r="BR35" s="512" t="str">
        <f>INDEX('Loan Tape - Settled'!$B$4:$AP$55,MATCH($A35,'Loan Tape - Settled'!$E$4:$E$55,0),MATCH("Industry Classification",'Loan Tape - Settled'!$B$4:$AP$4,0))</f>
        <v>Entertainment</v>
      </c>
      <c r="BS35" s="510" t="str">
        <f>IF(INDEX('Loan Tape - Settled'!$B$4:$AP$55,MATCH($A35,'Loan Tape - Settled'!$E$4:$E$55,0),MATCH("Covenant Lite",'Loan Tape - Settled'!$B$4:$AP$4,0))=-1, "Yes", "No")</f>
        <v>No</v>
      </c>
      <c r="BT35" s="513">
        <f>INDEX('Loan Tape - Settled'!$B$4:$AP$55,MATCH($A35,'Loan Tape - Settled'!$E$4:$E$55,0),MATCH("Spread / Coupon (%)",'Loan Tape - Settled'!$B$4:$AP$4,0))</f>
        <v>8.51161E-2</v>
      </c>
      <c r="BU35" s="510" t="str">
        <f>IF(INDEX('Loan Tape - Settled'!$B$4:$AP$55,MATCH($A35,'Loan Tape - Settled'!$E$4:$E$55,0),MATCH("Security Type",'Loan Tape - Settled'!$B$4:$AP$4,0))="Delayed Draw Term Loan", "Yes", "No")</f>
        <v>No</v>
      </c>
      <c r="BV35" s="514" t="s">
        <v>244</v>
      </c>
      <c r="BW35" s="514" t="s">
        <v>244</v>
      </c>
      <c r="BX35" s="506" t="s">
        <v>244</v>
      </c>
      <c r="BY35" s="510" t="str">
        <f>IF(INDEX('Loan Tape - Settled'!$B$4:$AP$55,MATCH($A35,'Loan Tape - Settled'!$E$4:$E$55,0),MATCH("Fixed/Floating",'Loan Tape - Settled'!$B$4:$AP$4,0))="Fixed", "Yes", "No")</f>
        <v>No</v>
      </c>
      <c r="BZ35" s="514" t="s">
        <v>244</v>
      </c>
      <c r="CA35" s="514" t="s">
        <v>244</v>
      </c>
      <c r="CB35" s="510" t="str">
        <f>IF(INDEX('Loan Tape - Settled'!$B$4:$AP$55,MATCH($A35,'Loan Tape - Settled'!$E$4:$E$55,0),MATCH("Loan Denomination",'Loan Tape - Settled'!$B$4:$AP$4,0))="CAD", "Yes", "No")</f>
        <v>No</v>
      </c>
      <c r="CC35" s="510" t="str">
        <f>INDEX('Loan Tape - Settled'!$B$4:$AP$55,MATCH($A35,'Loan Tape - Settled'!$E$4:$E$55,0),MATCH("Payment Frequency",'Loan Tape - Settled'!$B$4:$AP$4,0))</f>
        <v>M</v>
      </c>
      <c r="CD35" s="514" t="s">
        <v>244</v>
      </c>
      <c r="CE35" s="510">
        <f>INDEX('Loan Tape - Settled'!$B$4:$AP$55,MATCH($A35,'Loan Tape - Settled'!$E$4:$E$55,0),MATCH("S&amp;P Loan Rating (if applicable)",'Loan Tape - Settled'!$B$4:$AP$4,0))</f>
        <v>0</v>
      </c>
      <c r="CF35" s="510">
        <f>INDEX('Loan Tape - Settled'!$B$4:$AP$55,MATCH($A35,'Loan Tape - Settled'!$E$4:$E$55,0),MATCH("Moody's Loan Rating (if applicable)",'Loan Tape - Settled'!$B$4:$AP$4,0))</f>
        <v>0</v>
      </c>
      <c r="CG35" s="510"/>
      <c r="CH35" s="510"/>
      <c r="CI35" s="515"/>
      <c r="CJ35" s="508" t="str">
        <f>INDEX('Loan Tape - Settled'!$B$4:$BF$55,MATCH($A35,'Loan Tape - Settled'!$E$4:$E$55,0),MATCH("Last Financial Received",'Loan Tape - Settled'!$B$4:$BF$4,0))</f>
        <v>9/30/2025 or Latest Financing</v>
      </c>
      <c r="CK35" s="516">
        <f>INDEX('Loan Tape - Settled'!$B$4:$BJ$55,MATCH($A35,'Loan Tape - Settled'!$E$4:$E$55,0),MATCH("Initial Adjusted TTM EBITDA",'Loan Tape - Settled'!$B$4:$BJ$4,0))</f>
        <v>15.754</v>
      </c>
      <c r="CL35" s="516">
        <f>INDEX('Loan Tape - Settled'!$B$4:$BJ$55,MATCH($A35,'Loan Tape - Settled'!$E$4:$E$55,0),MATCH("Initial TTM Non-adjusted EBITDA",'Loan Tape - Settled'!$B$4:$BJ$4,0))</f>
        <v>15.754</v>
      </c>
      <c r="CM35" s="417"/>
      <c r="CN35" s="418"/>
      <c r="CO35" s="418"/>
      <c r="CP35" s="419"/>
      <c r="CQ35" s="420" t="s">
        <v>245</v>
      </c>
      <c r="CR35" s="419"/>
      <c r="CS35" s="421">
        <f t="shared" si="19"/>
        <v>15.754</v>
      </c>
      <c r="CT35" s="422">
        <f t="shared" si="20"/>
        <v>0</v>
      </c>
      <c r="CU35" s="516">
        <f>INDEX('Loan Tape - Settled'!$B$4:$BJ$55,MATCH($A35,'Loan Tape - Settled'!$E$4:$E$55,0),MATCH("Current TTM Non-adjusted EBITDA",'Loan Tape - Settled'!$B$4:$BJ$4,0))</f>
        <v>8.3520000000000003</v>
      </c>
      <c r="CV35" s="423">
        <f t="shared" si="21"/>
        <v>0</v>
      </c>
      <c r="CW35" s="652" t="s">
        <v>245</v>
      </c>
      <c r="CX35" s="517"/>
      <c r="CY35" s="658">
        <f t="shared" si="22"/>
        <v>8.3520000000000003</v>
      </c>
      <c r="CZ35" s="656"/>
      <c r="DA35" s="518"/>
      <c r="DB35" s="519"/>
      <c r="DC35" s="853"/>
      <c r="DD35" s="853">
        <f>INDEX('Loan Tape - Settled'!$B$4:$BJ$55,MATCH($A35,'Loan Tape - Settled'!$E$4:$E$55,0),MATCH("Initial Senior Net Leverage Senior",'Loan Tape - Settled'!$B$4:$BJ$4,0))</f>
        <v>3.1420591595785199</v>
      </c>
      <c r="DE35" s="659">
        <f>INDEX('Loan Tape - Settled'!$B$4:$BJ$55,MATCH($A35,'Loan Tape - Settled'!$E$4:$E$55,0),MATCH("Initial Total Net Leverage",'Loan Tape - Settled'!$B$4:$BJ$4,0))</f>
        <v>3.1420591595785199</v>
      </c>
      <c r="DF35" s="656"/>
      <c r="DG35" s="518"/>
      <c r="DH35" s="519"/>
      <c r="DI35" s="424">
        <f>INDEX('Loan Tape - Settled'!$B$4:$BJ$55,MATCH($A35,'Loan Tape - Settled'!$E$4:$E$55,0),MATCH("Net Attachment",'Loan Tape - Settled'!$B$4:$BJ$4,0))</f>
        <v>0.39583333333333331</v>
      </c>
      <c r="DJ35" s="522">
        <f t="array" ref="DJ35">IF(AG35="Yes",INDEX(VAE!$M$5:$M$53,MATCH($B35&amp;$AJ35,VAE!$C$5:$C$53&amp;VAE!$G$5:$G$53,0)),DD35)</f>
        <v>4.4513352076992652</v>
      </c>
      <c r="DK35" s="649">
        <f t="array" ref="DK35">IF(AG35="Yes",INDEX(VAE!$N$5:$N$53,MATCH($B35&amp;$AJ35,VAE!$C$5:$C$53&amp;VAE!$G$5:$G$53,0)),DE35)</f>
        <v>4.4513352076992652</v>
      </c>
      <c r="DL35" s="651">
        <f>INDEX('Loan Tape - Settled'!$B$4:$BJ$55,MATCH($A35,'Loan Tape - Settled'!$E$4:$E$55,0),MATCH("Current Senior Net Leverage Senior",'Loan Tape - Settled'!$B$4:$BJ$4,0))</f>
        <v>6.304597701149425</v>
      </c>
      <c r="DM35" s="433">
        <f>INDEX('Loan Tape - Settled'!$B$4:$BJ$55,MATCH($A35,'Loan Tape - Settled'!$E$4:$E$55,0),MATCH("Current Total Net Leverage",'Loan Tape - Settled'!$B$4:$BJ$4,0))</f>
        <v>6.304597701149425</v>
      </c>
      <c r="DN35" s="425"/>
      <c r="DO35" s="426">
        <f>INDEX('Loan Tape - Settled'!$B$4:$BJ$55,MATCH($A35,'Loan Tape - Settled'!$E$4:$E$55,0),MATCH("Initial Interest Coverage",'Loan Tape - Settled'!$B$4:$BJ$4,0))</f>
        <v>2.54</v>
      </c>
      <c r="DP35" s="854">
        <f t="array" ref="DP35">IF(AG35="Yes",INDEX(VAE!$O$5:$O$53,MATCH($B35&amp;$AJ35,VAE!$C$5:$C$53&amp;VAE!$G$5:$G$53,0)),DO35)</f>
        <v>1.63</v>
      </c>
      <c r="DQ35" s="427">
        <f>INDEX('Loan Tape - Settled'!$B$4:$BJ$55,MATCH($A35,'Loan Tape - Settled'!$E$4:$E$55,0),MATCH("Current Interest Coverage",'Loan Tape - Settled'!$B$4:$BJ$4,0))</f>
        <v>1.0571748671400001</v>
      </c>
      <c r="DR35" s="855" t="str">
        <f t="shared" si="23"/>
        <v>Yes</v>
      </c>
      <c r="DS35" s="428">
        <f>IF(AG35="Yes",DATEDIF(AJ35,Availability!$F$8,"m"),"")</f>
        <v>12</v>
      </c>
      <c r="DT35" s="428" t="str">
        <f t="shared" si="24"/>
        <v>No</v>
      </c>
      <c r="DU35" s="647" t="str">
        <f t="shared" si="25"/>
        <v>Yes</v>
      </c>
      <c r="DV35" s="648" t="str">
        <f t="shared" si="26"/>
        <v>Yes</v>
      </c>
      <c r="DW35" s="648" t="str">
        <f t="array" ref="DW35">_xlfn.IFS(D35&lt;&gt;"Second Lien","No",D35="Second Lien",IF(AND((DM35-DK35)&gt;0.5,DM35&gt;4.5),"Yes","No"))</f>
        <v>No</v>
      </c>
      <c r="DX35" s="685" t="s">
        <v>244</v>
      </c>
      <c r="DY35" s="685" t="s">
        <v>244</v>
      </c>
      <c r="DZ35" s="686" t="s">
        <v>244</v>
      </c>
      <c r="EA35" s="686" t="s">
        <v>244</v>
      </c>
      <c r="EB35" s="686" t="s">
        <v>244</v>
      </c>
      <c r="EC35" s="686" t="s">
        <v>244</v>
      </c>
      <c r="ED35" s="686" t="s">
        <v>244</v>
      </c>
      <c r="EE35" s="686" t="s">
        <v>244</v>
      </c>
      <c r="EF35" s="409" t="str">
        <f t="shared" si="27"/>
        <v>No</v>
      </c>
      <c r="EG35" s="686" t="s">
        <v>244</v>
      </c>
      <c r="EH35" s="691" t="s">
        <v>244</v>
      </c>
      <c r="EI35" s="856" t="str">
        <f t="array" ref="EI35">IF(D35="First Lien",_xlfn.IFS(CY35&gt;AGENT!$B$23, "&gt; $20MM",CY35&lt;=AGENT!$C$25, "&lt;= $10MM",AND(CY35&lt;=AGENT!$C$24,CY35&gt;AGENT!$B$24),"&lt;= $20MM"), "N/A")</f>
        <v>&lt;= $10MM</v>
      </c>
      <c r="EJ35" s="856" t="str">
        <f t="array" ref="EJ35">IF(D35="FILO",_xlfn.IFS(DI35&gt;AGENT!$B$29, "&gt; 1.25x",DI35&lt;AGENT!$C$27, "&lt; 0.75x",AND(DI35&lt;=AGENT!$C$28,DI35&gt;=AGENT!$B$28),"&lt;= 1.25x"), "N/A")</f>
        <v>N/A</v>
      </c>
      <c r="EK35" s="429">
        <f t="shared" si="28"/>
        <v>4666942.9311727853</v>
      </c>
      <c r="EL35" s="429">
        <f>'Concentration Limits'!$J$49</f>
        <v>49599340.729726665</v>
      </c>
      <c r="EM35" s="429" t="str">
        <f>IF(OR(D35="Second Lien",AND(D35="FILO",DI35&gt;AGENT!$C$57)), "Yes", "No")</f>
        <v>No</v>
      </c>
      <c r="EN35" s="429">
        <f t="shared" si="29"/>
        <v>0</v>
      </c>
      <c r="EO35" s="429">
        <f t="shared" si="30"/>
        <v>0</v>
      </c>
      <c r="EP35" s="429">
        <f t="shared" si="31"/>
        <v>4666942.9311727853</v>
      </c>
      <c r="EQ35" s="429">
        <f>'Concentration Limits'!$J$50</f>
        <v>24799670.364863332</v>
      </c>
      <c r="ER35" s="429">
        <f t="shared" si="32"/>
        <v>0</v>
      </c>
      <c r="ES35" s="429">
        <f t="shared" si="84"/>
        <v>0</v>
      </c>
      <c r="ET35" s="429">
        <f t="shared" si="33"/>
        <v>4666942.9311727853</v>
      </c>
      <c r="EU35" s="429">
        <f>'Concentration Limits'!$J$51</f>
        <v>74399011.094589993</v>
      </c>
      <c r="EV35" s="429" t="str">
        <f>IF(OR(D35="Second Lien", AND(D35="FILO",DI35&gt;AGENT!$C$59)), "Yes", "No")</f>
        <v>No</v>
      </c>
      <c r="EW35" s="429">
        <f t="shared" si="34"/>
        <v>0</v>
      </c>
      <c r="EX35" s="429">
        <f t="shared" si="35"/>
        <v>0</v>
      </c>
      <c r="EY35" s="429">
        <f t="shared" si="36"/>
        <v>4666942.9311727853</v>
      </c>
      <c r="EZ35" s="429">
        <f>'Concentration Limits'!$J$52</f>
        <v>37199505.547294997</v>
      </c>
      <c r="FA35" s="429" t="str">
        <f>IF(CY35&gt;'Concentration Limits'!$E$52, "No", "Yes")</f>
        <v>No</v>
      </c>
      <c r="FB35" s="429">
        <f t="shared" si="37"/>
        <v>0</v>
      </c>
      <c r="FC35" s="429">
        <f t="shared" si="38"/>
        <v>0</v>
      </c>
      <c r="FD35" s="429">
        <f t="shared" si="39"/>
        <v>4666942.9311727853</v>
      </c>
      <c r="FE35" s="430">
        <f>'Concentration Limits'!$J$54</f>
        <v>247996703.6486333</v>
      </c>
      <c r="FF35" s="430">
        <f>'Concentration Limits'!$J$55</f>
        <v>247996703.6486333</v>
      </c>
      <c r="FG35" s="430">
        <f>'Concentration Limits'!$J$56</f>
        <v>247996703.6486333</v>
      </c>
      <c r="FH35" s="431">
        <f>'Concentration Limits'!$J$57</f>
        <v>18599752.773647498</v>
      </c>
      <c r="FI35" s="431">
        <f t="shared" si="40"/>
        <v>4666942.9311727853</v>
      </c>
      <c r="FJ35" s="431">
        <f t="shared" si="41"/>
        <v>4666942.9311727853</v>
      </c>
      <c r="FK35" s="431">
        <f t="shared" si="42"/>
        <v>22</v>
      </c>
      <c r="FL35" s="431">
        <f>IF(FJ35&gt;0,RANK(FJ35,$FJ$9:$FJ$60)+COUNTIF($FJ$9:FJ35,FJ35)-1,0)</f>
        <v>22</v>
      </c>
      <c r="FM35" s="430">
        <f t="shared" si="43"/>
        <v>0</v>
      </c>
      <c r="FN35" s="430">
        <f t="shared" si="44"/>
        <v>0</v>
      </c>
      <c r="FO35" s="430">
        <f t="shared" si="45"/>
        <v>0</v>
      </c>
      <c r="FP35" s="431">
        <f t="shared" si="46"/>
        <v>0</v>
      </c>
      <c r="FQ35" s="431">
        <f t="shared" si="47"/>
        <v>4666942.9311727853</v>
      </c>
      <c r="FR35" s="431">
        <f>'Concentration Limits'!$J$58</f>
        <v>49599340.729726665</v>
      </c>
      <c r="FS35" s="431">
        <f t="shared" si="48"/>
        <v>22404509.370220263</v>
      </c>
      <c r="FT35" s="431">
        <f>VLOOKUP(BR35,'Concentration Limits'!$E$81:$H$153,4,FALSE)</f>
        <v>4</v>
      </c>
      <c r="FU35" s="431">
        <f t="shared" si="49"/>
        <v>0</v>
      </c>
      <c r="FV35" s="431">
        <f t="shared" si="50"/>
        <v>4666942.9311727853</v>
      </c>
      <c r="FW35" s="431">
        <f>'Concentration Limits'!$J$59</f>
        <v>37199505.547294997</v>
      </c>
      <c r="FX35" s="431">
        <f t="shared" si="51"/>
        <v>22404509.370220263</v>
      </c>
      <c r="FY35" s="431">
        <f>VLOOKUP(BR35,'Concentration Limits'!$E$81:$H$153,4,FALSE)</f>
        <v>4</v>
      </c>
      <c r="FZ35" s="431">
        <f t="shared" si="52"/>
        <v>0</v>
      </c>
      <c r="GA35" s="431">
        <f t="shared" si="53"/>
        <v>4666942.9311727853</v>
      </c>
      <c r="GB35" s="431">
        <f>'Concentration Limits'!$J$61</f>
        <v>24799670.364863332</v>
      </c>
      <c r="GC35" s="431">
        <f t="shared" si="54"/>
        <v>22404509.370220263</v>
      </c>
      <c r="GD35" s="429">
        <f>VLOOKUP(BR35,'Concentration Limits'!$E$81:$H$153,4,FALSE)</f>
        <v>4</v>
      </c>
      <c r="GE35" s="431">
        <f t="shared" si="55"/>
        <v>0</v>
      </c>
      <c r="GF35" s="431">
        <f t="shared" si="56"/>
        <v>4666942.9311727853</v>
      </c>
      <c r="GG35" s="431">
        <f>'Concentration Limits'!$J$64</f>
        <v>24799670.364863332</v>
      </c>
      <c r="GH35" s="431">
        <f t="shared" si="57"/>
        <v>0</v>
      </c>
      <c r="GI35" s="431">
        <f t="shared" si="58"/>
        <v>0</v>
      </c>
      <c r="GJ35" s="431">
        <f t="shared" si="59"/>
        <v>4666942.9311727853</v>
      </c>
      <c r="GK35" s="431">
        <f>'Concentration Limits'!$J$67</f>
        <v>24799670.364863332</v>
      </c>
      <c r="GL35" s="429" t="str">
        <f t="shared" si="60"/>
        <v>No</v>
      </c>
      <c r="GM35" s="431">
        <f t="shared" si="61"/>
        <v>0</v>
      </c>
      <c r="GN35" s="431">
        <f t="shared" si="62"/>
        <v>0</v>
      </c>
      <c r="GO35" s="431">
        <f t="shared" si="63"/>
        <v>4666942.9311727853</v>
      </c>
      <c r="GP35" s="431">
        <f>'Concentration Limits'!$J$68</f>
        <v>37199505.547294997</v>
      </c>
      <c r="GQ35" s="429" t="str">
        <f t="shared" si="64"/>
        <v>No</v>
      </c>
      <c r="GR35" s="431">
        <f t="shared" si="65"/>
        <v>0</v>
      </c>
      <c r="GS35" s="431">
        <f t="shared" si="66"/>
        <v>0</v>
      </c>
      <c r="GT35" s="431">
        <f t="shared" si="67"/>
        <v>4666942.9311727853</v>
      </c>
      <c r="GU35" s="429">
        <f>'Concentration Limits'!$J$69</f>
        <v>37199505.547294997</v>
      </c>
      <c r="GV35" s="429" t="str">
        <f t="shared" si="68"/>
        <v>No</v>
      </c>
      <c r="GW35" s="429">
        <f t="shared" si="69"/>
        <v>0</v>
      </c>
      <c r="GX35" s="429">
        <f t="shared" si="70"/>
        <v>0</v>
      </c>
      <c r="GY35" s="429">
        <f t="shared" si="71"/>
        <v>4666942.9311727853</v>
      </c>
      <c r="GZ35" s="429">
        <f>'Concentration Limits'!$J$70</f>
        <v>24799670.364863332</v>
      </c>
      <c r="HA35" s="429" t="str">
        <f t="shared" si="72"/>
        <v>No</v>
      </c>
      <c r="HB35" s="429">
        <f t="shared" si="73"/>
        <v>0</v>
      </c>
      <c r="HC35" s="429">
        <f t="shared" si="74"/>
        <v>0</v>
      </c>
      <c r="HD35" s="429">
        <f t="shared" si="75"/>
        <v>4666942.9311727853</v>
      </c>
      <c r="HE35" s="431">
        <f t="shared" si="76"/>
        <v>4666942.9311727853</v>
      </c>
      <c r="HF35" s="431">
        <f t="shared" si="77"/>
        <v>0</v>
      </c>
      <c r="HG35" s="431">
        <f t="shared" si="78"/>
        <v>0</v>
      </c>
      <c r="HH35" s="431">
        <f t="shared" si="79"/>
        <v>0</v>
      </c>
      <c r="HI35" s="431">
        <f>IF(BE35=0,0,#REF!*BE35/(BE35+BG35))</f>
        <v>0</v>
      </c>
      <c r="HJ35" s="431">
        <f>IF(BG35=0,0,#REF!*BG35/(BG35+BE35))</f>
        <v>0</v>
      </c>
      <c r="HK35" s="857">
        <f>IF(BF35=0,0,#REF!*BF35/(BF35+BH35))</f>
        <v>0</v>
      </c>
      <c r="HL35" s="431">
        <f>IF(BH35=0,0,#REF!*BH35/(BH35+BF35))</f>
        <v>0</v>
      </c>
      <c r="HM35" s="431">
        <f t="shared" si="80"/>
        <v>0</v>
      </c>
      <c r="HN35" s="431" t="b">
        <f t="shared" si="81"/>
        <v>1</v>
      </c>
    </row>
    <row r="36" spans="1:222" s="432" customFormat="1" ht="12.75" customHeight="1" x14ac:dyDescent="0.35">
      <c r="A36" s="49">
        <f t="shared" si="82"/>
        <v>28</v>
      </c>
      <c r="B36" s="404" t="str">
        <f>INDEX('Loan Tape - Settled'!$B$4:$AP$55,MATCH($A36,'Loan Tape - Settled'!$E$4:$E$55,0),MATCH("Obligor Name",'Loan Tape - Settled'!$B$4:$AM$4,0))</f>
        <v>USBid Inc.</v>
      </c>
      <c r="C36" s="404" t="str">
        <f>INDEX('Loan Tape - Settled'!$B$4:$AP$55,MATCH($A36,'Loan Tape - Settled'!$E$4:$E$55,0),MATCH("Security",'Loan Tape - Settled'!$B$4:$AM$4,0))</f>
        <v>FILO</v>
      </c>
      <c r="D36" s="405" t="str">
        <f>INDEX('Loan Tape - Settled'!$B$4:$AP$55,MATCH($A36,'Loan Tape - Settled'!$E$4:$E$55,0),MATCH("Loan Type",'Loan Tape - Settled'!$B$4:$AM$4,0))</f>
        <v>FILO</v>
      </c>
      <c r="E36" s="406" t="b">
        <f>IF(ISERROR(MATCH(D36,AGENT!$A$4:$A$10,0))=FALSE, TRUE)</f>
        <v>1</v>
      </c>
      <c r="F36" s="406" t="b">
        <f t="shared" si="0"/>
        <v>1</v>
      </c>
      <c r="G36" s="406" t="b">
        <f>IF(D36&lt;&gt;"Second Lien",TRUE, IF(CY36&gt;=AGENT!$B$4,TRUE))</f>
        <v>1</v>
      </c>
      <c r="H36" s="406" t="b">
        <f>IF(DE36&lt;=AGENT!$D$4,TRUE)</f>
        <v>1</v>
      </c>
      <c r="I36" s="406" t="b">
        <f>IF(VLOOKUP(CONCATENATE($A$5,A36),'Loan Tape - Settled'!$A$5:$Q$55,17,FALSE)&gt;=AGENT!$E$4,TRUE)</f>
        <v>1</v>
      </c>
      <c r="J36" s="406" t="b">
        <f>IF(INDEX('Loan Tape - Settled'!$B$4:$AP$55,MATCH($A36,'Loan Tape - Settled'!$E$4:$E$55,0),MATCH("Loan Denomination",'Loan Tape - Settled'!$B$4:$AP$4,0))="USD", TRUE)</f>
        <v>1</v>
      </c>
      <c r="K36" s="406" t="b">
        <f>IF(INDEX('Loan Tape - Settled'!$B$4:$AP$55,MATCH($A36,'Loan Tape - Settled'!$E$4:$E$55,0),MATCH("Exposure Country",'Loan Tape - Settled'!$B$4:$AP$4,0))="United States", TRUE)</f>
        <v>1</v>
      </c>
      <c r="L36" s="406" t="b">
        <f t="shared" si="1"/>
        <v>1</v>
      </c>
      <c r="M36" s="406" t="b">
        <f>IF(((BM36-BL36)/365)&lt;=AGENT!$F$4,TRUE)</f>
        <v>1</v>
      </c>
      <c r="N36" s="406" t="b">
        <f t="shared" si="2"/>
        <v>1</v>
      </c>
      <c r="O36" s="453"/>
      <c r="P36" s="680" t="str">
        <f t="shared" si="3"/>
        <v>Yes</v>
      </c>
      <c r="Q36" s="680" t="s">
        <v>243</v>
      </c>
      <c r="R36" s="407" t="str">
        <f t="shared" si="4"/>
        <v>USBid Inc.</v>
      </c>
      <c r="S36" s="407"/>
      <c r="T36" s="408" t="str">
        <f t="array" ref="T36">_xlfn.IFS(D36="Second Lien",D36,D36="First Lien",CONCATENATE(D36," ",EI36),D36="FILO",CONCATENATE(D36," ",EJ36))</f>
        <v>FILO &lt; 0.75x</v>
      </c>
      <c r="U36" s="409">
        <f>VLOOKUP(T36,'Concentration Limits'!D:G,4,FALSE)</f>
        <v>0.625</v>
      </c>
      <c r="V36" s="410">
        <f t="shared" si="5"/>
        <v>0</v>
      </c>
      <c r="W36" s="448">
        <f>(SUMIFS('Loan Tape - Settled'!$AR$4:$AR$55,'Loan Tape - Settled'!$E$4:$E$55,$A36,'Loan Tape - Settled'!$C$4:$C$55,$A$5))</f>
        <v>2349609.3773598201</v>
      </c>
      <c r="X36" s="449">
        <v>1</v>
      </c>
      <c r="Y36" s="411">
        <f t="shared" si="6"/>
        <v>2349609.3773598201</v>
      </c>
      <c r="Z36" s="449">
        <f>(SUMIFS('Loan Tape - Settled'!$AQ$4:$AQ$55,'Loan Tape - Settled'!$E$4:$E$55,$A36,'Loan Tape - Settled'!$C$4:$C$55,$A$5))</f>
        <v>2349609.3773598201</v>
      </c>
      <c r="AA36" s="411">
        <f t="shared" si="7"/>
        <v>2349609.3773598201</v>
      </c>
      <c r="AB36" s="411">
        <f t="shared" si="8"/>
        <v>0</v>
      </c>
      <c r="AC36" s="450">
        <f>VLOOKUP(CONCATENATE($A$5,A36),'Loan Tape - Settled'!$A$5:$Q$55,17,FALSE)</f>
        <v>1</v>
      </c>
      <c r="AD36" s="412"/>
      <c r="AE36" s="413">
        <f>INDEX('Loan Tape - Settled'!$B$4:$AP$55,MATCH($A36,'Loan Tape - Settled'!$E$4:$E$55,0),MATCH("FMV",'Loan Tape - Settled'!$B$4:$AM$4,0))</f>
        <v>1.00465</v>
      </c>
      <c r="AF36" s="413">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0.77558856706892021</v>
      </c>
      <c r="AG36" s="414" t="str">
        <f>IF(COUNTIFS(VAE!$C$5:$C$96,B36,VAE!$G$5:$G$96,"&lt;="&amp;Availability!$F$8)&gt;=1,"Yes","-")</f>
        <v>Yes</v>
      </c>
      <c r="AH36" s="414" t="str">
        <f t="array" ref="AH36">IFERROR(IF(AG36="Yes",INDEX(VAE!$D$5:$D$96,MATCH(B36&amp;AJ36,VAE!$C$5:$C$96&amp;VAE!$G$5:$G$96,0)),"-"),0)</f>
        <v>Increase in Lev</v>
      </c>
      <c r="AI36" s="414" t="str">
        <f t="array" ref="AI36">IFERROR(IF(AG36="Yes",INDEX(VAE!$F$5:$F$96,MATCH(B36&amp;AJ36,VAE!$C$5:$C$96&amp;VAE!$G$5:$G$96,0)),"-"),0)</f>
        <v>n/a</v>
      </c>
      <c r="AJ36" s="415">
        <f>IF(AG36="-","-",_xlfn.MAXIFS(VAE!$G$5:$G$96,VAE!$C$5:$C$96,$B36))</f>
        <v>45199</v>
      </c>
      <c r="AK36" s="416">
        <f t="array" ref="AK36">IFERROR(IF(AG36="Yes",INDEX(VAE!$P$5:$P$96,MATCH(B36&amp;AJ36,VAE!$C$5:$C$96&amp;VAE!$G$5:$G$96,0)),"-"),0)</f>
        <v>0</v>
      </c>
      <c r="AL36" s="413">
        <f t="shared" si="9"/>
        <v>0</v>
      </c>
      <c r="AM36" s="410"/>
      <c r="AN36" s="410"/>
      <c r="AO36" s="410">
        <f t="shared" si="10"/>
        <v>0</v>
      </c>
      <c r="AP36" s="410">
        <f t="shared" si="11"/>
        <v>0</v>
      </c>
      <c r="AQ36" s="410">
        <f t="shared" si="83"/>
        <v>0</v>
      </c>
      <c r="AR36" s="410"/>
      <c r="AS36" s="410"/>
      <c r="AT36" s="410"/>
      <c r="AU36" s="410">
        <f t="shared" si="12"/>
        <v>2349609.3773598201</v>
      </c>
      <c r="AV36" s="410">
        <f t="shared" si="13"/>
        <v>0</v>
      </c>
      <c r="AW36" s="410">
        <f t="shared" si="14"/>
        <v>0</v>
      </c>
      <c r="AX36" s="410"/>
      <c r="AY36" s="410"/>
      <c r="AZ36" s="410"/>
      <c r="BA36" s="410">
        <f t="shared" si="15"/>
        <v>0</v>
      </c>
      <c r="BB36" s="410"/>
      <c r="BC36" s="410"/>
      <c r="BD36" s="410">
        <f t="shared" si="16"/>
        <v>0</v>
      </c>
      <c r="BE36" s="410"/>
      <c r="BF36" s="410"/>
      <c r="BG36" s="410"/>
      <c r="BH36" s="410"/>
      <c r="BI36" s="410">
        <f t="shared" si="17"/>
        <v>0</v>
      </c>
      <c r="BJ36" s="410" t="b">
        <f t="shared" si="18"/>
        <v>1</v>
      </c>
      <c r="BK36" s="509">
        <f>INDEX('Loan Tape - Settled'!$B$4:$AP$55,MATCH($A36,'Loan Tape - Settled'!$E$4:$E$55,0),MATCH("Inception Date",'Loan Tape - Settled'!$B$4:$AP$4,0))</f>
        <v>44868</v>
      </c>
      <c r="BL36" s="509">
        <f>INDEX('Loan Tape - Settled'!$B$4:$AP$55,MATCH($A36,'Loan Tape - Settled'!$E$4:$E$55,0),MATCH("Inclusion Date",'Loan Tape - Settled'!$B$4:$AP$4,0))</f>
        <v>44868</v>
      </c>
      <c r="BM36" s="509">
        <f>INDEX('Loan Tape - Settled'!$B$4:$AP$55,MATCH($A36,'Loan Tape - Settled'!$E$4:$E$55,0),MATCH("Maturity Date",'Loan Tape - Settled'!$B$4:$AP$4,0))</f>
        <v>46694</v>
      </c>
      <c r="BN36" s="510"/>
      <c r="BO36" s="510"/>
      <c r="BP36" s="511"/>
      <c r="BQ36" s="510"/>
      <c r="BR36" s="512" t="str">
        <f>INDEX('Loan Tape - Settled'!$B$4:$AP$55,MATCH($A36,'Loan Tape - Settled'!$E$4:$E$55,0),MATCH("Industry Classification",'Loan Tape - Settled'!$B$4:$AP$4,0))</f>
        <v>Trading Companies &amp; Distributors</v>
      </c>
      <c r="BS36" s="510" t="str">
        <f>IF(INDEX('Loan Tape - Settled'!$B$4:$AP$55,MATCH($A36,'Loan Tape - Settled'!$E$4:$E$55,0),MATCH("Covenant Lite",'Loan Tape - Settled'!$B$4:$AP$4,0))=-1, "Yes", "No")</f>
        <v>No</v>
      </c>
      <c r="BT36" s="513">
        <f>INDEX('Loan Tape - Settled'!$B$4:$AP$55,MATCH($A36,'Loan Tape - Settled'!$E$4:$E$55,0),MATCH("Spread / Coupon (%)",'Loan Tape - Settled'!$B$4:$AP$4,0))</f>
        <v>8.4139015568999997E-2</v>
      </c>
      <c r="BU36" s="510" t="str">
        <f>IF(INDEX('Loan Tape - Settled'!$B$4:$AP$55,MATCH($A36,'Loan Tape - Settled'!$E$4:$E$55,0),MATCH("Security Type",'Loan Tape - Settled'!$B$4:$AP$4,0))="Delayed Draw Term Loan", "Yes", "No")</f>
        <v>No</v>
      </c>
      <c r="BV36" s="514" t="s">
        <v>244</v>
      </c>
      <c r="BW36" s="514" t="s">
        <v>243</v>
      </c>
      <c r="BX36" s="506" t="s">
        <v>244</v>
      </c>
      <c r="BY36" s="510" t="str">
        <f>IF(INDEX('Loan Tape - Settled'!$B$4:$AP$55,MATCH($A36,'Loan Tape - Settled'!$E$4:$E$55,0),MATCH("Fixed/Floating",'Loan Tape - Settled'!$B$4:$AP$4,0))="Fixed", "Yes", "No")</f>
        <v>No</v>
      </c>
      <c r="BZ36" s="514" t="s">
        <v>244</v>
      </c>
      <c r="CA36" s="514" t="s">
        <v>244</v>
      </c>
      <c r="CB36" s="510" t="str">
        <f>IF(INDEX('Loan Tape - Settled'!$B$4:$AP$55,MATCH($A36,'Loan Tape - Settled'!$E$4:$E$55,0),MATCH("Loan Denomination",'Loan Tape - Settled'!$B$4:$AP$4,0))="CAD", "Yes", "No")</f>
        <v>No</v>
      </c>
      <c r="CC36" s="510" t="str">
        <f>INDEX('Loan Tape - Settled'!$B$4:$AP$55,MATCH($A36,'Loan Tape - Settled'!$E$4:$E$55,0),MATCH("Payment Frequency",'Loan Tape - Settled'!$B$4:$AP$4,0))</f>
        <v>M</v>
      </c>
      <c r="CD36" s="514" t="s">
        <v>244</v>
      </c>
      <c r="CE36" s="510">
        <f>INDEX('Loan Tape - Settled'!$B$4:$AP$55,MATCH($A36,'Loan Tape - Settled'!$E$4:$E$55,0),MATCH("S&amp;P Loan Rating (if applicable)",'Loan Tape - Settled'!$B$4:$AP$4,0))</f>
        <v>0</v>
      </c>
      <c r="CF36" s="510">
        <f>INDEX('Loan Tape - Settled'!$B$4:$AP$55,MATCH($A36,'Loan Tape - Settled'!$E$4:$E$55,0),MATCH("Moody's Loan Rating (if applicable)",'Loan Tape - Settled'!$B$4:$AP$4,0))</f>
        <v>0</v>
      </c>
      <c r="CG36" s="510"/>
      <c r="CH36" s="510"/>
      <c r="CI36" s="515"/>
      <c r="CJ36" s="508" t="str">
        <f>INDEX('Loan Tape - Settled'!$B$4:$BF$55,MATCH($A36,'Loan Tape - Settled'!$E$4:$E$55,0),MATCH("Last Financial Received",'Loan Tape - Settled'!$B$4:$BF$4,0))</f>
        <v>9/30/2025 or Latest Financing</v>
      </c>
      <c r="CK36" s="516">
        <f>INDEX('Loan Tape - Settled'!$B$4:$BJ$55,MATCH($A36,'Loan Tape - Settled'!$E$4:$E$55,0),MATCH("Initial Adjusted TTM EBITDA",'Loan Tape - Settled'!$B$4:$BJ$4,0))</f>
        <v>13.032999999999999</v>
      </c>
      <c r="CL36" s="516">
        <f>INDEX('Loan Tape - Settled'!$B$4:$BJ$55,MATCH($A36,'Loan Tape - Settled'!$E$4:$E$55,0),MATCH("Initial TTM Non-adjusted EBITDA",'Loan Tape - Settled'!$B$4:$BJ$4,0))</f>
        <v>13.032999999999999</v>
      </c>
      <c r="CM36" s="417"/>
      <c r="CN36" s="418"/>
      <c r="CO36" s="418"/>
      <c r="CP36" s="419"/>
      <c r="CQ36" s="420" t="s">
        <v>245</v>
      </c>
      <c r="CR36" s="419"/>
      <c r="CS36" s="421">
        <f t="shared" si="19"/>
        <v>13.032999999999999</v>
      </c>
      <c r="CT36" s="422">
        <f t="shared" si="20"/>
        <v>0</v>
      </c>
      <c r="CU36" s="516">
        <f>INDEX('Loan Tape - Settled'!$B$4:$BJ$55,MATCH($A36,'Loan Tape - Settled'!$E$4:$E$55,0),MATCH("Current TTM Non-adjusted EBITDA",'Loan Tape - Settled'!$B$4:$BJ$4,0))</f>
        <v>2.0028983100000008</v>
      </c>
      <c r="CV36" s="423">
        <f t="shared" si="21"/>
        <v>0</v>
      </c>
      <c r="CW36" s="652" t="s">
        <v>245</v>
      </c>
      <c r="CX36" s="517"/>
      <c r="CY36" s="658">
        <f t="shared" si="22"/>
        <v>2.0028983100000008</v>
      </c>
      <c r="CZ36" s="656"/>
      <c r="DA36" s="518"/>
      <c r="DB36" s="519"/>
      <c r="DC36" s="853"/>
      <c r="DD36" s="853">
        <f>INDEX('Loan Tape - Settled'!$B$4:$BJ$55,MATCH($A36,'Loan Tape - Settled'!$E$4:$E$55,0),MATCH("Initial Senior Net Leverage Senior",'Loan Tape - Settled'!$B$4:$BJ$4,0))</f>
        <v>3.0691322028696391</v>
      </c>
      <c r="DE36" s="659">
        <f>INDEX('Loan Tape - Settled'!$B$4:$BJ$55,MATCH($A36,'Loan Tape - Settled'!$E$4:$E$55,0),MATCH("Initial Total Net Leverage",'Loan Tape - Settled'!$B$4:$BJ$4,0))</f>
        <v>3.0691322028696391</v>
      </c>
      <c r="DF36" s="656"/>
      <c r="DG36" s="518"/>
      <c r="DH36" s="519"/>
      <c r="DI36" s="424">
        <f>INDEX('Loan Tape - Settled'!$B$4:$BJ$55,MATCH($A36,'Loan Tape - Settled'!$E$4:$E$55,0),MATCH("Net Attachment",'Loan Tape - Settled'!$B$4:$BJ$4,0))</f>
        <v>0.61072633787383812</v>
      </c>
      <c r="DJ36" s="522">
        <f t="array" ref="DJ36">IF(AG36="Yes",INDEX(VAE!$M$5:$M$53,MATCH($B36&amp;$AJ36,VAE!$C$5:$C$53&amp;VAE!$G$5:$G$53,0)),DD36)</f>
        <v>4.6440116980511066</v>
      </c>
      <c r="DK36" s="649">
        <f t="array" ref="DK36">IF(AG36="Yes",INDEX(VAE!$N$5:$N$53,MATCH($B36&amp;$AJ36,VAE!$C$5:$C$53&amp;VAE!$G$5:$G$53,0)),DE36)</f>
        <v>4.6440116980511066</v>
      </c>
      <c r="DL36" s="651">
        <f>INDEX('Loan Tape - Settled'!$B$4:$BJ$55,MATCH($A36,'Loan Tape - Settled'!$E$4:$E$55,0),MATCH("Current Senior Net Leverage Senior",'Loan Tape - Settled'!$B$4:$BJ$4,0))</f>
        <v>6.2533154895887213</v>
      </c>
      <c r="DM36" s="433">
        <f>INDEX('Loan Tape - Settled'!$B$4:$BJ$55,MATCH($A36,'Loan Tape - Settled'!$E$4:$E$55,0),MATCH("Current Total Net Leverage",'Loan Tape - Settled'!$B$4:$BJ$4,0))</f>
        <v>6.2533154895887213</v>
      </c>
      <c r="DN36" s="425"/>
      <c r="DO36" s="426">
        <f>INDEX('Loan Tape - Settled'!$B$4:$BJ$55,MATCH($A36,'Loan Tape - Settled'!$E$4:$E$55,0),MATCH("Initial Interest Coverage",'Loan Tape - Settled'!$B$4:$BJ$4,0))</f>
        <v>2.8</v>
      </c>
      <c r="DP36" s="854">
        <f t="array" ref="DP36">IF(AG36="Yes",INDEX(VAE!$O$5:$O$53,MATCH($B36&amp;$AJ36,VAE!$C$5:$C$53&amp;VAE!$G$5:$G$53,0)),DO36)</f>
        <v>1.71</v>
      </c>
      <c r="DQ36" s="427">
        <f>INDEX('Loan Tape - Settled'!$B$4:$BJ$55,MATCH($A36,'Loan Tape - Settled'!$E$4:$E$55,0),MATCH("Current Interest Coverage",'Loan Tape - Settled'!$B$4:$BJ$4,0))</f>
        <v>4.34</v>
      </c>
      <c r="DR36" s="855" t="str">
        <f t="shared" si="23"/>
        <v>Yes</v>
      </c>
      <c r="DS36" s="428">
        <f>IF(AG36="Yes",DATEDIF(AJ36,Availability!$F$8,"m"),"")</f>
        <v>27</v>
      </c>
      <c r="DT36" s="428" t="str">
        <f t="shared" si="24"/>
        <v>Yes</v>
      </c>
      <c r="DU36" s="647" t="str">
        <f t="shared" si="25"/>
        <v>No</v>
      </c>
      <c r="DV36" s="648" t="str">
        <f t="shared" si="26"/>
        <v>Yes</v>
      </c>
      <c r="DW36" s="648" t="str">
        <f t="array" ref="DW36">_xlfn.IFS(D36&lt;&gt;"Second Lien","No",D36="Second Lien",IF(AND((DM36-DK36)&gt;0.5,DM36&gt;4.5),"Yes","No"))</f>
        <v>No</v>
      </c>
      <c r="DX36" s="685" t="s">
        <v>244</v>
      </c>
      <c r="DY36" s="685" t="s">
        <v>244</v>
      </c>
      <c r="DZ36" s="686" t="s">
        <v>244</v>
      </c>
      <c r="EA36" s="686" t="s">
        <v>244</v>
      </c>
      <c r="EB36" s="686" t="s">
        <v>244</v>
      </c>
      <c r="EC36" s="686" t="s">
        <v>244</v>
      </c>
      <c r="ED36" s="686" t="s">
        <v>244</v>
      </c>
      <c r="EE36" s="686" t="s">
        <v>244</v>
      </c>
      <c r="EF36" s="409" t="str">
        <f t="shared" si="27"/>
        <v>No</v>
      </c>
      <c r="EG36" s="686" t="s">
        <v>244</v>
      </c>
      <c r="EH36" s="691" t="s">
        <v>244</v>
      </c>
      <c r="EI36" s="856" t="str">
        <f t="array" ref="EI36">IF(D36="First Lien",_xlfn.IFS(CY36&gt;AGENT!$B$23, "&gt; $20MM",CY36&lt;=AGENT!$C$25, "&lt;= $10MM",AND(CY36&lt;=AGENT!$C$24,CY36&gt;AGENT!$B$24),"&lt;= $20MM"), "N/A")</f>
        <v>N/A</v>
      </c>
      <c r="EJ36" s="856" t="str">
        <f t="array" ref="EJ36">IF(D36="FILO",_xlfn.IFS(DI36&gt;AGENT!$B$29, "&gt; 1.25x",DI36&lt;AGENT!$C$27, "&lt; 0.75x",AND(DI36&lt;=AGENT!$C$28,DI36&gt;=AGENT!$B$28),"&lt;= 1.25x"), "N/A")</f>
        <v>&lt; 0.75x</v>
      </c>
      <c r="EK36" s="429">
        <f t="shared" si="28"/>
        <v>0</v>
      </c>
      <c r="EL36" s="429">
        <f>'Concentration Limits'!$J$49</f>
        <v>49599340.729726665</v>
      </c>
      <c r="EM36" s="429" t="str">
        <f>IF(OR(D36="Second Lien",AND(D36="FILO",DI36&gt;AGENT!$C$57)), "Yes", "No")</f>
        <v>No</v>
      </c>
      <c r="EN36" s="429">
        <f t="shared" si="29"/>
        <v>0</v>
      </c>
      <c r="EO36" s="429">
        <f t="shared" si="30"/>
        <v>0</v>
      </c>
      <c r="EP36" s="429">
        <f t="shared" si="31"/>
        <v>0</v>
      </c>
      <c r="EQ36" s="429">
        <f>'Concentration Limits'!$J$50</f>
        <v>24799670.364863332</v>
      </c>
      <c r="ER36" s="429">
        <f t="shared" si="32"/>
        <v>0</v>
      </c>
      <c r="ES36" s="429">
        <f t="shared" si="84"/>
        <v>0</v>
      </c>
      <c r="ET36" s="429">
        <f t="shared" si="33"/>
        <v>0</v>
      </c>
      <c r="EU36" s="429">
        <f>'Concentration Limits'!$J$51</f>
        <v>74399011.094589993</v>
      </c>
      <c r="EV36" s="429" t="str">
        <f>IF(OR(D36="Second Lien", AND(D36="FILO",DI36&gt;AGENT!$C$59)), "Yes", "No")</f>
        <v>No</v>
      </c>
      <c r="EW36" s="429">
        <f t="shared" si="34"/>
        <v>0</v>
      </c>
      <c r="EX36" s="429">
        <f t="shared" si="35"/>
        <v>0</v>
      </c>
      <c r="EY36" s="429">
        <f t="shared" si="36"/>
        <v>0</v>
      </c>
      <c r="EZ36" s="429">
        <f>'Concentration Limits'!$J$52</f>
        <v>37199505.547294997</v>
      </c>
      <c r="FA36" s="429" t="str">
        <f>IF(CY36&gt;'Concentration Limits'!$E$52, "No", "Yes")</f>
        <v>Yes</v>
      </c>
      <c r="FB36" s="429">
        <f t="shared" si="37"/>
        <v>0</v>
      </c>
      <c r="FC36" s="429">
        <f t="shared" si="38"/>
        <v>0</v>
      </c>
      <c r="FD36" s="429">
        <f t="shared" si="39"/>
        <v>0</v>
      </c>
      <c r="FE36" s="430">
        <f>'Concentration Limits'!$J$54</f>
        <v>247996703.6486333</v>
      </c>
      <c r="FF36" s="430">
        <f>'Concentration Limits'!$J$55</f>
        <v>247996703.6486333</v>
      </c>
      <c r="FG36" s="430">
        <f>'Concentration Limits'!$J$56</f>
        <v>247996703.6486333</v>
      </c>
      <c r="FH36" s="431">
        <f>'Concentration Limits'!$J$57</f>
        <v>18599752.773647498</v>
      </c>
      <c r="FI36" s="431">
        <f t="shared" si="40"/>
        <v>0</v>
      </c>
      <c r="FJ36" s="431">
        <f t="shared" si="41"/>
        <v>0</v>
      </c>
      <c r="FK36" s="431">
        <f t="shared" si="42"/>
        <v>0</v>
      </c>
      <c r="FL36" s="431">
        <f>IF(FJ36&gt;0,RANK(FJ36,$FJ$9:$FJ$60)+COUNTIF($FJ$9:FJ36,FJ36)-1,0)</f>
        <v>0</v>
      </c>
      <c r="FM36" s="430">
        <f t="shared" si="43"/>
        <v>0</v>
      </c>
      <c r="FN36" s="430">
        <f t="shared" si="44"/>
        <v>0</v>
      </c>
      <c r="FO36" s="430">
        <f t="shared" si="45"/>
        <v>0</v>
      </c>
      <c r="FP36" s="431">
        <f t="shared" si="46"/>
        <v>0</v>
      </c>
      <c r="FQ36" s="431">
        <f t="shared" si="47"/>
        <v>0</v>
      </c>
      <c r="FR36" s="431">
        <f>'Concentration Limits'!$J$58</f>
        <v>49599340.729726665</v>
      </c>
      <c r="FS36" s="431">
        <f t="shared" si="48"/>
        <v>10331560.995420478</v>
      </c>
      <c r="FT36" s="431">
        <f>VLOOKUP(BR36,'Concentration Limits'!$E$81:$H$153,4,FALSE)</f>
        <v>12</v>
      </c>
      <c r="FU36" s="431">
        <f t="shared" si="49"/>
        <v>0</v>
      </c>
      <c r="FV36" s="431">
        <f t="shared" si="50"/>
        <v>0</v>
      </c>
      <c r="FW36" s="431">
        <f>'Concentration Limits'!$J$59</f>
        <v>37199505.547294997</v>
      </c>
      <c r="FX36" s="431">
        <f t="shared" si="51"/>
        <v>10331560.995420478</v>
      </c>
      <c r="FY36" s="431">
        <f>VLOOKUP(BR36,'Concentration Limits'!$E$81:$H$153,4,FALSE)</f>
        <v>12</v>
      </c>
      <c r="FZ36" s="431">
        <f t="shared" si="52"/>
        <v>0</v>
      </c>
      <c r="GA36" s="431">
        <f t="shared" si="53"/>
        <v>0</v>
      </c>
      <c r="GB36" s="431">
        <f>'Concentration Limits'!$J$61</f>
        <v>24799670.364863332</v>
      </c>
      <c r="GC36" s="431">
        <f t="shared" si="54"/>
        <v>10331560.995420478</v>
      </c>
      <c r="GD36" s="429">
        <f>VLOOKUP(BR36,'Concentration Limits'!$E$81:$H$153,4,FALSE)</f>
        <v>12</v>
      </c>
      <c r="GE36" s="431">
        <f t="shared" si="55"/>
        <v>0</v>
      </c>
      <c r="GF36" s="431">
        <f t="shared" si="56"/>
        <v>0</v>
      </c>
      <c r="GG36" s="431">
        <f>'Concentration Limits'!$J$64</f>
        <v>24799670.364863332</v>
      </c>
      <c r="GH36" s="431">
        <f t="shared" si="57"/>
        <v>0</v>
      </c>
      <c r="GI36" s="431">
        <f t="shared" si="58"/>
        <v>0</v>
      </c>
      <c r="GJ36" s="431">
        <f t="shared" si="59"/>
        <v>0</v>
      </c>
      <c r="GK36" s="431">
        <f>'Concentration Limits'!$J$67</f>
        <v>24799670.364863332</v>
      </c>
      <c r="GL36" s="429" t="str">
        <f t="shared" si="60"/>
        <v>No</v>
      </c>
      <c r="GM36" s="431">
        <f t="shared" si="61"/>
        <v>0</v>
      </c>
      <c r="GN36" s="431">
        <f t="shared" si="62"/>
        <v>0</v>
      </c>
      <c r="GO36" s="431">
        <f t="shared" si="63"/>
        <v>0</v>
      </c>
      <c r="GP36" s="431">
        <f>'Concentration Limits'!$J$68</f>
        <v>37199505.547294997</v>
      </c>
      <c r="GQ36" s="429" t="str">
        <f t="shared" si="64"/>
        <v>No</v>
      </c>
      <c r="GR36" s="431">
        <f t="shared" si="65"/>
        <v>0</v>
      </c>
      <c r="GS36" s="431">
        <f t="shared" si="66"/>
        <v>0</v>
      </c>
      <c r="GT36" s="431">
        <f t="shared" si="67"/>
        <v>0</v>
      </c>
      <c r="GU36" s="429">
        <f>'Concentration Limits'!$J$69</f>
        <v>37199505.547294997</v>
      </c>
      <c r="GV36" s="429" t="str">
        <f t="shared" si="68"/>
        <v>Yes</v>
      </c>
      <c r="GW36" s="429">
        <f t="shared" si="69"/>
        <v>12656117.589817706</v>
      </c>
      <c r="GX36" s="429">
        <f t="shared" si="70"/>
        <v>0</v>
      </c>
      <c r="GY36" s="429">
        <f t="shared" si="71"/>
        <v>0</v>
      </c>
      <c r="GZ36" s="429">
        <f>'Concentration Limits'!$J$70</f>
        <v>24799670.364863332</v>
      </c>
      <c r="HA36" s="429" t="str">
        <f t="shared" si="72"/>
        <v>No</v>
      </c>
      <c r="HB36" s="429">
        <f t="shared" si="73"/>
        <v>0</v>
      </c>
      <c r="HC36" s="429">
        <f t="shared" si="74"/>
        <v>0</v>
      </c>
      <c r="HD36" s="429">
        <f t="shared" si="75"/>
        <v>0</v>
      </c>
      <c r="HE36" s="431">
        <f t="shared" si="76"/>
        <v>0</v>
      </c>
      <c r="HF36" s="431">
        <f t="shared" si="77"/>
        <v>0</v>
      </c>
      <c r="HG36" s="431">
        <f t="shared" si="78"/>
        <v>0</v>
      </c>
      <c r="HH36" s="431">
        <f t="shared" si="79"/>
        <v>0</v>
      </c>
      <c r="HI36" s="431">
        <f>IF(BE36=0,0,#REF!*BE36/(BE36+BG36))</f>
        <v>0</v>
      </c>
      <c r="HJ36" s="431">
        <f>IF(BG36=0,0,#REF!*BG36/(BG36+BE36))</f>
        <v>0</v>
      </c>
      <c r="HK36" s="857">
        <f>IF(BF36=0,0,#REF!*BF36/(BF36+BH36))</f>
        <v>0</v>
      </c>
      <c r="HL36" s="431">
        <f>IF(BH36=0,0,#REF!*BH36/(BH36+BF36))</f>
        <v>0</v>
      </c>
      <c r="HM36" s="431">
        <f t="shared" si="80"/>
        <v>0</v>
      </c>
      <c r="HN36" s="431" t="b">
        <f t="shared" si="81"/>
        <v>1</v>
      </c>
    </row>
    <row r="37" spans="1:222" s="432" customFormat="1" ht="12.75" customHeight="1" x14ac:dyDescent="0.35">
      <c r="A37" s="49">
        <f t="shared" si="82"/>
        <v>29</v>
      </c>
      <c r="B37" s="404" t="str">
        <f>INDEX('Loan Tape - Settled'!$B$4:$AP$55,MATCH($A37,'Loan Tape - Settled'!$E$4:$E$55,0),MATCH("Obligor Name",'Loan Tape - Settled'!$B$4:$AM$4,0))</f>
        <v>Masterwork Electronics</v>
      </c>
      <c r="C37" s="404" t="str">
        <f>INDEX('Loan Tape - Settled'!$B$4:$AP$55,MATCH($A37,'Loan Tape - Settled'!$E$4:$E$55,0),MATCH("Security",'Loan Tape - Settled'!$B$4:$AM$4,0))</f>
        <v>1st Lien</v>
      </c>
      <c r="D37" s="405" t="str">
        <f>INDEX('Loan Tape - Settled'!$B$4:$AP$55,MATCH($A37,'Loan Tape - Settled'!$E$4:$E$55,0),MATCH("Loan Type",'Loan Tape - Settled'!$B$4:$AM$4,0))</f>
        <v>First Lien</v>
      </c>
      <c r="E37" s="406" t="b">
        <f>IF(ISERROR(MATCH(D37,AGENT!$A$4:$A$10,0))=FALSE, TRUE)</f>
        <v>1</v>
      </c>
      <c r="F37" s="406" t="b">
        <f t="shared" si="0"/>
        <v>1</v>
      </c>
      <c r="G37" s="406" t="b">
        <f>IF(D37&lt;&gt;"Second Lien",TRUE, IF(CY37&gt;=AGENT!$B$4,TRUE))</f>
        <v>1</v>
      </c>
      <c r="H37" s="406" t="b">
        <f>IF(DE37&lt;=AGENT!$D$4,TRUE)</f>
        <v>1</v>
      </c>
      <c r="I37" s="406" t="b">
        <f>IF(VLOOKUP(CONCATENATE($A$5,A37),'Loan Tape - Settled'!$A$5:$Q$55,17,FALSE)&gt;=AGENT!$E$4,TRUE)</f>
        <v>1</v>
      </c>
      <c r="J37" s="406" t="b">
        <f>IF(INDEX('Loan Tape - Settled'!$B$4:$AP$55,MATCH($A37,'Loan Tape - Settled'!$E$4:$E$55,0),MATCH("Loan Denomination",'Loan Tape - Settled'!$B$4:$AP$4,0))="USD", TRUE)</f>
        <v>1</v>
      </c>
      <c r="K37" s="406" t="b">
        <f>IF(INDEX('Loan Tape - Settled'!$B$4:$AP$55,MATCH($A37,'Loan Tape - Settled'!$E$4:$E$55,0),MATCH("Exposure Country",'Loan Tape - Settled'!$B$4:$AP$4,0))="United States", TRUE)</f>
        <v>1</v>
      </c>
      <c r="L37" s="406" t="b">
        <f t="shared" si="1"/>
        <v>1</v>
      </c>
      <c r="M37" s="406" t="b">
        <f>IF(((BM37-BL37)/365)&lt;=AGENT!$F$4,TRUE)</f>
        <v>1</v>
      </c>
      <c r="N37" s="406" t="b">
        <f t="shared" si="2"/>
        <v>0</v>
      </c>
      <c r="O37" s="453"/>
      <c r="P37" s="709" t="str">
        <f t="shared" si="3"/>
        <v>No</v>
      </c>
      <c r="Q37" s="680" t="s">
        <v>243</v>
      </c>
      <c r="R37" s="407" t="str">
        <f t="shared" si="4"/>
        <v>N/A</v>
      </c>
      <c r="S37" s="407"/>
      <c r="T37" s="408" t="str">
        <f t="array" ref="T37">_xlfn.IFS(D37="Second Lien",D37,D37="First Lien",CONCATENATE(D37," ",EI37),D37="FILO",CONCATENATE(D37," ",EJ37))</f>
        <v>First Lien &lt;= $10MM</v>
      </c>
      <c r="U37" s="409">
        <f>VLOOKUP(T37,'Concentration Limits'!D:G,4,FALSE)</f>
        <v>0.625</v>
      </c>
      <c r="V37" s="410">
        <f t="shared" si="5"/>
        <v>0</v>
      </c>
      <c r="W37" s="448">
        <f>(SUMIFS('Loan Tape - Settled'!$AR$4:$AR$55,'Loan Tape - Settled'!$E$4:$E$55,$A37,'Loan Tape - Settled'!$C$4:$C$55,$A$5))</f>
        <v>11421323.23155489</v>
      </c>
      <c r="X37" s="449">
        <v>1</v>
      </c>
      <c r="Y37" s="411">
        <f t="shared" si="6"/>
        <v>11421323.23155489</v>
      </c>
      <c r="Z37" s="449">
        <f>(SUMIFS('Loan Tape - Settled'!$AQ$4:$AQ$55,'Loan Tape - Settled'!$E$4:$E$55,$A37,'Loan Tape - Settled'!$C$4:$C$55,$A$5))</f>
        <v>11421323.23155489</v>
      </c>
      <c r="AA37" s="411">
        <f t="shared" si="7"/>
        <v>11421323.23155489</v>
      </c>
      <c r="AB37" s="411">
        <f t="shared" si="8"/>
        <v>0</v>
      </c>
      <c r="AC37" s="450">
        <f>VLOOKUP(CONCATENATE($A$5,A37),'Loan Tape - Settled'!$A$5:$Q$55,17,FALSE)</f>
        <v>1</v>
      </c>
      <c r="AD37" s="412"/>
      <c r="AE37" s="413">
        <f>INDEX('Loan Tape - Settled'!$B$4:$AP$55,MATCH($A37,'Loan Tape - Settled'!$E$4:$E$55,0),MATCH("FMV",'Loan Tape - Settled'!$B$4:$AM$4,0))</f>
        <v>0.11205549643980912</v>
      </c>
      <c r="AF37" s="413">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0</v>
      </c>
      <c r="AG37" s="414" t="str">
        <f>IF(COUNTIFS(VAE!$C$5:$C$96,B37,VAE!$G$5:$G$96,"&lt;="&amp;Availability!$F$8)&gt;=1,"Yes","-")</f>
        <v>Yes</v>
      </c>
      <c r="AH37" s="414" t="str">
        <f t="array" ref="AH37">IFERROR(IF(AG37="Yes",INDEX(VAE!$D$5:$D$96,MATCH(B37&amp;AJ37,VAE!$C$5:$C$96&amp;VAE!$G$5:$G$96,0)),"-"),0)</f>
        <v>Increase in Lev</v>
      </c>
      <c r="AI37" s="414" t="str">
        <f t="array" ref="AI37">IFERROR(IF(AG37="Yes",INDEX(VAE!$F$5:$F$96,MATCH(B37&amp;AJ37,VAE!$C$5:$C$96&amp;VAE!$G$5:$G$96,0)),"-"),0)</f>
        <v>n/a</v>
      </c>
      <c r="AJ37" s="415">
        <f>IF(AG37="-","-",_xlfn.MAXIFS(VAE!$G$5:$G$96,VAE!$C$5:$C$96,$B37))</f>
        <v>45199</v>
      </c>
      <c r="AK37" s="416">
        <f t="array" ref="AK37">IFERROR(IF(AG37="Yes",INDEX(VAE!$P$5:$P$96,MATCH(B37&amp;AJ37,VAE!$C$5:$C$96&amp;VAE!$G$5:$G$96,0)),"-"),0)</f>
        <v>0</v>
      </c>
      <c r="AL37" s="413">
        <f t="shared" si="9"/>
        <v>0</v>
      </c>
      <c r="AM37" s="410"/>
      <c r="AN37" s="410"/>
      <c r="AO37" s="410">
        <f t="shared" si="10"/>
        <v>0</v>
      </c>
      <c r="AP37" s="410">
        <f t="shared" si="11"/>
        <v>11421323.23155489</v>
      </c>
      <c r="AQ37" s="410">
        <f t="shared" si="83"/>
        <v>0</v>
      </c>
      <c r="AR37" s="410"/>
      <c r="AS37" s="410"/>
      <c r="AT37" s="410"/>
      <c r="AU37" s="410">
        <f t="shared" si="12"/>
        <v>0</v>
      </c>
      <c r="AV37" s="410">
        <f t="shared" si="13"/>
        <v>0</v>
      </c>
      <c r="AW37" s="410">
        <f t="shared" si="14"/>
        <v>0</v>
      </c>
      <c r="AX37" s="410"/>
      <c r="AY37" s="410"/>
      <c r="AZ37" s="410"/>
      <c r="BA37" s="410">
        <f t="shared" si="15"/>
        <v>0</v>
      </c>
      <c r="BB37" s="410"/>
      <c r="BC37" s="410"/>
      <c r="BD37" s="410">
        <f t="shared" si="16"/>
        <v>0</v>
      </c>
      <c r="BE37" s="410"/>
      <c r="BF37" s="410"/>
      <c r="BG37" s="410"/>
      <c r="BH37" s="410"/>
      <c r="BI37" s="410">
        <f t="shared" si="17"/>
        <v>0</v>
      </c>
      <c r="BJ37" s="410" t="b">
        <f t="shared" si="18"/>
        <v>1</v>
      </c>
      <c r="BK37" s="509">
        <f>INDEX('Loan Tape - Settled'!$B$4:$AP$55,MATCH($A37,'Loan Tape - Settled'!$E$4:$E$55,0),MATCH("Inception Date",'Loan Tape - Settled'!$B$4:$AP$4,0))</f>
        <v>44883</v>
      </c>
      <c r="BL37" s="509">
        <f>INDEX('Loan Tape - Settled'!$B$4:$AP$55,MATCH($A37,'Loan Tape - Settled'!$E$4:$E$55,0),MATCH("Inclusion Date",'Loan Tape - Settled'!$B$4:$AP$4,0))</f>
        <v>44883</v>
      </c>
      <c r="BM37" s="509">
        <f>INDEX('Loan Tape - Settled'!$B$4:$AP$55,MATCH($A37,'Loan Tape - Settled'!$E$4:$E$55,0),MATCH("Maturity Date",'Loan Tape - Settled'!$B$4:$AP$4,0))</f>
        <v>46890</v>
      </c>
      <c r="BN37" s="510"/>
      <c r="BO37" s="510"/>
      <c r="BP37" s="511"/>
      <c r="BQ37" s="510"/>
      <c r="BR37" s="512" t="str">
        <f>INDEX('Loan Tape - Settled'!$B$4:$AP$55,MATCH($A37,'Loan Tape - Settled'!$E$4:$E$55,0),MATCH("Industry Classification",'Loan Tape - Settled'!$B$4:$AP$4,0))</f>
        <v>Electrical Equipment</v>
      </c>
      <c r="BS37" s="510" t="str">
        <f>IF(INDEX('Loan Tape - Settled'!$B$4:$AP$55,MATCH($A37,'Loan Tape - Settled'!$E$4:$E$55,0),MATCH("Covenant Lite",'Loan Tape - Settled'!$B$4:$AP$4,0))=-1, "Yes", "No")</f>
        <v>No</v>
      </c>
      <c r="BT37" s="513">
        <f>INDEX('Loan Tape - Settled'!$B$4:$AP$55,MATCH($A37,'Loan Tape - Settled'!$E$4:$E$55,0),MATCH("Spread / Coupon (%)",'Loan Tape - Settled'!$B$4:$AP$4,0))</f>
        <v>6.0559840887639681E-2</v>
      </c>
      <c r="BU37" s="510" t="str">
        <f>IF(INDEX('Loan Tape - Settled'!$B$4:$AP$55,MATCH($A37,'Loan Tape - Settled'!$E$4:$E$55,0),MATCH("Security Type",'Loan Tape - Settled'!$B$4:$AP$4,0))="Delayed Draw Term Loan", "Yes", "No")</f>
        <v>No</v>
      </c>
      <c r="BV37" s="514" t="s">
        <v>244</v>
      </c>
      <c r="BW37" s="514" t="s">
        <v>244</v>
      </c>
      <c r="BX37" s="506" t="s">
        <v>244</v>
      </c>
      <c r="BY37" s="510" t="str">
        <f>IF(INDEX('Loan Tape - Settled'!$B$4:$AP$55,MATCH($A37,'Loan Tape - Settled'!$E$4:$E$55,0),MATCH("Fixed/Floating",'Loan Tape - Settled'!$B$4:$AP$4,0))="Fixed", "Yes", "No")</f>
        <v>No</v>
      </c>
      <c r="BZ37" s="514" t="s">
        <v>244</v>
      </c>
      <c r="CA37" s="514" t="s">
        <v>244</v>
      </c>
      <c r="CB37" s="510" t="str">
        <f>IF(INDEX('Loan Tape - Settled'!$B$4:$AP$55,MATCH($A37,'Loan Tape - Settled'!$E$4:$E$55,0),MATCH("Loan Denomination",'Loan Tape - Settled'!$B$4:$AP$4,0))="CAD", "Yes", "No")</f>
        <v>No</v>
      </c>
      <c r="CC37" s="510" t="str">
        <f>INDEX('Loan Tape - Settled'!$B$4:$AP$55,MATCH($A37,'Loan Tape - Settled'!$E$4:$E$55,0),MATCH("Payment Frequency",'Loan Tape - Settled'!$B$4:$AP$4,0))</f>
        <v>M</v>
      </c>
      <c r="CD37" s="514" t="s">
        <v>244</v>
      </c>
      <c r="CE37" s="510">
        <f>INDEX('Loan Tape - Settled'!$B$4:$AP$55,MATCH($A37,'Loan Tape - Settled'!$E$4:$E$55,0),MATCH("S&amp;P Loan Rating (if applicable)",'Loan Tape - Settled'!$B$4:$AP$4,0))</f>
        <v>0</v>
      </c>
      <c r="CF37" s="510">
        <f>INDEX('Loan Tape - Settled'!$B$4:$AP$55,MATCH($A37,'Loan Tape - Settled'!$E$4:$E$55,0),MATCH("Moody's Loan Rating (if applicable)",'Loan Tape - Settled'!$B$4:$AP$4,0))</f>
        <v>0</v>
      </c>
      <c r="CG37" s="510"/>
      <c r="CH37" s="510"/>
      <c r="CI37" s="515"/>
      <c r="CJ37" s="508" t="str">
        <f>INDEX('Loan Tape - Settled'!$B$4:$BF$55,MATCH($A37,'Loan Tape - Settled'!$E$4:$E$55,0),MATCH("Last Financial Received",'Loan Tape - Settled'!$B$4:$BF$4,0))</f>
        <v>9/30/2025 or Latest Financing</v>
      </c>
      <c r="CK37" s="516">
        <f>INDEX('Loan Tape - Settled'!$B$4:$BJ$55,MATCH($A37,'Loan Tape - Settled'!$E$4:$E$55,0),MATCH("Initial Adjusted TTM EBITDA",'Loan Tape - Settled'!$B$4:$BJ$4,0))</f>
        <v>10.069000000000001</v>
      </c>
      <c r="CL37" s="516">
        <f>INDEX('Loan Tape - Settled'!$B$4:$BJ$55,MATCH($A37,'Loan Tape - Settled'!$E$4:$E$55,0),MATCH("Initial TTM Non-adjusted EBITDA",'Loan Tape - Settled'!$B$4:$BJ$4,0))</f>
        <v>10.069000000000001</v>
      </c>
      <c r="CM37" s="417"/>
      <c r="CN37" s="418"/>
      <c r="CO37" s="418"/>
      <c r="CP37" s="419"/>
      <c r="CQ37" s="420" t="s">
        <v>245</v>
      </c>
      <c r="CR37" s="419"/>
      <c r="CS37" s="421">
        <f t="shared" si="19"/>
        <v>10.069000000000001</v>
      </c>
      <c r="CT37" s="422">
        <f t="shared" si="20"/>
        <v>0</v>
      </c>
      <c r="CU37" s="516">
        <f>INDEX('Loan Tape - Settled'!$B$4:$BJ$55,MATCH($A37,'Loan Tape - Settled'!$E$4:$E$55,0),MATCH("Current TTM Non-adjusted EBITDA",'Loan Tape - Settled'!$B$4:$BJ$4,0))</f>
        <v>-2.28245000764012</v>
      </c>
      <c r="CV37" s="423">
        <f t="shared" si="21"/>
        <v>0</v>
      </c>
      <c r="CW37" s="652" t="s">
        <v>245</v>
      </c>
      <c r="CX37" s="517"/>
      <c r="CY37" s="658">
        <f t="shared" si="22"/>
        <v>-2.28245000764012</v>
      </c>
      <c r="CZ37" s="656"/>
      <c r="DA37" s="518"/>
      <c r="DB37" s="519"/>
      <c r="DC37" s="853"/>
      <c r="DD37" s="853">
        <f>INDEX('Loan Tape - Settled'!$B$4:$BJ$55,MATCH($A37,'Loan Tape - Settled'!$E$4:$E$55,0),MATCH("Initial Senior Net Leverage Senior",'Loan Tape - Settled'!$B$4:$BJ$4,0))</f>
        <v>4.220875955904261</v>
      </c>
      <c r="DE37" s="659">
        <f>INDEX('Loan Tape - Settled'!$B$4:$BJ$55,MATCH($A37,'Loan Tape - Settled'!$E$4:$E$55,0),MATCH("Initial Total Net Leverage",'Loan Tape - Settled'!$B$4:$BJ$4,0))</f>
        <v>4.220875955904261</v>
      </c>
      <c r="DF37" s="656"/>
      <c r="DG37" s="518"/>
      <c r="DH37" s="519"/>
      <c r="DI37" s="424" t="str">
        <f>INDEX('Loan Tape - Settled'!$B$4:$BJ$55,MATCH($A37,'Loan Tape - Settled'!$E$4:$E$55,0),MATCH("Net Attachment",'Loan Tape - Settled'!$B$4:$BJ$4,0))</f>
        <v>N/A</v>
      </c>
      <c r="DJ37" s="522">
        <f t="array" ref="DJ37">IF(AG37="Yes",INDEX(VAE!$M$5:$M$53,MATCH($B37&amp;$AJ37,VAE!$C$5:$C$53&amp;VAE!$G$5:$G$53,0)),DD37)</f>
        <v>5.35317720704656</v>
      </c>
      <c r="DK37" s="649">
        <f t="array" ref="DK37">IF(AG37="Yes",INDEX(VAE!$N$5:$N$53,MATCH($B37&amp;$AJ37,VAE!$C$5:$C$53&amp;VAE!$G$5:$G$53,0)),DE37)</f>
        <v>5.35317720704656</v>
      </c>
      <c r="DL37" s="651" t="str">
        <f>INDEX('Loan Tape - Settled'!$B$4:$BJ$55,MATCH($A37,'Loan Tape - Settled'!$E$4:$E$55,0),MATCH("Current Senior Net Leverage Senior",'Loan Tape - Settled'!$B$4:$BJ$4,0))</f>
        <v>N/M</v>
      </c>
      <c r="DM37" s="433" t="str">
        <f>INDEX('Loan Tape - Settled'!$B$4:$BJ$55,MATCH($A37,'Loan Tape - Settled'!$E$4:$E$55,0),MATCH("Current Total Net Leverage",'Loan Tape - Settled'!$B$4:$BJ$4,0))</f>
        <v>N/M</v>
      </c>
      <c r="DN37" s="425"/>
      <c r="DO37" s="426">
        <f>INDEX('Loan Tape - Settled'!$B$4:$BJ$55,MATCH($A37,'Loan Tape - Settled'!$E$4:$E$55,0),MATCH("Initial Interest Coverage",'Loan Tape - Settled'!$B$4:$BJ$4,0))</f>
        <v>2.1</v>
      </c>
      <c r="DP37" s="854">
        <f t="array" ref="DP37">IF(AG37="Yes",INDEX(VAE!$O$5:$O$53,MATCH($B37&amp;$AJ37,VAE!$C$5:$C$53&amp;VAE!$G$5:$G$53,0)),DO37)</f>
        <v>1.45</v>
      </c>
      <c r="DQ37" s="427">
        <f>INDEX('Loan Tape - Settled'!$B$4:$BJ$55,MATCH($A37,'Loan Tape - Settled'!$E$4:$E$55,0),MATCH("Current Interest Coverage",'Loan Tape - Settled'!$B$4:$BJ$4,0))</f>
        <v>0</v>
      </c>
      <c r="DR37" s="855" t="str">
        <f t="shared" si="23"/>
        <v>Yes</v>
      </c>
      <c r="DS37" s="428">
        <f>IF(AG37="Yes",DATEDIF(AJ37,Availability!$F$8,"m"),"")</f>
        <v>27</v>
      </c>
      <c r="DT37" s="428" t="str">
        <f t="shared" si="24"/>
        <v>Yes</v>
      </c>
      <c r="DU37" s="647" t="str">
        <f t="shared" si="25"/>
        <v>Yes</v>
      </c>
      <c r="DV37" s="648" t="str">
        <f t="shared" si="26"/>
        <v>N/A</v>
      </c>
      <c r="DW37" s="648" t="str">
        <f t="array" ref="DW37">_xlfn.IFS(D37&lt;&gt;"Second Lien","No",D37="Second Lien",IF(AND((DM37-DK37)&gt;0.5,DM37&gt;4.5),"Yes","No"))</f>
        <v>No</v>
      </c>
      <c r="DX37" s="685" t="s">
        <v>243</v>
      </c>
      <c r="DY37" s="685" t="s">
        <v>244</v>
      </c>
      <c r="DZ37" s="686" t="s">
        <v>243</v>
      </c>
      <c r="EA37" s="686" t="s">
        <v>243</v>
      </c>
      <c r="EB37" s="686" t="s">
        <v>243</v>
      </c>
      <c r="EC37" s="686" t="s">
        <v>244</v>
      </c>
      <c r="ED37" s="686" t="s">
        <v>244</v>
      </c>
      <c r="EE37" s="686" t="s">
        <v>244</v>
      </c>
      <c r="EF37" s="409" t="str">
        <f t="shared" si="27"/>
        <v>Yes</v>
      </c>
      <c r="EG37" s="686" t="s">
        <v>244</v>
      </c>
      <c r="EH37" s="691" t="s">
        <v>244</v>
      </c>
      <c r="EI37" s="856" t="str">
        <f t="array" ref="EI37">IF(D37="First Lien",_xlfn.IFS(CY37&gt;AGENT!$B$23, "&gt; $20MM",CY37&lt;=AGENT!$C$25, "&lt;= $10MM",AND(CY37&lt;=AGENT!$C$24,CY37&gt;AGENT!$B$24),"&lt;= $20MM"), "N/A")</f>
        <v>&lt;= $10MM</v>
      </c>
      <c r="EJ37" s="856" t="str">
        <f t="array" ref="EJ37">IF(D37="FILO",_xlfn.IFS(DI37&gt;AGENT!$B$29, "&gt; 1.25x",DI37&lt;AGENT!$C$27, "&lt; 0.75x",AND(DI37&lt;=AGENT!$C$28,DI37&gt;=AGENT!$B$28),"&lt;= 1.25x"), "N/A")</f>
        <v>N/A</v>
      </c>
      <c r="EK37" s="429">
        <f t="shared" si="28"/>
        <v>0</v>
      </c>
      <c r="EL37" s="429">
        <f>'Concentration Limits'!$J$49</f>
        <v>49599340.729726665</v>
      </c>
      <c r="EM37" s="429" t="str">
        <f>IF(OR(D37="Second Lien",AND(D37="FILO",DI37&gt;AGENT!$C$57)), "Yes", "No")</f>
        <v>No</v>
      </c>
      <c r="EN37" s="429">
        <f t="shared" si="29"/>
        <v>0</v>
      </c>
      <c r="EO37" s="429">
        <f t="shared" si="30"/>
        <v>0</v>
      </c>
      <c r="EP37" s="429">
        <f t="shared" si="31"/>
        <v>0</v>
      </c>
      <c r="EQ37" s="429">
        <f>'Concentration Limits'!$J$50</f>
        <v>24799670.364863332</v>
      </c>
      <c r="ER37" s="429">
        <f t="shared" si="32"/>
        <v>0</v>
      </c>
      <c r="ES37" s="429">
        <f t="shared" si="84"/>
        <v>0</v>
      </c>
      <c r="ET37" s="429">
        <f t="shared" si="33"/>
        <v>0</v>
      </c>
      <c r="EU37" s="429">
        <f>'Concentration Limits'!$J$51</f>
        <v>74399011.094589993</v>
      </c>
      <c r="EV37" s="429" t="str">
        <f>IF(OR(D37="Second Lien", AND(D37="FILO",DI37&gt;AGENT!$C$59)), "Yes", "No")</f>
        <v>No</v>
      </c>
      <c r="EW37" s="429">
        <f t="shared" si="34"/>
        <v>0</v>
      </c>
      <c r="EX37" s="429">
        <f t="shared" si="35"/>
        <v>0</v>
      </c>
      <c r="EY37" s="429">
        <f t="shared" si="36"/>
        <v>0</v>
      </c>
      <c r="EZ37" s="429">
        <f>'Concentration Limits'!$J$52</f>
        <v>37199505.547294997</v>
      </c>
      <c r="FA37" s="429" t="str">
        <f>IF(CY37&gt;'Concentration Limits'!$E$52, "No", "Yes")</f>
        <v>Yes</v>
      </c>
      <c r="FB37" s="429">
        <f t="shared" si="37"/>
        <v>0</v>
      </c>
      <c r="FC37" s="429">
        <f t="shared" si="38"/>
        <v>0</v>
      </c>
      <c r="FD37" s="429">
        <f t="shared" si="39"/>
        <v>0</v>
      </c>
      <c r="FE37" s="430">
        <f>'Concentration Limits'!$J$54</f>
        <v>247996703.6486333</v>
      </c>
      <c r="FF37" s="430">
        <f>'Concentration Limits'!$J$55</f>
        <v>247996703.6486333</v>
      </c>
      <c r="FG37" s="430">
        <f>'Concentration Limits'!$J$56</f>
        <v>247996703.6486333</v>
      </c>
      <c r="FH37" s="431">
        <f>'Concentration Limits'!$J$57</f>
        <v>18599752.773647498</v>
      </c>
      <c r="FI37" s="431">
        <f t="shared" si="40"/>
        <v>0</v>
      </c>
      <c r="FJ37" s="431">
        <f t="shared" si="41"/>
        <v>0</v>
      </c>
      <c r="FK37" s="431">
        <f t="shared" si="42"/>
        <v>0</v>
      </c>
      <c r="FL37" s="431">
        <f>IF(FJ37&gt;0,RANK(FJ37,$FJ$9:$FJ$60)+COUNTIF($FJ$9:FJ37,FJ37)-1,0)</f>
        <v>0</v>
      </c>
      <c r="FM37" s="430">
        <f t="shared" si="43"/>
        <v>0</v>
      </c>
      <c r="FN37" s="430">
        <f t="shared" si="44"/>
        <v>0</v>
      </c>
      <c r="FO37" s="430">
        <f t="shared" si="45"/>
        <v>0</v>
      </c>
      <c r="FP37" s="431">
        <f t="shared" si="46"/>
        <v>0</v>
      </c>
      <c r="FQ37" s="431">
        <f t="shared" si="47"/>
        <v>0</v>
      </c>
      <c r="FR37" s="431">
        <f>'Concentration Limits'!$J$58</f>
        <v>49599340.729726665</v>
      </c>
      <c r="FS37" s="431">
        <f t="shared" si="48"/>
        <v>0</v>
      </c>
      <c r="FT37" s="431" t="str">
        <f>VLOOKUP(BR37,'Concentration Limits'!$E$81:$H$153,4,FALSE)</f>
        <v/>
      </c>
      <c r="FU37" s="431">
        <f t="shared" si="49"/>
        <v>0</v>
      </c>
      <c r="FV37" s="431">
        <f t="shared" si="50"/>
        <v>0</v>
      </c>
      <c r="FW37" s="431">
        <f>'Concentration Limits'!$J$59</f>
        <v>37199505.547294997</v>
      </c>
      <c r="FX37" s="431">
        <f t="shared" si="51"/>
        <v>0</v>
      </c>
      <c r="FY37" s="431" t="str">
        <f>VLOOKUP(BR37,'Concentration Limits'!$E$81:$H$153,4,FALSE)</f>
        <v/>
      </c>
      <c r="FZ37" s="431">
        <f t="shared" si="52"/>
        <v>0</v>
      </c>
      <c r="GA37" s="431">
        <f t="shared" si="53"/>
        <v>0</v>
      </c>
      <c r="GB37" s="431">
        <f>'Concentration Limits'!$J$61</f>
        <v>24799670.364863332</v>
      </c>
      <c r="GC37" s="431">
        <f t="shared" si="54"/>
        <v>0</v>
      </c>
      <c r="GD37" s="429" t="str">
        <f>VLOOKUP(BR37,'Concentration Limits'!$E$81:$H$153,4,FALSE)</f>
        <v/>
      </c>
      <c r="GE37" s="431">
        <f t="shared" si="55"/>
        <v>0</v>
      </c>
      <c r="GF37" s="431">
        <f t="shared" si="56"/>
        <v>0</v>
      </c>
      <c r="GG37" s="431">
        <f>'Concentration Limits'!$J$64</f>
        <v>24799670.364863332</v>
      </c>
      <c r="GH37" s="431">
        <f t="shared" si="57"/>
        <v>0</v>
      </c>
      <c r="GI37" s="431">
        <f t="shared" si="58"/>
        <v>0</v>
      </c>
      <c r="GJ37" s="431">
        <f t="shared" si="59"/>
        <v>0</v>
      </c>
      <c r="GK37" s="431">
        <f>'Concentration Limits'!$J$67</f>
        <v>24799670.364863332</v>
      </c>
      <c r="GL37" s="429" t="str">
        <f t="shared" si="60"/>
        <v>No</v>
      </c>
      <c r="GM37" s="431">
        <f t="shared" si="61"/>
        <v>0</v>
      </c>
      <c r="GN37" s="431">
        <f t="shared" si="62"/>
        <v>0</v>
      </c>
      <c r="GO37" s="431">
        <f t="shared" si="63"/>
        <v>0</v>
      </c>
      <c r="GP37" s="431">
        <f>'Concentration Limits'!$J$68</f>
        <v>37199505.547294997</v>
      </c>
      <c r="GQ37" s="429" t="str">
        <f t="shared" si="64"/>
        <v>No</v>
      </c>
      <c r="GR37" s="431">
        <f t="shared" si="65"/>
        <v>0</v>
      </c>
      <c r="GS37" s="431">
        <f t="shared" si="66"/>
        <v>0</v>
      </c>
      <c r="GT37" s="431">
        <f t="shared" si="67"/>
        <v>0</v>
      </c>
      <c r="GU37" s="429">
        <f>'Concentration Limits'!$J$69</f>
        <v>37199505.547294997</v>
      </c>
      <c r="GV37" s="429" t="str">
        <f t="shared" si="68"/>
        <v>No</v>
      </c>
      <c r="GW37" s="429">
        <f t="shared" si="69"/>
        <v>0</v>
      </c>
      <c r="GX37" s="429">
        <f t="shared" si="70"/>
        <v>0</v>
      </c>
      <c r="GY37" s="429">
        <f t="shared" si="71"/>
        <v>0</v>
      </c>
      <c r="GZ37" s="429">
        <f>'Concentration Limits'!$J$70</f>
        <v>24799670.364863332</v>
      </c>
      <c r="HA37" s="429" t="str">
        <f t="shared" si="72"/>
        <v>No</v>
      </c>
      <c r="HB37" s="429">
        <f t="shared" si="73"/>
        <v>0</v>
      </c>
      <c r="HC37" s="429">
        <f t="shared" si="74"/>
        <v>0</v>
      </c>
      <c r="HD37" s="429">
        <f t="shared" si="75"/>
        <v>0</v>
      </c>
      <c r="HE37" s="431">
        <f t="shared" si="76"/>
        <v>0</v>
      </c>
      <c r="HF37" s="431">
        <f t="shared" si="77"/>
        <v>0</v>
      </c>
      <c r="HG37" s="431">
        <f t="shared" si="78"/>
        <v>0</v>
      </c>
      <c r="HH37" s="431">
        <f t="shared" si="79"/>
        <v>0</v>
      </c>
      <c r="HI37" s="431">
        <f>IF(BE37=0,0,#REF!*BE37/(BE37+BG37))</f>
        <v>0</v>
      </c>
      <c r="HJ37" s="431">
        <f>IF(BG37=0,0,#REF!*BG37/(BG37+BE37))</f>
        <v>0</v>
      </c>
      <c r="HK37" s="857">
        <f>IF(BF37=0,0,#REF!*BF37/(BF37+BH37))</f>
        <v>0</v>
      </c>
      <c r="HL37" s="431">
        <f>IF(BH37=0,0,#REF!*BH37/(BH37+BF37))</f>
        <v>0</v>
      </c>
      <c r="HM37" s="431">
        <f t="shared" si="80"/>
        <v>0</v>
      </c>
      <c r="HN37" s="431" t="b">
        <f t="shared" si="81"/>
        <v>1</v>
      </c>
    </row>
    <row r="38" spans="1:222" s="432" customFormat="1" ht="12.75" customHeight="1" x14ac:dyDescent="0.35">
      <c r="A38" s="49">
        <f t="shared" si="82"/>
        <v>30</v>
      </c>
      <c r="B38" s="404" t="str">
        <f>INDEX('Loan Tape - Settled'!$B$4:$AP$55,MATCH($A38,'Loan Tape - Settled'!$E$4:$E$55,0),MATCH("Obligor Name",'Loan Tape - Settled'!$B$4:$AM$4,0))</f>
        <v>Gridsource</v>
      </c>
      <c r="C38" s="404" t="str">
        <f>INDEX('Loan Tape - Settled'!$B$4:$AP$55,MATCH($A38,'Loan Tape - Settled'!$E$4:$E$55,0),MATCH("Security",'Loan Tape - Settled'!$B$4:$AM$4,0))</f>
        <v>1st Lien</v>
      </c>
      <c r="D38" s="405" t="str">
        <f>INDEX('Loan Tape - Settled'!$B$4:$AP$55,MATCH($A38,'Loan Tape - Settled'!$E$4:$E$55,0),MATCH("Loan Type",'Loan Tape - Settled'!$B$4:$AM$4,0))</f>
        <v>First Lien</v>
      </c>
      <c r="E38" s="406" t="b">
        <f>IF(ISERROR(MATCH(D38,AGENT!$A$4:$A$10,0))=FALSE, TRUE)</f>
        <v>1</v>
      </c>
      <c r="F38" s="406" t="b">
        <f t="shared" si="0"/>
        <v>1</v>
      </c>
      <c r="G38" s="406" t="b">
        <f>IF(D38&lt;&gt;"Second Lien",TRUE, IF(CY38&gt;=AGENT!$B$4,TRUE))</f>
        <v>1</v>
      </c>
      <c r="H38" s="406" t="b">
        <f>IF(DE38&lt;=AGENT!$D$4,TRUE)</f>
        <v>1</v>
      </c>
      <c r="I38" s="406" t="b">
        <f>IF(VLOOKUP(CONCATENATE($A$5,A38),'Loan Tape - Settled'!$A$5:$Q$55,17,FALSE)&gt;=AGENT!$E$4,TRUE)</f>
        <v>1</v>
      </c>
      <c r="J38" s="406" t="b">
        <f>IF(INDEX('Loan Tape - Settled'!$B$4:$AP$55,MATCH($A38,'Loan Tape - Settled'!$E$4:$E$55,0),MATCH("Loan Denomination",'Loan Tape - Settled'!$B$4:$AP$4,0))="USD", TRUE)</f>
        <v>1</v>
      </c>
      <c r="K38" s="406" t="b">
        <f>IF(INDEX('Loan Tape - Settled'!$B$4:$AP$55,MATCH($A38,'Loan Tape - Settled'!$E$4:$E$55,0),MATCH("Exposure Country",'Loan Tape - Settled'!$B$4:$AP$4,0))="United States", TRUE)</f>
        <v>1</v>
      </c>
      <c r="L38" s="406" t="b">
        <f t="shared" si="1"/>
        <v>1</v>
      </c>
      <c r="M38" s="406" t="b">
        <f>IF(((BM38-BL38)/365)&lt;=AGENT!$F$4,TRUE)</f>
        <v>1</v>
      </c>
      <c r="N38" s="406" t="b">
        <f t="shared" si="2"/>
        <v>1</v>
      </c>
      <c r="O38" s="453"/>
      <c r="P38" s="709" t="str">
        <f t="shared" si="3"/>
        <v>Yes</v>
      </c>
      <c r="Q38" s="680" t="s">
        <v>243</v>
      </c>
      <c r="R38" s="407" t="str">
        <f t="shared" si="4"/>
        <v>Gridsource</v>
      </c>
      <c r="S38" s="407"/>
      <c r="T38" s="408" t="str">
        <f t="array" ref="T38">_xlfn.IFS(D38="Second Lien",D38,D38="First Lien",CONCATENATE(D38," ",EI38),D38="FILO",CONCATENATE(D38," ",EJ38))</f>
        <v>First Lien &gt; $20MM</v>
      </c>
      <c r="U38" s="409">
        <f>VLOOKUP(T38,'Concentration Limits'!D:G,4,FALSE)</f>
        <v>0.67500000000000004</v>
      </c>
      <c r="V38" s="410">
        <f t="shared" si="5"/>
        <v>11328458.381135054</v>
      </c>
      <c r="W38" s="448">
        <f>(SUMIFS('Loan Tape - Settled'!$AR$4:$AR$55,'Loan Tape - Settled'!$E$4:$E$55,$A38,'Loan Tape - Settled'!$C$4:$C$55,$A$5))</f>
        <v>14071583.3964388</v>
      </c>
      <c r="X38" s="449">
        <v>1</v>
      </c>
      <c r="Y38" s="411">
        <f t="shared" si="6"/>
        <v>14071583.3964388</v>
      </c>
      <c r="Z38" s="449">
        <f>(SUMIFS('Loan Tape - Settled'!$AQ$4:$AQ$55,'Loan Tape - Settled'!$E$4:$E$55,$A38,'Loan Tape - Settled'!$C$4:$C$55,$A$5))</f>
        <v>14071583.3964388</v>
      </c>
      <c r="AA38" s="411">
        <f t="shared" si="7"/>
        <v>14071583.3964388</v>
      </c>
      <c r="AB38" s="411">
        <f t="shared" si="8"/>
        <v>0</v>
      </c>
      <c r="AC38" s="450">
        <f>VLOOKUP(CONCATENATE($A$5,A38),'Loan Tape - Settled'!$A$5:$Q$55,17,FALSE)</f>
        <v>1</v>
      </c>
      <c r="AD38" s="412"/>
      <c r="AE38" s="413">
        <f>INDEX('Loan Tape - Settled'!$B$4:$AP$55,MATCH($A38,'Loan Tape - Settled'!$E$4:$E$55,0),MATCH("FMV",'Loan Tape - Settled'!$B$4:$AM$4,0))</f>
        <v>0.97340000000000004</v>
      </c>
      <c r="AF38" s="413">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0.80505925040404702</v>
      </c>
      <c r="AG38" s="414" t="str">
        <f>IF(COUNTIFS(VAE!$C$5:$C$96,B38,VAE!$G$5:$G$96,"&lt;="&amp;Availability!$F$8)&gt;=1,"Yes","-")</f>
        <v>Yes</v>
      </c>
      <c r="AH38" s="414" t="str">
        <f t="array" ref="AH38">IFERROR(IF(AG38="Yes",INDEX(VAE!$D$5:$D$96,MATCH(B38&amp;AJ38,VAE!$C$5:$C$96&amp;VAE!$G$5:$G$96,0)),"-"),0)</f>
        <v>Increase in Lev</v>
      </c>
      <c r="AI38" s="414" t="str">
        <f t="array" ref="AI38">IFERROR(IF(AG38="Yes",INDEX(VAE!$F$5:$F$96,MATCH(B38&amp;AJ38,VAE!$C$5:$C$96&amp;VAE!$G$5:$G$96,0)),"-"),0)</f>
        <v>-</v>
      </c>
      <c r="AJ38" s="415">
        <f>IF(AG38="-","-",_xlfn.MAXIFS(VAE!$G$5:$G$96,VAE!$C$5:$C$96,$B38))</f>
        <v>45944</v>
      </c>
      <c r="AK38" s="416">
        <f t="array" ref="AK38">IFERROR(IF(AG38="Yes",INDEX(VAE!$P$5:$P$96,MATCH(B38&amp;AJ38,VAE!$C$5:$C$96&amp;VAE!$G$5:$G$96,0)),"-"),0)</f>
        <v>0.92090000000000005</v>
      </c>
      <c r="AL38" s="413">
        <f t="shared" si="9"/>
        <v>0.80505925040404702</v>
      </c>
      <c r="AM38" s="410"/>
      <c r="AN38" s="410"/>
      <c r="AO38" s="410">
        <f t="shared" si="10"/>
        <v>14071583.3964388</v>
      </c>
      <c r="AP38" s="410">
        <f t="shared" si="11"/>
        <v>0</v>
      </c>
      <c r="AQ38" s="410">
        <f t="shared" si="83"/>
        <v>11328458.381135054</v>
      </c>
      <c r="AR38" s="410"/>
      <c r="AS38" s="410"/>
      <c r="AT38" s="410"/>
      <c r="AU38" s="410">
        <f t="shared" si="12"/>
        <v>0</v>
      </c>
      <c r="AV38" s="410">
        <f t="shared" si="13"/>
        <v>0</v>
      </c>
      <c r="AW38" s="410">
        <f t="shared" si="14"/>
        <v>0</v>
      </c>
      <c r="AX38" s="410"/>
      <c r="AY38" s="410"/>
      <c r="AZ38" s="410"/>
      <c r="BA38" s="410">
        <f t="shared" si="15"/>
        <v>0</v>
      </c>
      <c r="BB38" s="410"/>
      <c r="BC38" s="410"/>
      <c r="BD38" s="410">
        <f t="shared" si="16"/>
        <v>0</v>
      </c>
      <c r="BE38" s="410"/>
      <c r="BF38" s="410"/>
      <c r="BG38" s="410"/>
      <c r="BH38" s="410"/>
      <c r="BI38" s="410">
        <f t="shared" si="17"/>
        <v>0</v>
      </c>
      <c r="BJ38" s="410" t="b">
        <f t="shared" si="18"/>
        <v>1</v>
      </c>
      <c r="BK38" s="509">
        <f>INDEX('Loan Tape - Settled'!$B$4:$AP$55,MATCH($A38,'Loan Tape - Settled'!$E$4:$E$55,0),MATCH("Inception Date",'Loan Tape - Settled'!$B$4:$AP$4,0))</f>
        <v>44911</v>
      </c>
      <c r="BL38" s="509">
        <f>INDEX('Loan Tape - Settled'!$B$4:$AP$55,MATCH($A38,'Loan Tape - Settled'!$E$4:$E$55,0),MATCH("Inclusion Date",'Loan Tape - Settled'!$B$4:$AP$4,0))</f>
        <v>44911</v>
      </c>
      <c r="BM38" s="509">
        <f>INDEX('Loan Tape - Settled'!$B$4:$AP$55,MATCH($A38,'Loan Tape - Settled'!$E$4:$E$55,0),MATCH("Maturity Date",'Loan Tape - Settled'!$B$4:$AP$4,0))</f>
        <v>46737</v>
      </c>
      <c r="BN38" s="510"/>
      <c r="BO38" s="510"/>
      <c r="BP38" s="511"/>
      <c r="BQ38" s="510"/>
      <c r="BR38" s="512" t="str">
        <f>INDEX('Loan Tape - Settled'!$B$4:$AP$55,MATCH($A38,'Loan Tape - Settled'!$E$4:$E$55,0),MATCH("Industry Classification",'Loan Tape - Settled'!$B$4:$AP$4,0))</f>
        <v>Diversified Telecommunication Services</v>
      </c>
      <c r="BS38" s="510" t="str">
        <f>IF(INDEX('Loan Tape - Settled'!$B$4:$AP$55,MATCH($A38,'Loan Tape - Settled'!$E$4:$E$55,0),MATCH("Covenant Lite",'Loan Tape - Settled'!$B$4:$AP$4,0))=-1, "Yes", "No")</f>
        <v>No</v>
      </c>
      <c r="BT38" s="513">
        <f>INDEX('Loan Tape - Settled'!$B$4:$AP$55,MATCH($A38,'Loan Tape - Settled'!$E$4:$E$55,0),MATCH("Spread / Coupon (%)",'Loan Tape - Settled'!$B$4:$AP$4,0))</f>
        <v>6.5000000000000002E-2</v>
      </c>
      <c r="BU38" s="510" t="str">
        <f>IF(INDEX('Loan Tape - Settled'!$B$4:$AP$55,MATCH($A38,'Loan Tape - Settled'!$E$4:$E$55,0),MATCH("Security Type",'Loan Tape - Settled'!$B$4:$AP$4,0))="Delayed Draw Term Loan", "Yes", "No")</f>
        <v>No</v>
      </c>
      <c r="BV38" s="514" t="s">
        <v>244</v>
      </c>
      <c r="BW38" s="514" t="s">
        <v>244</v>
      </c>
      <c r="BX38" s="506" t="s">
        <v>244</v>
      </c>
      <c r="BY38" s="510" t="str">
        <f>IF(INDEX('Loan Tape - Settled'!$B$4:$AP$55,MATCH($A38,'Loan Tape - Settled'!$E$4:$E$55,0),MATCH("Fixed/Floating",'Loan Tape - Settled'!$B$4:$AP$4,0))="Fixed", "Yes", "No")</f>
        <v>No</v>
      </c>
      <c r="BZ38" s="514" t="s">
        <v>244</v>
      </c>
      <c r="CA38" s="514" t="s">
        <v>244</v>
      </c>
      <c r="CB38" s="510" t="str">
        <f>IF(INDEX('Loan Tape - Settled'!$B$4:$AP$55,MATCH($A38,'Loan Tape - Settled'!$E$4:$E$55,0),MATCH("Loan Denomination",'Loan Tape - Settled'!$B$4:$AP$4,0))="CAD", "Yes", "No")</f>
        <v>No</v>
      </c>
      <c r="CC38" s="510" t="str">
        <f>INDEX('Loan Tape - Settled'!$B$4:$AP$55,MATCH($A38,'Loan Tape - Settled'!$E$4:$E$55,0),MATCH("Payment Frequency",'Loan Tape - Settled'!$B$4:$AP$4,0))</f>
        <v>M</v>
      </c>
      <c r="CD38" s="514" t="s">
        <v>244</v>
      </c>
      <c r="CE38" s="510">
        <f>INDEX('Loan Tape - Settled'!$B$4:$AP$55,MATCH($A38,'Loan Tape - Settled'!$E$4:$E$55,0),MATCH("S&amp;P Loan Rating (if applicable)",'Loan Tape - Settled'!$B$4:$AP$4,0))</f>
        <v>0</v>
      </c>
      <c r="CF38" s="510">
        <f>INDEX('Loan Tape - Settled'!$B$4:$AP$55,MATCH($A38,'Loan Tape - Settled'!$E$4:$E$55,0),MATCH("Moody's Loan Rating (if applicable)",'Loan Tape - Settled'!$B$4:$AP$4,0))</f>
        <v>0</v>
      </c>
      <c r="CG38" s="510"/>
      <c r="CH38" s="510"/>
      <c r="CI38" s="515"/>
      <c r="CJ38" s="508" t="str">
        <f>INDEX('Loan Tape - Settled'!$B$4:$BF$55,MATCH($A38,'Loan Tape - Settled'!$E$4:$E$55,0),MATCH("Last Financial Received",'Loan Tape - Settled'!$B$4:$BF$4,0))</f>
        <v>9/30/2025 or Latest Financing</v>
      </c>
      <c r="CK38" s="516">
        <f>INDEX('Loan Tape - Settled'!$B$4:$BJ$55,MATCH($A38,'Loan Tape - Settled'!$E$4:$E$55,0),MATCH("Initial Adjusted TTM EBITDA",'Loan Tape - Settled'!$B$4:$BJ$4,0))</f>
        <v>5.5060000000000002</v>
      </c>
      <c r="CL38" s="516">
        <f>INDEX('Loan Tape - Settled'!$B$4:$BJ$55,MATCH($A38,'Loan Tape - Settled'!$E$4:$E$55,0),MATCH("Initial TTM Non-adjusted EBITDA",'Loan Tape - Settled'!$B$4:$BJ$4,0))</f>
        <v>5.5060000000000002</v>
      </c>
      <c r="CM38" s="417"/>
      <c r="CN38" s="418"/>
      <c r="CO38" s="418"/>
      <c r="CP38" s="419"/>
      <c r="CQ38" s="420" t="s">
        <v>245</v>
      </c>
      <c r="CR38" s="419"/>
      <c r="CS38" s="421">
        <f t="shared" si="19"/>
        <v>5.5060000000000002</v>
      </c>
      <c r="CT38" s="422">
        <f t="shared" si="20"/>
        <v>0</v>
      </c>
      <c r="CU38" s="516">
        <f>INDEX('Loan Tape - Settled'!$B$4:$BJ$55,MATCH($A38,'Loan Tape - Settled'!$E$4:$E$55,0),MATCH("Current TTM Non-adjusted EBITDA",'Loan Tape - Settled'!$B$4:$BJ$4,0))</f>
        <v>23.337815853968991</v>
      </c>
      <c r="CV38" s="423">
        <f t="shared" si="21"/>
        <v>0</v>
      </c>
      <c r="CW38" s="652" t="s">
        <v>245</v>
      </c>
      <c r="CX38" s="517"/>
      <c r="CY38" s="658">
        <f t="shared" si="22"/>
        <v>23.337815853968991</v>
      </c>
      <c r="CZ38" s="656"/>
      <c r="DA38" s="518"/>
      <c r="DB38" s="519"/>
      <c r="DC38" s="853"/>
      <c r="DD38" s="853">
        <f>INDEX('Loan Tape - Settled'!$B$4:$BJ$55,MATCH($A38,'Loan Tape - Settled'!$E$4:$E$55,0),MATCH("Initial Senior Net Leverage Senior",'Loan Tape - Settled'!$B$4:$BJ$4,0))</f>
        <v>2.9059208136578278</v>
      </c>
      <c r="DE38" s="659">
        <f>INDEX('Loan Tape - Settled'!$B$4:$BJ$55,MATCH($A38,'Loan Tape - Settled'!$E$4:$E$55,0),MATCH("Initial Total Net Leverage",'Loan Tape - Settled'!$B$4:$BJ$4,0))</f>
        <v>2.9059208136578278</v>
      </c>
      <c r="DF38" s="656"/>
      <c r="DG38" s="518"/>
      <c r="DH38" s="519"/>
      <c r="DI38" s="424">
        <f>INDEX('Loan Tape - Settled'!$B$4:$BJ$55,MATCH($A38,'Loan Tape - Settled'!$E$4:$E$55,0),MATCH("Net Attachment",'Loan Tape - Settled'!$B$4:$BJ$4,0))</f>
        <v>0.41555509738717328</v>
      </c>
      <c r="DJ38" s="522">
        <f t="array" ref="DJ38">IF(AG38="Yes",INDEX(VAE!$M$5:$M$53,MATCH($B38&amp;$AJ38,VAE!$C$5:$C$53&amp;VAE!$G$5:$G$53,0)),DD38)</f>
        <v>4.4454665529129249</v>
      </c>
      <c r="DK38" s="649">
        <f t="array" ref="DK38">IF(AG38="Yes",INDEX(VAE!$N$5:$N$53,MATCH($B38&amp;$AJ38,VAE!$C$5:$C$53&amp;VAE!$G$5:$G$53,0)),DE38)</f>
        <v>4.4454665529129249</v>
      </c>
      <c r="DL38" s="651">
        <f>INDEX('Loan Tape - Settled'!$B$4:$BJ$55,MATCH($A38,'Loan Tape - Settled'!$E$4:$E$55,0),MATCH("Current Senior Net Leverage Senior",'Loan Tape - Settled'!$B$4:$BJ$4,0))</f>
        <v>5.9545306728592831</v>
      </c>
      <c r="DM38" s="433">
        <f>INDEX('Loan Tape - Settled'!$B$4:$BJ$55,MATCH($A38,'Loan Tape - Settled'!$E$4:$E$55,0),MATCH("Current Total Net Leverage",'Loan Tape - Settled'!$B$4:$BJ$4,0))</f>
        <v>5.9545306728592831</v>
      </c>
      <c r="DN38" s="425"/>
      <c r="DO38" s="426">
        <f>INDEX('Loan Tape - Settled'!$B$4:$BJ$55,MATCH($A38,'Loan Tape - Settled'!$E$4:$E$55,0),MATCH("Initial Interest Coverage",'Loan Tape - Settled'!$B$4:$BJ$4,0))</f>
        <v>2.65</v>
      </c>
      <c r="DP38" s="854" t="str">
        <f t="array" ref="DP38">IF(AG38="Yes",INDEX(VAE!$O$5:$O$53,MATCH($B38&amp;$AJ38,VAE!$C$5:$C$53&amp;VAE!$G$5:$G$53,0)),DO38)</f>
        <v>2.11x</v>
      </c>
      <c r="DQ38" s="427">
        <f>INDEX('Loan Tape - Settled'!$B$4:$BJ$55,MATCH($A38,'Loan Tape - Settled'!$E$4:$E$55,0),MATCH("Current Interest Coverage",'Loan Tape - Settled'!$B$4:$BJ$4,0))</f>
        <v>0</v>
      </c>
      <c r="DR38" s="855" t="str">
        <f t="shared" si="23"/>
        <v>Yes</v>
      </c>
      <c r="DS38" s="428">
        <f>IF(AG38="Yes",DATEDIF(AJ38,Availability!$F$8,"m"),"")</f>
        <v>2</v>
      </c>
      <c r="DT38" s="428" t="str">
        <f t="shared" si="24"/>
        <v>No</v>
      </c>
      <c r="DU38" s="647" t="str">
        <f t="shared" si="25"/>
        <v>N/A</v>
      </c>
      <c r="DV38" s="648" t="str">
        <f t="shared" si="26"/>
        <v>Yes</v>
      </c>
      <c r="DW38" s="648" t="str">
        <f t="array" ref="DW38">_xlfn.IFS(D38&lt;&gt;"Second Lien","No",D38="Second Lien",IF(AND((DM38-DK38)&gt;0.5,DM38&gt;4.5),"Yes","No"))</f>
        <v>No</v>
      </c>
      <c r="DX38" s="685" t="s">
        <v>244</v>
      </c>
      <c r="DY38" s="685" t="s">
        <v>244</v>
      </c>
      <c r="DZ38" s="686" t="s">
        <v>244</v>
      </c>
      <c r="EA38" s="686" t="s">
        <v>244</v>
      </c>
      <c r="EB38" s="686" t="s">
        <v>244</v>
      </c>
      <c r="EC38" s="686" t="s">
        <v>244</v>
      </c>
      <c r="ED38" s="686" t="s">
        <v>244</v>
      </c>
      <c r="EE38" s="686" t="s">
        <v>244</v>
      </c>
      <c r="EF38" s="409" t="str">
        <f t="shared" si="27"/>
        <v>No</v>
      </c>
      <c r="EG38" s="686" t="s">
        <v>244</v>
      </c>
      <c r="EH38" s="691" t="s">
        <v>244</v>
      </c>
      <c r="EI38" s="856" t="str">
        <f t="array" ref="EI38">IF(D38="First Lien",_xlfn.IFS(CY38&gt;AGENT!$B$23, "&gt; $20MM",CY38&lt;=AGENT!$C$25, "&lt;= $10MM",AND(CY38&lt;=AGENT!$C$24,CY38&gt;AGENT!$B$24),"&lt;= $20MM"), "N/A")</f>
        <v>&gt; $20MM</v>
      </c>
      <c r="EJ38" s="856" t="str">
        <f t="array" ref="EJ38">IF(D38="FILO",_xlfn.IFS(DI38&gt;AGENT!$B$29, "&gt; 1.25x",DI38&lt;AGENT!$C$27, "&lt; 0.75x",AND(DI38&lt;=AGENT!$C$28,DI38&gt;=AGENT!$B$28),"&lt;= 1.25x"), "N/A")</f>
        <v>N/A</v>
      </c>
      <c r="EK38" s="429">
        <f t="shared" si="28"/>
        <v>11328458.381135054</v>
      </c>
      <c r="EL38" s="429">
        <f>'Concentration Limits'!$J$49</f>
        <v>49599340.729726665</v>
      </c>
      <c r="EM38" s="429" t="str">
        <f>IF(OR(D38="Second Lien",AND(D38="FILO",DI38&gt;AGENT!$C$57)), "Yes", "No")</f>
        <v>No</v>
      </c>
      <c r="EN38" s="429">
        <f t="shared" si="29"/>
        <v>0</v>
      </c>
      <c r="EO38" s="429">
        <f t="shared" si="30"/>
        <v>0</v>
      </c>
      <c r="EP38" s="429">
        <f t="shared" si="31"/>
        <v>11328458.381135054</v>
      </c>
      <c r="EQ38" s="429">
        <f>'Concentration Limits'!$J$50</f>
        <v>24799670.364863332</v>
      </c>
      <c r="ER38" s="429">
        <f t="shared" si="32"/>
        <v>0</v>
      </c>
      <c r="ES38" s="429">
        <f t="shared" si="84"/>
        <v>0</v>
      </c>
      <c r="ET38" s="429">
        <f t="shared" si="33"/>
        <v>11328458.381135054</v>
      </c>
      <c r="EU38" s="429">
        <f>'Concentration Limits'!$J$51</f>
        <v>74399011.094589993</v>
      </c>
      <c r="EV38" s="429" t="str">
        <f>IF(OR(D38="Second Lien", AND(D38="FILO",DI38&gt;AGENT!$C$59)), "Yes", "No")</f>
        <v>No</v>
      </c>
      <c r="EW38" s="429">
        <f t="shared" si="34"/>
        <v>0</v>
      </c>
      <c r="EX38" s="429">
        <f t="shared" si="35"/>
        <v>0</v>
      </c>
      <c r="EY38" s="429">
        <f t="shared" si="36"/>
        <v>11328458.381135054</v>
      </c>
      <c r="EZ38" s="429">
        <f>'Concentration Limits'!$J$52</f>
        <v>37199505.547294997</v>
      </c>
      <c r="FA38" s="429" t="str">
        <f>IF(CY38&gt;'Concentration Limits'!$E$52, "No", "Yes")</f>
        <v>No</v>
      </c>
      <c r="FB38" s="429">
        <f t="shared" si="37"/>
        <v>0</v>
      </c>
      <c r="FC38" s="429">
        <f t="shared" si="38"/>
        <v>0</v>
      </c>
      <c r="FD38" s="429">
        <f t="shared" si="39"/>
        <v>11328458.381135054</v>
      </c>
      <c r="FE38" s="430">
        <f>'Concentration Limits'!$J$54</f>
        <v>247996703.6486333</v>
      </c>
      <c r="FF38" s="430">
        <f>'Concentration Limits'!$J$55</f>
        <v>247996703.6486333</v>
      </c>
      <c r="FG38" s="430">
        <f>'Concentration Limits'!$J$56</f>
        <v>247996703.6486333</v>
      </c>
      <c r="FH38" s="431">
        <f>'Concentration Limits'!$J$57</f>
        <v>18599752.773647498</v>
      </c>
      <c r="FI38" s="431">
        <f t="shared" si="40"/>
        <v>11328458.381135054</v>
      </c>
      <c r="FJ38" s="431">
        <f t="shared" si="41"/>
        <v>11328458.381135054</v>
      </c>
      <c r="FK38" s="431">
        <f t="shared" si="42"/>
        <v>9</v>
      </c>
      <c r="FL38" s="431">
        <f>IF(FJ38&gt;0,RANK(FJ38,$FJ$9:$FJ$60)+COUNTIF($FJ$9:FJ38,FJ38)-1,0)</f>
        <v>9</v>
      </c>
      <c r="FM38" s="430">
        <f t="shared" si="43"/>
        <v>0</v>
      </c>
      <c r="FN38" s="430">
        <f t="shared" si="44"/>
        <v>0</v>
      </c>
      <c r="FO38" s="430">
        <f t="shared" si="45"/>
        <v>0</v>
      </c>
      <c r="FP38" s="431">
        <f t="shared" si="46"/>
        <v>0</v>
      </c>
      <c r="FQ38" s="431">
        <f t="shared" si="47"/>
        <v>11328458.381135054</v>
      </c>
      <c r="FR38" s="431">
        <f>'Concentration Limits'!$J$58</f>
        <v>49599340.729726665</v>
      </c>
      <c r="FS38" s="431">
        <f t="shared" si="48"/>
        <v>11328458.381135054</v>
      </c>
      <c r="FT38" s="431">
        <f>VLOOKUP(BR38,'Concentration Limits'!$E$81:$H$153,4,FALSE)</f>
        <v>11</v>
      </c>
      <c r="FU38" s="431">
        <f t="shared" si="49"/>
        <v>0</v>
      </c>
      <c r="FV38" s="431">
        <f t="shared" si="50"/>
        <v>11328458.381135054</v>
      </c>
      <c r="FW38" s="431">
        <f>'Concentration Limits'!$J$59</f>
        <v>37199505.547294997</v>
      </c>
      <c r="FX38" s="431">
        <f t="shared" si="51"/>
        <v>11328458.381135054</v>
      </c>
      <c r="FY38" s="431">
        <f>VLOOKUP(BR38,'Concentration Limits'!$E$81:$H$153,4,FALSE)</f>
        <v>11</v>
      </c>
      <c r="FZ38" s="431">
        <f t="shared" si="52"/>
        <v>0</v>
      </c>
      <c r="GA38" s="431">
        <f t="shared" si="53"/>
        <v>11328458.381135054</v>
      </c>
      <c r="GB38" s="431">
        <f>'Concentration Limits'!$J$61</f>
        <v>24799670.364863332</v>
      </c>
      <c r="GC38" s="431">
        <f t="shared" si="54"/>
        <v>11328458.381135054</v>
      </c>
      <c r="GD38" s="429">
        <f>VLOOKUP(BR38,'Concentration Limits'!$E$81:$H$153,4,FALSE)</f>
        <v>11</v>
      </c>
      <c r="GE38" s="431">
        <f t="shared" si="55"/>
        <v>0</v>
      </c>
      <c r="GF38" s="431">
        <f t="shared" si="56"/>
        <v>11328458.381135054</v>
      </c>
      <c r="GG38" s="431">
        <f>'Concentration Limits'!$J$64</f>
        <v>24799670.364863332</v>
      </c>
      <c r="GH38" s="431">
        <f t="shared" si="57"/>
        <v>0</v>
      </c>
      <c r="GI38" s="431">
        <f t="shared" si="58"/>
        <v>0</v>
      </c>
      <c r="GJ38" s="431">
        <f t="shared" si="59"/>
        <v>11328458.381135054</v>
      </c>
      <c r="GK38" s="431">
        <f>'Concentration Limits'!$J$67</f>
        <v>24799670.364863332</v>
      </c>
      <c r="GL38" s="429" t="str">
        <f t="shared" si="60"/>
        <v>No</v>
      </c>
      <c r="GM38" s="431">
        <f t="shared" si="61"/>
        <v>0</v>
      </c>
      <c r="GN38" s="431">
        <f t="shared" si="62"/>
        <v>0</v>
      </c>
      <c r="GO38" s="431">
        <f t="shared" si="63"/>
        <v>11328458.381135054</v>
      </c>
      <c r="GP38" s="431">
        <f>'Concentration Limits'!$J$68</f>
        <v>37199505.547294997</v>
      </c>
      <c r="GQ38" s="429" t="str">
        <f t="shared" si="64"/>
        <v>No</v>
      </c>
      <c r="GR38" s="431">
        <f t="shared" si="65"/>
        <v>0</v>
      </c>
      <c r="GS38" s="431">
        <f t="shared" si="66"/>
        <v>0</v>
      </c>
      <c r="GT38" s="431">
        <f t="shared" si="67"/>
        <v>11328458.381135054</v>
      </c>
      <c r="GU38" s="429">
        <f>'Concentration Limits'!$J$69</f>
        <v>37199505.547294997</v>
      </c>
      <c r="GV38" s="429" t="str">
        <f t="shared" si="68"/>
        <v>No</v>
      </c>
      <c r="GW38" s="429">
        <f t="shared" si="69"/>
        <v>0</v>
      </c>
      <c r="GX38" s="429">
        <f t="shared" si="70"/>
        <v>0</v>
      </c>
      <c r="GY38" s="429">
        <f t="shared" si="71"/>
        <v>11328458.381135054</v>
      </c>
      <c r="GZ38" s="429">
        <f>'Concentration Limits'!$J$70</f>
        <v>24799670.364863332</v>
      </c>
      <c r="HA38" s="429" t="str">
        <f t="shared" si="72"/>
        <v>No</v>
      </c>
      <c r="HB38" s="429">
        <f t="shared" si="73"/>
        <v>0</v>
      </c>
      <c r="HC38" s="429">
        <f t="shared" si="74"/>
        <v>0</v>
      </c>
      <c r="HD38" s="429">
        <f t="shared" si="75"/>
        <v>11328458.381135054</v>
      </c>
      <c r="HE38" s="431">
        <f t="shared" si="76"/>
        <v>11328458.381135054</v>
      </c>
      <c r="HF38" s="431">
        <f t="shared" si="77"/>
        <v>0</v>
      </c>
      <c r="HG38" s="431">
        <f t="shared" si="78"/>
        <v>0</v>
      </c>
      <c r="HH38" s="431">
        <f t="shared" si="79"/>
        <v>0</v>
      </c>
      <c r="HI38" s="431">
        <f>IF(BE38=0,0,#REF!*BE38/(BE38+BG38))</f>
        <v>0</v>
      </c>
      <c r="HJ38" s="431">
        <f>IF(BG38=0,0,#REF!*BG38/(BG38+BE38))</f>
        <v>0</v>
      </c>
      <c r="HK38" s="857">
        <f>IF(BF38=0,0,#REF!*BF38/(BF38+BH38))</f>
        <v>0</v>
      </c>
      <c r="HL38" s="431">
        <f>IF(BH38=0,0,#REF!*BH38/(BH38+BF38))</f>
        <v>0</v>
      </c>
      <c r="HM38" s="431">
        <f t="shared" si="80"/>
        <v>0</v>
      </c>
      <c r="HN38" s="431" t="b">
        <f t="shared" si="81"/>
        <v>1</v>
      </c>
    </row>
    <row r="39" spans="1:222" s="432" customFormat="1" ht="12.75" customHeight="1" x14ac:dyDescent="0.35">
      <c r="A39" s="49">
        <f t="shared" si="82"/>
        <v>31</v>
      </c>
      <c r="B39" s="404" t="str">
        <f>INDEX('Loan Tape - Settled'!$B$4:$AP$55,MATCH($A39,'Loan Tape - Settled'!$E$4:$E$55,0),MATCH("Obligor Name",'Loan Tape - Settled'!$B$4:$AM$4,0))</f>
        <v>Integrated Pain Associates</v>
      </c>
      <c r="C39" s="404" t="str">
        <f>INDEX('Loan Tape - Settled'!$B$4:$AP$55,MATCH($A39,'Loan Tape - Settled'!$E$4:$E$55,0),MATCH("Security",'Loan Tape - Settled'!$B$4:$AM$4,0))</f>
        <v>1st Lien</v>
      </c>
      <c r="D39" s="405" t="str">
        <f>INDEX('Loan Tape - Settled'!$B$4:$AP$55,MATCH($A39,'Loan Tape - Settled'!$E$4:$E$55,0),MATCH("Loan Type",'Loan Tape - Settled'!$B$4:$AM$4,0))</f>
        <v>First Lien</v>
      </c>
      <c r="E39" s="406" t="b">
        <f>IF(ISERROR(MATCH(D39,AGENT!$A$4:$A$10,0))=FALSE, TRUE)</f>
        <v>1</v>
      </c>
      <c r="F39" s="406" t="b">
        <f t="shared" si="0"/>
        <v>1</v>
      </c>
      <c r="G39" s="406" t="b">
        <f>IF(D39&lt;&gt;"Second Lien",TRUE, IF(CY39&gt;=AGENT!$B$4,TRUE))</f>
        <v>1</v>
      </c>
      <c r="H39" s="406" t="b">
        <f>IF(DE39&lt;=AGENT!$D$4,TRUE)</f>
        <v>1</v>
      </c>
      <c r="I39" s="406" t="b">
        <f>IF(VLOOKUP(CONCATENATE($A$5,A39),'Loan Tape - Settled'!$A$5:$Q$55,17,FALSE)&gt;=AGENT!$E$4,TRUE)</f>
        <v>1</v>
      </c>
      <c r="J39" s="406" t="b">
        <f>IF(INDEX('Loan Tape - Settled'!$B$4:$AP$55,MATCH($A39,'Loan Tape - Settled'!$E$4:$E$55,0),MATCH("Loan Denomination",'Loan Tape - Settled'!$B$4:$AP$4,0))="USD", TRUE)</f>
        <v>1</v>
      </c>
      <c r="K39" s="406" t="b">
        <f>IF(INDEX('Loan Tape - Settled'!$B$4:$AP$55,MATCH($A39,'Loan Tape - Settled'!$E$4:$E$55,0),MATCH("Exposure Country",'Loan Tape - Settled'!$B$4:$AP$4,0))="United States", TRUE)</f>
        <v>1</v>
      </c>
      <c r="L39" s="406" t="b">
        <f t="shared" si="1"/>
        <v>1</v>
      </c>
      <c r="M39" s="406" t="b">
        <f>IF(((BM39-BL39)/365)&lt;=AGENT!$F$4,TRUE)</f>
        <v>1</v>
      </c>
      <c r="N39" s="406" t="b">
        <f t="shared" si="2"/>
        <v>1</v>
      </c>
      <c r="O39" s="453"/>
      <c r="P39" s="709" t="str">
        <f t="shared" si="3"/>
        <v>Yes</v>
      </c>
      <c r="Q39" s="680" t="s">
        <v>243</v>
      </c>
      <c r="R39" s="407" t="str">
        <f t="shared" si="4"/>
        <v>Integrated Pain Associates</v>
      </c>
      <c r="S39" s="407"/>
      <c r="T39" s="408" t="str">
        <f t="array" ref="T39">_xlfn.IFS(D39="Second Lien",D39,D39="First Lien",CONCATENATE(D39," ",EI39),D39="FILO",CONCATENATE(D39," ",EJ39))</f>
        <v>First Lien &lt;= $20MM</v>
      </c>
      <c r="U39" s="409">
        <f>VLOOKUP(T39,'Concentration Limits'!D:G,4,FALSE)</f>
        <v>0.65</v>
      </c>
      <c r="V39" s="410">
        <f t="shared" si="5"/>
        <v>9628542.3950214405</v>
      </c>
      <c r="W39" s="448">
        <f>(SUMIFS('Loan Tape - Settled'!$AR$4:$AR$55,'Loan Tape - Settled'!$E$4:$E$55,$A39,'Loan Tape - Settled'!$C$4:$C$55,$A$5))</f>
        <v>12819254.952764533</v>
      </c>
      <c r="X39" s="449">
        <v>1</v>
      </c>
      <c r="Y39" s="411">
        <f t="shared" si="6"/>
        <v>12819254.952764533</v>
      </c>
      <c r="Z39" s="449">
        <f>(SUMIFS('Loan Tape - Settled'!$AQ$4:$AQ$55,'Loan Tape - Settled'!$E$4:$E$55,$A39,'Loan Tape - Settled'!$C$4:$C$55,$A$5))</f>
        <v>12819254.952764533</v>
      </c>
      <c r="AA39" s="411">
        <f t="shared" si="7"/>
        <v>12819254.952764533</v>
      </c>
      <c r="AB39" s="411">
        <f t="shared" si="8"/>
        <v>0</v>
      </c>
      <c r="AC39" s="450">
        <f>VLOOKUP(CONCATENATE($A$5,A39),'Loan Tape - Settled'!$A$5:$Q$55,17,FALSE)</f>
        <v>1</v>
      </c>
      <c r="AD39" s="412"/>
      <c r="AE39" s="413">
        <f>INDEX('Loan Tape - Settled'!$B$4:$AP$55,MATCH($A39,'Loan Tape - Settled'!$E$4:$E$55,0),MATCH("FMV",'Loan Tape - Settled'!$B$4:$AM$4,0))</f>
        <v>0.99460000000000004</v>
      </c>
      <c r="AF39" s="413">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0.9893592352362377</v>
      </c>
      <c r="AG39" s="414" t="str">
        <f>IF(COUNTIFS(VAE!$C$5:$C$96,B39,VAE!$G$5:$G$96,"&lt;="&amp;Availability!$F$8)&gt;=1,"Yes","-")</f>
        <v>Yes</v>
      </c>
      <c r="AH39" s="414" t="str">
        <f t="array" ref="AH39">IFERROR(IF(AG39="Yes",INDEX(VAE!$D$5:$D$96,MATCH(B39&amp;AJ39,VAE!$C$5:$C$96&amp;VAE!$G$5:$G$96,0)),"-"),0)</f>
        <v>Increase in Lev</v>
      </c>
      <c r="AI39" s="414" t="str">
        <f t="array" ref="AI39">IFERROR(IF(AG39="Yes",INDEX(VAE!$F$5:$F$96,MATCH(B39&amp;AJ39,VAE!$C$5:$C$96&amp;VAE!$G$5:$G$96,0)),"-"),0)</f>
        <v>-</v>
      </c>
      <c r="AJ39" s="415">
        <f>IF(AG39="-","-",_xlfn.MAXIFS(VAE!$G$5:$G$96,VAE!$C$5:$C$96,$B39))</f>
        <v>45747</v>
      </c>
      <c r="AK39" s="416">
        <f t="array" ref="AK39">IFERROR(IF(AG39="Yes",INDEX(VAE!$P$5:$P$96,MATCH(B39&amp;AJ39,VAE!$C$5:$C$96&amp;VAE!$G$5:$G$96,0)),"-"),0)</f>
        <v>0.75109999999999999</v>
      </c>
      <c r="AL39" s="413">
        <f t="shared" si="9"/>
        <v>0.75109999999999999</v>
      </c>
      <c r="AM39" s="410"/>
      <c r="AN39" s="410"/>
      <c r="AO39" s="410">
        <f t="shared" si="10"/>
        <v>12819254.952764533</v>
      </c>
      <c r="AP39" s="410">
        <f t="shared" si="11"/>
        <v>0</v>
      </c>
      <c r="AQ39" s="410">
        <f t="shared" si="83"/>
        <v>9628542.3950214405</v>
      </c>
      <c r="AR39" s="410"/>
      <c r="AS39" s="410"/>
      <c r="AT39" s="410"/>
      <c r="AU39" s="410">
        <f t="shared" si="12"/>
        <v>0</v>
      </c>
      <c r="AV39" s="410">
        <f t="shared" si="13"/>
        <v>0</v>
      </c>
      <c r="AW39" s="410">
        <f t="shared" si="14"/>
        <v>0</v>
      </c>
      <c r="AX39" s="410"/>
      <c r="AY39" s="410"/>
      <c r="AZ39" s="410"/>
      <c r="BA39" s="410">
        <f t="shared" si="15"/>
        <v>0</v>
      </c>
      <c r="BB39" s="410"/>
      <c r="BC39" s="410"/>
      <c r="BD39" s="410">
        <f t="shared" si="16"/>
        <v>0</v>
      </c>
      <c r="BE39" s="410"/>
      <c r="BF39" s="410"/>
      <c r="BG39" s="410"/>
      <c r="BH39" s="410"/>
      <c r="BI39" s="410">
        <f t="shared" si="17"/>
        <v>0</v>
      </c>
      <c r="BJ39" s="410" t="b">
        <f t="shared" si="18"/>
        <v>1</v>
      </c>
      <c r="BK39" s="509">
        <f>INDEX('Loan Tape - Settled'!$B$4:$AP$55,MATCH($A39,'Loan Tape - Settled'!$E$4:$E$55,0),MATCH("Inception Date",'Loan Tape - Settled'!$B$4:$AP$4,0))</f>
        <v>44935</v>
      </c>
      <c r="BL39" s="509">
        <f>INDEX('Loan Tape - Settled'!$B$4:$AP$55,MATCH($A39,'Loan Tape - Settled'!$E$4:$E$55,0),MATCH("Inclusion Date",'Loan Tape - Settled'!$B$4:$AP$4,0))</f>
        <v>44935</v>
      </c>
      <c r="BM39" s="509">
        <f>INDEX('Loan Tape - Settled'!$B$4:$AP$55,MATCH($A39,'Loan Tape - Settled'!$E$4:$E$55,0),MATCH("Maturity Date",'Loan Tape - Settled'!$B$4:$AP$4,0))</f>
        <v>46761</v>
      </c>
      <c r="BN39" s="510"/>
      <c r="BO39" s="510"/>
      <c r="BP39" s="511"/>
      <c r="BQ39" s="510"/>
      <c r="BR39" s="512" t="str">
        <f>INDEX('Loan Tape - Settled'!$B$4:$AP$55,MATCH($A39,'Loan Tape - Settled'!$E$4:$E$55,0),MATCH("Industry Classification",'Loan Tape - Settled'!$B$4:$AP$4,0))</f>
        <v>Health Care Providers &amp; Services</v>
      </c>
      <c r="BS39" s="510" t="str">
        <f>IF(INDEX('Loan Tape - Settled'!$B$4:$AP$55,MATCH($A39,'Loan Tape - Settled'!$E$4:$E$55,0),MATCH("Covenant Lite",'Loan Tape - Settled'!$B$4:$AP$4,0))=-1, "Yes", "No")</f>
        <v>No</v>
      </c>
      <c r="BT39" s="513">
        <f>INDEX('Loan Tape - Settled'!$B$4:$AP$55,MATCH($A39,'Loan Tape - Settled'!$E$4:$E$55,0),MATCH("Spread / Coupon (%)",'Loan Tape - Settled'!$B$4:$AP$4,0))</f>
        <v>7.7499999999999999E-2</v>
      </c>
      <c r="BU39" s="510" t="str">
        <f>IF(INDEX('Loan Tape - Settled'!$B$4:$AP$55,MATCH($A39,'Loan Tape - Settled'!$E$4:$E$55,0),MATCH("Security Type",'Loan Tape - Settled'!$B$4:$AP$4,0))="Delayed Draw Term Loan", "Yes", "No")</f>
        <v>No</v>
      </c>
      <c r="BV39" s="514" t="s">
        <v>244</v>
      </c>
      <c r="BW39" s="514" t="s">
        <v>244</v>
      </c>
      <c r="BX39" s="506" t="s">
        <v>244</v>
      </c>
      <c r="BY39" s="510" t="str">
        <f>IF(INDEX('Loan Tape - Settled'!$B$4:$AP$55,MATCH($A39,'Loan Tape - Settled'!$E$4:$E$55,0),MATCH("Fixed/Floating",'Loan Tape - Settled'!$B$4:$AP$4,0))="Fixed", "Yes", "No")</f>
        <v>No</v>
      </c>
      <c r="BZ39" s="514" t="s">
        <v>244</v>
      </c>
      <c r="CA39" s="514" t="s">
        <v>244</v>
      </c>
      <c r="CB39" s="510" t="str">
        <f>IF(INDEX('Loan Tape - Settled'!$B$4:$AP$55,MATCH($A39,'Loan Tape - Settled'!$E$4:$E$55,0),MATCH("Loan Denomination",'Loan Tape - Settled'!$B$4:$AP$4,0))="CAD", "Yes", "No")</f>
        <v>No</v>
      </c>
      <c r="CC39" s="510" t="str">
        <f>INDEX('Loan Tape - Settled'!$B$4:$AP$55,MATCH($A39,'Loan Tape - Settled'!$E$4:$E$55,0),MATCH("Payment Frequency",'Loan Tape - Settled'!$B$4:$AP$4,0))</f>
        <v>M</v>
      </c>
      <c r="CD39" s="514" t="s">
        <v>244</v>
      </c>
      <c r="CE39" s="510">
        <f>INDEX('Loan Tape - Settled'!$B$4:$AP$55,MATCH($A39,'Loan Tape - Settled'!$E$4:$E$55,0),MATCH("S&amp;P Loan Rating (if applicable)",'Loan Tape - Settled'!$B$4:$AP$4,0))</f>
        <v>0</v>
      </c>
      <c r="CF39" s="510">
        <f>INDEX('Loan Tape - Settled'!$B$4:$AP$55,MATCH($A39,'Loan Tape - Settled'!$E$4:$E$55,0),MATCH("Moody's Loan Rating (if applicable)",'Loan Tape - Settled'!$B$4:$AP$4,0))</f>
        <v>0</v>
      </c>
      <c r="CG39" s="510"/>
      <c r="CH39" s="510"/>
      <c r="CI39" s="515"/>
      <c r="CJ39" s="508" t="str">
        <f>INDEX('Loan Tape - Settled'!$B$4:$BF$55,MATCH($A39,'Loan Tape - Settled'!$E$4:$E$55,0),MATCH("Last Financial Received",'Loan Tape - Settled'!$B$4:$BF$4,0))</f>
        <v>9/30/2025 or Latest Financing</v>
      </c>
      <c r="CK39" s="516">
        <f>INDEX('Loan Tape - Settled'!$B$4:$BJ$55,MATCH($A39,'Loan Tape - Settled'!$E$4:$E$55,0),MATCH("Initial Adjusted TTM EBITDA",'Loan Tape - Settled'!$B$4:$BJ$4,0))</f>
        <v>16.442</v>
      </c>
      <c r="CL39" s="516">
        <f>INDEX('Loan Tape - Settled'!$B$4:$BJ$55,MATCH($A39,'Loan Tape - Settled'!$E$4:$E$55,0),MATCH("Initial TTM Non-adjusted EBITDA",'Loan Tape - Settled'!$B$4:$BJ$4,0))</f>
        <v>16.442</v>
      </c>
      <c r="CM39" s="417"/>
      <c r="CN39" s="418"/>
      <c r="CO39" s="418"/>
      <c r="CP39" s="419"/>
      <c r="CQ39" s="420" t="s">
        <v>245</v>
      </c>
      <c r="CR39" s="419"/>
      <c r="CS39" s="421">
        <f t="shared" si="19"/>
        <v>16.442</v>
      </c>
      <c r="CT39" s="422">
        <f t="shared" si="20"/>
        <v>0</v>
      </c>
      <c r="CU39" s="516">
        <f>INDEX('Loan Tape - Settled'!$B$4:$BJ$55,MATCH($A39,'Loan Tape - Settled'!$E$4:$E$55,0),MATCH("Current TTM Non-adjusted EBITDA",'Loan Tape - Settled'!$B$4:$BJ$4,0))</f>
        <v>17.294828210000002</v>
      </c>
      <c r="CV39" s="423">
        <f t="shared" si="21"/>
        <v>0</v>
      </c>
      <c r="CW39" s="652" t="s">
        <v>245</v>
      </c>
      <c r="CX39" s="517"/>
      <c r="CY39" s="658">
        <f t="shared" si="22"/>
        <v>17.294828210000002</v>
      </c>
      <c r="CZ39" s="656"/>
      <c r="DA39" s="518"/>
      <c r="DB39" s="519"/>
      <c r="DC39" s="853"/>
      <c r="DD39" s="853">
        <f>INDEX('Loan Tape - Settled'!$B$4:$BJ$55,MATCH($A39,'Loan Tape - Settled'!$E$4:$E$55,0),MATCH("Initial Senior Net Leverage Senior",'Loan Tape - Settled'!$B$4:$BJ$4,0))</f>
        <v>4.1053399829704418</v>
      </c>
      <c r="DE39" s="659">
        <f>INDEX('Loan Tape - Settled'!$B$4:$BJ$55,MATCH($A39,'Loan Tape - Settled'!$E$4:$E$55,0),MATCH("Initial Total Net Leverage",'Loan Tape - Settled'!$B$4:$BJ$4,0))</f>
        <v>4.1053399829704418</v>
      </c>
      <c r="DF39" s="656"/>
      <c r="DG39" s="518"/>
      <c r="DH39" s="519"/>
      <c r="DI39" s="424">
        <f>INDEX('Loan Tape - Settled'!$B$4:$BJ$55,MATCH($A39,'Loan Tape - Settled'!$E$4:$E$55,0),MATCH("Net Attachment",'Loan Tape - Settled'!$B$4:$BJ$4,0))</f>
        <v>-0.41207590578316589</v>
      </c>
      <c r="DJ39" s="522">
        <f t="array" ref="DJ39">IF(AG39="Yes",INDEX(VAE!$M$5:$M$53,MATCH($B39&amp;$AJ39,VAE!$C$5:$C$53&amp;VAE!$G$5:$G$53,0)),DD39)</f>
        <v>5.57</v>
      </c>
      <c r="DK39" s="649">
        <f t="array" ref="DK39">IF(AG39="Yes",INDEX(VAE!$N$5:$N$53,MATCH($B39&amp;$AJ39,VAE!$C$5:$C$53&amp;VAE!$G$5:$G$53,0)),DE39)</f>
        <v>5.5736541377034516</v>
      </c>
      <c r="DL39" s="651">
        <f>INDEX('Loan Tape - Settled'!$B$4:$BJ$55,MATCH($A39,'Loan Tape - Settled'!$E$4:$E$55,0),MATCH("Current Senior Net Leverage Senior",'Loan Tape - Settled'!$B$4:$BJ$4,0))</f>
        <v>3.7873352457543721</v>
      </c>
      <c r="DM39" s="433">
        <f>INDEX('Loan Tape - Settled'!$B$4:$BJ$55,MATCH($A39,'Loan Tape - Settled'!$E$4:$E$55,0),MATCH("Current Total Net Leverage",'Loan Tape - Settled'!$B$4:$BJ$4,0))</f>
        <v>3.7873352457543721</v>
      </c>
      <c r="DN39" s="425"/>
      <c r="DO39" s="426">
        <f>INDEX('Loan Tape - Settled'!$B$4:$BJ$55,MATCH($A39,'Loan Tape - Settled'!$E$4:$E$55,0),MATCH("Initial Interest Coverage",'Loan Tape - Settled'!$B$4:$BJ$4,0))</f>
        <v>1.86</v>
      </c>
      <c r="DP39" s="854">
        <f t="array" ref="DP39">IF(AG39="Yes",INDEX(VAE!$O$5:$O$53,MATCH($B39&amp;$AJ39,VAE!$C$5:$C$53&amp;VAE!$G$5:$G$53,0)),DO39)</f>
        <v>1.22</v>
      </c>
      <c r="DQ39" s="427">
        <f>INDEX('Loan Tape - Settled'!$B$4:$BJ$55,MATCH($A39,'Loan Tape - Settled'!$E$4:$E$55,0),MATCH("Current Interest Coverage",'Loan Tape - Settled'!$B$4:$BJ$4,0))</f>
        <v>2.0098450785700002</v>
      </c>
      <c r="DR39" s="855" t="str">
        <f t="shared" si="23"/>
        <v>No</v>
      </c>
      <c r="DS39" s="428">
        <f>IF(AG39="Yes",DATEDIF(AJ39,Availability!$F$8,"m"),"")</f>
        <v>9</v>
      </c>
      <c r="DT39" s="428" t="str">
        <f t="shared" si="24"/>
        <v>No</v>
      </c>
      <c r="DU39" s="647" t="str">
        <f t="shared" si="25"/>
        <v>No</v>
      </c>
      <c r="DV39" s="648" t="str">
        <f t="shared" si="26"/>
        <v>No</v>
      </c>
      <c r="DW39" s="648" t="str">
        <f t="array" ref="DW39">_xlfn.IFS(D39&lt;&gt;"Second Lien","No",D39="Second Lien",IF(AND((DM39-DK39)&gt;0.5,DM39&gt;4.5),"Yes","No"))</f>
        <v>No</v>
      </c>
      <c r="DX39" s="685" t="s">
        <v>244</v>
      </c>
      <c r="DY39" s="685" t="s">
        <v>244</v>
      </c>
      <c r="DZ39" s="686" t="s">
        <v>244</v>
      </c>
      <c r="EA39" s="686" t="s">
        <v>244</v>
      </c>
      <c r="EB39" s="686" t="s">
        <v>244</v>
      </c>
      <c r="EC39" s="686" t="s">
        <v>244</v>
      </c>
      <c r="ED39" s="686" t="s">
        <v>244</v>
      </c>
      <c r="EE39" s="686" t="s">
        <v>244</v>
      </c>
      <c r="EF39" s="409" t="str">
        <f t="shared" si="27"/>
        <v>No</v>
      </c>
      <c r="EG39" s="686" t="s">
        <v>244</v>
      </c>
      <c r="EH39" s="691" t="s">
        <v>244</v>
      </c>
      <c r="EI39" s="856" t="str">
        <f t="array" ref="EI39">IF(D39="First Lien",_xlfn.IFS(CY39&gt;AGENT!$B$23, "&gt; $20MM",CY39&lt;=AGENT!$C$25, "&lt;= $10MM",AND(CY39&lt;=AGENT!$C$24,CY39&gt;AGENT!$B$24),"&lt;= $20MM"), "N/A")</f>
        <v>&lt;= $20MM</v>
      </c>
      <c r="EJ39" s="856" t="str">
        <f t="array" ref="EJ39">IF(D39="FILO",_xlfn.IFS(DI39&gt;AGENT!$B$29, "&gt; 1.25x",DI39&lt;AGENT!$C$27, "&lt; 0.75x",AND(DI39&lt;=AGENT!$C$28,DI39&gt;=AGENT!$B$28),"&lt;= 1.25x"), "N/A")</f>
        <v>N/A</v>
      </c>
      <c r="EK39" s="429">
        <f t="shared" si="28"/>
        <v>9628542.3950214405</v>
      </c>
      <c r="EL39" s="429">
        <f>'Concentration Limits'!$J$49</f>
        <v>49599340.729726665</v>
      </c>
      <c r="EM39" s="429" t="str">
        <f>IF(OR(D39="Second Lien",AND(D39="FILO",DI39&gt;AGENT!$C$57)), "Yes", "No")</f>
        <v>No</v>
      </c>
      <c r="EN39" s="429">
        <f t="shared" si="29"/>
        <v>0</v>
      </c>
      <c r="EO39" s="429">
        <f t="shared" si="30"/>
        <v>0</v>
      </c>
      <c r="EP39" s="429">
        <f t="shared" si="31"/>
        <v>9628542.3950214405</v>
      </c>
      <c r="EQ39" s="429">
        <f>'Concentration Limits'!$J$50</f>
        <v>24799670.364863332</v>
      </c>
      <c r="ER39" s="429">
        <f t="shared" si="32"/>
        <v>0</v>
      </c>
      <c r="ES39" s="429">
        <f t="shared" si="84"/>
        <v>0</v>
      </c>
      <c r="ET39" s="429">
        <f t="shared" si="33"/>
        <v>9628542.3950214405</v>
      </c>
      <c r="EU39" s="429">
        <f>'Concentration Limits'!$J$51</f>
        <v>74399011.094589993</v>
      </c>
      <c r="EV39" s="429" t="str">
        <f>IF(OR(D39="Second Lien", AND(D39="FILO",DI39&gt;AGENT!$C$59)), "Yes", "No")</f>
        <v>No</v>
      </c>
      <c r="EW39" s="429">
        <f t="shared" si="34"/>
        <v>0</v>
      </c>
      <c r="EX39" s="429">
        <f t="shared" si="35"/>
        <v>0</v>
      </c>
      <c r="EY39" s="429">
        <f t="shared" si="36"/>
        <v>9628542.3950214405</v>
      </c>
      <c r="EZ39" s="429">
        <f>'Concentration Limits'!$J$52</f>
        <v>37199505.547294997</v>
      </c>
      <c r="FA39" s="429" t="str">
        <f>IF(CY39&gt;'Concentration Limits'!$E$52, "No", "Yes")</f>
        <v>No</v>
      </c>
      <c r="FB39" s="429">
        <f t="shared" si="37"/>
        <v>0</v>
      </c>
      <c r="FC39" s="429">
        <f t="shared" si="38"/>
        <v>0</v>
      </c>
      <c r="FD39" s="429">
        <f t="shared" si="39"/>
        <v>9628542.3950214405</v>
      </c>
      <c r="FE39" s="430">
        <f>'Concentration Limits'!$J$54</f>
        <v>247996703.6486333</v>
      </c>
      <c r="FF39" s="430">
        <f>'Concentration Limits'!$J$55</f>
        <v>247996703.6486333</v>
      </c>
      <c r="FG39" s="430">
        <f>'Concentration Limits'!$J$56</f>
        <v>247996703.6486333</v>
      </c>
      <c r="FH39" s="431">
        <f>'Concentration Limits'!$J$57</f>
        <v>18599752.773647498</v>
      </c>
      <c r="FI39" s="431">
        <f t="shared" si="40"/>
        <v>9628542.3950214405</v>
      </c>
      <c r="FJ39" s="431">
        <f t="shared" si="41"/>
        <v>9628542.3950214405</v>
      </c>
      <c r="FK39" s="431">
        <f t="shared" si="42"/>
        <v>13</v>
      </c>
      <c r="FL39" s="431">
        <f>IF(FJ39&gt;0,RANK(FJ39,$FJ$9:$FJ$60)+COUNTIF($FJ$9:FJ39,FJ39)-1,0)</f>
        <v>13</v>
      </c>
      <c r="FM39" s="430">
        <f t="shared" si="43"/>
        <v>0</v>
      </c>
      <c r="FN39" s="430">
        <f t="shared" si="44"/>
        <v>0</v>
      </c>
      <c r="FO39" s="430">
        <f t="shared" si="45"/>
        <v>0</v>
      </c>
      <c r="FP39" s="431">
        <f t="shared" si="46"/>
        <v>0</v>
      </c>
      <c r="FQ39" s="431">
        <f t="shared" si="47"/>
        <v>9628542.3950214405</v>
      </c>
      <c r="FR39" s="431">
        <f>'Concentration Limits'!$J$58</f>
        <v>49599340.729726665</v>
      </c>
      <c r="FS39" s="431">
        <f t="shared" si="48"/>
        <v>16096607.119937314</v>
      </c>
      <c r="FT39" s="431">
        <f>VLOOKUP(BR39,'Concentration Limits'!$E$81:$H$153,4,FALSE)</f>
        <v>5</v>
      </c>
      <c r="FU39" s="431">
        <f t="shared" si="49"/>
        <v>0</v>
      </c>
      <c r="FV39" s="431">
        <f t="shared" si="50"/>
        <v>9628542.3950214405</v>
      </c>
      <c r="FW39" s="431">
        <f>'Concentration Limits'!$J$59</f>
        <v>37199505.547294997</v>
      </c>
      <c r="FX39" s="431">
        <f t="shared" si="51"/>
        <v>16096607.119937314</v>
      </c>
      <c r="FY39" s="431">
        <f>VLOOKUP(BR39,'Concentration Limits'!$E$81:$H$153,4,FALSE)</f>
        <v>5</v>
      </c>
      <c r="FZ39" s="431">
        <f t="shared" si="52"/>
        <v>0</v>
      </c>
      <c r="GA39" s="431">
        <f t="shared" si="53"/>
        <v>9628542.3950214405</v>
      </c>
      <c r="GB39" s="431">
        <f>'Concentration Limits'!$J$61</f>
        <v>24799670.364863332</v>
      </c>
      <c r="GC39" s="431">
        <f t="shared" si="54"/>
        <v>16096607.119937314</v>
      </c>
      <c r="GD39" s="429">
        <f>VLOOKUP(BR39,'Concentration Limits'!$E$81:$H$153,4,FALSE)</f>
        <v>5</v>
      </c>
      <c r="GE39" s="431">
        <f t="shared" si="55"/>
        <v>0</v>
      </c>
      <c r="GF39" s="431">
        <f t="shared" si="56"/>
        <v>9628542.3950214405</v>
      </c>
      <c r="GG39" s="431">
        <f>'Concentration Limits'!$J$64</f>
        <v>24799670.364863332</v>
      </c>
      <c r="GH39" s="431">
        <f t="shared" si="57"/>
        <v>0</v>
      </c>
      <c r="GI39" s="431">
        <f t="shared" si="58"/>
        <v>0</v>
      </c>
      <c r="GJ39" s="431">
        <f t="shared" si="59"/>
        <v>9628542.3950214405</v>
      </c>
      <c r="GK39" s="431">
        <f>'Concentration Limits'!$J$67</f>
        <v>24799670.364863332</v>
      </c>
      <c r="GL39" s="429" t="str">
        <f t="shared" si="60"/>
        <v>No</v>
      </c>
      <c r="GM39" s="431">
        <f t="shared" si="61"/>
        <v>0</v>
      </c>
      <c r="GN39" s="431">
        <f t="shared" si="62"/>
        <v>0</v>
      </c>
      <c r="GO39" s="431">
        <f t="shared" si="63"/>
        <v>9628542.3950214405</v>
      </c>
      <c r="GP39" s="431">
        <f>'Concentration Limits'!$J$68</f>
        <v>37199505.547294997</v>
      </c>
      <c r="GQ39" s="429" t="str">
        <f t="shared" si="64"/>
        <v>No</v>
      </c>
      <c r="GR39" s="431">
        <f t="shared" si="65"/>
        <v>0</v>
      </c>
      <c r="GS39" s="431">
        <f t="shared" si="66"/>
        <v>0</v>
      </c>
      <c r="GT39" s="431">
        <f t="shared" si="67"/>
        <v>9628542.3950214405</v>
      </c>
      <c r="GU39" s="429">
        <f>'Concentration Limits'!$J$69</f>
        <v>37199505.547294997</v>
      </c>
      <c r="GV39" s="429" t="str">
        <f t="shared" si="68"/>
        <v>No</v>
      </c>
      <c r="GW39" s="429">
        <f t="shared" si="69"/>
        <v>0</v>
      </c>
      <c r="GX39" s="429">
        <f t="shared" si="70"/>
        <v>0</v>
      </c>
      <c r="GY39" s="429">
        <f t="shared" si="71"/>
        <v>9628542.3950214405</v>
      </c>
      <c r="GZ39" s="429">
        <f>'Concentration Limits'!$J$70</f>
        <v>24799670.364863332</v>
      </c>
      <c r="HA39" s="429" t="str">
        <f t="shared" si="72"/>
        <v>No</v>
      </c>
      <c r="HB39" s="429">
        <f t="shared" si="73"/>
        <v>0</v>
      </c>
      <c r="HC39" s="429">
        <f t="shared" si="74"/>
        <v>0</v>
      </c>
      <c r="HD39" s="429">
        <f t="shared" si="75"/>
        <v>9628542.3950214405</v>
      </c>
      <c r="HE39" s="431">
        <f t="shared" si="76"/>
        <v>9628542.3950214405</v>
      </c>
      <c r="HF39" s="431">
        <f t="shared" si="77"/>
        <v>0</v>
      </c>
      <c r="HG39" s="431">
        <f t="shared" si="78"/>
        <v>0</v>
      </c>
      <c r="HH39" s="431">
        <f t="shared" si="79"/>
        <v>0</v>
      </c>
      <c r="HI39" s="431">
        <f>IF(BE39=0,0,#REF!*BE39/(BE39+BG39))</f>
        <v>0</v>
      </c>
      <c r="HJ39" s="431">
        <f>IF(BG39=0,0,#REF!*BG39/(BG39+BE39))</f>
        <v>0</v>
      </c>
      <c r="HK39" s="857">
        <f>IF(BF39=0,0,#REF!*BF39/(BF39+BH39))</f>
        <v>0</v>
      </c>
      <c r="HL39" s="431">
        <f>IF(BH39=0,0,#REF!*BH39/(BH39+BF39))</f>
        <v>0</v>
      </c>
      <c r="HM39" s="431">
        <f t="shared" si="80"/>
        <v>0</v>
      </c>
      <c r="HN39" s="431" t="b">
        <f t="shared" si="81"/>
        <v>1</v>
      </c>
    </row>
    <row r="40" spans="1:222" s="432" customFormat="1" ht="12.75" customHeight="1" x14ac:dyDescent="0.35">
      <c r="A40" s="49">
        <f t="shared" si="82"/>
        <v>32</v>
      </c>
      <c r="B40" s="404" t="str">
        <f>INDEX('Loan Tape - Settled'!$B$4:$AP$55,MATCH($A40,'Loan Tape - Settled'!$E$4:$E$55,0),MATCH("Obligor Name",'Loan Tape - Settled'!$B$4:$AM$4,0))</f>
        <v>Vertical Mechanical Group</v>
      </c>
      <c r="C40" s="404" t="str">
        <f>INDEX('Loan Tape - Settled'!$B$4:$AP$55,MATCH($A40,'Loan Tape - Settled'!$E$4:$E$55,0),MATCH("Security",'Loan Tape - Settled'!$B$4:$AM$4,0))</f>
        <v>FILO</v>
      </c>
      <c r="D40" s="405" t="str">
        <f>INDEX('Loan Tape - Settled'!$B$4:$AP$55,MATCH($A40,'Loan Tape - Settled'!$E$4:$E$55,0),MATCH("Loan Type",'Loan Tape - Settled'!$B$4:$AM$4,0))</f>
        <v>FILO</v>
      </c>
      <c r="E40" s="406" t="b">
        <f>IF(ISERROR(MATCH(D40,AGENT!$A$4:$A$10,0))=FALSE, TRUE)</f>
        <v>1</v>
      </c>
      <c r="F40" s="406" t="b">
        <f t="shared" si="0"/>
        <v>1</v>
      </c>
      <c r="G40" s="406" t="b">
        <f>IF(D40&lt;&gt;"Second Lien",TRUE, IF(CY40&gt;=AGENT!$B$4,TRUE))</f>
        <v>1</v>
      </c>
      <c r="H40" s="406" t="b">
        <f>IF(DE40&lt;=AGENT!$D$4,TRUE)</f>
        <v>1</v>
      </c>
      <c r="I40" s="406" t="b">
        <f>IF(VLOOKUP(CONCATENATE($A$5,A40),'Loan Tape - Settled'!$A$5:$Q$55,17,FALSE)&gt;=AGENT!$E$4,TRUE)</f>
        <v>1</v>
      </c>
      <c r="J40" s="406" t="b">
        <f>IF(INDEX('Loan Tape - Settled'!$B$4:$AP$55,MATCH($A40,'Loan Tape - Settled'!$E$4:$E$55,0),MATCH("Loan Denomination",'Loan Tape - Settled'!$B$4:$AP$4,0))="USD", TRUE)</f>
        <v>1</v>
      </c>
      <c r="K40" s="406" t="b">
        <f>IF(INDEX('Loan Tape - Settled'!$B$4:$AP$55,MATCH($A40,'Loan Tape - Settled'!$E$4:$E$55,0),MATCH("Exposure Country",'Loan Tape - Settled'!$B$4:$AP$4,0))="United States", TRUE)</f>
        <v>1</v>
      </c>
      <c r="L40" s="406" t="b">
        <f t="shared" si="1"/>
        <v>1</v>
      </c>
      <c r="M40" s="406" t="b">
        <f>IF(((BM40-BL40)/365)&lt;=AGENT!$F$4,TRUE)</f>
        <v>1</v>
      </c>
      <c r="N40" s="406" t="b">
        <f t="shared" si="2"/>
        <v>1</v>
      </c>
      <c r="O40" s="453"/>
      <c r="P40" s="709" t="str">
        <f t="shared" si="3"/>
        <v>Yes</v>
      </c>
      <c r="Q40" s="680" t="s">
        <v>243</v>
      </c>
      <c r="R40" s="407" t="str">
        <f t="shared" si="4"/>
        <v>Vertical Mechanical Group</v>
      </c>
      <c r="S40" s="407"/>
      <c r="T40" s="408" t="str">
        <f t="array" ref="T40">_xlfn.IFS(D40="Second Lien",D40,D40="First Lien",CONCATENATE(D40," ",EI40),D40="FILO",CONCATENATE(D40," ",EJ40))</f>
        <v>FILO &lt;= 1.25x</v>
      </c>
      <c r="U40" s="409">
        <f>VLOOKUP(T40,'Concentration Limits'!D:G,4,FALSE)</f>
        <v>0.57499999999999996</v>
      </c>
      <c r="V40" s="410">
        <f t="shared" si="5"/>
        <v>11733806.854212523</v>
      </c>
      <c r="W40" s="448">
        <f>(SUMIFS('Loan Tape - Settled'!$AR$4:$AR$55,'Loan Tape - Settled'!$E$4:$E$55,$A40,'Loan Tape - Settled'!$C$4:$C$55,$A$5))</f>
        <v>12037142.854136769</v>
      </c>
      <c r="X40" s="449">
        <v>1</v>
      </c>
      <c r="Y40" s="411">
        <f t="shared" si="6"/>
        <v>12037142.854136769</v>
      </c>
      <c r="Z40" s="449">
        <f>(SUMIFS('Loan Tape - Settled'!$AQ$4:$AQ$55,'Loan Tape - Settled'!$E$4:$E$55,$A40,'Loan Tape - Settled'!$C$4:$C$55,$A$5))</f>
        <v>12037142.854136769</v>
      </c>
      <c r="AA40" s="411">
        <f t="shared" si="7"/>
        <v>12037142.854136769</v>
      </c>
      <c r="AB40" s="411">
        <f t="shared" si="8"/>
        <v>0</v>
      </c>
      <c r="AC40" s="450">
        <f>VLOOKUP(CONCATENATE($A$5,A40),'Loan Tape - Settled'!$A$5:$Q$55,17,FALSE)</f>
        <v>1</v>
      </c>
      <c r="AD40" s="412"/>
      <c r="AE40" s="413">
        <f>INDEX('Loan Tape - Settled'!$B$4:$AP$55,MATCH($A40,'Loan Tape - Settled'!$E$4:$E$55,0),MATCH("FMV",'Loan Tape - Settled'!$B$4:$AM$4,0))</f>
        <v>0.9748</v>
      </c>
      <c r="AF40" s="413">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1</v>
      </c>
      <c r="AG40" s="414" t="str">
        <f>IF(COUNTIFS(VAE!$C$5:$C$96,B40,VAE!$G$5:$G$96,"&lt;="&amp;Availability!$F$8)&gt;=1,"Yes","-")</f>
        <v>-</v>
      </c>
      <c r="AH40" s="414" t="str">
        <f t="array" ref="AH40">IFERROR(IF(AG40="Yes",INDEX(VAE!$D$5:$D$96,MATCH(B40&amp;AJ40,VAE!$C$5:$C$96&amp;VAE!$G$5:$G$96,0)),"-"),0)</f>
        <v>-</v>
      </c>
      <c r="AI40" s="414" t="str">
        <f t="array" ref="AI40">IFERROR(IF(AG40="Yes",INDEX(VAE!$F$5:$F$96,MATCH(B40&amp;AJ40,VAE!$C$5:$C$96&amp;VAE!$G$5:$G$96,0)),"-"),0)</f>
        <v>-</v>
      </c>
      <c r="AJ40" s="415" t="str">
        <f>IF(AG40="-","-",_xlfn.MAXIFS(VAE!$G$5:$G$96,VAE!$C$5:$C$96,$B40))</f>
        <v>-</v>
      </c>
      <c r="AK40" s="416" t="str">
        <f t="array" ref="AK40">IFERROR(IF(AG40="Yes",INDEX(VAE!$P$5:$P$96,MATCH(B40&amp;AJ40,VAE!$C$5:$C$96&amp;VAE!$G$5:$G$96,0)),"-"),0)</f>
        <v>-</v>
      </c>
      <c r="AL40" s="413">
        <f t="shared" si="9"/>
        <v>0.9748</v>
      </c>
      <c r="AM40" s="410"/>
      <c r="AN40" s="410"/>
      <c r="AO40" s="410">
        <f t="shared" si="10"/>
        <v>0</v>
      </c>
      <c r="AP40" s="410">
        <f t="shared" si="11"/>
        <v>0</v>
      </c>
      <c r="AQ40" s="410">
        <f t="shared" si="83"/>
        <v>0</v>
      </c>
      <c r="AR40" s="410"/>
      <c r="AS40" s="410"/>
      <c r="AT40" s="410"/>
      <c r="AU40" s="410">
        <f t="shared" si="12"/>
        <v>12037142.854136769</v>
      </c>
      <c r="AV40" s="410">
        <f t="shared" si="13"/>
        <v>0</v>
      </c>
      <c r="AW40" s="410">
        <f t="shared" si="14"/>
        <v>11733806.854212523</v>
      </c>
      <c r="AX40" s="410"/>
      <c r="AY40" s="410"/>
      <c r="AZ40" s="410"/>
      <c r="BA40" s="410">
        <f t="shared" si="15"/>
        <v>0</v>
      </c>
      <c r="BB40" s="410"/>
      <c r="BC40" s="410"/>
      <c r="BD40" s="410">
        <f t="shared" si="16"/>
        <v>0</v>
      </c>
      <c r="BE40" s="410"/>
      <c r="BF40" s="410"/>
      <c r="BG40" s="410"/>
      <c r="BH40" s="410"/>
      <c r="BI40" s="410">
        <f t="shared" si="17"/>
        <v>0</v>
      </c>
      <c r="BJ40" s="410" t="b">
        <f t="shared" si="18"/>
        <v>1</v>
      </c>
      <c r="BK40" s="509">
        <f>INDEX('Loan Tape - Settled'!$B$4:$AP$55,MATCH($A40,'Loan Tape - Settled'!$E$4:$E$55,0),MATCH("Inception Date",'Loan Tape - Settled'!$B$4:$AP$4,0))</f>
        <v>45058</v>
      </c>
      <c r="BL40" s="509">
        <f>INDEX('Loan Tape - Settled'!$B$4:$AP$55,MATCH($A40,'Loan Tape - Settled'!$E$4:$E$55,0),MATCH("Inclusion Date",'Loan Tape - Settled'!$B$4:$AP$4,0))</f>
        <v>45058</v>
      </c>
      <c r="BM40" s="509">
        <f>INDEX('Loan Tape - Settled'!$B$4:$AP$55,MATCH($A40,'Loan Tape - Settled'!$E$4:$E$55,0),MATCH("Maturity Date",'Loan Tape - Settled'!$B$4:$AP$4,0))</f>
        <v>46885</v>
      </c>
      <c r="BN40" s="510"/>
      <c r="BO40" s="510"/>
      <c r="BP40" s="511"/>
      <c r="BQ40" s="510"/>
      <c r="BR40" s="512" t="str">
        <f>INDEX('Loan Tape - Settled'!$B$4:$AP$55,MATCH($A40,'Loan Tape - Settled'!$E$4:$E$55,0),MATCH("Industry Classification",'Loan Tape - Settled'!$B$4:$AP$4,0))</f>
        <v>Construction &amp; Engineering</v>
      </c>
      <c r="BS40" s="510" t="str">
        <f>IF(INDEX('Loan Tape - Settled'!$B$4:$AP$55,MATCH($A40,'Loan Tape - Settled'!$E$4:$E$55,0),MATCH("Covenant Lite",'Loan Tape - Settled'!$B$4:$AP$4,0))=-1, "Yes", "No")</f>
        <v>No</v>
      </c>
      <c r="BT40" s="513">
        <f>INDEX('Loan Tape - Settled'!$B$4:$AP$55,MATCH($A40,'Loan Tape - Settled'!$E$4:$E$55,0),MATCH("Spread / Coupon (%)",'Loan Tape - Settled'!$B$4:$AP$4,0))</f>
        <v>8.9230449908000012E-2</v>
      </c>
      <c r="BU40" s="510" t="str">
        <f>IF(INDEX('Loan Tape - Settled'!$B$4:$AP$55,MATCH($A40,'Loan Tape - Settled'!$E$4:$E$55,0),MATCH("Security Type",'Loan Tape - Settled'!$B$4:$AP$4,0))="Delayed Draw Term Loan", "Yes", "No")</f>
        <v>No</v>
      </c>
      <c r="BV40" s="514" t="s">
        <v>244</v>
      </c>
      <c r="BW40" s="514" t="s">
        <v>244</v>
      </c>
      <c r="BX40" s="506" t="s">
        <v>244</v>
      </c>
      <c r="BY40" s="510" t="str">
        <f>IF(INDEX('Loan Tape - Settled'!$B$4:$AP$55,MATCH($A40,'Loan Tape - Settled'!$E$4:$E$55,0),MATCH("Fixed/Floating",'Loan Tape - Settled'!$B$4:$AP$4,0))="Fixed", "Yes", "No")</f>
        <v>No</v>
      </c>
      <c r="BZ40" s="514" t="s">
        <v>244</v>
      </c>
      <c r="CA40" s="514" t="s">
        <v>244</v>
      </c>
      <c r="CB40" s="510" t="str">
        <f>IF(INDEX('Loan Tape - Settled'!$B$4:$AP$55,MATCH($A40,'Loan Tape - Settled'!$E$4:$E$55,0),MATCH("Loan Denomination",'Loan Tape - Settled'!$B$4:$AP$4,0))="CAD", "Yes", "No")</f>
        <v>No</v>
      </c>
      <c r="CC40" s="510" t="str">
        <f>INDEX('Loan Tape - Settled'!$B$4:$AP$55,MATCH($A40,'Loan Tape - Settled'!$E$4:$E$55,0),MATCH("Payment Frequency",'Loan Tape - Settled'!$B$4:$AP$4,0))</f>
        <v>M</v>
      </c>
      <c r="CD40" s="514" t="s">
        <v>244</v>
      </c>
      <c r="CE40" s="510">
        <f>INDEX('Loan Tape - Settled'!$B$4:$AP$55,MATCH($A40,'Loan Tape - Settled'!$E$4:$E$55,0),MATCH("S&amp;P Loan Rating (if applicable)",'Loan Tape - Settled'!$B$4:$AP$4,0))</f>
        <v>0</v>
      </c>
      <c r="CF40" s="510">
        <f>INDEX('Loan Tape - Settled'!$B$4:$AP$55,MATCH($A40,'Loan Tape - Settled'!$E$4:$E$55,0),MATCH("Moody's Loan Rating (if applicable)",'Loan Tape - Settled'!$B$4:$AP$4,0))</f>
        <v>0</v>
      </c>
      <c r="CG40" s="510"/>
      <c r="CH40" s="510"/>
      <c r="CI40" s="515"/>
      <c r="CJ40" s="508" t="str">
        <f>INDEX('Loan Tape - Settled'!$B$4:$BF$55,MATCH($A40,'Loan Tape - Settled'!$E$4:$E$55,0),MATCH("Last Financial Received",'Loan Tape - Settled'!$B$4:$BF$4,0))</f>
        <v>9/30/2025 or Latest Financing</v>
      </c>
      <c r="CK40" s="516">
        <f>INDEX('Loan Tape - Settled'!$B$4:$BJ$55,MATCH($A40,'Loan Tape - Settled'!$E$4:$E$55,0),MATCH("Initial Adjusted TTM EBITDA",'Loan Tape - Settled'!$B$4:$BJ$4,0))</f>
        <v>14.928000000000001</v>
      </c>
      <c r="CL40" s="516">
        <f>INDEX('Loan Tape - Settled'!$B$4:$BJ$55,MATCH($A40,'Loan Tape - Settled'!$E$4:$E$55,0),MATCH("Initial TTM Non-adjusted EBITDA",'Loan Tape - Settled'!$B$4:$BJ$4,0))</f>
        <v>14.928000000000001</v>
      </c>
      <c r="CM40" s="417"/>
      <c r="CN40" s="418"/>
      <c r="CO40" s="418"/>
      <c r="CP40" s="419"/>
      <c r="CQ40" s="420" t="s">
        <v>245</v>
      </c>
      <c r="CR40" s="419"/>
      <c r="CS40" s="421">
        <f t="shared" si="19"/>
        <v>14.928000000000001</v>
      </c>
      <c r="CT40" s="422">
        <f t="shared" si="20"/>
        <v>0</v>
      </c>
      <c r="CU40" s="516">
        <f>INDEX('Loan Tape - Settled'!$B$4:$BJ$55,MATCH($A40,'Loan Tape - Settled'!$E$4:$E$55,0),MATCH("Current TTM Non-adjusted EBITDA",'Loan Tape - Settled'!$B$4:$BJ$4,0))</f>
        <v>20.850241089999979</v>
      </c>
      <c r="CV40" s="423">
        <f t="shared" si="21"/>
        <v>0</v>
      </c>
      <c r="CW40" s="652" t="s">
        <v>245</v>
      </c>
      <c r="CX40" s="517"/>
      <c r="CY40" s="658">
        <f t="shared" si="22"/>
        <v>20.850241089999979</v>
      </c>
      <c r="CZ40" s="656"/>
      <c r="DA40" s="518"/>
      <c r="DB40" s="519"/>
      <c r="DC40" s="853"/>
      <c r="DD40" s="853">
        <f>INDEX('Loan Tape - Settled'!$B$4:$BJ$55,MATCH($A40,'Loan Tape - Settled'!$E$4:$E$55,0),MATCH("Initial Senior Net Leverage Senior",'Loan Tape - Settled'!$B$4:$BJ$4,0))</f>
        <v>1.942658092175777</v>
      </c>
      <c r="DE40" s="659">
        <f>INDEX('Loan Tape - Settled'!$B$4:$BJ$55,MATCH($A40,'Loan Tape - Settled'!$E$4:$E$55,0),MATCH("Initial Total Net Leverage",'Loan Tape - Settled'!$B$4:$BJ$4,0))</f>
        <v>1.942658092175777</v>
      </c>
      <c r="DF40" s="656"/>
      <c r="DG40" s="518"/>
      <c r="DH40" s="519"/>
      <c r="DI40" s="424">
        <f>INDEX('Loan Tape - Settled'!$B$4:$BJ$55,MATCH($A40,'Loan Tape - Settled'!$E$4:$E$55,0),MATCH("Net Attachment",'Loan Tape - Settled'!$B$4:$BJ$4,0))</f>
        <v>1.0007867314305485</v>
      </c>
      <c r="DJ40" s="522">
        <f t="array" ref="DJ40">IF(AG40="Yes",INDEX(VAE!$M$5:$M$53,MATCH($B40&amp;$AJ40,VAE!$C$5:$C$53&amp;VAE!$G$5:$G$53,0)),DD40)</f>
        <v>1.942658092175777</v>
      </c>
      <c r="DK40" s="649">
        <f t="array" ref="DK40">IF(AG40="Yes",INDEX(VAE!$N$5:$N$53,MATCH($B40&amp;$AJ40,VAE!$C$5:$C$53&amp;VAE!$G$5:$G$53,0)),DE40)</f>
        <v>1.942658092175777</v>
      </c>
      <c r="DL40" s="651">
        <f>INDEX('Loan Tape - Settled'!$B$4:$BJ$55,MATCH($A40,'Loan Tape - Settled'!$E$4:$E$55,0),MATCH("Current Senior Net Leverage Senior",'Loan Tape - Settled'!$B$4:$BJ$4,0))</f>
        <v>2.5417761068680296</v>
      </c>
      <c r="DM40" s="433">
        <f>INDEX('Loan Tape - Settled'!$B$4:$BJ$55,MATCH($A40,'Loan Tape - Settled'!$E$4:$E$55,0),MATCH("Current Total Net Leverage",'Loan Tape - Settled'!$B$4:$BJ$4,0))</f>
        <v>2.5417761068680296</v>
      </c>
      <c r="DN40" s="425"/>
      <c r="DO40" s="426">
        <f>INDEX('Loan Tape - Settled'!$B$4:$BJ$55,MATCH($A40,'Loan Tape - Settled'!$E$4:$E$55,0),MATCH("Initial Interest Coverage",'Loan Tape - Settled'!$B$4:$BJ$4,0))</f>
        <v>3.35</v>
      </c>
      <c r="DP40" s="854">
        <f t="array" ref="DP40">IF(AG40="Yes",INDEX(VAE!$O$5:$O$53,MATCH($B40&amp;$AJ40,VAE!$C$5:$C$53&amp;VAE!$G$5:$G$53,0)),DO40)</f>
        <v>3.35</v>
      </c>
      <c r="DQ40" s="427">
        <f>INDEX('Loan Tape - Settled'!$B$4:$BJ$55,MATCH($A40,'Loan Tape - Settled'!$E$4:$E$55,0),MATCH("Current Interest Coverage",'Loan Tape - Settled'!$B$4:$BJ$4,0))</f>
        <v>3.2073990462289999</v>
      </c>
      <c r="DR40" s="855" t="str">
        <f t="shared" si="23"/>
        <v>No</v>
      </c>
      <c r="DS40" s="428" t="str">
        <f>IF(AG40="Yes",DATEDIF(AJ40,Availability!$F$8,"m"),"")</f>
        <v/>
      </c>
      <c r="DT40" s="428" t="str">
        <f t="shared" si="24"/>
        <v>No</v>
      </c>
      <c r="DU40" s="647" t="str">
        <f t="shared" si="25"/>
        <v>No</v>
      </c>
      <c r="DV40" s="648" t="str">
        <f t="shared" si="26"/>
        <v>No</v>
      </c>
      <c r="DW40" s="648" t="str">
        <f t="array" ref="DW40">_xlfn.IFS(D40&lt;&gt;"Second Lien","No",D40="Second Lien",IF(AND((DM40-DK40)&gt;0.5,DM40&gt;4.5),"Yes","No"))</f>
        <v>No</v>
      </c>
      <c r="DX40" s="685" t="s">
        <v>244</v>
      </c>
      <c r="DY40" s="685" t="s">
        <v>244</v>
      </c>
      <c r="DZ40" s="686" t="s">
        <v>244</v>
      </c>
      <c r="EA40" s="686" t="s">
        <v>244</v>
      </c>
      <c r="EB40" s="686" t="s">
        <v>244</v>
      </c>
      <c r="EC40" s="686" t="s">
        <v>244</v>
      </c>
      <c r="ED40" s="686" t="s">
        <v>244</v>
      </c>
      <c r="EE40" s="686" t="s">
        <v>244</v>
      </c>
      <c r="EF40" s="409" t="str">
        <f t="shared" si="27"/>
        <v>No</v>
      </c>
      <c r="EG40" s="686" t="s">
        <v>244</v>
      </c>
      <c r="EH40" s="691" t="s">
        <v>244</v>
      </c>
      <c r="EI40" s="856" t="str">
        <f t="array" ref="EI40">IF(D40="First Lien",_xlfn.IFS(CY40&gt;AGENT!$B$23, "&gt; $20MM",CY40&lt;=AGENT!$C$25, "&lt;= $10MM",AND(CY40&lt;=AGENT!$C$24,CY40&gt;AGENT!$B$24),"&lt;= $20MM"), "N/A")</f>
        <v>N/A</v>
      </c>
      <c r="EJ40" s="856" t="str">
        <f t="array" ref="EJ40">IF(D40="FILO",_xlfn.IFS(DI40&gt;AGENT!$B$29, "&gt; 1.25x",DI40&lt;AGENT!$C$27, "&lt; 0.75x",AND(DI40&lt;=AGENT!$C$28,DI40&gt;=AGENT!$B$28),"&lt;= 1.25x"), "N/A")</f>
        <v>&lt;= 1.25x</v>
      </c>
      <c r="EK40" s="429">
        <f t="shared" si="28"/>
        <v>11733806.854212523</v>
      </c>
      <c r="EL40" s="429">
        <f>'Concentration Limits'!$J$49</f>
        <v>49599340.729726665</v>
      </c>
      <c r="EM40" s="429" t="str">
        <f>IF(OR(D40="Second Lien",AND(D40="FILO",DI40&gt;AGENT!$C$57)), "Yes", "No")</f>
        <v>No</v>
      </c>
      <c r="EN40" s="429">
        <f t="shared" si="29"/>
        <v>0</v>
      </c>
      <c r="EO40" s="429">
        <f t="shared" si="30"/>
        <v>0</v>
      </c>
      <c r="EP40" s="429">
        <f t="shared" si="31"/>
        <v>11733806.854212523</v>
      </c>
      <c r="EQ40" s="429">
        <f>'Concentration Limits'!$J$50</f>
        <v>24799670.364863332</v>
      </c>
      <c r="ER40" s="429">
        <f t="shared" si="32"/>
        <v>0</v>
      </c>
      <c r="ES40" s="429">
        <f t="shared" si="84"/>
        <v>0</v>
      </c>
      <c r="ET40" s="429">
        <f t="shared" si="33"/>
        <v>11733806.854212523</v>
      </c>
      <c r="EU40" s="429">
        <f>'Concentration Limits'!$J$51</f>
        <v>74399011.094589993</v>
      </c>
      <c r="EV40" s="429" t="str">
        <f>IF(OR(D40="Second Lien", AND(D40="FILO",DI40&gt;AGENT!$C$59)), "Yes", "No")</f>
        <v>Yes</v>
      </c>
      <c r="EW40" s="429">
        <f t="shared" si="34"/>
        <v>53940434.707607172</v>
      </c>
      <c r="EX40" s="429">
        <f t="shared" si="35"/>
        <v>0</v>
      </c>
      <c r="EY40" s="429">
        <f t="shared" si="36"/>
        <v>11733806.854212523</v>
      </c>
      <c r="EZ40" s="429">
        <f>'Concentration Limits'!$J$52</f>
        <v>37199505.547294997</v>
      </c>
      <c r="FA40" s="429" t="str">
        <f>IF(CY40&gt;'Concentration Limits'!$E$52, "No", "Yes")</f>
        <v>No</v>
      </c>
      <c r="FB40" s="429">
        <f t="shared" si="37"/>
        <v>0</v>
      </c>
      <c r="FC40" s="429">
        <f t="shared" si="38"/>
        <v>0</v>
      </c>
      <c r="FD40" s="429">
        <f t="shared" si="39"/>
        <v>11733806.854212523</v>
      </c>
      <c r="FE40" s="430">
        <f>'Concentration Limits'!$J$54</f>
        <v>247996703.6486333</v>
      </c>
      <c r="FF40" s="430">
        <f>'Concentration Limits'!$J$55</f>
        <v>247996703.6486333</v>
      </c>
      <c r="FG40" s="430">
        <f>'Concentration Limits'!$J$56</f>
        <v>247996703.6486333</v>
      </c>
      <c r="FH40" s="431">
        <f>'Concentration Limits'!$J$57</f>
        <v>18599752.773647498</v>
      </c>
      <c r="FI40" s="431">
        <f t="shared" si="40"/>
        <v>11733806.854212523</v>
      </c>
      <c r="FJ40" s="431">
        <f t="shared" si="41"/>
        <v>11733806.854212523</v>
      </c>
      <c r="FK40" s="431">
        <f t="shared" si="42"/>
        <v>8</v>
      </c>
      <c r="FL40" s="431">
        <f>IF(FJ40&gt;0,RANK(FJ40,$FJ$9:$FJ$60)+COUNTIF($FJ$9:FJ40,FJ40)-1,0)</f>
        <v>8</v>
      </c>
      <c r="FM40" s="430">
        <f t="shared" si="43"/>
        <v>0</v>
      </c>
      <c r="FN40" s="430">
        <f t="shared" si="44"/>
        <v>0</v>
      </c>
      <c r="FO40" s="430">
        <f t="shared" si="45"/>
        <v>0</v>
      </c>
      <c r="FP40" s="431">
        <f t="shared" si="46"/>
        <v>0</v>
      </c>
      <c r="FQ40" s="431">
        <f t="shared" si="47"/>
        <v>11733806.854212523</v>
      </c>
      <c r="FR40" s="431">
        <f>'Concentration Limits'!$J$58</f>
        <v>49599340.729726665</v>
      </c>
      <c r="FS40" s="431">
        <f t="shared" si="48"/>
        <v>46042971.865242489</v>
      </c>
      <c r="FT40" s="431">
        <f>VLOOKUP(BR40,'Concentration Limits'!$E$81:$H$153,4,FALSE)</f>
        <v>1</v>
      </c>
      <c r="FU40" s="431">
        <f t="shared" si="49"/>
        <v>0</v>
      </c>
      <c r="FV40" s="431">
        <f t="shared" si="50"/>
        <v>11733806.854212523</v>
      </c>
      <c r="FW40" s="431">
        <f>'Concentration Limits'!$J$59</f>
        <v>37199505.547294997</v>
      </c>
      <c r="FX40" s="431">
        <f t="shared" si="51"/>
        <v>46042971.865242489</v>
      </c>
      <c r="FY40" s="431">
        <f>VLOOKUP(BR40,'Concentration Limits'!$E$81:$H$153,4,FALSE)</f>
        <v>1</v>
      </c>
      <c r="FZ40" s="431">
        <f t="shared" si="52"/>
        <v>0</v>
      </c>
      <c r="GA40" s="431">
        <f t="shared" si="53"/>
        <v>11733806.854212523</v>
      </c>
      <c r="GB40" s="431">
        <f>'Concentration Limits'!$J$61</f>
        <v>24799670.364863332</v>
      </c>
      <c r="GC40" s="431">
        <f t="shared" si="54"/>
        <v>46042971.865242489</v>
      </c>
      <c r="GD40" s="429">
        <f>VLOOKUP(BR40,'Concentration Limits'!$E$81:$H$153,4,FALSE)</f>
        <v>1</v>
      </c>
      <c r="GE40" s="431">
        <f t="shared" si="55"/>
        <v>0</v>
      </c>
      <c r="GF40" s="431">
        <f t="shared" si="56"/>
        <v>11733806.854212523</v>
      </c>
      <c r="GG40" s="431">
        <f>'Concentration Limits'!$J$64</f>
        <v>24799670.364863332</v>
      </c>
      <c r="GH40" s="431">
        <f t="shared" si="57"/>
        <v>0</v>
      </c>
      <c r="GI40" s="431">
        <f t="shared" si="58"/>
        <v>0</v>
      </c>
      <c r="GJ40" s="431">
        <f t="shared" si="59"/>
        <v>11733806.854212523</v>
      </c>
      <c r="GK40" s="431">
        <f>'Concentration Limits'!$J$67</f>
        <v>24799670.364863332</v>
      </c>
      <c r="GL40" s="429" t="str">
        <f t="shared" si="60"/>
        <v>No</v>
      </c>
      <c r="GM40" s="431">
        <f t="shared" si="61"/>
        <v>0</v>
      </c>
      <c r="GN40" s="431">
        <f t="shared" si="62"/>
        <v>0</v>
      </c>
      <c r="GO40" s="431">
        <f t="shared" si="63"/>
        <v>11733806.854212523</v>
      </c>
      <c r="GP40" s="431">
        <f>'Concentration Limits'!$J$68</f>
        <v>37199505.547294997</v>
      </c>
      <c r="GQ40" s="429" t="str">
        <f t="shared" si="64"/>
        <v>No</v>
      </c>
      <c r="GR40" s="431">
        <f t="shared" si="65"/>
        <v>0</v>
      </c>
      <c r="GS40" s="431">
        <f t="shared" si="66"/>
        <v>0</v>
      </c>
      <c r="GT40" s="431">
        <f t="shared" si="67"/>
        <v>11733806.854212523</v>
      </c>
      <c r="GU40" s="429">
        <f>'Concentration Limits'!$J$69</f>
        <v>37199505.547294997</v>
      </c>
      <c r="GV40" s="429" t="str">
        <f t="shared" si="68"/>
        <v>No</v>
      </c>
      <c r="GW40" s="429">
        <f t="shared" si="69"/>
        <v>0</v>
      </c>
      <c r="GX40" s="429">
        <f t="shared" si="70"/>
        <v>0</v>
      </c>
      <c r="GY40" s="429">
        <f t="shared" si="71"/>
        <v>11733806.854212523</v>
      </c>
      <c r="GZ40" s="429">
        <f>'Concentration Limits'!$J$70</f>
        <v>24799670.364863332</v>
      </c>
      <c r="HA40" s="429" t="str">
        <f t="shared" si="72"/>
        <v>No</v>
      </c>
      <c r="HB40" s="429">
        <f t="shared" si="73"/>
        <v>0</v>
      </c>
      <c r="HC40" s="429">
        <f t="shared" si="74"/>
        <v>0</v>
      </c>
      <c r="HD40" s="429">
        <f t="shared" si="75"/>
        <v>11733806.854212523</v>
      </c>
      <c r="HE40" s="431">
        <f t="shared" si="76"/>
        <v>0</v>
      </c>
      <c r="HF40" s="431">
        <f t="shared" si="77"/>
        <v>0</v>
      </c>
      <c r="HG40" s="431">
        <f t="shared" si="78"/>
        <v>11733806.854212523</v>
      </c>
      <c r="HH40" s="431">
        <f t="shared" si="79"/>
        <v>0</v>
      </c>
      <c r="HI40" s="431">
        <f>IF(BE40=0,0,#REF!*BE40/(BE40+BG40))</f>
        <v>0</v>
      </c>
      <c r="HJ40" s="431">
        <f>IF(BG40=0,0,#REF!*BG40/(BG40+BE40))</f>
        <v>0</v>
      </c>
      <c r="HK40" s="857">
        <f>IF(BF40=0,0,#REF!*BF40/(BF40+BH40))</f>
        <v>0</v>
      </c>
      <c r="HL40" s="431">
        <f>IF(BH40=0,0,#REF!*BH40/(BH40+BF40))</f>
        <v>0</v>
      </c>
      <c r="HM40" s="431">
        <f t="shared" si="80"/>
        <v>0</v>
      </c>
      <c r="HN40" s="431" t="b">
        <f t="shared" si="81"/>
        <v>1</v>
      </c>
    </row>
    <row r="41" spans="1:222" s="432" customFormat="1" ht="12.75" customHeight="1" x14ac:dyDescent="0.35">
      <c r="A41" s="49">
        <f t="shared" si="82"/>
        <v>33</v>
      </c>
      <c r="B41" s="404" t="str">
        <f>INDEX('Loan Tape - Settled'!$B$4:$AP$55,MATCH($A41,'Loan Tape - Settled'!$E$4:$E$55,0),MATCH("Obligor Name",'Loan Tape - Settled'!$B$4:$AM$4,0))</f>
        <v>Preferred Care Home Health</v>
      </c>
      <c r="C41" s="404" t="str">
        <f>INDEX('Loan Tape - Settled'!$B$4:$AP$55,MATCH($A41,'Loan Tape - Settled'!$E$4:$E$55,0),MATCH("Security",'Loan Tape - Settled'!$B$4:$AM$4,0))</f>
        <v>FILO</v>
      </c>
      <c r="D41" s="405" t="str">
        <f>INDEX('Loan Tape - Settled'!$B$4:$AP$55,MATCH($A41,'Loan Tape - Settled'!$E$4:$E$55,0),MATCH("Loan Type",'Loan Tape - Settled'!$B$4:$AM$4,0))</f>
        <v>FILO</v>
      </c>
      <c r="E41" s="406" t="b">
        <f>IF(ISERROR(MATCH(D41,AGENT!$A$4:$A$10,0))=FALSE, TRUE)</f>
        <v>1</v>
      </c>
      <c r="F41" s="406" t="b">
        <f t="shared" si="0"/>
        <v>1</v>
      </c>
      <c r="G41" s="406" t="b">
        <f>IF(D41&lt;&gt;"Second Lien",TRUE, IF(CY41&gt;=AGENT!$B$4,TRUE))</f>
        <v>1</v>
      </c>
      <c r="H41" s="406" t="b">
        <f>IF(DE41&lt;=AGENT!$D$4,TRUE)</f>
        <v>1</v>
      </c>
      <c r="I41" s="406" t="b">
        <f>IF(VLOOKUP(CONCATENATE($A$5,A41),'Loan Tape - Settled'!$A$5:$Q$55,17,FALSE)&gt;=AGENT!$E$4,TRUE)</f>
        <v>1</v>
      </c>
      <c r="J41" s="406" t="b">
        <f>IF(INDEX('Loan Tape - Settled'!$B$4:$AP$55,MATCH($A41,'Loan Tape - Settled'!$E$4:$E$55,0),MATCH("Loan Denomination",'Loan Tape - Settled'!$B$4:$AP$4,0))="USD", TRUE)</f>
        <v>1</v>
      </c>
      <c r="K41" s="406" t="b">
        <f>IF(INDEX('Loan Tape - Settled'!$B$4:$AP$55,MATCH($A41,'Loan Tape - Settled'!$E$4:$E$55,0),MATCH("Exposure Country",'Loan Tape - Settled'!$B$4:$AP$4,0))="United States", TRUE)</f>
        <v>1</v>
      </c>
      <c r="L41" s="406" t="b">
        <f t="shared" si="1"/>
        <v>1</v>
      </c>
      <c r="M41" s="406" t="b">
        <f>IF(((BM41-BL41)/365)&lt;=AGENT!$F$4,TRUE)</f>
        <v>1</v>
      </c>
      <c r="N41" s="406" t="b">
        <f t="shared" si="2"/>
        <v>1</v>
      </c>
      <c r="O41" s="453"/>
      <c r="P41" s="709" t="str">
        <f t="shared" si="3"/>
        <v>Yes</v>
      </c>
      <c r="Q41" s="680" t="s">
        <v>243</v>
      </c>
      <c r="R41" s="407" t="str">
        <f t="shared" si="4"/>
        <v>Preferred Care Home Health</v>
      </c>
      <c r="S41" s="407"/>
      <c r="T41" s="408" t="str">
        <f t="array" ref="T41">_xlfn.IFS(D41="Second Lien",D41,D41="First Lien",CONCATENATE(D41," ",EI41),D41="FILO",CONCATENATE(D41," ",EJ41))</f>
        <v>FILO &lt;= 1.25x</v>
      </c>
      <c r="U41" s="409">
        <f>VLOOKUP(T41,'Concentration Limits'!D:G,4,FALSE)</f>
        <v>0.57499999999999996</v>
      </c>
      <c r="V41" s="410">
        <f t="shared" si="5"/>
        <v>6468064.7249158733</v>
      </c>
      <c r="W41" s="448">
        <f>(SUMIFS('Loan Tape - Settled'!$AR$4:$AR$55,'Loan Tape - Settled'!$E$4:$E$55,$A41,'Loan Tape - Settled'!$C$4:$C$55,$A$5))</f>
        <v>6554285.40814537</v>
      </c>
      <c r="X41" s="449">
        <v>1</v>
      </c>
      <c r="Y41" s="411">
        <f t="shared" si="6"/>
        <v>6554285.40814537</v>
      </c>
      <c r="Z41" s="449">
        <f>(SUMIFS('Loan Tape - Settled'!$AQ$4:$AQ$55,'Loan Tape - Settled'!$E$4:$E$55,$A41,'Loan Tape - Settled'!$C$4:$C$55,$A$5))</f>
        <v>6554285.40814537</v>
      </c>
      <c r="AA41" s="411">
        <f t="shared" si="7"/>
        <v>6554285.40814537</v>
      </c>
      <c r="AB41" s="411">
        <f t="shared" si="8"/>
        <v>0</v>
      </c>
      <c r="AC41" s="450">
        <f>VLOOKUP(CONCATENATE($A$5,A41),'Loan Tape - Settled'!$A$5:$Q$55,17,FALSE)</f>
        <v>1</v>
      </c>
      <c r="AD41" s="412"/>
      <c r="AE41" s="413">
        <f>INDEX('Loan Tape - Settled'!$B$4:$AP$55,MATCH($A41,'Loan Tape - Settled'!$E$4:$E$55,0),MATCH("FMV",'Loan Tape - Settled'!$B$4:$AM$4,0))</f>
        <v>0.99120000000000008</v>
      </c>
      <c r="AF41" s="413">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0.98684514361819742</v>
      </c>
      <c r="AG41" s="414" t="str">
        <f>IF(COUNTIFS(VAE!$C$5:$C$96,B41,VAE!$G$5:$G$96,"&lt;="&amp;Availability!$F$8)&gt;=1,"Yes","-")</f>
        <v>Yes</v>
      </c>
      <c r="AH41" s="414" t="str">
        <f t="array" ref="AH41">IFERROR(IF(AG41="Yes",INDEX(VAE!$D$5:$D$96,MATCH(B41&amp;AJ41,VAE!$C$5:$C$96&amp;VAE!$G$5:$G$96,0)),"-"),0)</f>
        <v>Increase in Lev</v>
      </c>
      <c r="AI41" s="414" t="str">
        <f t="array" ref="AI41">IFERROR(IF(AG41="Yes",INDEX(VAE!$F$5:$F$96,MATCH(B41&amp;AJ41,VAE!$C$5:$C$96&amp;VAE!$G$5:$G$96,0)),"-"),0)</f>
        <v>n/a</v>
      </c>
      <c r="AJ41" s="415">
        <f>IF(AG41="-","-",_xlfn.MAXIFS(VAE!$G$5:$G$96,VAE!$C$5:$C$96,$B41))</f>
        <v>45382</v>
      </c>
      <c r="AK41" s="416">
        <f t="array" ref="AK41">IFERROR(IF(AG41="Yes",INDEX(VAE!$P$5:$P$96,MATCH(B41&amp;AJ41,VAE!$C$5:$C$96&amp;VAE!$G$5:$G$96,0)),"-"),0)</f>
        <v>0.98684514361819742</v>
      </c>
      <c r="AL41" s="413">
        <f t="shared" si="9"/>
        <v>0.98684514361819742</v>
      </c>
      <c r="AM41" s="410"/>
      <c r="AN41" s="410"/>
      <c r="AO41" s="410">
        <f t="shared" si="10"/>
        <v>0</v>
      </c>
      <c r="AP41" s="410">
        <f t="shared" si="11"/>
        <v>0</v>
      </c>
      <c r="AQ41" s="410">
        <f t="shared" si="83"/>
        <v>0</v>
      </c>
      <c r="AR41" s="410"/>
      <c r="AS41" s="410"/>
      <c r="AT41" s="410"/>
      <c r="AU41" s="410">
        <f t="shared" si="12"/>
        <v>6554285.40814537</v>
      </c>
      <c r="AV41" s="410">
        <f t="shared" si="13"/>
        <v>0</v>
      </c>
      <c r="AW41" s="410">
        <f t="shared" si="14"/>
        <v>6468064.7249158733</v>
      </c>
      <c r="AX41" s="410"/>
      <c r="AY41" s="410"/>
      <c r="AZ41" s="410"/>
      <c r="BA41" s="410">
        <f t="shared" si="15"/>
        <v>0</v>
      </c>
      <c r="BB41" s="410"/>
      <c r="BC41" s="410"/>
      <c r="BD41" s="410">
        <f t="shared" si="16"/>
        <v>0</v>
      </c>
      <c r="BE41" s="410"/>
      <c r="BF41" s="410"/>
      <c r="BG41" s="410"/>
      <c r="BH41" s="410"/>
      <c r="BI41" s="410">
        <f t="shared" si="17"/>
        <v>0</v>
      </c>
      <c r="BJ41" s="410" t="b">
        <f t="shared" si="18"/>
        <v>1</v>
      </c>
      <c r="BK41" s="509">
        <f>INDEX('Loan Tape - Settled'!$B$4:$AP$55,MATCH($A41,'Loan Tape - Settled'!$E$4:$E$55,0),MATCH("Inception Date",'Loan Tape - Settled'!$B$4:$AP$4,0))</f>
        <v>45062</v>
      </c>
      <c r="BL41" s="509">
        <f>INDEX('Loan Tape - Settled'!$B$4:$AP$55,MATCH($A41,'Loan Tape - Settled'!$E$4:$E$55,0),MATCH("Inclusion Date",'Loan Tape - Settled'!$B$4:$AP$4,0))</f>
        <v>45062</v>
      </c>
      <c r="BM41" s="509">
        <f>INDEX('Loan Tape - Settled'!$B$4:$AP$55,MATCH($A41,'Loan Tape - Settled'!$E$4:$E$55,0),MATCH("Maturity Date",'Loan Tape - Settled'!$B$4:$AP$4,0))</f>
        <v>46889</v>
      </c>
      <c r="BN41" s="510"/>
      <c r="BO41" s="510"/>
      <c r="BP41" s="511"/>
      <c r="BQ41" s="510"/>
      <c r="BR41" s="512" t="str">
        <f>INDEX('Loan Tape - Settled'!$B$4:$AP$55,MATCH($A41,'Loan Tape - Settled'!$E$4:$E$55,0),MATCH("Industry Classification",'Loan Tape - Settled'!$B$4:$AP$4,0))</f>
        <v>Health Care Providers &amp; Services</v>
      </c>
      <c r="BS41" s="510" t="str">
        <f>IF(INDEX('Loan Tape - Settled'!$B$4:$AP$55,MATCH($A41,'Loan Tape - Settled'!$E$4:$E$55,0),MATCH("Covenant Lite",'Loan Tape - Settled'!$B$4:$AP$4,0))=-1, "Yes", "No")</f>
        <v>No</v>
      </c>
      <c r="BT41" s="513">
        <f>INDEX('Loan Tape - Settled'!$B$4:$AP$55,MATCH($A41,'Loan Tape - Settled'!$E$4:$E$55,0),MATCH("Spread / Coupon (%)",'Loan Tape - Settled'!$B$4:$AP$4,0))</f>
        <v>7.6462494759999999E-2</v>
      </c>
      <c r="BU41" s="510" t="str">
        <f>IF(INDEX('Loan Tape - Settled'!$B$4:$AP$55,MATCH($A41,'Loan Tape - Settled'!$E$4:$E$55,0),MATCH("Security Type",'Loan Tape - Settled'!$B$4:$AP$4,0))="Delayed Draw Term Loan", "Yes", "No")</f>
        <v>No</v>
      </c>
      <c r="BV41" s="514" t="s">
        <v>244</v>
      </c>
      <c r="BW41" s="514" t="s">
        <v>244</v>
      </c>
      <c r="BX41" s="506" t="s">
        <v>244</v>
      </c>
      <c r="BY41" s="510" t="str">
        <f>IF(INDEX('Loan Tape - Settled'!$B$4:$AP$55,MATCH($A41,'Loan Tape - Settled'!$E$4:$E$55,0),MATCH("Fixed/Floating",'Loan Tape - Settled'!$B$4:$AP$4,0))="Fixed", "Yes", "No")</f>
        <v>No</v>
      </c>
      <c r="BZ41" s="514" t="s">
        <v>244</v>
      </c>
      <c r="CA41" s="514" t="s">
        <v>244</v>
      </c>
      <c r="CB41" s="510" t="str">
        <f>IF(INDEX('Loan Tape - Settled'!$B$4:$AP$55,MATCH($A41,'Loan Tape - Settled'!$E$4:$E$55,0),MATCH("Loan Denomination",'Loan Tape - Settled'!$B$4:$AP$4,0))="CAD", "Yes", "No")</f>
        <v>No</v>
      </c>
      <c r="CC41" s="510" t="str">
        <f>INDEX('Loan Tape - Settled'!$B$4:$AP$55,MATCH($A41,'Loan Tape - Settled'!$E$4:$E$55,0),MATCH("Payment Frequency",'Loan Tape - Settled'!$B$4:$AP$4,0))</f>
        <v>M</v>
      </c>
      <c r="CD41" s="514" t="s">
        <v>244</v>
      </c>
      <c r="CE41" s="510">
        <f>INDEX('Loan Tape - Settled'!$B$4:$AP$55,MATCH($A41,'Loan Tape - Settled'!$E$4:$E$55,0),MATCH("S&amp;P Loan Rating (if applicable)",'Loan Tape - Settled'!$B$4:$AP$4,0))</f>
        <v>0</v>
      </c>
      <c r="CF41" s="510">
        <f>INDEX('Loan Tape - Settled'!$B$4:$AP$55,MATCH($A41,'Loan Tape - Settled'!$E$4:$E$55,0),MATCH("Moody's Loan Rating (if applicable)",'Loan Tape - Settled'!$B$4:$AP$4,0))</f>
        <v>0</v>
      </c>
      <c r="CG41" s="510"/>
      <c r="CH41" s="510"/>
      <c r="CI41" s="515"/>
      <c r="CJ41" s="508" t="str">
        <f>INDEX('Loan Tape - Settled'!$B$4:$BF$55,MATCH($A41,'Loan Tape - Settled'!$E$4:$E$55,0),MATCH("Last Financial Received",'Loan Tape - Settled'!$B$4:$BF$4,0))</f>
        <v>9/30/2025 or Latest Financing</v>
      </c>
      <c r="CK41" s="516">
        <f>INDEX('Loan Tape - Settled'!$B$4:$BJ$55,MATCH($A41,'Loan Tape - Settled'!$E$4:$E$55,0),MATCH("Initial Adjusted TTM EBITDA",'Loan Tape - Settled'!$B$4:$BJ$4,0))</f>
        <v>7.8170000000000002</v>
      </c>
      <c r="CL41" s="516">
        <f>INDEX('Loan Tape - Settled'!$B$4:$BJ$55,MATCH($A41,'Loan Tape - Settled'!$E$4:$E$55,0),MATCH("Initial TTM Non-adjusted EBITDA",'Loan Tape - Settled'!$B$4:$BJ$4,0))</f>
        <v>7.8170000000000002</v>
      </c>
      <c r="CM41" s="417"/>
      <c r="CN41" s="418"/>
      <c r="CO41" s="418"/>
      <c r="CP41" s="419"/>
      <c r="CQ41" s="420" t="s">
        <v>245</v>
      </c>
      <c r="CR41" s="419"/>
      <c r="CS41" s="421">
        <f t="shared" si="19"/>
        <v>7.8170000000000002</v>
      </c>
      <c r="CT41" s="422">
        <f t="shared" si="20"/>
        <v>0</v>
      </c>
      <c r="CU41" s="516">
        <f>INDEX('Loan Tape - Settled'!$B$4:$BJ$55,MATCH($A41,'Loan Tape - Settled'!$E$4:$E$55,0),MATCH("Current TTM Non-adjusted EBITDA",'Loan Tape - Settled'!$B$4:$BJ$4,0))</f>
        <v>8.5373123994886324</v>
      </c>
      <c r="CV41" s="423">
        <f t="shared" si="21"/>
        <v>0</v>
      </c>
      <c r="CW41" s="652" t="s">
        <v>245</v>
      </c>
      <c r="CX41" s="517"/>
      <c r="CY41" s="658">
        <f t="shared" si="22"/>
        <v>8.5373123994886324</v>
      </c>
      <c r="CZ41" s="656"/>
      <c r="DA41" s="518"/>
      <c r="DB41" s="519"/>
      <c r="DC41" s="853"/>
      <c r="DD41" s="853">
        <f>INDEX('Loan Tape - Settled'!$B$4:$BJ$55,MATCH($A41,'Loan Tape - Settled'!$E$4:$E$55,0),MATCH("Initial Senior Net Leverage Senior",'Loan Tape - Settled'!$B$4:$BJ$4,0))</f>
        <v>4.2215683766150693</v>
      </c>
      <c r="DE41" s="659">
        <f>INDEX('Loan Tape - Settled'!$B$4:$BJ$55,MATCH($A41,'Loan Tape - Settled'!$E$4:$E$55,0),MATCH("Initial Total Net Leverage",'Loan Tape - Settled'!$B$4:$BJ$4,0))</f>
        <v>4.2215683766150693</v>
      </c>
      <c r="DF41" s="656"/>
      <c r="DG41" s="518"/>
      <c r="DH41" s="519"/>
      <c r="DI41" s="424">
        <f>INDEX('Loan Tape - Settled'!$B$4:$BJ$55,MATCH($A41,'Loan Tape - Settled'!$E$4:$E$55,0),MATCH("Net Attachment",'Loan Tape - Settled'!$B$4:$BJ$4,0))</f>
        <v>0.97723962877353876</v>
      </c>
      <c r="DJ41" s="522">
        <f t="array" ref="DJ41">IF(AG41="Yes",INDEX(VAE!$M$5:$M$53,MATCH($B41&amp;$AJ41,VAE!$C$5:$C$53&amp;VAE!$G$5:$G$53,0)),DD41)</f>
        <v>4.9797849415238726</v>
      </c>
      <c r="DK41" s="649">
        <f t="array" ref="DK41">IF(AG41="Yes",INDEX(VAE!$N$5:$N$53,MATCH($B41&amp;$AJ41,VAE!$C$5:$C$53&amp;VAE!$G$5:$G$53,0)),DE41)</f>
        <v>4.9797849415238726</v>
      </c>
      <c r="DL41" s="651">
        <f>INDEX('Loan Tape - Settled'!$B$4:$BJ$55,MATCH($A41,'Loan Tape - Settled'!$E$4:$E$55,0),MATCH("Current Senior Net Leverage Senior",'Loan Tape - Settled'!$B$4:$BJ$4,0))</f>
        <v>4.3845180335666187</v>
      </c>
      <c r="DM41" s="433">
        <f>INDEX('Loan Tape - Settled'!$B$4:$BJ$55,MATCH($A41,'Loan Tape - Settled'!$E$4:$E$55,0),MATCH("Current Total Net Leverage",'Loan Tape - Settled'!$B$4:$BJ$4,0))</f>
        <v>4.3845180335666187</v>
      </c>
      <c r="DN41" s="425"/>
      <c r="DO41" s="426">
        <f>INDEX('Loan Tape - Settled'!$B$4:$BJ$55,MATCH($A41,'Loan Tape - Settled'!$E$4:$E$55,0),MATCH("Initial Interest Coverage",'Loan Tape - Settled'!$B$4:$BJ$4,0))</f>
        <v>2.14</v>
      </c>
      <c r="DP41" s="854">
        <f t="array" ref="DP41">IF(AG41="Yes",INDEX(VAE!$O$5:$O$53,MATCH($B41&amp;$AJ41,VAE!$C$5:$C$53&amp;VAE!$G$5:$G$53,0)),DO41)</f>
        <v>1.74</v>
      </c>
      <c r="DQ41" s="427">
        <f>INDEX('Loan Tape - Settled'!$B$4:$BJ$55,MATCH($A41,'Loan Tape - Settled'!$E$4:$E$55,0),MATCH("Current Interest Coverage",'Loan Tape - Settled'!$B$4:$BJ$4,0))</f>
        <v>1.671248182185</v>
      </c>
      <c r="DR41" s="855" t="str">
        <f t="shared" si="23"/>
        <v>No</v>
      </c>
      <c r="DS41" s="428">
        <f>IF(AG41="Yes",DATEDIF(AJ41,Availability!$F$8,"m"),"")</f>
        <v>21</v>
      </c>
      <c r="DT41" s="428" t="str">
        <f t="shared" si="24"/>
        <v>Yes</v>
      </c>
      <c r="DU41" s="647" t="str">
        <f t="shared" si="25"/>
        <v>No</v>
      </c>
      <c r="DV41" s="648" t="str">
        <f t="shared" si="26"/>
        <v>No</v>
      </c>
      <c r="DW41" s="648" t="str">
        <f t="array" ref="DW41">_xlfn.IFS(D41&lt;&gt;"Second Lien","No",D41="Second Lien",IF(AND((DM41-DK41)&gt;0.5,DM41&gt;4.5),"Yes","No"))</f>
        <v>No</v>
      </c>
      <c r="DX41" s="685" t="s">
        <v>244</v>
      </c>
      <c r="DY41" s="685" t="s">
        <v>244</v>
      </c>
      <c r="DZ41" s="686" t="s">
        <v>244</v>
      </c>
      <c r="EA41" s="686" t="s">
        <v>244</v>
      </c>
      <c r="EB41" s="686" t="s">
        <v>244</v>
      </c>
      <c r="EC41" s="686" t="s">
        <v>244</v>
      </c>
      <c r="ED41" s="686" t="s">
        <v>244</v>
      </c>
      <c r="EE41" s="686" t="s">
        <v>244</v>
      </c>
      <c r="EF41" s="409" t="str">
        <f t="shared" si="27"/>
        <v>No</v>
      </c>
      <c r="EG41" s="686" t="s">
        <v>244</v>
      </c>
      <c r="EH41" s="691" t="s">
        <v>244</v>
      </c>
      <c r="EI41" s="856" t="str">
        <f t="array" ref="EI41">IF(D41="First Lien",_xlfn.IFS(CY41&gt;AGENT!$B$23, "&gt; $20MM",CY41&lt;=AGENT!$C$25, "&lt;= $10MM",AND(CY41&lt;=AGENT!$C$24,CY41&gt;AGENT!$B$24),"&lt;= $20MM"), "N/A")</f>
        <v>N/A</v>
      </c>
      <c r="EJ41" s="856" t="str">
        <f t="array" ref="EJ41">IF(D41="FILO",_xlfn.IFS(DI41&gt;AGENT!$B$29, "&gt; 1.25x",DI41&lt;AGENT!$C$27, "&lt; 0.75x",AND(DI41&lt;=AGENT!$C$28,DI41&gt;=AGENT!$B$28),"&lt;= 1.25x"), "N/A")</f>
        <v>&lt;= 1.25x</v>
      </c>
      <c r="EK41" s="429">
        <f t="shared" si="28"/>
        <v>6468064.7249158733</v>
      </c>
      <c r="EL41" s="429">
        <f>'Concentration Limits'!$J$49</f>
        <v>49599340.729726665</v>
      </c>
      <c r="EM41" s="429" t="str">
        <f>IF(OR(D41="Second Lien",AND(D41="FILO",DI41&gt;AGENT!$C$57)), "Yes", "No")</f>
        <v>No</v>
      </c>
      <c r="EN41" s="429">
        <f t="shared" si="29"/>
        <v>0</v>
      </c>
      <c r="EO41" s="429">
        <f t="shared" si="30"/>
        <v>0</v>
      </c>
      <c r="EP41" s="429">
        <f t="shared" si="31"/>
        <v>6468064.7249158733</v>
      </c>
      <c r="EQ41" s="429">
        <f>'Concentration Limits'!$J$50</f>
        <v>24799670.364863332</v>
      </c>
      <c r="ER41" s="429">
        <f t="shared" si="32"/>
        <v>0</v>
      </c>
      <c r="ES41" s="429">
        <f t="shared" si="84"/>
        <v>0</v>
      </c>
      <c r="ET41" s="429">
        <f t="shared" si="33"/>
        <v>6468064.7249158733</v>
      </c>
      <c r="EU41" s="429">
        <f>'Concentration Limits'!$J$51</f>
        <v>74399011.094589993</v>
      </c>
      <c r="EV41" s="429" t="str">
        <f>IF(OR(D41="Second Lien", AND(D41="FILO",DI41&gt;AGENT!$C$59)), "Yes", "No")</f>
        <v>No</v>
      </c>
      <c r="EW41" s="429">
        <f t="shared" si="34"/>
        <v>0</v>
      </c>
      <c r="EX41" s="429">
        <f t="shared" si="35"/>
        <v>0</v>
      </c>
      <c r="EY41" s="429">
        <f t="shared" si="36"/>
        <v>6468064.7249158733</v>
      </c>
      <c r="EZ41" s="429">
        <f>'Concentration Limits'!$J$52</f>
        <v>37199505.547294997</v>
      </c>
      <c r="FA41" s="429" t="str">
        <f>IF(CY41&gt;'Concentration Limits'!$E$52, "No", "Yes")</f>
        <v>No</v>
      </c>
      <c r="FB41" s="429">
        <f t="shared" si="37"/>
        <v>0</v>
      </c>
      <c r="FC41" s="429">
        <f t="shared" si="38"/>
        <v>0</v>
      </c>
      <c r="FD41" s="429">
        <f t="shared" si="39"/>
        <v>6468064.7249158733</v>
      </c>
      <c r="FE41" s="430">
        <f>'Concentration Limits'!$J$54</f>
        <v>247996703.6486333</v>
      </c>
      <c r="FF41" s="430">
        <f>'Concentration Limits'!$J$55</f>
        <v>247996703.6486333</v>
      </c>
      <c r="FG41" s="430">
        <f>'Concentration Limits'!$J$56</f>
        <v>247996703.6486333</v>
      </c>
      <c r="FH41" s="431">
        <f>'Concentration Limits'!$J$57</f>
        <v>18599752.773647498</v>
      </c>
      <c r="FI41" s="431">
        <f t="shared" si="40"/>
        <v>6468064.7249158733</v>
      </c>
      <c r="FJ41" s="431">
        <f t="shared" si="41"/>
        <v>6468064.7249158733</v>
      </c>
      <c r="FK41" s="431">
        <f t="shared" si="42"/>
        <v>19</v>
      </c>
      <c r="FL41" s="431">
        <f>IF(FJ41&gt;0,RANK(FJ41,$FJ$9:$FJ$60)+COUNTIF($FJ$9:FJ41,FJ41)-1,0)</f>
        <v>19</v>
      </c>
      <c r="FM41" s="430">
        <f t="shared" si="43"/>
        <v>0</v>
      </c>
      <c r="FN41" s="430">
        <f t="shared" si="44"/>
        <v>0</v>
      </c>
      <c r="FO41" s="430">
        <f t="shared" si="45"/>
        <v>0</v>
      </c>
      <c r="FP41" s="431">
        <f t="shared" si="46"/>
        <v>0</v>
      </c>
      <c r="FQ41" s="431">
        <f t="shared" si="47"/>
        <v>6468064.7249158733</v>
      </c>
      <c r="FR41" s="431">
        <f>'Concentration Limits'!$J$58</f>
        <v>49599340.729726665</v>
      </c>
      <c r="FS41" s="431">
        <f t="shared" si="48"/>
        <v>16096607.119937314</v>
      </c>
      <c r="FT41" s="431">
        <f>VLOOKUP(BR41,'Concentration Limits'!$E$81:$H$153,4,FALSE)</f>
        <v>5</v>
      </c>
      <c r="FU41" s="431">
        <f t="shared" si="49"/>
        <v>0</v>
      </c>
      <c r="FV41" s="431">
        <f t="shared" si="50"/>
        <v>6468064.7249158733</v>
      </c>
      <c r="FW41" s="431">
        <f>'Concentration Limits'!$J$59</f>
        <v>37199505.547294997</v>
      </c>
      <c r="FX41" s="431">
        <f t="shared" si="51"/>
        <v>16096607.119937314</v>
      </c>
      <c r="FY41" s="431">
        <f>VLOOKUP(BR41,'Concentration Limits'!$E$81:$H$153,4,FALSE)</f>
        <v>5</v>
      </c>
      <c r="FZ41" s="431">
        <f t="shared" si="52"/>
        <v>0</v>
      </c>
      <c r="GA41" s="431">
        <f t="shared" si="53"/>
        <v>6468064.7249158733</v>
      </c>
      <c r="GB41" s="431">
        <f>'Concentration Limits'!$J$61</f>
        <v>24799670.364863332</v>
      </c>
      <c r="GC41" s="431">
        <f t="shared" si="54"/>
        <v>16096607.119937314</v>
      </c>
      <c r="GD41" s="429">
        <f>VLOOKUP(BR41,'Concentration Limits'!$E$81:$H$153,4,FALSE)</f>
        <v>5</v>
      </c>
      <c r="GE41" s="431">
        <f t="shared" si="55"/>
        <v>0</v>
      </c>
      <c r="GF41" s="431">
        <f t="shared" si="56"/>
        <v>6468064.7249158733</v>
      </c>
      <c r="GG41" s="431">
        <f>'Concentration Limits'!$J$64</f>
        <v>24799670.364863332</v>
      </c>
      <c r="GH41" s="431">
        <f t="shared" si="57"/>
        <v>0</v>
      </c>
      <c r="GI41" s="431">
        <f t="shared" si="58"/>
        <v>0</v>
      </c>
      <c r="GJ41" s="431">
        <f t="shared" si="59"/>
        <v>6468064.7249158733</v>
      </c>
      <c r="GK41" s="431">
        <f>'Concentration Limits'!$J$67</f>
        <v>24799670.364863332</v>
      </c>
      <c r="GL41" s="429" t="str">
        <f t="shared" si="60"/>
        <v>No</v>
      </c>
      <c r="GM41" s="431">
        <f t="shared" si="61"/>
        <v>0</v>
      </c>
      <c r="GN41" s="431">
        <f t="shared" si="62"/>
        <v>0</v>
      </c>
      <c r="GO41" s="431">
        <f t="shared" si="63"/>
        <v>6468064.7249158733</v>
      </c>
      <c r="GP41" s="431">
        <f>'Concentration Limits'!$J$68</f>
        <v>37199505.547294997</v>
      </c>
      <c r="GQ41" s="429" t="str">
        <f t="shared" si="64"/>
        <v>No</v>
      </c>
      <c r="GR41" s="431">
        <f t="shared" si="65"/>
        <v>0</v>
      </c>
      <c r="GS41" s="431">
        <f t="shared" si="66"/>
        <v>0</v>
      </c>
      <c r="GT41" s="431">
        <f t="shared" si="67"/>
        <v>6468064.7249158733</v>
      </c>
      <c r="GU41" s="429">
        <f>'Concentration Limits'!$J$69</f>
        <v>37199505.547294997</v>
      </c>
      <c r="GV41" s="429" t="str">
        <f t="shared" si="68"/>
        <v>No</v>
      </c>
      <c r="GW41" s="429">
        <f t="shared" si="69"/>
        <v>0</v>
      </c>
      <c r="GX41" s="429">
        <f t="shared" si="70"/>
        <v>0</v>
      </c>
      <c r="GY41" s="429">
        <f t="shared" si="71"/>
        <v>6468064.7249158733</v>
      </c>
      <c r="GZ41" s="429">
        <f>'Concentration Limits'!$J$70</f>
        <v>24799670.364863332</v>
      </c>
      <c r="HA41" s="429" t="str">
        <f t="shared" si="72"/>
        <v>No</v>
      </c>
      <c r="HB41" s="429">
        <f t="shared" si="73"/>
        <v>0</v>
      </c>
      <c r="HC41" s="429">
        <f t="shared" si="74"/>
        <v>0</v>
      </c>
      <c r="HD41" s="429">
        <f t="shared" si="75"/>
        <v>6468064.7249158733</v>
      </c>
      <c r="HE41" s="431">
        <f t="shared" si="76"/>
        <v>0</v>
      </c>
      <c r="HF41" s="431">
        <f t="shared" si="77"/>
        <v>0</v>
      </c>
      <c r="HG41" s="431">
        <f t="shared" si="78"/>
        <v>6468064.7249158742</v>
      </c>
      <c r="HH41" s="431">
        <f t="shared" si="79"/>
        <v>0</v>
      </c>
      <c r="HI41" s="431">
        <f>IF(BE41=0,0,#REF!*BE41/(BE41+BG41))</f>
        <v>0</v>
      </c>
      <c r="HJ41" s="431">
        <f>IF(BG41=0,0,#REF!*BG41/(BG41+BE41))</f>
        <v>0</v>
      </c>
      <c r="HK41" s="857">
        <f>IF(BF41=0,0,#REF!*BF41/(BF41+BH41))</f>
        <v>0</v>
      </c>
      <c r="HL41" s="431">
        <f>IF(BH41=0,0,#REF!*BH41/(BH41+BF41))</f>
        <v>0</v>
      </c>
      <c r="HM41" s="431">
        <f t="shared" si="80"/>
        <v>0</v>
      </c>
      <c r="HN41" s="431" t="b">
        <f t="shared" si="81"/>
        <v>1</v>
      </c>
    </row>
    <row r="42" spans="1:222" s="432" customFormat="1" ht="12.75" customHeight="1" x14ac:dyDescent="0.35">
      <c r="A42" s="49">
        <f t="shared" si="82"/>
        <v>34</v>
      </c>
      <c r="B42" s="404" t="str">
        <f>INDEX('Loan Tape - Settled'!$B$4:$AP$55,MATCH($A42,'Loan Tape - Settled'!$E$4:$E$55,0),MATCH("Obligor Name",'Loan Tape - Settled'!$B$4:$AM$4,0))</f>
        <v>Versar</v>
      </c>
      <c r="C42" s="404" t="str">
        <f>INDEX('Loan Tape - Settled'!$B$4:$AP$55,MATCH($A42,'Loan Tape - Settled'!$E$4:$E$55,0),MATCH("Security",'Loan Tape - Settled'!$B$4:$AM$4,0))</f>
        <v>FILO</v>
      </c>
      <c r="D42" s="405" t="str">
        <f>INDEX('Loan Tape - Settled'!$B$4:$AP$55,MATCH($A42,'Loan Tape - Settled'!$E$4:$E$55,0),MATCH("Loan Type",'Loan Tape - Settled'!$B$4:$AM$4,0))</f>
        <v>FILO</v>
      </c>
      <c r="E42" s="406" t="b">
        <f>IF(ISERROR(MATCH(D42,AGENT!$A$4:$A$10,0))=FALSE, TRUE)</f>
        <v>1</v>
      </c>
      <c r="F42" s="406" t="b">
        <f t="shared" si="0"/>
        <v>1</v>
      </c>
      <c r="G42" s="406" t="b">
        <f>IF(D42&lt;&gt;"Second Lien",TRUE, IF(CY42&gt;=AGENT!$B$4,TRUE))</f>
        <v>1</v>
      </c>
      <c r="H42" s="406" t="b">
        <f>IF(DE42&lt;=AGENT!$D$4,TRUE)</f>
        <v>1</v>
      </c>
      <c r="I42" s="406" t="b">
        <f>IF(VLOOKUP(CONCATENATE($A$5,A42),'Loan Tape - Settled'!$A$5:$Q$55,17,FALSE)&gt;=AGENT!$E$4,TRUE)</f>
        <v>1</v>
      </c>
      <c r="J42" s="406" t="b">
        <f>IF(INDEX('Loan Tape - Settled'!$B$4:$AP$55,MATCH($A42,'Loan Tape - Settled'!$E$4:$E$55,0),MATCH("Loan Denomination",'Loan Tape - Settled'!$B$4:$AP$4,0))="USD", TRUE)</f>
        <v>1</v>
      </c>
      <c r="K42" s="406" t="b">
        <f>IF(INDEX('Loan Tape - Settled'!$B$4:$AP$55,MATCH($A42,'Loan Tape - Settled'!$E$4:$E$55,0),MATCH("Exposure Country",'Loan Tape - Settled'!$B$4:$AP$4,0))="United States", TRUE)</f>
        <v>1</v>
      </c>
      <c r="L42" s="406" t="b">
        <f t="shared" si="1"/>
        <v>1</v>
      </c>
      <c r="M42" s="406" t="b">
        <f>IF(((BM42-BL42)/365)&lt;=AGENT!$F$4,TRUE)</f>
        <v>1</v>
      </c>
      <c r="N42" s="406" t="b">
        <f t="shared" si="2"/>
        <v>1</v>
      </c>
      <c r="O42" s="453"/>
      <c r="P42" s="709" t="str">
        <f t="shared" si="3"/>
        <v>Yes</v>
      </c>
      <c r="Q42" s="680" t="s">
        <v>243</v>
      </c>
      <c r="R42" s="407" t="str">
        <f t="shared" si="4"/>
        <v>Versar</v>
      </c>
      <c r="S42" s="407"/>
      <c r="T42" s="408" t="str">
        <f t="array" ref="T42">_xlfn.IFS(D42="Second Lien",D42,D42="First Lien",CONCATENATE(D42," ",EI42),D42="FILO",CONCATENATE(D42," ",EJ42))</f>
        <v>FILO &lt;= 1.25x</v>
      </c>
      <c r="U42" s="409">
        <f>VLOOKUP(T42,'Concentration Limits'!D:G,4,FALSE)</f>
        <v>0.57499999999999996</v>
      </c>
      <c r="V42" s="410">
        <f t="shared" si="5"/>
        <v>10000000</v>
      </c>
      <c r="W42" s="448">
        <f>(SUMIFS('Loan Tape - Settled'!$AR$4:$AR$55,'Loan Tape - Settled'!$E$4:$E$55,$A42,'Loan Tape - Settled'!$C$4:$C$55,$A$5))</f>
        <v>10000000</v>
      </c>
      <c r="X42" s="449">
        <v>1</v>
      </c>
      <c r="Y42" s="411">
        <f t="shared" si="6"/>
        <v>10000000</v>
      </c>
      <c r="Z42" s="449">
        <f>(SUMIFS('Loan Tape - Settled'!$AQ$4:$AQ$55,'Loan Tape - Settled'!$E$4:$E$55,$A42,'Loan Tape - Settled'!$C$4:$C$55,$A$5))</f>
        <v>10000000</v>
      </c>
      <c r="AA42" s="411">
        <f t="shared" si="7"/>
        <v>10000000</v>
      </c>
      <c r="AB42" s="411">
        <f t="shared" si="8"/>
        <v>0</v>
      </c>
      <c r="AC42" s="450">
        <f>VLOOKUP(CONCATENATE($A$5,A42),'Loan Tape - Settled'!$A$5:$Q$55,17,FALSE)</f>
        <v>1</v>
      </c>
      <c r="AD42" s="412"/>
      <c r="AE42" s="413">
        <f>INDEX('Loan Tape - Settled'!$B$4:$AP$55,MATCH($A42,'Loan Tape - Settled'!$E$4:$E$55,0),MATCH("FMV",'Loan Tape - Settled'!$B$4:$AM$4,0))</f>
        <v>1.0021499999999999</v>
      </c>
      <c r="AF42" s="413">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1</v>
      </c>
      <c r="AG42" s="414" t="str">
        <f>IF(COUNTIFS(VAE!$C$5:$C$96,B42,VAE!$G$5:$G$96,"&lt;="&amp;Availability!$F$8)&gt;=1,"Yes","-")</f>
        <v>-</v>
      </c>
      <c r="AH42" s="414" t="str">
        <f t="array" ref="AH42">IFERROR(IF(AG42="Yes",INDEX(VAE!$D$5:$D$96,MATCH(B42&amp;AJ42,VAE!$C$5:$C$96&amp;VAE!$G$5:$G$96,0)),"-"),0)</f>
        <v>-</v>
      </c>
      <c r="AI42" s="414" t="str">
        <f t="array" ref="AI42">IFERROR(IF(AG42="Yes",INDEX(VAE!$F$5:$F$96,MATCH(B42&amp;AJ42,VAE!$C$5:$C$96&amp;VAE!$G$5:$G$96,0)),"-"),0)</f>
        <v>-</v>
      </c>
      <c r="AJ42" s="415" t="str">
        <f>IF(AG42="-","-",_xlfn.MAXIFS(VAE!$G$5:$G$96,VAE!$C$5:$C$96,$B42))</f>
        <v>-</v>
      </c>
      <c r="AK42" s="416" t="str">
        <f t="array" ref="AK42">IFERROR(IF(AG42="Yes",INDEX(VAE!$P$5:$P$96,MATCH(B42&amp;AJ42,VAE!$C$5:$C$96&amp;VAE!$G$5:$G$96,0)),"-"),0)</f>
        <v>-</v>
      </c>
      <c r="AL42" s="413">
        <f t="shared" si="9"/>
        <v>1</v>
      </c>
      <c r="AM42" s="410"/>
      <c r="AN42" s="410"/>
      <c r="AO42" s="410">
        <f t="shared" si="10"/>
        <v>0</v>
      </c>
      <c r="AP42" s="410">
        <f t="shared" si="11"/>
        <v>0</v>
      </c>
      <c r="AQ42" s="410">
        <f t="shared" si="83"/>
        <v>0</v>
      </c>
      <c r="AR42" s="410"/>
      <c r="AS42" s="410"/>
      <c r="AT42" s="410"/>
      <c r="AU42" s="410">
        <f t="shared" si="12"/>
        <v>10000000</v>
      </c>
      <c r="AV42" s="410">
        <f t="shared" si="13"/>
        <v>0</v>
      </c>
      <c r="AW42" s="410">
        <f t="shared" si="14"/>
        <v>10000000</v>
      </c>
      <c r="AX42" s="410"/>
      <c r="AY42" s="410"/>
      <c r="AZ42" s="410"/>
      <c r="BA42" s="410">
        <f t="shared" si="15"/>
        <v>0</v>
      </c>
      <c r="BB42" s="410"/>
      <c r="BC42" s="410"/>
      <c r="BD42" s="410">
        <f t="shared" si="16"/>
        <v>0</v>
      </c>
      <c r="BE42" s="410"/>
      <c r="BF42" s="410"/>
      <c r="BG42" s="410"/>
      <c r="BH42" s="410"/>
      <c r="BI42" s="410">
        <f t="shared" si="17"/>
        <v>0</v>
      </c>
      <c r="BJ42" s="410" t="b">
        <f t="shared" si="18"/>
        <v>1</v>
      </c>
      <c r="BK42" s="509">
        <f>INDEX('Loan Tape - Settled'!$B$4:$AP$55,MATCH($A42,'Loan Tape - Settled'!$E$4:$E$55,0),MATCH("Inception Date",'Loan Tape - Settled'!$B$4:$AP$4,0))</f>
        <v>45142</v>
      </c>
      <c r="BL42" s="509">
        <f>INDEX('Loan Tape - Settled'!$B$4:$AP$55,MATCH($A42,'Loan Tape - Settled'!$E$4:$E$55,0),MATCH("Inclusion Date",'Loan Tape - Settled'!$B$4:$AP$4,0))</f>
        <v>45142</v>
      </c>
      <c r="BM42" s="509">
        <f>INDEX('Loan Tape - Settled'!$B$4:$AP$55,MATCH($A42,'Loan Tape - Settled'!$E$4:$E$55,0),MATCH("Maturity Date",'Loan Tape - Settled'!$B$4:$AP$4,0))</f>
        <v>46969</v>
      </c>
      <c r="BN42" s="510"/>
      <c r="BO42" s="510"/>
      <c r="BP42" s="511"/>
      <c r="BQ42" s="510"/>
      <c r="BR42" s="512" t="str">
        <f>INDEX('Loan Tape - Settled'!$B$4:$AP$55,MATCH($A42,'Loan Tape - Settled'!$E$4:$E$55,0),MATCH("Industry Classification",'Loan Tape - Settled'!$B$4:$AP$4,0))</f>
        <v>Commercial Services &amp; Supplies</v>
      </c>
      <c r="BS42" s="510" t="str">
        <f>IF(INDEX('Loan Tape - Settled'!$B$4:$AP$55,MATCH($A42,'Loan Tape - Settled'!$E$4:$E$55,0),MATCH("Covenant Lite",'Loan Tape - Settled'!$B$4:$AP$4,0))=-1, "Yes", "No")</f>
        <v>No</v>
      </c>
      <c r="BT42" s="513">
        <f>INDEX('Loan Tape - Settled'!$B$4:$AP$55,MATCH($A42,'Loan Tape - Settled'!$E$4:$E$55,0),MATCH("Spread / Coupon (%)",'Loan Tape - Settled'!$B$4:$AP$4,0))</f>
        <v>9.6235899999999985E-2</v>
      </c>
      <c r="BU42" s="510" t="str">
        <f>IF(INDEX('Loan Tape - Settled'!$B$4:$AP$55,MATCH($A42,'Loan Tape - Settled'!$E$4:$E$55,0),MATCH("Security Type",'Loan Tape - Settled'!$B$4:$AP$4,0))="Delayed Draw Term Loan", "Yes", "No")</f>
        <v>No</v>
      </c>
      <c r="BV42" s="514" t="s">
        <v>244</v>
      </c>
      <c r="BW42" s="514" t="s">
        <v>244</v>
      </c>
      <c r="BX42" s="506" t="s">
        <v>244</v>
      </c>
      <c r="BY42" s="510" t="str">
        <f>IF(INDEX('Loan Tape - Settled'!$B$4:$AP$55,MATCH($A42,'Loan Tape - Settled'!$E$4:$E$55,0),MATCH("Fixed/Floating",'Loan Tape - Settled'!$B$4:$AP$4,0))="Fixed", "Yes", "No")</f>
        <v>No</v>
      </c>
      <c r="BZ42" s="514" t="s">
        <v>244</v>
      </c>
      <c r="CA42" s="514" t="s">
        <v>244</v>
      </c>
      <c r="CB42" s="510" t="str">
        <f>IF(INDEX('Loan Tape - Settled'!$B$4:$AP$55,MATCH($A42,'Loan Tape - Settled'!$E$4:$E$55,0),MATCH("Loan Denomination",'Loan Tape - Settled'!$B$4:$AP$4,0))="CAD", "Yes", "No")</f>
        <v>No</v>
      </c>
      <c r="CC42" s="510" t="str">
        <f>INDEX('Loan Tape - Settled'!$B$4:$AP$55,MATCH($A42,'Loan Tape - Settled'!$E$4:$E$55,0),MATCH("Payment Frequency",'Loan Tape - Settled'!$B$4:$AP$4,0))</f>
        <v>M</v>
      </c>
      <c r="CD42" s="514" t="s">
        <v>244</v>
      </c>
      <c r="CE42" s="510">
        <f>INDEX('Loan Tape - Settled'!$B$4:$AP$55,MATCH($A42,'Loan Tape - Settled'!$E$4:$E$55,0),MATCH("S&amp;P Loan Rating (if applicable)",'Loan Tape - Settled'!$B$4:$AP$4,0))</f>
        <v>0</v>
      </c>
      <c r="CF42" s="510">
        <f>INDEX('Loan Tape - Settled'!$B$4:$AP$55,MATCH($A42,'Loan Tape - Settled'!$E$4:$E$55,0),MATCH("Moody's Loan Rating (if applicable)",'Loan Tape - Settled'!$B$4:$AP$4,0))</f>
        <v>0</v>
      </c>
      <c r="CG42" s="510"/>
      <c r="CH42" s="510"/>
      <c r="CI42" s="515"/>
      <c r="CJ42" s="508" t="str">
        <f>INDEX('Loan Tape - Settled'!$B$4:$BF$55,MATCH($A42,'Loan Tape - Settled'!$E$4:$E$55,0),MATCH("Last Financial Received",'Loan Tape - Settled'!$B$4:$BF$4,0))</f>
        <v>9/30/2025 or Latest Financing</v>
      </c>
      <c r="CK42" s="516">
        <f>INDEX('Loan Tape - Settled'!$B$4:$BJ$55,MATCH($A42,'Loan Tape - Settled'!$E$4:$E$55,0),MATCH("Initial Adjusted TTM EBITDA",'Loan Tape - Settled'!$B$4:$BJ$4,0))</f>
        <v>23.954000000000001</v>
      </c>
      <c r="CL42" s="516">
        <f>INDEX('Loan Tape - Settled'!$B$4:$BJ$55,MATCH($A42,'Loan Tape - Settled'!$E$4:$E$55,0),MATCH("Initial TTM Non-adjusted EBITDA",'Loan Tape - Settled'!$B$4:$BJ$4,0))</f>
        <v>23.954000000000001</v>
      </c>
      <c r="CM42" s="417"/>
      <c r="CN42" s="418"/>
      <c r="CO42" s="418"/>
      <c r="CP42" s="419"/>
      <c r="CQ42" s="420" t="s">
        <v>245</v>
      </c>
      <c r="CR42" s="419"/>
      <c r="CS42" s="421">
        <f t="shared" si="19"/>
        <v>23.954000000000001</v>
      </c>
      <c r="CT42" s="422">
        <f t="shared" si="20"/>
        <v>0</v>
      </c>
      <c r="CU42" s="516">
        <f>INDEX('Loan Tape - Settled'!$B$4:$BJ$55,MATCH($A42,'Loan Tape - Settled'!$E$4:$E$55,0),MATCH("Current TTM Non-adjusted EBITDA",'Loan Tape - Settled'!$B$4:$BJ$4,0))</f>
        <v>25.524711349325489</v>
      </c>
      <c r="CV42" s="423">
        <f t="shared" si="21"/>
        <v>0</v>
      </c>
      <c r="CW42" s="652" t="s">
        <v>245</v>
      </c>
      <c r="CX42" s="517"/>
      <c r="CY42" s="658">
        <f t="shared" si="22"/>
        <v>25.524711349325489</v>
      </c>
      <c r="CZ42" s="656"/>
      <c r="DA42" s="518"/>
      <c r="DB42" s="519"/>
      <c r="DC42" s="853"/>
      <c r="DD42" s="853">
        <f>INDEX('Loan Tape - Settled'!$B$4:$BJ$55,MATCH($A42,'Loan Tape - Settled'!$E$4:$E$55,0),MATCH("Initial Senior Net Leverage Senior",'Loan Tape - Settled'!$B$4:$BJ$4,0))</f>
        <v>2.4744092844618848</v>
      </c>
      <c r="DE42" s="659">
        <f>INDEX('Loan Tape - Settled'!$B$4:$BJ$55,MATCH($A42,'Loan Tape - Settled'!$E$4:$E$55,0),MATCH("Initial Total Net Leverage",'Loan Tape - Settled'!$B$4:$BJ$4,0))</f>
        <v>2.4744092844618848</v>
      </c>
      <c r="DF42" s="656"/>
      <c r="DG42" s="518"/>
      <c r="DH42" s="519"/>
      <c r="DI42" s="424">
        <f>INDEX('Loan Tape - Settled'!$B$4:$BJ$55,MATCH($A42,'Loan Tape - Settled'!$E$4:$E$55,0),MATCH("Net Attachment",'Loan Tape - Settled'!$B$4:$BJ$4,0))</f>
        <v>0.9550041395725386</v>
      </c>
      <c r="DJ42" s="522">
        <f t="array" ref="DJ42">IF(AG42="Yes",INDEX(VAE!$M$5:$M$53,MATCH($B42&amp;$AJ42,VAE!$C$5:$C$53&amp;VAE!$G$5:$G$53,0)),DD42)</f>
        <v>2.4744092844618848</v>
      </c>
      <c r="DK42" s="649">
        <f t="array" ref="DK42">IF(AG42="Yes",INDEX(VAE!$N$5:$N$53,MATCH($B42&amp;$AJ42,VAE!$C$5:$C$53&amp;VAE!$G$5:$G$53,0)),DE42)</f>
        <v>2.4744092844618848</v>
      </c>
      <c r="DL42" s="651">
        <f>INDEX('Loan Tape - Settled'!$B$4:$BJ$55,MATCH($A42,'Loan Tape - Settled'!$E$4:$E$55,0),MATCH("Current Senior Net Leverage Senior",'Loan Tape - Settled'!$B$4:$BJ$4,0))</f>
        <v>2.7180015495780845</v>
      </c>
      <c r="DM42" s="433">
        <f>INDEX('Loan Tape - Settled'!$B$4:$BJ$55,MATCH($A42,'Loan Tape - Settled'!$E$4:$E$55,0),MATCH("Current Total Net Leverage",'Loan Tape - Settled'!$B$4:$BJ$4,0))</f>
        <v>2.7180015495780845</v>
      </c>
      <c r="DN42" s="425"/>
      <c r="DO42" s="426">
        <f>INDEX('Loan Tape - Settled'!$B$4:$BJ$55,MATCH($A42,'Loan Tape - Settled'!$E$4:$E$55,0),MATCH("Initial Interest Coverage",'Loan Tape - Settled'!$B$4:$BJ$4,0))</f>
        <v>4.0999999999999996</v>
      </c>
      <c r="DP42" s="854">
        <f t="array" ref="DP42">IF(AG42="Yes",INDEX(VAE!$O$5:$O$53,MATCH($B42&amp;$AJ42,VAE!$C$5:$C$53&amp;VAE!$G$5:$G$53,0)),DO42)</f>
        <v>4.0999999999999996</v>
      </c>
      <c r="DQ42" s="427">
        <f>INDEX('Loan Tape - Settled'!$B$4:$BJ$55,MATCH($A42,'Loan Tape - Settled'!$E$4:$E$55,0),MATCH("Current Interest Coverage",'Loan Tape - Settled'!$B$4:$BJ$4,0))</f>
        <v>2.44</v>
      </c>
      <c r="DR42" s="855" t="str">
        <f t="shared" si="23"/>
        <v>No</v>
      </c>
      <c r="DS42" s="428" t="str">
        <f>IF(AG42="Yes",DATEDIF(AJ42,Availability!$F$8,"m"),"")</f>
        <v/>
      </c>
      <c r="DT42" s="428" t="str">
        <f t="shared" si="24"/>
        <v>No</v>
      </c>
      <c r="DU42" s="647" t="str">
        <f t="shared" si="25"/>
        <v>No</v>
      </c>
      <c r="DV42" s="648" t="str">
        <f t="shared" si="26"/>
        <v>No</v>
      </c>
      <c r="DW42" s="648" t="str">
        <f t="array" ref="DW42">_xlfn.IFS(D42&lt;&gt;"Second Lien","No",D42="Second Lien",IF(AND((DM42-DK42)&gt;0.5,DM42&gt;4.5),"Yes","No"))</f>
        <v>No</v>
      </c>
      <c r="DX42" s="685" t="s">
        <v>244</v>
      </c>
      <c r="DY42" s="685" t="s">
        <v>244</v>
      </c>
      <c r="DZ42" s="686" t="s">
        <v>244</v>
      </c>
      <c r="EA42" s="686" t="s">
        <v>244</v>
      </c>
      <c r="EB42" s="686" t="s">
        <v>244</v>
      </c>
      <c r="EC42" s="686" t="s">
        <v>244</v>
      </c>
      <c r="ED42" s="686" t="s">
        <v>244</v>
      </c>
      <c r="EE42" s="686" t="s">
        <v>244</v>
      </c>
      <c r="EF42" s="409" t="str">
        <f t="shared" si="27"/>
        <v>No</v>
      </c>
      <c r="EG42" s="686" t="s">
        <v>244</v>
      </c>
      <c r="EH42" s="691" t="s">
        <v>244</v>
      </c>
      <c r="EI42" s="856" t="str">
        <f t="array" ref="EI42">IF(D42="First Lien",_xlfn.IFS(CY42&gt;AGENT!$B$23, "&gt; $20MM",CY42&lt;=AGENT!$C$25, "&lt;= $10MM",AND(CY42&lt;=AGENT!$C$24,CY42&gt;AGENT!$B$24),"&lt;= $20MM"), "N/A")</f>
        <v>N/A</v>
      </c>
      <c r="EJ42" s="856" t="str">
        <f t="array" ref="EJ42">IF(D42="FILO",_xlfn.IFS(DI42&gt;AGENT!$B$29, "&gt; 1.25x",DI42&lt;AGENT!$C$27, "&lt; 0.75x",AND(DI42&lt;=AGENT!$C$28,DI42&gt;=AGENT!$B$28),"&lt;= 1.25x"), "N/A")</f>
        <v>&lt;= 1.25x</v>
      </c>
      <c r="EK42" s="429">
        <f t="shared" si="28"/>
        <v>10000000</v>
      </c>
      <c r="EL42" s="429">
        <f>'Concentration Limits'!$J$49</f>
        <v>49599340.729726665</v>
      </c>
      <c r="EM42" s="429" t="str">
        <f>IF(OR(D42="Second Lien",AND(D42="FILO",DI42&gt;AGENT!$C$57)), "Yes", "No")</f>
        <v>No</v>
      </c>
      <c r="EN42" s="429">
        <f t="shared" si="29"/>
        <v>0</v>
      </c>
      <c r="EO42" s="429">
        <f t="shared" si="30"/>
        <v>0</v>
      </c>
      <c r="EP42" s="429">
        <f t="shared" si="31"/>
        <v>10000000</v>
      </c>
      <c r="EQ42" s="429">
        <f>'Concentration Limits'!$J$50</f>
        <v>24799670.364863332</v>
      </c>
      <c r="ER42" s="429">
        <f t="shared" si="32"/>
        <v>0</v>
      </c>
      <c r="ES42" s="429">
        <f t="shared" si="84"/>
        <v>0</v>
      </c>
      <c r="ET42" s="429">
        <f t="shared" si="33"/>
        <v>10000000</v>
      </c>
      <c r="EU42" s="429">
        <f>'Concentration Limits'!$J$51</f>
        <v>74399011.094589993</v>
      </c>
      <c r="EV42" s="429" t="str">
        <f>IF(OR(D42="Second Lien", AND(D42="FILO",DI42&gt;AGENT!$C$59)), "Yes", "No")</f>
        <v>No</v>
      </c>
      <c r="EW42" s="429">
        <f t="shared" si="34"/>
        <v>0</v>
      </c>
      <c r="EX42" s="429">
        <f t="shared" si="35"/>
        <v>0</v>
      </c>
      <c r="EY42" s="429">
        <f t="shared" si="36"/>
        <v>10000000</v>
      </c>
      <c r="EZ42" s="429">
        <f>'Concentration Limits'!$J$52</f>
        <v>37199505.547294997</v>
      </c>
      <c r="FA42" s="429" t="str">
        <f>IF(CY42&gt;'Concentration Limits'!$E$52, "No", "Yes")</f>
        <v>No</v>
      </c>
      <c r="FB42" s="429">
        <f t="shared" si="37"/>
        <v>0</v>
      </c>
      <c r="FC42" s="429">
        <f t="shared" si="38"/>
        <v>0</v>
      </c>
      <c r="FD42" s="429">
        <f t="shared" si="39"/>
        <v>10000000</v>
      </c>
      <c r="FE42" s="430">
        <f>'Concentration Limits'!$J$54</f>
        <v>247996703.6486333</v>
      </c>
      <c r="FF42" s="430">
        <f>'Concentration Limits'!$J$55</f>
        <v>247996703.6486333</v>
      </c>
      <c r="FG42" s="430">
        <f>'Concentration Limits'!$J$56</f>
        <v>247996703.6486333</v>
      </c>
      <c r="FH42" s="431">
        <f>'Concentration Limits'!$J$57</f>
        <v>18599752.773647498</v>
      </c>
      <c r="FI42" s="431">
        <f t="shared" si="40"/>
        <v>10000000</v>
      </c>
      <c r="FJ42" s="431">
        <f t="shared" si="41"/>
        <v>10000000</v>
      </c>
      <c r="FK42" s="431">
        <f t="shared" si="42"/>
        <v>12</v>
      </c>
      <c r="FL42" s="431">
        <f>IF(FJ42&gt;0,RANK(FJ42,$FJ$9:$FJ$60)+COUNTIF($FJ$9:FJ42,FJ42)-1,0)</f>
        <v>12</v>
      </c>
      <c r="FM42" s="430">
        <f t="shared" si="43"/>
        <v>0</v>
      </c>
      <c r="FN42" s="430">
        <f t="shared" si="44"/>
        <v>0</v>
      </c>
      <c r="FO42" s="430">
        <f t="shared" si="45"/>
        <v>0</v>
      </c>
      <c r="FP42" s="431">
        <f t="shared" si="46"/>
        <v>0</v>
      </c>
      <c r="FQ42" s="431">
        <f t="shared" si="47"/>
        <v>10000000</v>
      </c>
      <c r="FR42" s="431">
        <f>'Concentration Limits'!$J$58</f>
        <v>49599340.729726665</v>
      </c>
      <c r="FS42" s="431">
        <f t="shared" si="48"/>
        <v>13322967.211468514</v>
      </c>
      <c r="FT42" s="431">
        <f>VLOOKUP(BR42,'Concentration Limits'!$E$81:$H$153,4,FALSE)</f>
        <v>8</v>
      </c>
      <c r="FU42" s="431">
        <f t="shared" si="49"/>
        <v>0</v>
      </c>
      <c r="FV42" s="431">
        <f t="shared" si="50"/>
        <v>10000000</v>
      </c>
      <c r="FW42" s="431">
        <f>'Concentration Limits'!$J$59</f>
        <v>37199505.547294997</v>
      </c>
      <c r="FX42" s="431">
        <f t="shared" si="51"/>
        <v>13322967.211468514</v>
      </c>
      <c r="FY42" s="431">
        <f>VLOOKUP(BR42,'Concentration Limits'!$E$81:$H$153,4,FALSE)</f>
        <v>8</v>
      </c>
      <c r="FZ42" s="431">
        <f t="shared" si="52"/>
        <v>0</v>
      </c>
      <c r="GA42" s="431">
        <f t="shared" si="53"/>
        <v>10000000</v>
      </c>
      <c r="GB42" s="431">
        <f>'Concentration Limits'!$J$61</f>
        <v>24799670.364863332</v>
      </c>
      <c r="GC42" s="431">
        <f t="shared" si="54"/>
        <v>13322967.211468514</v>
      </c>
      <c r="GD42" s="429">
        <f>VLOOKUP(BR42,'Concentration Limits'!$E$81:$H$153,4,FALSE)</f>
        <v>8</v>
      </c>
      <c r="GE42" s="431">
        <f t="shared" si="55"/>
        <v>0</v>
      </c>
      <c r="GF42" s="431">
        <f t="shared" si="56"/>
        <v>10000000</v>
      </c>
      <c r="GG42" s="431">
        <f>'Concentration Limits'!$J$64</f>
        <v>24799670.364863332</v>
      </c>
      <c r="GH42" s="431">
        <f t="shared" si="57"/>
        <v>0</v>
      </c>
      <c r="GI42" s="431">
        <f t="shared" si="58"/>
        <v>0</v>
      </c>
      <c r="GJ42" s="431">
        <f t="shared" si="59"/>
        <v>10000000</v>
      </c>
      <c r="GK42" s="431">
        <f>'Concentration Limits'!$J$67</f>
        <v>24799670.364863332</v>
      </c>
      <c r="GL42" s="429" t="str">
        <f t="shared" si="60"/>
        <v>No</v>
      </c>
      <c r="GM42" s="431">
        <f t="shared" si="61"/>
        <v>0</v>
      </c>
      <c r="GN42" s="431">
        <f t="shared" si="62"/>
        <v>0</v>
      </c>
      <c r="GO42" s="431">
        <f t="shared" si="63"/>
        <v>10000000</v>
      </c>
      <c r="GP42" s="431">
        <f>'Concentration Limits'!$J$68</f>
        <v>37199505.547294997</v>
      </c>
      <c r="GQ42" s="429" t="str">
        <f t="shared" si="64"/>
        <v>No</v>
      </c>
      <c r="GR42" s="431">
        <f t="shared" si="65"/>
        <v>0</v>
      </c>
      <c r="GS42" s="431">
        <f t="shared" si="66"/>
        <v>0</v>
      </c>
      <c r="GT42" s="431">
        <f t="shared" si="67"/>
        <v>10000000</v>
      </c>
      <c r="GU42" s="429">
        <f>'Concentration Limits'!$J$69</f>
        <v>37199505.547294997</v>
      </c>
      <c r="GV42" s="429" t="str">
        <f t="shared" si="68"/>
        <v>No</v>
      </c>
      <c r="GW42" s="429">
        <f t="shared" si="69"/>
        <v>0</v>
      </c>
      <c r="GX42" s="429">
        <f t="shared" si="70"/>
        <v>0</v>
      </c>
      <c r="GY42" s="429">
        <f t="shared" si="71"/>
        <v>10000000</v>
      </c>
      <c r="GZ42" s="429">
        <f>'Concentration Limits'!$J$70</f>
        <v>24799670.364863332</v>
      </c>
      <c r="HA42" s="429" t="str">
        <f t="shared" si="72"/>
        <v>No</v>
      </c>
      <c r="HB42" s="429">
        <f t="shared" si="73"/>
        <v>0</v>
      </c>
      <c r="HC42" s="429">
        <f t="shared" si="74"/>
        <v>0</v>
      </c>
      <c r="HD42" s="429">
        <f t="shared" si="75"/>
        <v>10000000</v>
      </c>
      <c r="HE42" s="431">
        <f t="shared" si="76"/>
        <v>0</v>
      </c>
      <c r="HF42" s="431">
        <f t="shared" si="77"/>
        <v>0</v>
      </c>
      <c r="HG42" s="431">
        <f t="shared" si="78"/>
        <v>10000000</v>
      </c>
      <c r="HH42" s="431">
        <f t="shared" si="79"/>
        <v>0</v>
      </c>
      <c r="HI42" s="431">
        <f>IF(BE42=0,0,#REF!*BE42/(BE42+BG42))</f>
        <v>0</v>
      </c>
      <c r="HJ42" s="431">
        <f>IF(BG42=0,0,#REF!*BG42/(BG42+BE42))</f>
        <v>0</v>
      </c>
      <c r="HK42" s="857">
        <f>IF(BF42=0,0,#REF!*BF42/(BF42+BH42))</f>
        <v>0</v>
      </c>
      <c r="HL42" s="431">
        <f>IF(BH42=0,0,#REF!*BH42/(BH42+BF42))</f>
        <v>0</v>
      </c>
      <c r="HM42" s="431">
        <f t="shared" si="80"/>
        <v>0</v>
      </c>
      <c r="HN42" s="431" t="b">
        <f t="shared" si="81"/>
        <v>1</v>
      </c>
    </row>
    <row r="43" spans="1:222" s="432" customFormat="1" ht="12.75" customHeight="1" x14ac:dyDescent="0.35">
      <c r="A43" s="49">
        <f t="shared" si="82"/>
        <v>35</v>
      </c>
      <c r="B43" s="404" t="str">
        <f>INDEX('Loan Tape - Settled'!$B$4:$AP$55,MATCH($A43,'Loan Tape - Settled'!$E$4:$E$55,0),MATCH("Obligor Name",'Loan Tape - Settled'!$B$4:$AM$4,0))</f>
        <v>Douglas Products and Packaging Company</v>
      </c>
      <c r="C43" s="404" t="str">
        <f>INDEX('Loan Tape - Settled'!$B$4:$AP$55,MATCH($A43,'Loan Tape - Settled'!$E$4:$E$55,0),MATCH("Security",'Loan Tape - Settled'!$B$4:$AM$4,0))</f>
        <v>FILO</v>
      </c>
      <c r="D43" s="405" t="str">
        <f>INDEX('Loan Tape - Settled'!$B$4:$AP$55,MATCH($A43,'Loan Tape - Settled'!$E$4:$E$55,0),MATCH("Loan Type",'Loan Tape - Settled'!$B$4:$AM$4,0))</f>
        <v>FILO</v>
      </c>
      <c r="E43" s="406" t="b">
        <f>IF(ISERROR(MATCH(D43,AGENT!$A$4:$A$10,0))=FALSE, TRUE)</f>
        <v>1</v>
      </c>
      <c r="F43" s="406" t="b">
        <f t="shared" si="0"/>
        <v>1</v>
      </c>
      <c r="G43" s="406" t="b">
        <f>IF(D43&lt;&gt;"Second Lien",TRUE, IF(CY43&gt;=AGENT!$B$4,TRUE))</f>
        <v>1</v>
      </c>
      <c r="H43" s="406" t="b">
        <f>IF(DE43&lt;=AGENT!$D$4,TRUE)</f>
        <v>1</v>
      </c>
      <c r="I43" s="406" t="b">
        <f>IF(VLOOKUP(CONCATENATE($A$5,A43),'Loan Tape - Settled'!$A$5:$Q$55,17,FALSE)&gt;=AGENT!$E$4,TRUE)</f>
        <v>1</v>
      </c>
      <c r="J43" s="406" t="b">
        <f>IF(INDEX('Loan Tape - Settled'!$B$4:$AP$55,MATCH($A43,'Loan Tape - Settled'!$E$4:$E$55,0),MATCH("Loan Denomination",'Loan Tape - Settled'!$B$4:$AP$4,0))="USD", TRUE)</f>
        <v>1</v>
      </c>
      <c r="K43" s="406" t="b">
        <f>IF(INDEX('Loan Tape - Settled'!$B$4:$AP$55,MATCH($A43,'Loan Tape - Settled'!$E$4:$E$55,0),MATCH("Exposure Country",'Loan Tape - Settled'!$B$4:$AP$4,0))="United States", TRUE)</f>
        <v>1</v>
      </c>
      <c r="L43" s="406" t="b">
        <f t="shared" si="1"/>
        <v>1</v>
      </c>
      <c r="M43" s="406" t="b">
        <f>IF(((BM43-BL43)/365)&lt;=AGENT!$F$4,TRUE)</f>
        <v>1</v>
      </c>
      <c r="N43" s="406" t="b">
        <f t="shared" si="2"/>
        <v>1</v>
      </c>
      <c r="O43" s="453"/>
      <c r="P43" s="709" t="str">
        <f t="shared" si="3"/>
        <v>Yes</v>
      </c>
      <c r="Q43" s="680" t="s">
        <v>243</v>
      </c>
      <c r="R43" s="407" t="str">
        <f t="shared" si="4"/>
        <v>Douglas Products and Packaging Company</v>
      </c>
      <c r="S43" s="407"/>
      <c r="T43" s="408" t="str">
        <f t="array" ref="T43">_xlfn.IFS(D43="Second Lien",D43,D43="First Lien",CONCATENATE(D43," ",EI43),D43="FILO",CONCATENATE(D43," ",EJ43))</f>
        <v>FILO &gt; 1.25x</v>
      </c>
      <c r="U43" s="409">
        <f>VLOOKUP(T43,'Concentration Limits'!D:G,4,FALSE)</f>
        <v>0.45</v>
      </c>
      <c r="V43" s="410">
        <f t="shared" si="5"/>
        <v>19507632.143256925</v>
      </c>
      <c r="W43" s="448">
        <f>(SUMIFS('Loan Tape - Settled'!$AR$4:$AR$55,'Loan Tape - Settled'!$E$4:$E$55,$A43,'Loan Tape - Settled'!$C$4:$C$55,$A$5))</f>
        <v>19949257.8713644</v>
      </c>
      <c r="X43" s="449">
        <v>1</v>
      </c>
      <c r="Y43" s="411">
        <f t="shared" si="6"/>
        <v>19949257.8713644</v>
      </c>
      <c r="Z43" s="449">
        <f>(SUMIFS('Loan Tape - Settled'!$AQ$4:$AQ$55,'Loan Tape - Settled'!$E$4:$E$55,$A43,'Loan Tape - Settled'!$C$4:$C$55,$A$5))</f>
        <v>19949257.8713644</v>
      </c>
      <c r="AA43" s="411">
        <f t="shared" si="7"/>
        <v>19949257.8713644</v>
      </c>
      <c r="AB43" s="411">
        <f t="shared" si="8"/>
        <v>0</v>
      </c>
      <c r="AC43" s="450">
        <f>VLOOKUP(CONCATENATE($A$5,A43),'Loan Tape - Settled'!$A$5:$Q$55,17,FALSE)</f>
        <v>1</v>
      </c>
      <c r="AD43" s="412"/>
      <c r="AE43" s="413">
        <f>INDEX('Loan Tape - Settled'!$B$4:$AP$55,MATCH($A43,'Loan Tape - Settled'!$E$4:$E$55,0),MATCH("FMV",'Loan Tape - Settled'!$B$4:$AM$4,0))</f>
        <v>1.0036</v>
      </c>
      <c r="AF43" s="413">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0.97786254852410359</v>
      </c>
      <c r="AG43" s="414" t="str">
        <f>IF(COUNTIFS(VAE!$C$5:$C$96,B43,VAE!$G$5:$G$96,"&lt;="&amp;Availability!$F$8)&gt;=1,"Yes","-")</f>
        <v>-</v>
      </c>
      <c r="AH43" s="414" t="str">
        <f t="array" ref="AH43">IFERROR(IF(AG43="Yes",INDEX(VAE!$D$5:$D$96,MATCH(B43&amp;AJ43,VAE!$C$5:$C$96&amp;VAE!$G$5:$G$96,0)),"-"),0)</f>
        <v>-</v>
      </c>
      <c r="AI43" s="414" t="str">
        <f t="array" ref="AI43">IFERROR(IF(AG43="Yes",INDEX(VAE!$F$5:$F$96,MATCH(B43&amp;AJ43,VAE!$C$5:$C$96&amp;VAE!$G$5:$G$96,0)),"-"),0)</f>
        <v>-</v>
      </c>
      <c r="AJ43" s="415" t="str">
        <f>IF(AG43="-","-",_xlfn.MAXIFS(VAE!$G$5:$G$96,VAE!$C$5:$C$96,$B43))</f>
        <v>-</v>
      </c>
      <c r="AK43" s="416" t="str">
        <f t="array" ref="AK43">IFERROR(IF(AG43="Yes",INDEX(VAE!$P$5:$P$96,MATCH(B43&amp;AJ43,VAE!$C$5:$C$96&amp;VAE!$G$5:$G$96,0)),"-"),0)</f>
        <v>-</v>
      </c>
      <c r="AL43" s="413">
        <f t="shared" si="9"/>
        <v>0.97786254852410359</v>
      </c>
      <c r="AM43" s="410"/>
      <c r="AN43" s="410"/>
      <c r="AO43" s="410">
        <f t="shared" si="10"/>
        <v>0</v>
      </c>
      <c r="AP43" s="410">
        <f t="shared" si="11"/>
        <v>0</v>
      </c>
      <c r="AQ43" s="410">
        <f t="shared" si="83"/>
        <v>0</v>
      </c>
      <c r="AR43" s="410"/>
      <c r="AS43" s="410"/>
      <c r="AT43" s="410"/>
      <c r="AU43" s="410">
        <f t="shared" si="12"/>
        <v>19949257.8713644</v>
      </c>
      <c r="AV43" s="410">
        <f t="shared" si="13"/>
        <v>0</v>
      </c>
      <c r="AW43" s="410">
        <f t="shared" si="14"/>
        <v>19507632.143256925</v>
      </c>
      <c r="AX43" s="410"/>
      <c r="AY43" s="410"/>
      <c r="AZ43" s="410"/>
      <c r="BA43" s="410">
        <f t="shared" si="15"/>
        <v>0</v>
      </c>
      <c r="BB43" s="410"/>
      <c r="BC43" s="410"/>
      <c r="BD43" s="410">
        <f t="shared" si="16"/>
        <v>0</v>
      </c>
      <c r="BE43" s="410"/>
      <c r="BF43" s="410"/>
      <c r="BG43" s="410"/>
      <c r="BH43" s="410"/>
      <c r="BI43" s="410">
        <f t="shared" si="17"/>
        <v>0</v>
      </c>
      <c r="BJ43" s="410" t="b">
        <f t="shared" si="18"/>
        <v>1</v>
      </c>
      <c r="BK43" s="509">
        <f>INDEX('Loan Tape - Settled'!$B$4:$AP$55,MATCH($A43,'Loan Tape - Settled'!$E$4:$E$55,0),MATCH("Inception Date",'Loan Tape - Settled'!$B$4:$AP$4,0))</f>
        <v>45183</v>
      </c>
      <c r="BL43" s="509">
        <f>INDEX('Loan Tape - Settled'!$B$4:$AP$55,MATCH($A43,'Loan Tape - Settled'!$E$4:$E$55,0),MATCH("Inclusion Date",'Loan Tape - Settled'!$B$4:$AP$4,0))</f>
        <v>45183</v>
      </c>
      <c r="BM43" s="509">
        <f>INDEX('Loan Tape - Settled'!$B$4:$AP$55,MATCH($A43,'Loan Tape - Settled'!$E$4:$E$55,0),MATCH("Maturity Date",'Loan Tape - Settled'!$B$4:$AP$4,0))</f>
        <v>47016</v>
      </c>
      <c r="BN43" s="510"/>
      <c r="BO43" s="510"/>
      <c r="BP43" s="511"/>
      <c r="BQ43" s="510"/>
      <c r="BR43" s="512" t="str">
        <f>INDEX('Loan Tape - Settled'!$B$4:$AP$55,MATCH($A43,'Loan Tape - Settled'!$E$4:$E$55,0),MATCH("Industry Classification",'Loan Tape - Settled'!$B$4:$AP$4,0))</f>
        <v>Chemicals</v>
      </c>
      <c r="BS43" s="510" t="str">
        <f>IF(INDEX('Loan Tape - Settled'!$B$4:$AP$55,MATCH($A43,'Loan Tape - Settled'!$E$4:$E$55,0),MATCH("Covenant Lite",'Loan Tape - Settled'!$B$4:$AP$4,0))=-1, "Yes", "No")</f>
        <v>No</v>
      </c>
      <c r="BT43" s="513">
        <f>INDEX('Loan Tape - Settled'!$B$4:$AP$55,MATCH($A43,'Loan Tape - Settled'!$E$4:$E$55,0),MATCH("Spread / Coupon (%)",'Loan Tape - Settled'!$B$4:$AP$4,0))</f>
        <v>6.9000000000000006E-2</v>
      </c>
      <c r="BU43" s="510" t="str">
        <f>IF(INDEX('Loan Tape - Settled'!$B$4:$AP$55,MATCH($A43,'Loan Tape - Settled'!$E$4:$E$55,0),MATCH("Security Type",'Loan Tape - Settled'!$B$4:$AP$4,0))="Delayed Draw Term Loan", "Yes", "No")</f>
        <v>No</v>
      </c>
      <c r="BV43" s="514" t="s">
        <v>244</v>
      </c>
      <c r="BW43" s="514" t="s">
        <v>244</v>
      </c>
      <c r="BX43" s="506" t="s">
        <v>244</v>
      </c>
      <c r="BY43" s="510" t="str">
        <f>IF(INDEX('Loan Tape - Settled'!$B$4:$AP$55,MATCH($A43,'Loan Tape - Settled'!$E$4:$E$55,0),MATCH("Fixed/Floating",'Loan Tape - Settled'!$B$4:$AP$4,0))="Fixed", "Yes", "No")</f>
        <v>No</v>
      </c>
      <c r="BZ43" s="514" t="s">
        <v>244</v>
      </c>
      <c r="CA43" s="514" t="s">
        <v>244</v>
      </c>
      <c r="CB43" s="510" t="str">
        <f>IF(INDEX('Loan Tape - Settled'!$B$4:$AP$55,MATCH($A43,'Loan Tape - Settled'!$E$4:$E$55,0),MATCH("Loan Denomination",'Loan Tape - Settled'!$B$4:$AP$4,0))="CAD", "Yes", "No")</f>
        <v>No</v>
      </c>
      <c r="CC43" s="510" t="str">
        <f>INDEX('Loan Tape - Settled'!$B$4:$AP$55,MATCH($A43,'Loan Tape - Settled'!$E$4:$E$55,0),MATCH("Payment Frequency",'Loan Tape - Settled'!$B$4:$AP$4,0))</f>
        <v>M</v>
      </c>
      <c r="CD43" s="514" t="s">
        <v>244</v>
      </c>
      <c r="CE43" s="510">
        <f>INDEX('Loan Tape - Settled'!$B$4:$AP$55,MATCH($A43,'Loan Tape - Settled'!$E$4:$E$55,0),MATCH("S&amp;P Loan Rating (if applicable)",'Loan Tape - Settled'!$B$4:$AP$4,0))</f>
        <v>0</v>
      </c>
      <c r="CF43" s="510">
        <f>INDEX('Loan Tape - Settled'!$B$4:$AP$55,MATCH($A43,'Loan Tape - Settled'!$E$4:$E$55,0),MATCH("Moody's Loan Rating (if applicable)",'Loan Tape - Settled'!$B$4:$AP$4,0))</f>
        <v>0</v>
      </c>
      <c r="CG43" s="510"/>
      <c r="CH43" s="510"/>
      <c r="CI43" s="515"/>
      <c r="CJ43" s="508" t="str">
        <f>INDEX('Loan Tape - Settled'!$B$4:$BF$55,MATCH($A43,'Loan Tape - Settled'!$E$4:$E$55,0),MATCH("Last Financial Received",'Loan Tape - Settled'!$B$4:$BF$4,0))</f>
        <v>9/30/2025 or Latest Financing</v>
      </c>
      <c r="CK43" s="516">
        <f>INDEX('Loan Tape - Settled'!$B$4:$BJ$55,MATCH($A43,'Loan Tape - Settled'!$E$4:$E$55,0),MATCH("Initial Adjusted TTM EBITDA",'Loan Tape - Settled'!$B$4:$BJ$4,0))</f>
        <v>29.928000000000001</v>
      </c>
      <c r="CL43" s="516">
        <f>INDEX('Loan Tape - Settled'!$B$4:$BJ$55,MATCH($A43,'Loan Tape - Settled'!$E$4:$E$55,0),MATCH("Initial TTM Non-adjusted EBITDA",'Loan Tape - Settled'!$B$4:$BJ$4,0))</f>
        <v>29.928000000000001</v>
      </c>
      <c r="CM43" s="417"/>
      <c r="CN43" s="418"/>
      <c r="CO43" s="418"/>
      <c r="CP43" s="419"/>
      <c r="CQ43" s="420" t="s">
        <v>245</v>
      </c>
      <c r="CR43" s="419"/>
      <c r="CS43" s="421">
        <f t="shared" si="19"/>
        <v>29.928000000000001</v>
      </c>
      <c r="CT43" s="422">
        <f t="shared" si="20"/>
        <v>0</v>
      </c>
      <c r="CU43" s="516">
        <f>INDEX('Loan Tape - Settled'!$B$4:$BJ$55,MATCH($A43,'Loan Tape - Settled'!$E$4:$E$55,0),MATCH("Current TTM Non-adjusted EBITDA",'Loan Tape - Settled'!$B$4:$BJ$4,0))</f>
        <v>32.087000000000003</v>
      </c>
      <c r="CV43" s="423">
        <f t="shared" si="21"/>
        <v>0</v>
      </c>
      <c r="CW43" s="652" t="s">
        <v>245</v>
      </c>
      <c r="CX43" s="517"/>
      <c r="CY43" s="658">
        <f t="shared" si="22"/>
        <v>32.087000000000003</v>
      </c>
      <c r="CZ43" s="656"/>
      <c r="DA43" s="518"/>
      <c r="DB43" s="519"/>
      <c r="DC43" s="853"/>
      <c r="DD43" s="853">
        <f>INDEX('Loan Tape - Settled'!$B$4:$BJ$55,MATCH($A43,'Loan Tape - Settled'!$E$4:$E$55,0),MATCH("Initial Senior Net Leverage Senior",'Loan Tape - Settled'!$B$4:$BJ$4,0))</f>
        <v>4.2502004811547716</v>
      </c>
      <c r="DE43" s="659">
        <f>INDEX('Loan Tape - Settled'!$B$4:$BJ$55,MATCH($A43,'Loan Tape - Settled'!$E$4:$E$55,0),MATCH("Initial Total Net Leverage",'Loan Tape - Settled'!$B$4:$BJ$4,0))</f>
        <v>4.2502004811547716</v>
      </c>
      <c r="DF43" s="656"/>
      <c r="DG43" s="518"/>
      <c r="DH43" s="519"/>
      <c r="DI43" s="424">
        <f>INDEX('Loan Tape - Settled'!$B$4:$BJ$55,MATCH($A43,'Loan Tape - Settled'!$E$4:$E$55,0),MATCH("Net Attachment",'Loan Tape - Settled'!$B$4:$BJ$4,0))</f>
        <v>1.2548249982989435</v>
      </c>
      <c r="DJ43" s="522">
        <f t="array" ref="DJ43">IF(AG43="Yes",INDEX(VAE!$M$5:$M$53,MATCH($B43&amp;$AJ43,VAE!$C$5:$C$53&amp;VAE!$G$5:$G$53,0)),DD43)</f>
        <v>4.2502004811547716</v>
      </c>
      <c r="DK43" s="649">
        <f t="array" ref="DK43">IF(AG43="Yes",INDEX(VAE!$N$5:$N$53,MATCH($B43&amp;$AJ43,VAE!$C$5:$C$53&amp;VAE!$G$5:$G$53,0)),DE43)</f>
        <v>4.2502004811547716</v>
      </c>
      <c r="DL43" s="651">
        <f>INDEX('Loan Tape - Settled'!$B$4:$BJ$55,MATCH($A43,'Loan Tape - Settled'!$E$4:$E$55,0),MATCH("Current Senior Net Leverage Senior",'Loan Tape - Settled'!$B$4:$BJ$4,0))</f>
        <v>4.6925390344999531</v>
      </c>
      <c r="DM43" s="433">
        <f>INDEX('Loan Tape - Settled'!$B$4:$BJ$55,MATCH($A43,'Loan Tape - Settled'!$E$4:$E$55,0),MATCH("Current Total Net Leverage",'Loan Tape - Settled'!$B$4:$BJ$4,0))</f>
        <v>4.6925390344999531</v>
      </c>
      <c r="DN43" s="425"/>
      <c r="DO43" s="426">
        <f>INDEX('Loan Tape - Settled'!$B$4:$BJ$55,MATCH($A43,'Loan Tape - Settled'!$E$4:$E$55,0),MATCH("Initial Interest Coverage",'Loan Tape - Settled'!$B$4:$BJ$4,0))</f>
        <v>1.96</v>
      </c>
      <c r="DP43" s="854">
        <f t="array" ref="DP43">IF(AG43="Yes",INDEX(VAE!$O$5:$O$53,MATCH($B43&amp;$AJ43,VAE!$C$5:$C$53&amp;VAE!$G$5:$G$53,0)),DO43)</f>
        <v>1.96</v>
      </c>
      <c r="DQ43" s="427">
        <f>INDEX('Loan Tape - Settled'!$B$4:$BJ$55,MATCH($A43,'Loan Tape - Settled'!$E$4:$E$55,0),MATCH("Current Interest Coverage",'Loan Tape - Settled'!$B$4:$BJ$4,0))</f>
        <v>1.58</v>
      </c>
      <c r="DR43" s="855" t="str">
        <f t="shared" si="23"/>
        <v>No</v>
      </c>
      <c r="DS43" s="428" t="str">
        <f>IF(AG43="Yes",DATEDIF(AJ43,Availability!$F$8,"m"),"")</f>
        <v/>
      </c>
      <c r="DT43" s="428" t="str">
        <f t="shared" si="24"/>
        <v>No</v>
      </c>
      <c r="DU43" s="647" t="str">
        <f t="shared" si="25"/>
        <v>No</v>
      </c>
      <c r="DV43" s="648" t="str">
        <f t="shared" si="26"/>
        <v>No</v>
      </c>
      <c r="DW43" s="648" t="str">
        <f t="array" ref="DW43">_xlfn.IFS(D43&lt;&gt;"Second Lien","No",D43="Second Lien",IF(AND((DM43-DK43)&gt;0.5,DM43&gt;4.5),"Yes","No"))</f>
        <v>No</v>
      </c>
      <c r="DX43" s="685" t="s">
        <v>244</v>
      </c>
      <c r="DY43" s="685" t="s">
        <v>244</v>
      </c>
      <c r="DZ43" s="686" t="s">
        <v>244</v>
      </c>
      <c r="EA43" s="686" t="s">
        <v>244</v>
      </c>
      <c r="EB43" s="686" t="s">
        <v>244</v>
      </c>
      <c r="EC43" s="686" t="s">
        <v>244</v>
      </c>
      <c r="ED43" s="686" t="s">
        <v>244</v>
      </c>
      <c r="EE43" s="686" t="s">
        <v>244</v>
      </c>
      <c r="EF43" s="409" t="str">
        <f t="shared" si="27"/>
        <v>No</v>
      </c>
      <c r="EG43" s="686" t="s">
        <v>244</v>
      </c>
      <c r="EH43" s="691" t="s">
        <v>244</v>
      </c>
      <c r="EI43" s="856" t="str">
        <f t="array" ref="EI43">IF(D43="First Lien",_xlfn.IFS(CY43&gt;AGENT!$B$23, "&gt; $20MM",CY43&lt;=AGENT!$C$25, "&lt;= $10MM",AND(CY43&lt;=AGENT!$C$24,CY43&gt;AGENT!$B$24),"&lt;= $20MM"), "N/A")</f>
        <v>N/A</v>
      </c>
      <c r="EJ43" s="856" t="str">
        <f t="array" ref="EJ43">IF(D43="FILO",_xlfn.IFS(DI43&gt;AGENT!$B$29, "&gt; 1.25x",DI43&lt;AGENT!$C$27, "&lt; 0.75x",AND(DI43&lt;=AGENT!$C$28,DI43&gt;=AGENT!$B$28),"&lt;= 1.25x"), "N/A")</f>
        <v>&gt; 1.25x</v>
      </c>
      <c r="EK43" s="429">
        <f t="shared" si="28"/>
        <v>19507632.143256925</v>
      </c>
      <c r="EL43" s="429">
        <f>'Concentration Limits'!$J$49</f>
        <v>49599340.729726665</v>
      </c>
      <c r="EM43" s="429" t="str">
        <f>IF(OR(D43="Second Lien",AND(D43="FILO",DI43&gt;AGENT!$C$57)), "Yes", "No")</f>
        <v>No</v>
      </c>
      <c r="EN43" s="429">
        <f t="shared" si="29"/>
        <v>0</v>
      </c>
      <c r="EO43" s="429">
        <f t="shared" si="30"/>
        <v>0</v>
      </c>
      <c r="EP43" s="429">
        <f t="shared" si="31"/>
        <v>19507632.143256925</v>
      </c>
      <c r="EQ43" s="429">
        <f>'Concentration Limits'!$J$50</f>
        <v>24799670.364863332</v>
      </c>
      <c r="ER43" s="429">
        <f t="shared" si="32"/>
        <v>0</v>
      </c>
      <c r="ES43" s="429">
        <f t="shared" si="84"/>
        <v>0</v>
      </c>
      <c r="ET43" s="429">
        <f t="shared" si="33"/>
        <v>19507632.143256925</v>
      </c>
      <c r="EU43" s="429">
        <f>'Concentration Limits'!$J$51</f>
        <v>74399011.094589993</v>
      </c>
      <c r="EV43" s="429" t="str">
        <f>IF(OR(D43="Second Lien", AND(D43="FILO",DI43&gt;AGENT!$C$59)), "Yes", "No")</f>
        <v>Yes</v>
      </c>
      <c r="EW43" s="429">
        <f t="shared" si="34"/>
        <v>53940434.707607172</v>
      </c>
      <c r="EX43" s="429">
        <f t="shared" si="35"/>
        <v>0</v>
      </c>
      <c r="EY43" s="429">
        <f t="shared" si="36"/>
        <v>19507632.143256925</v>
      </c>
      <c r="EZ43" s="429">
        <f>'Concentration Limits'!$J$52</f>
        <v>37199505.547294997</v>
      </c>
      <c r="FA43" s="429" t="str">
        <f>IF(CY43&gt;'Concentration Limits'!$E$52, "No", "Yes")</f>
        <v>No</v>
      </c>
      <c r="FB43" s="429">
        <f t="shared" si="37"/>
        <v>0</v>
      </c>
      <c r="FC43" s="429">
        <f t="shared" si="38"/>
        <v>0</v>
      </c>
      <c r="FD43" s="429">
        <f t="shared" si="39"/>
        <v>19507632.143256925</v>
      </c>
      <c r="FE43" s="430">
        <f>'Concentration Limits'!$J$54</f>
        <v>247996703.6486333</v>
      </c>
      <c r="FF43" s="430">
        <f>'Concentration Limits'!$J$55</f>
        <v>247996703.6486333</v>
      </c>
      <c r="FG43" s="430">
        <f>'Concentration Limits'!$J$56</f>
        <v>247996703.6486333</v>
      </c>
      <c r="FH43" s="431">
        <f>'Concentration Limits'!$J$57</f>
        <v>18599752.773647498</v>
      </c>
      <c r="FI43" s="431">
        <f t="shared" si="40"/>
        <v>19507632.143256925</v>
      </c>
      <c r="FJ43" s="431">
        <f t="shared" si="41"/>
        <v>19507632.143256925</v>
      </c>
      <c r="FK43" s="431">
        <f t="shared" si="42"/>
        <v>1</v>
      </c>
      <c r="FL43" s="431">
        <f>IF(FJ43&gt;0,RANK(FJ43,$FJ$9:$FJ$60)+COUNTIF($FJ$9:FJ43,FJ43)-1,0)</f>
        <v>1</v>
      </c>
      <c r="FM43" s="430">
        <f t="shared" si="43"/>
        <v>0</v>
      </c>
      <c r="FN43" s="430">
        <f t="shared" si="44"/>
        <v>0</v>
      </c>
      <c r="FO43" s="430">
        <f t="shared" si="45"/>
        <v>0</v>
      </c>
      <c r="FP43" s="431">
        <f t="shared" si="46"/>
        <v>907879.36960942671</v>
      </c>
      <c r="FQ43" s="431">
        <f t="shared" si="47"/>
        <v>18599752.773647498</v>
      </c>
      <c r="FR43" s="431">
        <f>'Concentration Limits'!$J$58</f>
        <v>49599340.729726665</v>
      </c>
      <c r="FS43" s="431">
        <f t="shared" si="48"/>
        <v>33599752.773647502</v>
      </c>
      <c r="FT43" s="431">
        <f>VLOOKUP(BR43,'Concentration Limits'!$E$81:$H$153,4,FALSE)</f>
        <v>2</v>
      </c>
      <c r="FU43" s="431">
        <f t="shared" si="49"/>
        <v>0</v>
      </c>
      <c r="FV43" s="431">
        <f t="shared" si="50"/>
        <v>18599752.773647498</v>
      </c>
      <c r="FW43" s="431">
        <f>'Concentration Limits'!$J$59</f>
        <v>37199505.547294997</v>
      </c>
      <c r="FX43" s="431">
        <f t="shared" si="51"/>
        <v>33599752.773647502</v>
      </c>
      <c r="FY43" s="431">
        <f>VLOOKUP(BR43,'Concentration Limits'!$E$81:$H$153,4,FALSE)</f>
        <v>2</v>
      </c>
      <c r="FZ43" s="431">
        <f t="shared" si="52"/>
        <v>0</v>
      </c>
      <c r="GA43" s="431">
        <f t="shared" si="53"/>
        <v>18599752.773647498</v>
      </c>
      <c r="GB43" s="431">
        <f>'Concentration Limits'!$J$61</f>
        <v>24799670.364863332</v>
      </c>
      <c r="GC43" s="431">
        <f t="shared" si="54"/>
        <v>33599752.773647502</v>
      </c>
      <c r="GD43" s="429">
        <f>VLOOKUP(BR43,'Concentration Limits'!$E$81:$H$153,4,FALSE)</f>
        <v>2</v>
      </c>
      <c r="GE43" s="431">
        <f t="shared" si="55"/>
        <v>0</v>
      </c>
      <c r="GF43" s="431">
        <f t="shared" si="56"/>
        <v>18599752.773647498</v>
      </c>
      <c r="GG43" s="431">
        <f>'Concentration Limits'!$J$64</f>
        <v>24799670.364863332</v>
      </c>
      <c r="GH43" s="431">
        <f t="shared" si="57"/>
        <v>0</v>
      </c>
      <c r="GI43" s="431">
        <f t="shared" si="58"/>
        <v>0</v>
      </c>
      <c r="GJ43" s="431">
        <f t="shared" si="59"/>
        <v>18599752.773647498</v>
      </c>
      <c r="GK43" s="431">
        <f>'Concentration Limits'!$J$67</f>
        <v>24799670.364863332</v>
      </c>
      <c r="GL43" s="429" t="str">
        <f t="shared" si="60"/>
        <v>No</v>
      </c>
      <c r="GM43" s="431">
        <f t="shared" si="61"/>
        <v>0</v>
      </c>
      <c r="GN43" s="431">
        <f t="shared" si="62"/>
        <v>0</v>
      </c>
      <c r="GO43" s="431">
        <f t="shared" si="63"/>
        <v>18599752.773647498</v>
      </c>
      <c r="GP43" s="431">
        <f>'Concentration Limits'!$J$68</f>
        <v>37199505.547294997</v>
      </c>
      <c r="GQ43" s="429" t="str">
        <f t="shared" si="64"/>
        <v>No</v>
      </c>
      <c r="GR43" s="431">
        <f t="shared" si="65"/>
        <v>0</v>
      </c>
      <c r="GS43" s="431">
        <f t="shared" si="66"/>
        <v>0</v>
      </c>
      <c r="GT43" s="431">
        <f t="shared" si="67"/>
        <v>18599752.773647498</v>
      </c>
      <c r="GU43" s="429">
        <f>'Concentration Limits'!$J$69</f>
        <v>37199505.547294997</v>
      </c>
      <c r="GV43" s="429" t="str">
        <f t="shared" si="68"/>
        <v>No</v>
      </c>
      <c r="GW43" s="429">
        <f t="shared" si="69"/>
        <v>0</v>
      </c>
      <c r="GX43" s="429">
        <f t="shared" si="70"/>
        <v>0</v>
      </c>
      <c r="GY43" s="429">
        <f t="shared" si="71"/>
        <v>18599752.773647498</v>
      </c>
      <c r="GZ43" s="429">
        <f>'Concentration Limits'!$J$70</f>
        <v>24799670.364863332</v>
      </c>
      <c r="HA43" s="429" t="str">
        <f t="shared" si="72"/>
        <v>No</v>
      </c>
      <c r="HB43" s="429">
        <f t="shared" si="73"/>
        <v>0</v>
      </c>
      <c r="HC43" s="429">
        <f t="shared" si="74"/>
        <v>0</v>
      </c>
      <c r="HD43" s="429">
        <f t="shared" si="75"/>
        <v>18599752.773647498</v>
      </c>
      <c r="HE43" s="431">
        <f t="shared" si="76"/>
        <v>0</v>
      </c>
      <c r="HF43" s="431">
        <f t="shared" si="77"/>
        <v>0</v>
      </c>
      <c r="HG43" s="431">
        <f t="shared" si="78"/>
        <v>18599752.773647498</v>
      </c>
      <c r="HH43" s="431">
        <f t="shared" si="79"/>
        <v>0</v>
      </c>
      <c r="HI43" s="431">
        <f>IF(BE43=0,0,#REF!*BE43/(BE43+BG43))</f>
        <v>0</v>
      </c>
      <c r="HJ43" s="431">
        <f>IF(BG43=0,0,#REF!*BG43/(BG43+BE43))</f>
        <v>0</v>
      </c>
      <c r="HK43" s="857">
        <f>IF(BF43=0,0,#REF!*BF43/(BF43+BH43))</f>
        <v>0</v>
      </c>
      <c r="HL43" s="431">
        <f>IF(BH43=0,0,#REF!*BH43/(BH43+BF43))</f>
        <v>0</v>
      </c>
      <c r="HM43" s="431">
        <f t="shared" si="80"/>
        <v>0</v>
      </c>
      <c r="HN43" s="431" t="b">
        <f t="shared" si="81"/>
        <v>1</v>
      </c>
    </row>
    <row r="44" spans="1:222" s="432" customFormat="1" ht="12.75" customHeight="1" x14ac:dyDescent="0.35">
      <c r="A44" s="49">
        <f t="shared" si="82"/>
        <v>36</v>
      </c>
      <c r="B44" s="404" t="str">
        <f>INDEX('Loan Tape - Settled'!$B$4:$AP$55,MATCH($A44,'Loan Tape - Settled'!$E$4:$E$55,0),MATCH("Obligor Name",'Loan Tape - Settled'!$B$4:$AM$4,0))</f>
        <v>Jefferson Solutions Group</v>
      </c>
      <c r="C44" s="404" t="str">
        <f>INDEX('Loan Tape - Settled'!$B$4:$AP$55,MATCH($A44,'Loan Tape - Settled'!$E$4:$E$55,0),MATCH("Security",'Loan Tape - Settled'!$B$4:$AM$4,0))</f>
        <v>FILO</v>
      </c>
      <c r="D44" s="405" t="str">
        <f>INDEX('Loan Tape - Settled'!$B$4:$AP$55,MATCH($A44,'Loan Tape - Settled'!$E$4:$E$55,0),MATCH("Loan Type",'Loan Tape - Settled'!$B$4:$AM$4,0))</f>
        <v>FILO</v>
      </c>
      <c r="E44" s="406" t="b">
        <f>IF(ISERROR(MATCH(D44,AGENT!$A$4:$A$10,0))=FALSE, TRUE)</f>
        <v>1</v>
      </c>
      <c r="F44" s="406" t="b">
        <f t="shared" si="0"/>
        <v>1</v>
      </c>
      <c r="G44" s="406" t="b">
        <f>IF(D44&lt;&gt;"Second Lien",TRUE, IF(CY44&gt;=AGENT!$B$4,TRUE))</f>
        <v>1</v>
      </c>
      <c r="H44" s="406" t="b">
        <f>IF(DE44&lt;=AGENT!$D$4,TRUE)</f>
        <v>1</v>
      </c>
      <c r="I44" s="406" t="b">
        <f>IF(VLOOKUP(CONCATENATE($A$5,A44),'Loan Tape - Settled'!$A$5:$Q$55,17,FALSE)&gt;=AGENT!$E$4,TRUE)</f>
        <v>1</v>
      </c>
      <c r="J44" s="406" t="b">
        <f>IF(INDEX('Loan Tape - Settled'!$B$4:$AP$55,MATCH($A44,'Loan Tape - Settled'!$E$4:$E$55,0),MATCH("Loan Denomination",'Loan Tape - Settled'!$B$4:$AP$4,0))="USD", TRUE)</f>
        <v>1</v>
      </c>
      <c r="K44" s="406" t="b">
        <f>IF(INDEX('Loan Tape - Settled'!$B$4:$AP$55,MATCH($A44,'Loan Tape - Settled'!$E$4:$E$55,0),MATCH("Exposure Country",'Loan Tape - Settled'!$B$4:$AP$4,0))="United States", TRUE)</f>
        <v>1</v>
      </c>
      <c r="L44" s="406" t="b">
        <f t="shared" si="1"/>
        <v>1</v>
      </c>
      <c r="M44" s="406" t="b">
        <f>IF(((BM44-BL44)/365)&lt;=AGENT!$F$4,TRUE)</f>
        <v>1</v>
      </c>
      <c r="N44" s="406" t="b">
        <f t="shared" si="2"/>
        <v>1</v>
      </c>
      <c r="O44" s="453"/>
      <c r="P44" s="709" t="str">
        <f t="shared" si="3"/>
        <v>Yes</v>
      </c>
      <c r="Q44" s="680" t="s">
        <v>243</v>
      </c>
      <c r="R44" s="407" t="str">
        <f t="shared" si="4"/>
        <v>Jefferson Solutions Group</v>
      </c>
      <c r="S44" s="407"/>
      <c r="T44" s="408" t="str">
        <f t="array" ref="T44">_xlfn.IFS(D44="Second Lien",D44,D44="First Lien",CONCATENATE(D44," ",EI44),D44="FILO",CONCATENATE(D44," ",EJ44))</f>
        <v>FILO &lt;= 1.25x</v>
      </c>
      <c r="U44" s="409">
        <f>VLOOKUP(T44,'Concentration Limits'!D:G,4,FALSE)</f>
        <v>0.57499999999999996</v>
      </c>
      <c r="V44" s="410">
        <f t="shared" si="5"/>
        <v>7502557.4892481482</v>
      </c>
      <c r="W44" s="448">
        <f>(SUMIFS('Loan Tape - Settled'!$AR$4:$AR$55,'Loan Tape - Settled'!$E$4:$E$55,$A44,'Loan Tape - Settled'!$C$4:$C$55,$A$5))</f>
        <v>8635124.0287973993</v>
      </c>
      <c r="X44" s="449">
        <v>1</v>
      </c>
      <c r="Y44" s="411">
        <f t="shared" si="6"/>
        <v>8635124.0287973993</v>
      </c>
      <c r="Z44" s="449">
        <f>(SUMIFS('Loan Tape - Settled'!$AQ$4:$AQ$55,'Loan Tape - Settled'!$E$4:$E$55,$A44,'Loan Tape - Settled'!$C$4:$C$55,$A$5))</f>
        <v>8635124.0287973993</v>
      </c>
      <c r="AA44" s="411">
        <f t="shared" si="7"/>
        <v>8635124.0287973993</v>
      </c>
      <c r="AB44" s="411">
        <f t="shared" si="8"/>
        <v>0</v>
      </c>
      <c r="AC44" s="450">
        <f>VLOOKUP(CONCATENATE($A$5,A44),'Loan Tape - Settled'!$A$5:$Q$55,17,FALSE)</f>
        <v>1</v>
      </c>
      <c r="AD44" s="412"/>
      <c r="AE44" s="413">
        <f>INDEX('Loan Tape - Settled'!$B$4:$AP$55,MATCH($A44,'Loan Tape - Settled'!$E$4:$E$55,0),MATCH("FMV",'Loan Tape - Settled'!$B$4:$AM$4,0))</f>
        <v>0.93340000000000001</v>
      </c>
      <c r="AF44" s="413">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0.8688418908897847</v>
      </c>
      <c r="AG44" s="414" t="str">
        <f>IF(COUNTIFS(VAE!$C$5:$C$96,B44,VAE!$G$5:$G$96,"&lt;="&amp;Availability!$F$8)&gt;=1,"Yes","-")</f>
        <v>-</v>
      </c>
      <c r="AH44" s="414" t="str">
        <f t="array" ref="AH44">IFERROR(IF(AG44="Yes",INDEX(VAE!$D$5:$D$96,MATCH(B44&amp;AJ44,VAE!$C$5:$C$96&amp;VAE!$G$5:$G$96,0)),"-"),0)</f>
        <v>-</v>
      </c>
      <c r="AI44" s="414" t="str">
        <f t="array" ref="AI44">IFERROR(IF(AG44="Yes",INDEX(VAE!$F$5:$F$96,MATCH(B44&amp;AJ44,VAE!$C$5:$C$96&amp;VAE!$G$5:$G$96,0)),"-"),0)</f>
        <v>-</v>
      </c>
      <c r="AJ44" s="415" t="str">
        <f>IF(AG44="-","-",_xlfn.MAXIFS(VAE!$G$5:$G$96,VAE!$C$5:$C$96,$B44))</f>
        <v>-</v>
      </c>
      <c r="AK44" s="416" t="str">
        <f t="array" ref="AK44">IFERROR(IF(AG44="Yes",INDEX(VAE!$P$5:$P$96,MATCH(B44&amp;AJ44,VAE!$C$5:$C$96&amp;VAE!$G$5:$G$96,0)),"-"),0)</f>
        <v>-</v>
      </c>
      <c r="AL44" s="413">
        <f t="shared" si="9"/>
        <v>0.8688418908897847</v>
      </c>
      <c r="AM44" s="410"/>
      <c r="AN44" s="410"/>
      <c r="AO44" s="410">
        <f t="shared" si="10"/>
        <v>0</v>
      </c>
      <c r="AP44" s="410">
        <f t="shared" si="11"/>
        <v>0</v>
      </c>
      <c r="AQ44" s="410">
        <f t="shared" si="83"/>
        <v>0</v>
      </c>
      <c r="AR44" s="410"/>
      <c r="AS44" s="410"/>
      <c r="AT44" s="410"/>
      <c r="AU44" s="410">
        <f t="shared" si="12"/>
        <v>8635124.0287973993</v>
      </c>
      <c r="AV44" s="410">
        <f t="shared" si="13"/>
        <v>0</v>
      </c>
      <c r="AW44" s="410">
        <f t="shared" si="14"/>
        <v>7502557.4892481482</v>
      </c>
      <c r="AX44" s="410"/>
      <c r="AY44" s="410"/>
      <c r="AZ44" s="410"/>
      <c r="BA44" s="410">
        <f t="shared" si="15"/>
        <v>0</v>
      </c>
      <c r="BB44" s="410"/>
      <c r="BC44" s="410"/>
      <c r="BD44" s="410">
        <f t="shared" si="16"/>
        <v>0</v>
      </c>
      <c r="BE44" s="410"/>
      <c r="BF44" s="410"/>
      <c r="BG44" s="410"/>
      <c r="BH44" s="410"/>
      <c r="BI44" s="410">
        <f t="shared" si="17"/>
        <v>0</v>
      </c>
      <c r="BJ44" s="410" t="b">
        <f t="shared" si="18"/>
        <v>1</v>
      </c>
      <c r="BK44" s="509">
        <f>INDEX('Loan Tape - Settled'!$B$4:$AP$55,MATCH($A44,'Loan Tape - Settled'!$E$4:$E$55,0),MATCH("Inception Date",'Loan Tape - Settled'!$B$4:$AP$4,0))</f>
        <v>45474</v>
      </c>
      <c r="BL44" s="509">
        <f>INDEX('Loan Tape - Settled'!$B$4:$AP$55,MATCH($A44,'Loan Tape - Settled'!$E$4:$E$55,0),MATCH("Inclusion Date",'Loan Tape - Settled'!$B$4:$AP$4,0))</f>
        <v>45474</v>
      </c>
      <c r="BM44" s="509">
        <f>INDEX('Loan Tape - Settled'!$B$4:$AP$55,MATCH($A44,'Loan Tape - Settled'!$E$4:$E$55,0),MATCH("Maturity Date",'Loan Tape - Settled'!$B$4:$AP$4,0))</f>
        <v>47300</v>
      </c>
      <c r="BN44" s="510"/>
      <c r="BO44" s="510"/>
      <c r="BP44" s="511"/>
      <c r="BQ44" s="510"/>
      <c r="BR44" s="512" t="str">
        <f>INDEX('Loan Tape - Settled'!$B$4:$AP$55,MATCH($A44,'Loan Tape - Settled'!$E$4:$E$55,0),MATCH("Industry Classification",'Loan Tape - Settled'!$B$4:$AP$4,0))</f>
        <v>Professional Services</v>
      </c>
      <c r="BS44" s="510" t="str">
        <f>IF(INDEX('Loan Tape - Settled'!$B$4:$AP$55,MATCH($A44,'Loan Tape - Settled'!$E$4:$E$55,0),MATCH("Covenant Lite",'Loan Tape - Settled'!$B$4:$AP$4,0))=-1, "Yes", "No")</f>
        <v>No</v>
      </c>
      <c r="BT44" s="513">
        <f>INDEX('Loan Tape - Settled'!$B$4:$AP$55,MATCH($A44,'Loan Tape - Settled'!$E$4:$E$55,0),MATCH("Spread / Coupon (%)",'Loan Tape - Settled'!$B$4:$AP$4,0))</f>
        <v>3.2899999999999999E-2</v>
      </c>
      <c r="BU44" s="510" t="str">
        <f>IF(INDEX('Loan Tape - Settled'!$B$4:$AP$55,MATCH($A44,'Loan Tape - Settled'!$E$4:$E$55,0),MATCH("Security Type",'Loan Tape - Settled'!$B$4:$AP$4,0))="Delayed Draw Term Loan", "Yes", "No")</f>
        <v>No</v>
      </c>
      <c r="BV44" s="514" t="s">
        <v>244</v>
      </c>
      <c r="BW44" s="514" t="s">
        <v>244</v>
      </c>
      <c r="BX44" s="506" t="s">
        <v>244</v>
      </c>
      <c r="BY44" s="510" t="str">
        <f>IF(INDEX('Loan Tape - Settled'!$B$4:$AP$55,MATCH($A44,'Loan Tape - Settled'!$E$4:$E$55,0),MATCH("Fixed/Floating",'Loan Tape - Settled'!$B$4:$AP$4,0))="Fixed", "Yes", "No")</f>
        <v>No</v>
      </c>
      <c r="BZ44" s="514" t="s">
        <v>244</v>
      </c>
      <c r="CA44" s="514" t="s">
        <v>244</v>
      </c>
      <c r="CB44" s="510" t="str">
        <f>IF(INDEX('Loan Tape - Settled'!$B$4:$AP$55,MATCH($A44,'Loan Tape - Settled'!$E$4:$E$55,0),MATCH("Loan Denomination",'Loan Tape - Settled'!$B$4:$AP$4,0))="CAD", "Yes", "No")</f>
        <v>No</v>
      </c>
      <c r="CC44" s="510" t="str">
        <f>INDEX('Loan Tape - Settled'!$B$4:$AP$55,MATCH($A44,'Loan Tape - Settled'!$E$4:$E$55,0),MATCH("Payment Frequency",'Loan Tape - Settled'!$B$4:$AP$4,0))</f>
        <v>M</v>
      </c>
      <c r="CD44" s="514" t="s">
        <v>244</v>
      </c>
      <c r="CE44" s="510">
        <f>INDEX('Loan Tape - Settled'!$B$4:$AP$55,MATCH($A44,'Loan Tape - Settled'!$E$4:$E$55,0),MATCH("S&amp;P Loan Rating (if applicable)",'Loan Tape - Settled'!$B$4:$AP$4,0))</f>
        <v>0</v>
      </c>
      <c r="CF44" s="510">
        <f>INDEX('Loan Tape - Settled'!$B$4:$AP$55,MATCH($A44,'Loan Tape - Settled'!$E$4:$E$55,0),MATCH("Moody's Loan Rating (if applicable)",'Loan Tape - Settled'!$B$4:$AP$4,0))</f>
        <v>0</v>
      </c>
      <c r="CG44" s="510"/>
      <c r="CH44" s="510"/>
      <c r="CI44" s="515"/>
      <c r="CJ44" s="508" t="str">
        <f>INDEX('Loan Tape - Settled'!$B$4:$BF$55,MATCH($A44,'Loan Tape - Settled'!$E$4:$E$55,0),MATCH("Last Financial Received",'Loan Tape - Settled'!$B$4:$BF$4,0))</f>
        <v>9/30/2025 or Latest Financing</v>
      </c>
      <c r="CK44" s="516">
        <f>INDEX('Loan Tape - Settled'!$B$4:$BJ$55,MATCH($A44,'Loan Tape - Settled'!$E$4:$E$55,0),MATCH("Initial Adjusted TTM EBITDA",'Loan Tape - Settled'!$B$4:$BJ$4,0))</f>
        <v>11.682</v>
      </c>
      <c r="CL44" s="516">
        <f>INDEX('Loan Tape - Settled'!$B$4:$BJ$55,MATCH($A44,'Loan Tape - Settled'!$E$4:$E$55,0),MATCH("Initial TTM Non-adjusted EBITDA",'Loan Tape - Settled'!$B$4:$BJ$4,0))</f>
        <v>11.682</v>
      </c>
      <c r="CM44" s="417"/>
      <c r="CN44" s="418"/>
      <c r="CO44" s="418"/>
      <c r="CP44" s="419"/>
      <c r="CQ44" s="420" t="s">
        <v>245</v>
      </c>
      <c r="CR44" s="419"/>
      <c r="CS44" s="421">
        <f t="shared" si="19"/>
        <v>11.682</v>
      </c>
      <c r="CT44" s="422">
        <f t="shared" si="20"/>
        <v>0</v>
      </c>
      <c r="CU44" s="516">
        <f>INDEX('Loan Tape - Settled'!$B$4:$BJ$55,MATCH($A44,'Loan Tape - Settled'!$E$4:$E$55,0),MATCH("Current TTM Non-adjusted EBITDA",'Loan Tape - Settled'!$B$4:$BJ$4,0))</f>
        <v>5.4118903900000008</v>
      </c>
      <c r="CV44" s="423">
        <f t="shared" si="21"/>
        <v>0</v>
      </c>
      <c r="CW44" s="652" t="s">
        <v>245</v>
      </c>
      <c r="CX44" s="517"/>
      <c r="CY44" s="658">
        <f t="shared" si="22"/>
        <v>5.4118903900000008</v>
      </c>
      <c r="CZ44" s="656"/>
      <c r="DA44" s="518"/>
      <c r="DB44" s="519"/>
      <c r="DC44" s="853"/>
      <c r="DD44" s="853">
        <f>INDEX('Loan Tape - Settled'!$B$4:$BJ$55,MATCH($A44,'Loan Tape - Settled'!$E$4:$E$55,0),MATCH("Initial Senior Net Leverage Senior",'Loan Tape - Settled'!$B$4:$BJ$4,0))</f>
        <v>2.9960623180962158</v>
      </c>
      <c r="DE44" s="659">
        <f>INDEX('Loan Tape - Settled'!$B$4:$BJ$55,MATCH($A44,'Loan Tape - Settled'!$E$4:$E$55,0),MATCH("Initial Total Net Leverage",'Loan Tape - Settled'!$B$4:$BJ$4,0))</f>
        <v>2.9960623180962158</v>
      </c>
      <c r="DF44" s="656"/>
      <c r="DG44" s="518"/>
      <c r="DH44" s="519"/>
      <c r="DI44" s="424">
        <f>INDEX('Loan Tape - Settled'!$B$4:$BJ$55,MATCH($A44,'Loan Tape - Settled'!$E$4:$E$55,0),MATCH("Net Attachment",'Loan Tape - Settled'!$B$4:$BJ$4,0))</f>
        <v>1.112823146721452</v>
      </c>
      <c r="DJ44" s="522">
        <f t="array" ref="DJ44">IF(AG44="Yes",INDEX(VAE!$M$5:$M$53,MATCH($B44&amp;$AJ44,VAE!$C$5:$C$53&amp;VAE!$G$5:$G$53,0)),DD44)</f>
        <v>2.9960623180962158</v>
      </c>
      <c r="DK44" s="649">
        <f t="array" ref="DK44">IF(AG44="Yes",INDEX(VAE!$N$5:$N$53,MATCH($B44&amp;$AJ44,VAE!$C$5:$C$53&amp;VAE!$G$5:$G$53,0)),DE44)</f>
        <v>2.9960623180962158</v>
      </c>
      <c r="DL44" s="651">
        <f>INDEX('Loan Tape - Settled'!$B$4:$BJ$55,MATCH($A44,'Loan Tape - Settled'!$E$4:$E$55,0),MATCH("Current Senior Net Leverage Senior",'Loan Tape - Settled'!$B$4:$BJ$4,0))</f>
        <v>5.5821433690692492</v>
      </c>
      <c r="DM44" s="433">
        <f>INDEX('Loan Tape - Settled'!$B$4:$BJ$55,MATCH($A44,'Loan Tape - Settled'!$E$4:$E$55,0),MATCH("Current Total Net Leverage",'Loan Tape - Settled'!$B$4:$BJ$4,0))</f>
        <v>5.5821433690692492</v>
      </c>
      <c r="DN44" s="425"/>
      <c r="DO44" s="426">
        <f>INDEX('Loan Tape - Settled'!$B$4:$BJ$55,MATCH($A44,'Loan Tape - Settled'!$E$4:$E$55,0),MATCH("Initial Interest Coverage",'Loan Tape - Settled'!$B$4:$BJ$4,0))</f>
        <v>3.04</v>
      </c>
      <c r="DP44" s="854">
        <f t="array" ref="DP44">IF(AG44="Yes",INDEX(VAE!$O$5:$O$53,MATCH($B44&amp;$AJ44,VAE!$C$5:$C$53&amp;VAE!$G$5:$G$53,0)),DO44)</f>
        <v>3.04</v>
      </c>
      <c r="DQ44" s="427">
        <f>INDEX('Loan Tape - Settled'!$B$4:$BJ$55,MATCH($A44,'Loan Tape - Settled'!$E$4:$E$55,0),MATCH("Current Interest Coverage",'Loan Tape - Settled'!$B$4:$BJ$4,0))</f>
        <v>1.2812913578930001</v>
      </c>
      <c r="DR44" s="855" t="str">
        <f t="shared" si="23"/>
        <v>Yes</v>
      </c>
      <c r="DS44" s="428" t="str">
        <f>IF(AG44="Yes",DATEDIF(AJ44,Availability!$F$8,"m"),"")</f>
        <v/>
      </c>
      <c r="DT44" s="428" t="str">
        <f t="shared" si="24"/>
        <v>No</v>
      </c>
      <c r="DU44" s="647" t="str">
        <f t="shared" si="25"/>
        <v>Yes</v>
      </c>
      <c r="DV44" s="648" t="str">
        <f t="shared" si="26"/>
        <v>Yes</v>
      </c>
      <c r="DW44" s="648" t="str">
        <f t="array" ref="DW44">_xlfn.IFS(D44&lt;&gt;"Second Lien","No",D44="Second Lien",IF(AND((DM44-DK44)&gt;0.5,DM44&gt;4.5),"Yes","No"))</f>
        <v>No</v>
      </c>
      <c r="DX44" s="685" t="s">
        <v>244</v>
      </c>
      <c r="DY44" s="685" t="s">
        <v>244</v>
      </c>
      <c r="DZ44" s="686" t="s">
        <v>244</v>
      </c>
      <c r="EA44" s="686" t="s">
        <v>244</v>
      </c>
      <c r="EB44" s="686" t="s">
        <v>244</v>
      </c>
      <c r="EC44" s="686" t="s">
        <v>244</v>
      </c>
      <c r="ED44" s="686" t="s">
        <v>244</v>
      </c>
      <c r="EE44" s="686" t="s">
        <v>244</v>
      </c>
      <c r="EF44" s="409" t="str">
        <f t="shared" si="27"/>
        <v>No</v>
      </c>
      <c r="EG44" s="686" t="s">
        <v>244</v>
      </c>
      <c r="EH44" s="691" t="s">
        <v>244</v>
      </c>
      <c r="EI44" s="856" t="str">
        <f t="array" ref="EI44">IF(D44="First Lien",_xlfn.IFS(CY44&gt;AGENT!$B$23, "&gt; $20MM",CY44&lt;=AGENT!$C$25, "&lt;= $10MM",AND(CY44&lt;=AGENT!$C$24,CY44&gt;AGENT!$B$24),"&lt;= $20MM"), "N/A")</f>
        <v>N/A</v>
      </c>
      <c r="EJ44" s="856" t="str">
        <f t="array" ref="EJ44">IF(D44="FILO",_xlfn.IFS(DI44&gt;AGENT!$B$29, "&gt; 1.25x",DI44&lt;AGENT!$C$27, "&lt; 0.75x",AND(DI44&lt;=AGENT!$C$28,DI44&gt;=AGENT!$B$28),"&lt;= 1.25x"), "N/A")</f>
        <v>&lt;= 1.25x</v>
      </c>
      <c r="EK44" s="429">
        <f t="shared" si="28"/>
        <v>7502557.4892481482</v>
      </c>
      <c r="EL44" s="429">
        <f>'Concentration Limits'!$J$49</f>
        <v>49599340.729726665</v>
      </c>
      <c r="EM44" s="429" t="str">
        <f>IF(OR(D44="Second Lien",AND(D44="FILO",DI44&gt;AGENT!$C$57)), "Yes", "No")</f>
        <v>No</v>
      </c>
      <c r="EN44" s="429">
        <f t="shared" si="29"/>
        <v>0</v>
      </c>
      <c r="EO44" s="429">
        <f t="shared" si="30"/>
        <v>0</v>
      </c>
      <c r="EP44" s="429">
        <f t="shared" si="31"/>
        <v>7502557.4892481482</v>
      </c>
      <c r="EQ44" s="429">
        <f>'Concentration Limits'!$J$50</f>
        <v>24799670.364863332</v>
      </c>
      <c r="ER44" s="429">
        <f t="shared" si="32"/>
        <v>0</v>
      </c>
      <c r="ES44" s="429">
        <f t="shared" si="84"/>
        <v>0</v>
      </c>
      <c r="ET44" s="429">
        <f t="shared" si="33"/>
        <v>7502557.4892481482</v>
      </c>
      <c r="EU44" s="429">
        <f>'Concentration Limits'!$J$51</f>
        <v>74399011.094589993</v>
      </c>
      <c r="EV44" s="429" t="str">
        <f>IF(OR(D44="Second Lien", AND(D44="FILO",DI44&gt;AGENT!$C$59)), "Yes", "No")</f>
        <v>Yes</v>
      </c>
      <c r="EW44" s="429">
        <f t="shared" si="34"/>
        <v>53940434.707607172</v>
      </c>
      <c r="EX44" s="429">
        <f t="shared" si="35"/>
        <v>0</v>
      </c>
      <c r="EY44" s="429">
        <f t="shared" si="36"/>
        <v>7502557.4892481482</v>
      </c>
      <c r="EZ44" s="429">
        <f>'Concentration Limits'!$J$52</f>
        <v>37199505.547294997</v>
      </c>
      <c r="FA44" s="429" t="str">
        <f>IF(CY44&gt;'Concentration Limits'!$E$52, "No", "Yes")</f>
        <v>No</v>
      </c>
      <c r="FB44" s="429">
        <f t="shared" si="37"/>
        <v>0</v>
      </c>
      <c r="FC44" s="429">
        <f t="shared" si="38"/>
        <v>0</v>
      </c>
      <c r="FD44" s="429">
        <f t="shared" si="39"/>
        <v>7502557.4892481482</v>
      </c>
      <c r="FE44" s="430">
        <f>'Concentration Limits'!$J$54</f>
        <v>247996703.6486333</v>
      </c>
      <c r="FF44" s="430">
        <f>'Concentration Limits'!$J$55</f>
        <v>247996703.6486333</v>
      </c>
      <c r="FG44" s="430">
        <f>'Concentration Limits'!$J$56</f>
        <v>247996703.6486333</v>
      </c>
      <c r="FH44" s="431">
        <f>'Concentration Limits'!$J$57</f>
        <v>18599752.773647498</v>
      </c>
      <c r="FI44" s="431">
        <f t="shared" si="40"/>
        <v>7502557.4892481482</v>
      </c>
      <c r="FJ44" s="431">
        <f t="shared" si="41"/>
        <v>7502557.4892481482</v>
      </c>
      <c r="FK44" s="431">
        <f t="shared" si="42"/>
        <v>16</v>
      </c>
      <c r="FL44" s="431">
        <f>IF(FJ44&gt;0,RANK(FJ44,$FJ$9:$FJ$60)+COUNTIF($FJ$9:FJ44,FJ44)-1,0)</f>
        <v>16</v>
      </c>
      <c r="FM44" s="430">
        <f t="shared" si="43"/>
        <v>0</v>
      </c>
      <c r="FN44" s="430">
        <f t="shared" si="44"/>
        <v>0</v>
      </c>
      <c r="FO44" s="430">
        <f t="shared" si="45"/>
        <v>0</v>
      </c>
      <c r="FP44" s="431">
        <f t="shared" si="46"/>
        <v>0</v>
      </c>
      <c r="FQ44" s="431">
        <f t="shared" si="47"/>
        <v>7502557.4892481482</v>
      </c>
      <c r="FR44" s="431">
        <f>'Concentration Limits'!$J$58</f>
        <v>49599340.729726665</v>
      </c>
      <c r="FS44" s="431">
        <f t="shared" si="48"/>
        <v>24394399.03040082</v>
      </c>
      <c r="FT44" s="431">
        <f>VLOOKUP(BR44,'Concentration Limits'!$E$81:$H$153,4,FALSE)</f>
        <v>3</v>
      </c>
      <c r="FU44" s="431">
        <f t="shared" si="49"/>
        <v>0</v>
      </c>
      <c r="FV44" s="431">
        <f t="shared" si="50"/>
        <v>7502557.4892481482</v>
      </c>
      <c r="FW44" s="431">
        <f>'Concentration Limits'!$J$59</f>
        <v>37199505.547294997</v>
      </c>
      <c r="FX44" s="431">
        <f t="shared" si="51"/>
        <v>24394399.03040082</v>
      </c>
      <c r="FY44" s="431">
        <f>VLOOKUP(BR44,'Concentration Limits'!$E$81:$H$153,4,FALSE)</f>
        <v>3</v>
      </c>
      <c r="FZ44" s="431">
        <f t="shared" si="52"/>
        <v>0</v>
      </c>
      <c r="GA44" s="431">
        <f t="shared" si="53"/>
        <v>7502557.4892481482</v>
      </c>
      <c r="GB44" s="431">
        <f>'Concentration Limits'!$J$61</f>
        <v>24799670.364863332</v>
      </c>
      <c r="GC44" s="431">
        <f t="shared" si="54"/>
        <v>24394399.03040082</v>
      </c>
      <c r="GD44" s="429">
        <f>VLOOKUP(BR44,'Concentration Limits'!$E$81:$H$153,4,FALSE)</f>
        <v>3</v>
      </c>
      <c r="GE44" s="431">
        <f t="shared" si="55"/>
        <v>0</v>
      </c>
      <c r="GF44" s="431">
        <f t="shared" si="56"/>
        <v>7502557.4892481482</v>
      </c>
      <c r="GG44" s="431">
        <f>'Concentration Limits'!$J$64</f>
        <v>24799670.364863332</v>
      </c>
      <c r="GH44" s="431">
        <f t="shared" si="57"/>
        <v>0</v>
      </c>
      <c r="GI44" s="431">
        <f t="shared" si="58"/>
        <v>0</v>
      </c>
      <c r="GJ44" s="431">
        <f t="shared" si="59"/>
        <v>7502557.4892481482</v>
      </c>
      <c r="GK44" s="431">
        <f>'Concentration Limits'!$J$67</f>
        <v>24799670.364863332</v>
      </c>
      <c r="GL44" s="429" t="str">
        <f t="shared" si="60"/>
        <v>No</v>
      </c>
      <c r="GM44" s="431">
        <f t="shared" si="61"/>
        <v>0</v>
      </c>
      <c r="GN44" s="431">
        <f t="shared" si="62"/>
        <v>0</v>
      </c>
      <c r="GO44" s="431">
        <f t="shared" si="63"/>
        <v>7502557.4892481482</v>
      </c>
      <c r="GP44" s="431">
        <f>'Concentration Limits'!$J$68</f>
        <v>37199505.547294997</v>
      </c>
      <c r="GQ44" s="429" t="str">
        <f t="shared" si="64"/>
        <v>No</v>
      </c>
      <c r="GR44" s="431">
        <f t="shared" si="65"/>
        <v>0</v>
      </c>
      <c r="GS44" s="431">
        <f t="shared" si="66"/>
        <v>0</v>
      </c>
      <c r="GT44" s="431">
        <f t="shared" si="67"/>
        <v>7502557.4892481482</v>
      </c>
      <c r="GU44" s="429">
        <f>'Concentration Limits'!$J$69</f>
        <v>37199505.547294997</v>
      </c>
      <c r="GV44" s="429" t="str">
        <f t="shared" si="68"/>
        <v>No</v>
      </c>
      <c r="GW44" s="429">
        <f t="shared" si="69"/>
        <v>0</v>
      </c>
      <c r="GX44" s="429">
        <f t="shared" si="70"/>
        <v>0</v>
      </c>
      <c r="GY44" s="429">
        <f t="shared" si="71"/>
        <v>7502557.4892481482</v>
      </c>
      <c r="GZ44" s="429">
        <f>'Concentration Limits'!$J$70</f>
        <v>24799670.364863332</v>
      </c>
      <c r="HA44" s="429" t="str">
        <f t="shared" si="72"/>
        <v>No</v>
      </c>
      <c r="HB44" s="429">
        <f t="shared" si="73"/>
        <v>0</v>
      </c>
      <c r="HC44" s="429">
        <f t="shared" si="74"/>
        <v>0</v>
      </c>
      <c r="HD44" s="429">
        <f t="shared" si="75"/>
        <v>7502557.4892481482</v>
      </c>
      <c r="HE44" s="431">
        <f t="shared" si="76"/>
        <v>0</v>
      </c>
      <c r="HF44" s="431">
        <f t="shared" si="77"/>
        <v>0</v>
      </c>
      <c r="HG44" s="431">
        <f t="shared" si="78"/>
        <v>7502557.4892481482</v>
      </c>
      <c r="HH44" s="431">
        <f t="shared" si="79"/>
        <v>0</v>
      </c>
      <c r="HI44" s="431">
        <f>IF(BE44=0,0,#REF!*BE44/(BE44+BG44))</f>
        <v>0</v>
      </c>
      <c r="HJ44" s="431">
        <f>IF(BG44=0,0,#REF!*BG44/(BG44+BE44))</f>
        <v>0</v>
      </c>
      <c r="HK44" s="857">
        <f>IF(BF44=0,0,#REF!*BF44/(BF44+BH44))</f>
        <v>0</v>
      </c>
      <c r="HL44" s="431">
        <f>IF(BH44=0,0,#REF!*BH44/(BH44+BF44))</f>
        <v>0</v>
      </c>
      <c r="HM44" s="431">
        <f t="shared" si="80"/>
        <v>0</v>
      </c>
      <c r="HN44" s="431" t="b">
        <f t="shared" si="81"/>
        <v>1</v>
      </c>
    </row>
    <row r="45" spans="1:222" s="432" customFormat="1" ht="12.75" customHeight="1" x14ac:dyDescent="0.35">
      <c r="A45" s="49">
        <f t="shared" si="82"/>
        <v>37</v>
      </c>
      <c r="B45" s="404" t="str">
        <f>INDEX('Loan Tape - Settled'!$B$4:$AP$55,MATCH($A45,'Loan Tape - Settled'!$E$4:$E$55,0),MATCH("Obligor Name",'Loan Tape - Settled'!$B$4:$AM$4,0))</f>
        <v>Qualified Digital</v>
      </c>
      <c r="C45" s="404" t="str">
        <f>INDEX('Loan Tape - Settled'!$B$4:$AP$55,MATCH($A45,'Loan Tape - Settled'!$E$4:$E$55,0),MATCH("Security",'Loan Tape - Settled'!$B$4:$AM$4,0))</f>
        <v>1st Lien</v>
      </c>
      <c r="D45" s="405" t="str">
        <f>INDEX('Loan Tape - Settled'!$B$4:$AP$55,MATCH($A45,'Loan Tape - Settled'!$E$4:$E$55,0),MATCH("Loan Type",'Loan Tape - Settled'!$B$4:$AM$4,0))</f>
        <v>First Lien</v>
      </c>
      <c r="E45" s="406" t="b">
        <f>IF(ISERROR(MATCH(D45,AGENT!$A$4:$A$10,0))=FALSE, TRUE)</f>
        <v>1</v>
      </c>
      <c r="F45" s="406" t="b">
        <f t="shared" si="0"/>
        <v>1</v>
      </c>
      <c r="G45" s="406" t="b">
        <f>IF(D45&lt;&gt;"Second Lien",TRUE, IF(CY45&gt;=AGENT!$B$4,TRUE))</f>
        <v>1</v>
      </c>
      <c r="H45" s="406" t="b">
        <f>IF(DE45&lt;=AGENT!$D$4,TRUE)</f>
        <v>1</v>
      </c>
      <c r="I45" s="406" t="b">
        <f>IF(VLOOKUP(CONCATENATE($A$5,A45),'Loan Tape - Settled'!$A$5:$Q$55,17,FALSE)&gt;=AGENT!$E$4,TRUE)</f>
        <v>1</v>
      </c>
      <c r="J45" s="406" t="b">
        <f>IF(INDEX('Loan Tape - Settled'!$B$4:$AP$55,MATCH($A45,'Loan Tape - Settled'!$E$4:$E$55,0),MATCH("Loan Denomination",'Loan Tape - Settled'!$B$4:$AP$4,0))="USD", TRUE)</f>
        <v>1</v>
      </c>
      <c r="K45" s="406" t="b">
        <f>IF(INDEX('Loan Tape - Settled'!$B$4:$AP$55,MATCH($A45,'Loan Tape - Settled'!$E$4:$E$55,0),MATCH("Exposure Country",'Loan Tape - Settled'!$B$4:$AP$4,0))="United States", TRUE)</f>
        <v>1</v>
      </c>
      <c r="L45" s="406" t="b">
        <f t="shared" si="1"/>
        <v>1</v>
      </c>
      <c r="M45" s="406" t="b">
        <f>IF(((BM45-BL45)/365)&lt;=AGENT!$F$4,TRUE)</f>
        <v>1</v>
      </c>
      <c r="N45" s="406" t="b">
        <f t="shared" si="2"/>
        <v>1</v>
      </c>
      <c r="O45" s="453"/>
      <c r="P45" s="709" t="str">
        <f t="shared" si="3"/>
        <v>Yes</v>
      </c>
      <c r="Q45" s="680" t="s">
        <v>243</v>
      </c>
      <c r="R45" s="407" t="str">
        <f t="shared" si="4"/>
        <v>Qualified Digital</v>
      </c>
      <c r="S45" s="407"/>
      <c r="T45" s="408" t="str">
        <f t="array" ref="T45">_xlfn.IFS(D45="Second Lien",D45,D45="First Lien",CONCATENATE(D45," ",EI45),D45="FILO",CONCATENATE(D45," ",EJ45))</f>
        <v>First Lien &lt;= $20MM</v>
      </c>
      <c r="U45" s="409">
        <f>VLOOKUP(T45,'Concentration Limits'!D:G,4,FALSE)</f>
        <v>0.65</v>
      </c>
      <c r="V45" s="410">
        <f t="shared" si="5"/>
        <v>14364237.751482427</v>
      </c>
      <c r="W45" s="448">
        <f>(SUMIFS('Loan Tape - Settled'!$AR$4:$AR$55,'Loan Tape - Settled'!$E$4:$E$55,$A45,'Loan Tape - Settled'!$C$4:$C$55,$A$5))</f>
        <v>14566785.71576011</v>
      </c>
      <c r="X45" s="449">
        <v>1</v>
      </c>
      <c r="Y45" s="411">
        <f t="shared" si="6"/>
        <v>14566785.71576011</v>
      </c>
      <c r="Z45" s="449">
        <f>(SUMIFS('Loan Tape - Settled'!$AQ$4:$AQ$55,'Loan Tape - Settled'!$E$4:$E$55,$A45,'Loan Tape - Settled'!$C$4:$C$55,$A$5))</f>
        <v>14566785.71576011</v>
      </c>
      <c r="AA45" s="411">
        <f t="shared" si="7"/>
        <v>14566785.71576011</v>
      </c>
      <c r="AB45" s="411">
        <f t="shared" si="8"/>
        <v>0</v>
      </c>
      <c r="AC45" s="450">
        <f>VLOOKUP(CONCATENATE($A$5,A45),'Loan Tape - Settled'!$A$5:$Q$55,17,FALSE)</f>
        <v>1</v>
      </c>
      <c r="AD45" s="412"/>
      <c r="AE45" s="413">
        <f>INDEX('Loan Tape - Settled'!$B$4:$AP$55,MATCH($A45,'Loan Tape - Settled'!$E$4:$E$55,0),MATCH("FMV",'Loan Tape - Settled'!$B$4:$AM$4,0))</f>
        <v>0.98609521906685682</v>
      </c>
      <c r="AF45" s="413">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1</v>
      </c>
      <c r="AG45" s="414" t="str">
        <f>IF(COUNTIFS(VAE!$C$5:$C$96,B45,VAE!$G$5:$G$96,"&lt;="&amp;Availability!$F$8)&gt;=1,"Yes","-")</f>
        <v>-</v>
      </c>
      <c r="AH45" s="414" t="str">
        <f t="array" ref="AH45">IFERROR(IF(AG45="Yes",INDEX(VAE!$D$5:$D$96,MATCH(B45&amp;AJ45,VAE!$C$5:$C$96&amp;VAE!$G$5:$G$96,0)),"-"),0)</f>
        <v>-</v>
      </c>
      <c r="AI45" s="414" t="str">
        <f t="array" ref="AI45">IFERROR(IF(AG45="Yes",INDEX(VAE!$F$5:$F$96,MATCH(B45&amp;AJ45,VAE!$C$5:$C$96&amp;VAE!$G$5:$G$96,0)),"-"),0)</f>
        <v>-</v>
      </c>
      <c r="AJ45" s="415" t="str">
        <f>IF(AG45="-","-",_xlfn.MAXIFS(VAE!$G$5:$G$96,VAE!$C$5:$C$96,$B45))</f>
        <v>-</v>
      </c>
      <c r="AK45" s="416" t="str">
        <f t="array" ref="AK45">IFERROR(IF(AG45="Yes",INDEX(VAE!$P$5:$P$96,MATCH(B45&amp;AJ45,VAE!$C$5:$C$96&amp;VAE!$G$5:$G$96,0)),"-"),0)</f>
        <v>-</v>
      </c>
      <c r="AL45" s="413">
        <f t="shared" si="9"/>
        <v>0.98609521906685682</v>
      </c>
      <c r="AM45" s="410"/>
      <c r="AN45" s="410"/>
      <c r="AO45" s="410">
        <f t="shared" si="10"/>
        <v>14566785.71576011</v>
      </c>
      <c r="AP45" s="410">
        <f t="shared" si="11"/>
        <v>0</v>
      </c>
      <c r="AQ45" s="410">
        <f t="shared" si="83"/>
        <v>14364237.751482427</v>
      </c>
      <c r="AR45" s="410"/>
      <c r="AS45" s="410"/>
      <c r="AT45" s="410"/>
      <c r="AU45" s="410">
        <f t="shared" si="12"/>
        <v>0</v>
      </c>
      <c r="AV45" s="410">
        <f t="shared" si="13"/>
        <v>0</v>
      </c>
      <c r="AW45" s="410">
        <f t="shared" si="14"/>
        <v>0</v>
      </c>
      <c r="AX45" s="410"/>
      <c r="AY45" s="410"/>
      <c r="AZ45" s="410"/>
      <c r="BA45" s="410">
        <f t="shared" si="15"/>
        <v>0</v>
      </c>
      <c r="BB45" s="410"/>
      <c r="BC45" s="410"/>
      <c r="BD45" s="410">
        <f t="shared" si="16"/>
        <v>0</v>
      </c>
      <c r="BE45" s="410"/>
      <c r="BF45" s="410"/>
      <c r="BG45" s="410"/>
      <c r="BH45" s="410"/>
      <c r="BI45" s="410">
        <f t="shared" si="17"/>
        <v>0</v>
      </c>
      <c r="BJ45" s="410" t="b">
        <f t="shared" si="18"/>
        <v>1</v>
      </c>
      <c r="BK45" s="509">
        <f>INDEX('Loan Tape - Settled'!$B$4:$AP$55,MATCH($A45,'Loan Tape - Settled'!$E$4:$E$55,0),MATCH("Inception Date",'Loan Tape - Settled'!$B$4:$AP$4,0))</f>
        <v>45503</v>
      </c>
      <c r="BL45" s="509">
        <f>INDEX('Loan Tape - Settled'!$B$4:$AP$55,MATCH($A45,'Loan Tape - Settled'!$E$4:$E$55,0),MATCH("Inclusion Date",'Loan Tape - Settled'!$B$4:$AP$4,0))</f>
        <v>45503</v>
      </c>
      <c r="BM45" s="509">
        <f>INDEX('Loan Tape - Settled'!$B$4:$AP$55,MATCH($A45,'Loan Tape - Settled'!$E$4:$E$55,0),MATCH("Maturity Date",'Loan Tape - Settled'!$B$4:$AP$4,0))</f>
        <v>47329</v>
      </c>
      <c r="BN45" s="510"/>
      <c r="BO45" s="510"/>
      <c r="BP45" s="511"/>
      <c r="BQ45" s="510"/>
      <c r="BR45" s="512" t="str">
        <f>INDEX('Loan Tape - Settled'!$B$4:$AP$55,MATCH($A45,'Loan Tape - Settled'!$E$4:$E$55,0),MATCH("Industry Classification",'Loan Tape - Settled'!$B$4:$AP$4,0))</f>
        <v>IT Services</v>
      </c>
      <c r="BS45" s="510" t="str">
        <f>IF(INDEX('Loan Tape - Settled'!$B$4:$AP$55,MATCH($A45,'Loan Tape - Settled'!$E$4:$E$55,0),MATCH("Covenant Lite",'Loan Tape - Settled'!$B$4:$AP$4,0))=-1, "Yes", "No")</f>
        <v>No</v>
      </c>
      <c r="BT45" s="513">
        <f>INDEX('Loan Tape - Settled'!$B$4:$AP$55,MATCH($A45,'Loan Tape - Settled'!$E$4:$E$55,0),MATCH("Spread / Coupon (%)",'Loan Tape - Settled'!$B$4:$AP$4,0))</f>
        <v>5.8192316155937729E-2</v>
      </c>
      <c r="BU45" s="510" t="str">
        <f>IF(INDEX('Loan Tape - Settled'!$B$4:$AP$55,MATCH($A45,'Loan Tape - Settled'!$E$4:$E$55,0),MATCH("Security Type",'Loan Tape - Settled'!$B$4:$AP$4,0))="Delayed Draw Term Loan", "Yes", "No")</f>
        <v>No</v>
      </c>
      <c r="BV45" s="514" t="s">
        <v>244</v>
      </c>
      <c r="BW45" s="514" t="s">
        <v>244</v>
      </c>
      <c r="BX45" s="506" t="s">
        <v>244</v>
      </c>
      <c r="BY45" s="510" t="str">
        <f>IF(INDEX('Loan Tape - Settled'!$B$4:$AP$55,MATCH($A45,'Loan Tape - Settled'!$E$4:$E$55,0),MATCH("Fixed/Floating",'Loan Tape - Settled'!$B$4:$AP$4,0))="Fixed", "Yes", "No")</f>
        <v>No</v>
      </c>
      <c r="BZ45" s="514" t="s">
        <v>244</v>
      </c>
      <c r="CA45" s="514" t="s">
        <v>244</v>
      </c>
      <c r="CB45" s="510" t="str">
        <f>IF(INDEX('Loan Tape - Settled'!$B$4:$AP$55,MATCH($A45,'Loan Tape - Settled'!$E$4:$E$55,0),MATCH("Loan Denomination",'Loan Tape - Settled'!$B$4:$AP$4,0))="CAD", "Yes", "No")</f>
        <v>No</v>
      </c>
      <c r="CC45" s="510" t="str">
        <f>INDEX('Loan Tape - Settled'!$B$4:$AP$55,MATCH($A45,'Loan Tape - Settled'!$E$4:$E$55,0),MATCH("Payment Frequency",'Loan Tape - Settled'!$B$4:$AP$4,0))</f>
        <v>M</v>
      </c>
      <c r="CD45" s="514" t="s">
        <v>244</v>
      </c>
      <c r="CE45" s="510">
        <f>INDEX('Loan Tape - Settled'!$B$4:$AP$55,MATCH($A45,'Loan Tape - Settled'!$E$4:$E$55,0),MATCH("S&amp;P Loan Rating (if applicable)",'Loan Tape - Settled'!$B$4:$AP$4,0))</f>
        <v>0</v>
      </c>
      <c r="CF45" s="510">
        <f>INDEX('Loan Tape - Settled'!$B$4:$AP$55,MATCH($A45,'Loan Tape - Settled'!$E$4:$E$55,0),MATCH("Moody's Loan Rating (if applicable)",'Loan Tape - Settled'!$B$4:$AP$4,0))</f>
        <v>0</v>
      </c>
      <c r="CG45" s="510"/>
      <c r="CH45" s="510"/>
      <c r="CI45" s="515"/>
      <c r="CJ45" s="508" t="str">
        <f>INDEX('Loan Tape - Settled'!$B$4:$BF$55,MATCH($A45,'Loan Tape - Settled'!$E$4:$E$55,0),MATCH("Last Financial Received",'Loan Tape - Settled'!$B$4:$BF$4,0))</f>
        <v>9/30/2025 or Latest Financing</v>
      </c>
      <c r="CK45" s="516">
        <f>INDEX('Loan Tape - Settled'!$B$4:$BJ$55,MATCH($A45,'Loan Tape - Settled'!$E$4:$E$55,0),MATCH("Initial Adjusted TTM EBITDA",'Loan Tape - Settled'!$B$4:$BJ$4,0))</f>
        <v>5.6210000000000004</v>
      </c>
      <c r="CL45" s="516">
        <f>INDEX('Loan Tape - Settled'!$B$4:$BJ$55,MATCH($A45,'Loan Tape - Settled'!$E$4:$E$55,0),MATCH("Initial TTM Non-adjusted EBITDA",'Loan Tape - Settled'!$B$4:$BJ$4,0))</f>
        <v>5.6210000000000004</v>
      </c>
      <c r="CM45" s="417"/>
      <c r="CN45" s="418"/>
      <c r="CO45" s="418"/>
      <c r="CP45" s="419"/>
      <c r="CQ45" s="420" t="s">
        <v>245</v>
      </c>
      <c r="CR45" s="419"/>
      <c r="CS45" s="421">
        <f t="shared" si="19"/>
        <v>5.6210000000000004</v>
      </c>
      <c r="CT45" s="422">
        <f t="shared" si="20"/>
        <v>0</v>
      </c>
      <c r="CU45" s="516">
        <f>INDEX('Loan Tape - Settled'!$B$4:$BJ$55,MATCH($A45,'Loan Tape - Settled'!$E$4:$E$55,0),MATCH("Current TTM Non-adjusted EBITDA",'Loan Tape - Settled'!$B$4:$BJ$4,0))</f>
        <v>10.403439000000001</v>
      </c>
      <c r="CV45" s="423">
        <f t="shared" si="21"/>
        <v>0</v>
      </c>
      <c r="CW45" s="652" t="s">
        <v>245</v>
      </c>
      <c r="CX45" s="517"/>
      <c r="CY45" s="658">
        <f t="shared" si="22"/>
        <v>10.403439000000001</v>
      </c>
      <c r="CZ45" s="656"/>
      <c r="DA45" s="518"/>
      <c r="DB45" s="519"/>
      <c r="DC45" s="853"/>
      <c r="DD45" s="853">
        <f>INDEX('Loan Tape - Settled'!$B$4:$BJ$55,MATCH($A45,'Loan Tape - Settled'!$E$4:$E$55,0),MATCH("Initial Senior Net Leverage Senior",'Loan Tape - Settled'!$B$4:$BJ$4,0))</f>
        <v>2.846468599893258</v>
      </c>
      <c r="DE45" s="659">
        <f>INDEX('Loan Tape - Settled'!$B$4:$BJ$55,MATCH($A45,'Loan Tape - Settled'!$E$4:$E$55,0),MATCH("Initial Total Net Leverage",'Loan Tape - Settled'!$B$4:$BJ$4,0))</f>
        <v>2.846468599893258</v>
      </c>
      <c r="DF45" s="656"/>
      <c r="DG45" s="518"/>
      <c r="DH45" s="519"/>
      <c r="DI45" s="424">
        <f>INDEX('Loan Tape - Settled'!$B$4:$BJ$55,MATCH($A45,'Loan Tape - Settled'!$E$4:$E$55,0),MATCH("Net Attachment",'Loan Tape - Settled'!$B$4:$BJ$4,0))</f>
        <v>0</v>
      </c>
      <c r="DJ45" s="522">
        <f t="array" ref="DJ45">IF(AG45="Yes",INDEX(VAE!$M$5:$M$53,MATCH($B45&amp;$AJ45,VAE!$C$5:$C$53&amp;VAE!$G$5:$G$53,0)),DD45)</f>
        <v>2.846468599893258</v>
      </c>
      <c r="DK45" s="649">
        <f t="array" ref="DK45">IF(AG45="Yes",INDEX(VAE!$N$5:$N$53,MATCH($B45&amp;$AJ45,VAE!$C$5:$C$53&amp;VAE!$G$5:$G$53,0)),DE45)</f>
        <v>2.846468599893258</v>
      </c>
      <c r="DL45" s="651">
        <f>INDEX('Loan Tape - Settled'!$B$4:$BJ$55,MATCH($A45,'Loan Tape - Settled'!$E$4:$E$55,0),MATCH("Current Senior Net Leverage Senior",'Loan Tape - Settled'!$B$4:$BJ$4,0))</f>
        <v>2.6839539319186323</v>
      </c>
      <c r="DM45" s="433">
        <f>INDEX('Loan Tape - Settled'!$B$4:$BJ$55,MATCH($A45,'Loan Tape - Settled'!$E$4:$E$55,0),MATCH("Current Total Net Leverage",'Loan Tape - Settled'!$B$4:$BJ$4,0))</f>
        <v>2.6839539319186323</v>
      </c>
      <c r="DN45" s="425"/>
      <c r="DO45" s="426">
        <f>INDEX('Loan Tape - Settled'!$B$4:$BJ$55,MATCH($A45,'Loan Tape - Settled'!$E$4:$E$55,0),MATCH("Initial Interest Coverage",'Loan Tape - Settled'!$B$4:$BJ$4,0))</f>
        <v>4.28</v>
      </c>
      <c r="DP45" s="854">
        <f t="array" ref="DP45">IF(AG45="Yes",INDEX(VAE!$O$5:$O$53,MATCH($B45&amp;$AJ45,VAE!$C$5:$C$53&amp;VAE!$G$5:$G$53,0)),DO45)</f>
        <v>4.28</v>
      </c>
      <c r="DQ45" s="427">
        <f>INDEX('Loan Tape - Settled'!$B$4:$BJ$55,MATCH($A45,'Loan Tape - Settled'!$E$4:$E$55,0),MATCH("Current Interest Coverage",'Loan Tape - Settled'!$B$4:$BJ$4,0))</f>
        <v>3.5742200623730001</v>
      </c>
      <c r="DR45" s="855" t="str">
        <f t="shared" si="23"/>
        <v>No</v>
      </c>
      <c r="DS45" s="428" t="str">
        <f>IF(AG45="Yes",DATEDIF(AJ45,Availability!$F$8,"m"),"")</f>
        <v/>
      </c>
      <c r="DT45" s="428" t="str">
        <f t="shared" si="24"/>
        <v>No</v>
      </c>
      <c r="DU45" s="647" t="str">
        <f t="shared" si="25"/>
        <v>No</v>
      </c>
      <c r="DV45" s="648" t="str">
        <f t="shared" si="26"/>
        <v>No</v>
      </c>
      <c r="DW45" s="648" t="str">
        <f t="array" ref="DW45">_xlfn.IFS(D45&lt;&gt;"Second Lien","No",D45="Second Lien",IF(AND((DM45-DK45)&gt;0.5,DM45&gt;4.5),"Yes","No"))</f>
        <v>No</v>
      </c>
      <c r="DX45" s="685" t="s">
        <v>244</v>
      </c>
      <c r="DY45" s="685" t="s">
        <v>244</v>
      </c>
      <c r="DZ45" s="686" t="s">
        <v>244</v>
      </c>
      <c r="EA45" s="686" t="s">
        <v>244</v>
      </c>
      <c r="EB45" s="686" t="s">
        <v>244</v>
      </c>
      <c r="EC45" s="686" t="s">
        <v>244</v>
      </c>
      <c r="ED45" s="686" t="s">
        <v>244</v>
      </c>
      <c r="EE45" s="686" t="s">
        <v>244</v>
      </c>
      <c r="EF45" s="409" t="str">
        <f t="shared" si="27"/>
        <v>No</v>
      </c>
      <c r="EG45" s="686" t="s">
        <v>244</v>
      </c>
      <c r="EH45" s="691" t="s">
        <v>244</v>
      </c>
      <c r="EI45" s="856" t="str">
        <f t="array" ref="EI45">IF(D45="First Lien",_xlfn.IFS(CY45&gt;AGENT!$B$23, "&gt; $20MM",CY45&lt;=AGENT!$C$25, "&lt;= $10MM",AND(CY45&lt;=AGENT!$C$24,CY45&gt;AGENT!$B$24),"&lt;= $20MM"), "N/A")</f>
        <v>&lt;= $20MM</v>
      </c>
      <c r="EJ45" s="856" t="str">
        <f t="array" ref="EJ45">IF(D45="FILO",_xlfn.IFS(DI45&gt;AGENT!$B$29, "&gt; 1.25x",DI45&lt;AGENT!$C$27, "&lt; 0.75x",AND(DI45&lt;=AGENT!$C$28,DI45&gt;=AGENT!$B$28),"&lt;= 1.25x"), "N/A")</f>
        <v>N/A</v>
      </c>
      <c r="EK45" s="429">
        <f t="shared" si="28"/>
        <v>14364237.751482427</v>
      </c>
      <c r="EL45" s="429">
        <f>'Concentration Limits'!$J$49</f>
        <v>49599340.729726665</v>
      </c>
      <c r="EM45" s="429" t="str">
        <f>IF(OR(D45="Second Lien",AND(D45="FILO",DI45&gt;AGENT!$C$57)), "Yes", "No")</f>
        <v>No</v>
      </c>
      <c r="EN45" s="429">
        <f t="shared" si="29"/>
        <v>0</v>
      </c>
      <c r="EO45" s="429">
        <f t="shared" si="30"/>
        <v>0</v>
      </c>
      <c r="EP45" s="429">
        <f t="shared" si="31"/>
        <v>14364237.751482427</v>
      </c>
      <c r="EQ45" s="429">
        <f>'Concentration Limits'!$J$50</f>
        <v>24799670.364863332</v>
      </c>
      <c r="ER45" s="429">
        <f t="shared" si="32"/>
        <v>0</v>
      </c>
      <c r="ES45" s="429">
        <f t="shared" si="84"/>
        <v>0</v>
      </c>
      <c r="ET45" s="429">
        <f t="shared" si="33"/>
        <v>14364237.751482427</v>
      </c>
      <c r="EU45" s="429">
        <f>'Concentration Limits'!$J$51</f>
        <v>74399011.094589993</v>
      </c>
      <c r="EV45" s="429" t="str">
        <f>IF(OR(D45="Second Lien", AND(D45="FILO",DI45&gt;AGENT!$C$59)), "Yes", "No")</f>
        <v>No</v>
      </c>
      <c r="EW45" s="429">
        <f t="shared" si="34"/>
        <v>0</v>
      </c>
      <c r="EX45" s="429">
        <f t="shared" si="35"/>
        <v>0</v>
      </c>
      <c r="EY45" s="429">
        <f t="shared" si="36"/>
        <v>14364237.751482427</v>
      </c>
      <c r="EZ45" s="429">
        <f>'Concentration Limits'!$J$52</f>
        <v>37199505.547294997</v>
      </c>
      <c r="FA45" s="429" t="str">
        <f>IF(CY45&gt;'Concentration Limits'!$E$52, "No", "Yes")</f>
        <v>No</v>
      </c>
      <c r="FB45" s="429">
        <f t="shared" si="37"/>
        <v>0</v>
      </c>
      <c r="FC45" s="429">
        <f t="shared" si="38"/>
        <v>0</v>
      </c>
      <c r="FD45" s="429">
        <f t="shared" si="39"/>
        <v>14364237.751482427</v>
      </c>
      <c r="FE45" s="430">
        <f>'Concentration Limits'!$J$54</f>
        <v>247996703.6486333</v>
      </c>
      <c r="FF45" s="430">
        <f>'Concentration Limits'!$J$55</f>
        <v>247996703.6486333</v>
      </c>
      <c r="FG45" s="430">
        <f>'Concentration Limits'!$J$56</f>
        <v>247996703.6486333</v>
      </c>
      <c r="FH45" s="431">
        <f>'Concentration Limits'!$J$57</f>
        <v>18599752.773647498</v>
      </c>
      <c r="FI45" s="431">
        <f t="shared" si="40"/>
        <v>14364237.751482427</v>
      </c>
      <c r="FJ45" s="431">
        <f t="shared" si="41"/>
        <v>14364237.751482427</v>
      </c>
      <c r="FK45" s="431">
        <f t="shared" si="42"/>
        <v>4</v>
      </c>
      <c r="FL45" s="431">
        <f>IF(FJ45&gt;0,RANK(FJ45,$FJ$9:$FJ$60)+COUNTIF($FJ$9:FJ45,FJ45)-1,0)</f>
        <v>4</v>
      </c>
      <c r="FM45" s="430">
        <f t="shared" si="43"/>
        <v>0</v>
      </c>
      <c r="FN45" s="430">
        <f t="shared" si="44"/>
        <v>0</v>
      </c>
      <c r="FO45" s="430">
        <f t="shared" si="45"/>
        <v>0</v>
      </c>
      <c r="FP45" s="431">
        <f t="shared" si="46"/>
        <v>0</v>
      </c>
      <c r="FQ45" s="431">
        <f t="shared" si="47"/>
        <v>14364237.751482427</v>
      </c>
      <c r="FR45" s="431">
        <f>'Concentration Limits'!$J$58</f>
        <v>49599340.729726665</v>
      </c>
      <c r="FS45" s="431">
        <f t="shared" si="48"/>
        <v>14364237.751482427</v>
      </c>
      <c r="FT45" s="431">
        <f>VLOOKUP(BR45,'Concentration Limits'!$E$81:$H$153,4,FALSE)</f>
        <v>6</v>
      </c>
      <c r="FU45" s="431">
        <f t="shared" si="49"/>
        <v>0</v>
      </c>
      <c r="FV45" s="431">
        <f t="shared" si="50"/>
        <v>14364237.751482427</v>
      </c>
      <c r="FW45" s="431">
        <f>'Concentration Limits'!$J$59</f>
        <v>37199505.547294997</v>
      </c>
      <c r="FX45" s="431">
        <f t="shared" si="51"/>
        <v>14364237.751482427</v>
      </c>
      <c r="FY45" s="431">
        <f>VLOOKUP(BR45,'Concentration Limits'!$E$81:$H$153,4,FALSE)</f>
        <v>6</v>
      </c>
      <c r="FZ45" s="431">
        <f t="shared" si="52"/>
        <v>0</v>
      </c>
      <c r="GA45" s="431">
        <f t="shared" si="53"/>
        <v>14364237.751482427</v>
      </c>
      <c r="GB45" s="431">
        <f>'Concentration Limits'!$J$61</f>
        <v>24799670.364863332</v>
      </c>
      <c r="GC45" s="431">
        <f t="shared" si="54"/>
        <v>14364237.751482427</v>
      </c>
      <c r="GD45" s="429">
        <f>VLOOKUP(BR45,'Concentration Limits'!$E$81:$H$153,4,FALSE)</f>
        <v>6</v>
      </c>
      <c r="GE45" s="431">
        <f t="shared" si="55"/>
        <v>0</v>
      </c>
      <c r="GF45" s="431">
        <f t="shared" si="56"/>
        <v>14364237.751482427</v>
      </c>
      <c r="GG45" s="431">
        <f>'Concentration Limits'!$J$64</f>
        <v>24799670.364863332</v>
      </c>
      <c r="GH45" s="431">
        <f t="shared" si="57"/>
        <v>0</v>
      </c>
      <c r="GI45" s="431">
        <f t="shared" si="58"/>
        <v>0</v>
      </c>
      <c r="GJ45" s="431">
        <f t="shared" si="59"/>
        <v>14364237.751482427</v>
      </c>
      <c r="GK45" s="431">
        <f>'Concentration Limits'!$J$67</f>
        <v>24799670.364863332</v>
      </c>
      <c r="GL45" s="429" t="str">
        <f t="shared" si="60"/>
        <v>No</v>
      </c>
      <c r="GM45" s="431">
        <f t="shared" si="61"/>
        <v>0</v>
      </c>
      <c r="GN45" s="431">
        <f t="shared" si="62"/>
        <v>0</v>
      </c>
      <c r="GO45" s="431">
        <f t="shared" si="63"/>
        <v>14364237.751482427</v>
      </c>
      <c r="GP45" s="431">
        <f>'Concentration Limits'!$J$68</f>
        <v>37199505.547294997</v>
      </c>
      <c r="GQ45" s="429" t="str">
        <f t="shared" si="64"/>
        <v>No</v>
      </c>
      <c r="GR45" s="431">
        <f t="shared" si="65"/>
        <v>0</v>
      </c>
      <c r="GS45" s="431">
        <f t="shared" si="66"/>
        <v>0</v>
      </c>
      <c r="GT45" s="431">
        <f t="shared" si="67"/>
        <v>14364237.751482427</v>
      </c>
      <c r="GU45" s="429">
        <f>'Concentration Limits'!$J$69</f>
        <v>37199505.547294997</v>
      </c>
      <c r="GV45" s="429" t="str">
        <f t="shared" si="68"/>
        <v>No</v>
      </c>
      <c r="GW45" s="429">
        <f t="shared" si="69"/>
        <v>0</v>
      </c>
      <c r="GX45" s="429">
        <f t="shared" si="70"/>
        <v>0</v>
      </c>
      <c r="GY45" s="429">
        <f t="shared" si="71"/>
        <v>14364237.751482427</v>
      </c>
      <c r="GZ45" s="429">
        <f>'Concentration Limits'!$J$70</f>
        <v>24799670.364863332</v>
      </c>
      <c r="HA45" s="429" t="str">
        <f t="shared" si="72"/>
        <v>No</v>
      </c>
      <c r="HB45" s="429">
        <f t="shared" si="73"/>
        <v>0</v>
      </c>
      <c r="HC45" s="429">
        <f t="shared" si="74"/>
        <v>0</v>
      </c>
      <c r="HD45" s="429">
        <f t="shared" si="75"/>
        <v>14364237.751482427</v>
      </c>
      <c r="HE45" s="431">
        <f t="shared" si="76"/>
        <v>14364237.751482427</v>
      </c>
      <c r="HF45" s="431">
        <f t="shared" si="77"/>
        <v>0</v>
      </c>
      <c r="HG45" s="431">
        <f t="shared" si="78"/>
        <v>0</v>
      </c>
      <c r="HH45" s="431">
        <f t="shared" si="79"/>
        <v>0</v>
      </c>
      <c r="HI45" s="431">
        <f>IF(BE45=0,0,#REF!*BE45/(BE45+BG45))</f>
        <v>0</v>
      </c>
      <c r="HJ45" s="431">
        <f>IF(BG45=0,0,#REF!*BG45/(BG45+BE45))</f>
        <v>0</v>
      </c>
      <c r="HK45" s="857">
        <f>IF(BF45=0,0,#REF!*BF45/(BF45+BH45))</f>
        <v>0</v>
      </c>
      <c r="HL45" s="431">
        <f>IF(BH45=0,0,#REF!*BH45/(BH45+BF45))</f>
        <v>0</v>
      </c>
      <c r="HM45" s="431">
        <f t="shared" si="80"/>
        <v>0</v>
      </c>
      <c r="HN45" s="431" t="b">
        <f t="shared" si="81"/>
        <v>1</v>
      </c>
    </row>
    <row r="46" spans="1:222" s="432" customFormat="1" ht="12.75" customHeight="1" x14ac:dyDescent="0.35">
      <c r="A46" s="49">
        <f t="shared" si="82"/>
        <v>38</v>
      </c>
      <c r="B46" s="404" t="str">
        <f>INDEX('Loan Tape - Settled'!$B$4:$AP$55,MATCH($A46,'Loan Tape - Settled'!$E$4:$E$55,0),MATCH("Obligor Name",'Loan Tape - Settled'!$B$4:$AM$4,0))</f>
        <v>Kelso Industries</v>
      </c>
      <c r="C46" s="404" t="str">
        <f>INDEX('Loan Tape - Settled'!$B$4:$AP$55,MATCH($A46,'Loan Tape - Settled'!$E$4:$E$55,0),MATCH("Security",'Loan Tape - Settled'!$B$4:$AM$4,0))</f>
        <v>1st Lien</v>
      </c>
      <c r="D46" s="405" t="str">
        <f>INDEX('Loan Tape - Settled'!$B$4:$AP$55,MATCH($A46,'Loan Tape - Settled'!$E$4:$E$55,0),MATCH("Loan Type",'Loan Tape - Settled'!$B$4:$AM$4,0))</f>
        <v>First Lien</v>
      </c>
      <c r="E46" s="406" t="b">
        <f>IF(ISERROR(MATCH(D46,AGENT!$A$4:$A$10,0))=FALSE, TRUE)</f>
        <v>1</v>
      </c>
      <c r="F46" s="406" t="b">
        <f t="shared" si="0"/>
        <v>1</v>
      </c>
      <c r="G46" s="406" t="b">
        <f>IF(D46&lt;&gt;"Second Lien",TRUE, IF(CY46&gt;=AGENT!$B$4,TRUE))</f>
        <v>1</v>
      </c>
      <c r="H46" s="406" t="b">
        <f>IF(DE46&lt;=AGENT!$D$4,TRUE)</f>
        <v>1</v>
      </c>
      <c r="I46" s="406" t="b">
        <f>IF(VLOOKUP(CONCATENATE($A$5,A46),'Loan Tape - Settled'!$A$5:$Q$55,17,FALSE)&gt;=AGENT!$E$4,TRUE)</f>
        <v>1</v>
      </c>
      <c r="J46" s="406" t="b">
        <f>IF(INDEX('Loan Tape - Settled'!$B$4:$AP$55,MATCH($A46,'Loan Tape - Settled'!$E$4:$E$55,0),MATCH("Loan Denomination",'Loan Tape - Settled'!$B$4:$AP$4,0))="USD", TRUE)</f>
        <v>1</v>
      </c>
      <c r="K46" s="406" t="b">
        <f>IF(INDEX('Loan Tape - Settled'!$B$4:$AP$55,MATCH($A46,'Loan Tape - Settled'!$E$4:$E$55,0),MATCH("Exposure Country",'Loan Tape - Settled'!$B$4:$AP$4,0))="United States", TRUE)</f>
        <v>1</v>
      </c>
      <c r="L46" s="406" t="b">
        <f t="shared" si="1"/>
        <v>1</v>
      </c>
      <c r="M46" s="406" t="b">
        <f>IF(((BM46-BL46)/365)&lt;=AGENT!$F$4,TRUE)</f>
        <v>1</v>
      </c>
      <c r="N46" s="406" t="b">
        <f t="shared" si="2"/>
        <v>1</v>
      </c>
      <c r="O46" s="453"/>
      <c r="P46" s="709" t="str">
        <f t="shared" si="3"/>
        <v>Yes</v>
      </c>
      <c r="Q46" s="680" t="s">
        <v>243</v>
      </c>
      <c r="R46" s="407" t="str">
        <f t="shared" si="4"/>
        <v>Kelso Industries</v>
      </c>
      <c r="S46" s="407"/>
      <c r="T46" s="408" t="str">
        <f t="array" ref="T46">_xlfn.IFS(D46="Second Lien",D46,D46="First Lien",CONCATENATE(D46," ",EI46),D46="FILO",CONCATENATE(D46," ",EJ46))</f>
        <v>First Lien &gt; $20MM</v>
      </c>
      <c r="U46" s="409">
        <f>VLOOKUP(T46,'Concentration Limits'!D:G,4,FALSE)</f>
        <v>0.67500000000000004</v>
      </c>
      <c r="V46" s="410">
        <f t="shared" si="5"/>
        <v>11843346.714755239</v>
      </c>
      <c r="W46" s="448">
        <f>(SUMIFS('Loan Tape - Settled'!$AR$4:$AR$55,'Loan Tape - Settled'!$E$4:$E$55,$A46,'Loan Tape - Settled'!$C$4:$C$55,$A$5))</f>
        <v>11874814.974437499</v>
      </c>
      <c r="X46" s="449">
        <v>1</v>
      </c>
      <c r="Y46" s="411">
        <f t="shared" si="6"/>
        <v>11874814.974437499</v>
      </c>
      <c r="Z46" s="449">
        <f>(SUMIFS('Loan Tape - Settled'!$AQ$4:$AQ$55,'Loan Tape - Settled'!$E$4:$E$55,$A46,'Loan Tape - Settled'!$C$4:$C$55,$A$5))</f>
        <v>11874814.974437499</v>
      </c>
      <c r="AA46" s="411">
        <f t="shared" si="7"/>
        <v>11874814.974437499</v>
      </c>
      <c r="AB46" s="411">
        <f t="shared" si="8"/>
        <v>0</v>
      </c>
      <c r="AC46" s="450">
        <f>VLOOKUP(CONCATENATE($A$5,A46),'Loan Tape - Settled'!$A$5:$Q$55,17,FALSE)</f>
        <v>1</v>
      </c>
      <c r="AD46" s="412"/>
      <c r="AE46" s="413">
        <f>INDEX('Loan Tape - Settled'!$B$4:$AP$55,MATCH($A46,'Loan Tape - Settled'!$E$4:$E$55,0),MATCH("FMV",'Loan Tape - Settled'!$B$4:$AM$4,0))</f>
        <v>0.99734999999999996</v>
      </c>
      <c r="AF46" s="413">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0.99795084626383723</v>
      </c>
      <c r="AG46" s="414" t="str">
        <f>IF(COUNTIFS(VAE!$C$5:$C$96,B46,VAE!$G$5:$G$96,"&lt;="&amp;Availability!$F$8)&gt;=1,"Yes","-")</f>
        <v>-</v>
      </c>
      <c r="AH46" s="414" t="str">
        <f t="array" ref="AH46">IFERROR(IF(AG46="Yes",INDEX(VAE!$D$5:$D$96,MATCH(B46&amp;AJ46,VAE!$C$5:$C$96&amp;VAE!$G$5:$G$96,0)),"-"),0)</f>
        <v>-</v>
      </c>
      <c r="AI46" s="414" t="str">
        <f t="array" ref="AI46">IFERROR(IF(AG46="Yes",INDEX(VAE!$F$5:$F$96,MATCH(B46&amp;AJ46,VAE!$C$5:$C$96&amp;VAE!$G$5:$G$96,0)),"-"),0)</f>
        <v>-</v>
      </c>
      <c r="AJ46" s="415" t="str">
        <f>IF(AG46="-","-",_xlfn.MAXIFS(VAE!$G$5:$G$96,VAE!$C$5:$C$96,$B46))</f>
        <v>-</v>
      </c>
      <c r="AK46" s="416" t="str">
        <f t="array" ref="AK46">IFERROR(IF(AG46="Yes",INDEX(VAE!$P$5:$P$96,MATCH(B46&amp;AJ46,VAE!$C$5:$C$96&amp;VAE!$G$5:$G$96,0)),"-"),0)</f>
        <v>-</v>
      </c>
      <c r="AL46" s="413">
        <f t="shared" si="9"/>
        <v>0.99734999999999996</v>
      </c>
      <c r="AM46" s="410"/>
      <c r="AN46" s="410"/>
      <c r="AO46" s="410">
        <f t="shared" si="10"/>
        <v>11874814.974437499</v>
      </c>
      <c r="AP46" s="410">
        <f t="shared" si="11"/>
        <v>0</v>
      </c>
      <c r="AQ46" s="410">
        <f t="shared" si="83"/>
        <v>11843346.714755239</v>
      </c>
      <c r="AR46" s="410"/>
      <c r="AS46" s="410"/>
      <c r="AT46" s="410"/>
      <c r="AU46" s="410">
        <f t="shared" si="12"/>
        <v>0</v>
      </c>
      <c r="AV46" s="410">
        <f t="shared" si="13"/>
        <v>0</v>
      </c>
      <c r="AW46" s="410">
        <f t="shared" si="14"/>
        <v>0</v>
      </c>
      <c r="AX46" s="410"/>
      <c r="AY46" s="410"/>
      <c r="AZ46" s="410"/>
      <c r="BA46" s="410">
        <f t="shared" si="15"/>
        <v>0</v>
      </c>
      <c r="BB46" s="410"/>
      <c r="BC46" s="410"/>
      <c r="BD46" s="410">
        <f t="shared" si="16"/>
        <v>0</v>
      </c>
      <c r="BE46" s="410"/>
      <c r="BF46" s="410"/>
      <c r="BG46" s="410"/>
      <c r="BH46" s="410"/>
      <c r="BI46" s="410">
        <f t="shared" si="17"/>
        <v>0</v>
      </c>
      <c r="BJ46" s="410" t="b">
        <f t="shared" si="18"/>
        <v>1</v>
      </c>
      <c r="BK46" s="509">
        <f>INDEX('Loan Tape - Settled'!$B$4:$AP$55,MATCH($A46,'Loan Tape - Settled'!$E$4:$E$55,0),MATCH("Inception Date",'Loan Tape - Settled'!$B$4:$AP$4,0))</f>
        <v>45657</v>
      </c>
      <c r="BL46" s="509">
        <f>INDEX('Loan Tape - Settled'!$B$4:$AP$55,MATCH($A46,'Loan Tape - Settled'!$E$4:$E$55,0),MATCH("Inclusion Date",'Loan Tape - Settled'!$B$4:$AP$4,0))</f>
        <v>45656</v>
      </c>
      <c r="BM46" s="509">
        <f>INDEX('Loan Tape - Settled'!$B$4:$AP$55,MATCH($A46,'Loan Tape - Settled'!$E$4:$E$55,0),MATCH("Maturity Date",'Loan Tape - Settled'!$B$4:$AP$4,0))</f>
        <v>47482</v>
      </c>
      <c r="BN46" s="510"/>
      <c r="BO46" s="510"/>
      <c r="BP46" s="511"/>
      <c r="BQ46" s="510"/>
      <c r="BR46" s="512" t="str">
        <f>INDEX('Loan Tape - Settled'!$B$4:$AP$55,MATCH($A46,'Loan Tape - Settled'!$E$4:$E$55,0),MATCH("Industry Classification",'Loan Tape - Settled'!$B$4:$AP$4,0))</f>
        <v>Construction &amp; Engineering</v>
      </c>
      <c r="BS46" s="510" t="str">
        <f>IF(INDEX('Loan Tape - Settled'!$B$4:$AP$55,MATCH($A46,'Loan Tape - Settled'!$E$4:$E$55,0),MATCH("Covenant Lite",'Loan Tape - Settled'!$B$4:$AP$4,0))=-1, "Yes", "No")</f>
        <v>No</v>
      </c>
      <c r="BT46" s="513">
        <f>INDEX('Loan Tape - Settled'!$B$4:$AP$55,MATCH($A46,'Loan Tape - Settled'!$E$4:$E$55,0),MATCH("Spread / Coupon (%)",'Loan Tape - Settled'!$B$4:$AP$4,0))</f>
        <v>5.7500000000000002E-2</v>
      </c>
      <c r="BU46" s="510" t="str">
        <f>IF(INDEX('Loan Tape - Settled'!$B$4:$AP$55,MATCH($A46,'Loan Tape - Settled'!$E$4:$E$55,0),MATCH("Security Type",'Loan Tape - Settled'!$B$4:$AP$4,0))="Delayed Draw Term Loan", "Yes", "No")</f>
        <v>No</v>
      </c>
      <c r="BV46" s="514" t="s">
        <v>244</v>
      </c>
      <c r="BW46" s="514" t="s">
        <v>244</v>
      </c>
      <c r="BX46" s="506" t="s">
        <v>244</v>
      </c>
      <c r="BY46" s="510" t="str">
        <f>IF(INDEX('Loan Tape - Settled'!$B$4:$AP$55,MATCH($A46,'Loan Tape - Settled'!$E$4:$E$55,0),MATCH("Fixed/Floating",'Loan Tape - Settled'!$B$4:$AP$4,0))="Fixed", "Yes", "No")</f>
        <v>No</v>
      </c>
      <c r="BZ46" s="514" t="s">
        <v>244</v>
      </c>
      <c r="CA46" s="514" t="s">
        <v>244</v>
      </c>
      <c r="CB46" s="510" t="str">
        <f>IF(INDEX('Loan Tape - Settled'!$B$4:$AP$55,MATCH($A46,'Loan Tape - Settled'!$E$4:$E$55,0),MATCH("Loan Denomination",'Loan Tape - Settled'!$B$4:$AP$4,0))="CAD", "Yes", "No")</f>
        <v>No</v>
      </c>
      <c r="CC46" s="510" t="str">
        <f>INDEX('Loan Tape - Settled'!$B$4:$AP$55,MATCH($A46,'Loan Tape - Settled'!$E$4:$E$55,0),MATCH("Payment Frequency",'Loan Tape - Settled'!$B$4:$AP$4,0))</f>
        <v>M</v>
      </c>
      <c r="CD46" s="514" t="s">
        <v>244</v>
      </c>
      <c r="CE46" s="510">
        <f>INDEX('Loan Tape - Settled'!$B$4:$AP$55,MATCH($A46,'Loan Tape - Settled'!$E$4:$E$55,0),MATCH("S&amp;P Loan Rating (if applicable)",'Loan Tape - Settled'!$B$4:$AP$4,0))</f>
        <v>0</v>
      </c>
      <c r="CF46" s="510">
        <f>INDEX('Loan Tape - Settled'!$B$4:$AP$55,MATCH($A46,'Loan Tape - Settled'!$E$4:$E$55,0),MATCH("Moody's Loan Rating (if applicable)",'Loan Tape - Settled'!$B$4:$AP$4,0))</f>
        <v>0</v>
      </c>
      <c r="CG46" s="510"/>
      <c r="CH46" s="510"/>
      <c r="CI46" s="515"/>
      <c r="CJ46" s="508" t="str">
        <f>INDEX('Loan Tape - Settled'!$B$4:$BF$55,MATCH($A46,'Loan Tape - Settled'!$E$4:$E$55,0),MATCH("Last Financial Received",'Loan Tape - Settled'!$B$4:$BF$4,0))</f>
        <v>9/30/2025 or Latest Financing</v>
      </c>
      <c r="CK46" s="516">
        <f>INDEX('Loan Tape - Settled'!$B$4:$BJ$55,MATCH($A46,'Loan Tape - Settled'!$E$4:$E$55,0),MATCH("Initial Adjusted TTM EBITDA",'Loan Tape - Settled'!$B$4:$BJ$4,0))</f>
        <v>106.5</v>
      </c>
      <c r="CL46" s="516">
        <f>INDEX('Loan Tape - Settled'!$B$4:$BJ$55,MATCH($A46,'Loan Tape - Settled'!$E$4:$E$55,0),MATCH("Initial TTM Non-adjusted EBITDA",'Loan Tape - Settled'!$B$4:$BJ$4,0))</f>
        <v>106.5</v>
      </c>
      <c r="CM46" s="417"/>
      <c r="CN46" s="418"/>
      <c r="CO46" s="418"/>
      <c r="CP46" s="419"/>
      <c r="CQ46" s="420" t="s">
        <v>245</v>
      </c>
      <c r="CR46" s="419"/>
      <c r="CS46" s="421">
        <f t="shared" si="19"/>
        <v>106.5</v>
      </c>
      <c r="CT46" s="422">
        <f t="shared" si="20"/>
        <v>0</v>
      </c>
      <c r="CU46" s="516">
        <f>INDEX('Loan Tape - Settled'!$B$4:$BJ$55,MATCH($A46,'Loan Tape - Settled'!$E$4:$E$55,0),MATCH("Current TTM Non-adjusted EBITDA",'Loan Tape - Settled'!$B$4:$BJ$4,0))</f>
        <v>111.097629</v>
      </c>
      <c r="CV46" s="423">
        <f t="shared" si="21"/>
        <v>0</v>
      </c>
      <c r="CW46" s="652" t="s">
        <v>245</v>
      </c>
      <c r="CX46" s="517"/>
      <c r="CY46" s="658">
        <f t="shared" si="22"/>
        <v>111.097629</v>
      </c>
      <c r="CZ46" s="656"/>
      <c r="DA46" s="518"/>
      <c r="DB46" s="519"/>
      <c r="DC46" s="853"/>
      <c r="DD46" s="853">
        <f>INDEX('Loan Tape - Settled'!$B$4:$BJ$55,MATCH($A46,'Loan Tape - Settled'!$E$4:$E$55,0),MATCH("Initial Senior Net Leverage Senior",'Loan Tape - Settled'!$B$4:$BJ$4,0))</f>
        <v>2.8</v>
      </c>
      <c r="DE46" s="659">
        <f>INDEX('Loan Tape - Settled'!$B$4:$BJ$55,MATCH($A46,'Loan Tape - Settled'!$E$4:$E$55,0),MATCH("Initial Total Net Leverage",'Loan Tape - Settled'!$B$4:$BJ$4,0))</f>
        <v>2.8</v>
      </c>
      <c r="DF46" s="656"/>
      <c r="DG46" s="518"/>
      <c r="DH46" s="519"/>
      <c r="DI46" s="424">
        <f>INDEX('Loan Tape - Settled'!$B$4:$BJ$55,MATCH($A46,'Loan Tape - Settled'!$E$4:$E$55,0),MATCH("Net Attachment",'Loan Tape - Settled'!$B$4:$BJ$4,0))</f>
        <v>0.44868430264497372</v>
      </c>
      <c r="DJ46" s="522">
        <f t="array" ref="DJ46">IF(AG46="Yes",INDEX(VAE!$M$5:$M$53,MATCH($B46&amp;$AJ46,VAE!$C$5:$C$53&amp;VAE!$G$5:$G$53,0)),DD46)</f>
        <v>2.8</v>
      </c>
      <c r="DK46" s="649">
        <f t="array" ref="DK46">IF(AG46="Yes",INDEX(VAE!$N$5:$N$53,MATCH($B46&amp;$AJ46,VAE!$C$5:$C$53&amp;VAE!$G$5:$G$53,0)),DE46)</f>
        <v>2.8</v>
      </c>
      <c r="DL46" s="651">
        <f>INDEX('Loan Tape - Settled'!$B$4:$BJ$55,MATCH($A46,'Loan Tape - Settled'!$E$4:$E$55,0),MATCH("Current Senior Net Leverage Senior",'Loan Tape - Settled'!$B$4:$BJ$4,0))</f>
        <v>3.3412909168790632</v>
      </c>
      <c r="DM46" s="433">
        <f>INDEX('Loan Tape - Settled'!$B$4:$BJ$55,MATCH($A46,'Loan Tape - Settled'!$E$4:$E$55,0),MATCH("Current Total Net Leverage",'Loan Tape - Settled'!$B$4:$BJ$4,0))</f>
        <v>3.3412909168790632</v>
      </c>
      <c r="DN46" s="425"/>
      <c r="DO46" s="426">
        <f>INDEX('Loan Tape - Settled'!$B$4:$BJ$55,MATCH($A46,'Loan Tape - Settled'!$E$4:$E$55,0),MATCH("Initial Interest Coverage",'Loan Tape - Settled'!$B$4:$BJ$4,0))</f>
        <v>2.81</v>
      </c>
      <c r="DP46" s="854">
        <f t="array" ref="DP46">IF(AG46="Yes",INDEX(VAE!$O$5:$O$53,MATCH($B46&amp;$AJ46,VAE!$C$5:$C$53&amp;VAE!$G$5:$G$53,0)),DO46)</f>
        <v>2.81</v>
      </c>
      <c r="DQ46" s="427">
        <f>INDEX('Loan Tape - Settled'!$B$4:$BJ$55,MATCH($A46,'Loan Tape - Settled'!$E$4:$E$55,0),MATCH("Current Interest Coverage",'Loan Tape - Settled'!$B$4:$BJ$4,0))</f>
        <v>2.8630128767110001</v>
      </c>
      <c r="DR46" s="855" t="str">
        <f t="shared" si="23"/>
        <v>No</v>
      </c>
      <c r="DS46" s="428" t="str">
        <f>IF(AG46="Yes",DATEDIF(AJ46,Availability!$F$8,"m"),"")</f>
        <v/>
      </c>
      <c r="DT46" s="428" t="str">
        <f t="shared" si="24"/>
        <v>No</v>
      </c>
      <c r="DU46" s="647" t="str">
        <f t="shared" si="25"/>
        <v>No</v>
      </c>
      <c r="DV46" s="648" t="str">
        <f t="shared" si="26"/>
        <v>No</v>
      </c>
      <c r="DW46" s="648" t="str">
        <f t="array" ref="DW46">_xlfn.IFS(D46&lt;&gt;"Second Lien","No",D46="Second Lien",IF(AND((DM46-DK46)&gt;0.5,DM46&gt;4.5),"Yes","No"))</f>
        <v>No</v>
      </c>
      <c r="DX46" s="685" t="s">
        <v>244</v>
      </c>
      <c r="DY46" s="685" t="s">
        <v>244</v>
      </c>
      <c r="DZ46" s="686" t="s">
        <v>244</v>
      </c>
      <c r="EA46" s="686" t="s">
        <v>244</v>
      </c>
      <c r="EB46" s="686" t="s">
        <v>244</v>
      </c>
      <c r="EC46" s="686" t="s">
        <v>244</v>
      </c>
      <c r="ED46" s="686" t="s">
        <v>244</v>
      </c>
      <c r="EE46" s="686" t="s">
        <v>244</v>
      </c>
      <c r="EF46" s="409" t="str">
        <f t="shared" si="27"/>
        <v>No</v>
      </c>
      <c r="EG46" s="686" t="s">
        <v>244</v>
      </c>
      <c r="EH46" s="691" t="s">
        <v>244</v>
      </c>
      <c r="EI46" s="856" t="str">
        <f t="array" ref="EI46">IF(D46="First Lien",_xlfn.IFS(CY46&gt;AGENT!$B$23, "&gt; $20MM",CY46&lt;=AGENT!$C$25, "&lt;= $10MM",AND(CY46&lt;=AGENT!$C$24,CY46&gt;AGENT!$B$24),"&lt;= $20MM"), "N/A")</f>
        <v>&gt; $20MM</v>
      </c>
      <c r="EJ46" s="856" t="str">
        <f t="array" ref="EJ46">IF(D46="FILO",_xlfn.IFS(DI46&gt;AGENT!$B$29, "&gt; 1.25x",DI46&lt;AGENT!$C$27, "&lt; 0.75x",AND(DI46&lt;=AGENT!$C$28,DI46&gt;=AGENT!$B$28),"&lt;= 1.25x"), "N/A")</f>
        <v>N/A</v>
      </c>
      <c r="EK46" s="429">
        <f t="shared" si="28"/>
        <v>11843346.714755239</v>
      </c>
      <c r="EL46" s="429">
        <f>'Concentration Limits'!$J$49</f>
        <v>49599340.729726665</v>
      </c>
      <c r="EM46" s="429" t="str">
        <f>IF(OR(D46="Second Lien",AND(D46="FILO",DI46&gt;AGENT!$C$57)), "Yes", "No")</f>
        <v>No</v>
      </c>
      <c r="EN46" s="429">
        <f t="shared" si="29"/>
        <v>0</v>
      </c>
      <c r="EO46" s="429">
        <f t="shared" si="30"/>
        <v>0</v>
      </c>
      <c r="EP46" s="429">
        <f t="shared" si="31"/>
        <v>11843346.714755239</v>
      </c>
      <c r="EQ46" s="429">
        <f>'Concentration Limits'!$J$50</f>
        <v>24799670.364863332</v>
      </c>
      <c r="ER46" s="429">
        <f t="shared" si="32"/>
        <v>0</v>
      </c>
      <c r="ES46" s="429">
        <f t="shared" si="84"/>
        <v>0</v>
      </c>
      <c r="ET46" s="429">
        <f t="shared" si="33"/>
        <v>11843346.714755239</v>
      </c>
      <c r="EU46" s="429">
        <f>'Concentration Limits'!$J$51</f>
        <v>74399011.094589993</v>
      </c>
      <c r="EV46" s="429" t="str">
        <f>IF(OR(D46="Second Lien", AND(D46="FILO",DI46&gt;AGENT!$C$59)), "Yes", "No")</f>
        <v>No</v>
      </c>
      <c r="EW46" s="429">
        <f t="shared" si="34"/>
        <v>0</v>
      </c>
      <c r="EX46" s="429">
        <f t="shared" si="35"/>
        <v>0</v>
      </c>
      <c r="EY46" s="429">
        <f t="shared" si="36"/>
        <v>11843346.714755239</v>
      </c>
      <c r="EZ46" s="429">
        <f>'Concentration Limits'!$J$52</f>
        <v>37199505.547294997</v>
      </c>
      <c r="FA46" s="429" t="str">
        <f>IF(CY46&gt;'Concentration Limits'!$E$52, "No", "Yes")</f>
        <v>No</v>
      </c>
      <c r="FB46" s="429">
        <f t="shared" si="37"/>
        <v>0</v>
      </c>
      <c r="FC46" s="429">
        <f t="shared" si="38"/>
        <v>0</v>
      </c>
      <c r="FD46" s="429">
        <f t="shared" si="39"/>
        <v>11843346.714755239</v>
      </c>
      <c r="FE46" s="430">
        <f>'Concentration Limits'!$J$54</f>
        <v>247996703.6486333</v>
      </c>
      <c r="FF46" s="430">
        <f>'Concentration Limits'!$J$55</f>
        <v>247996703.6486333</v>
      </c>
      <c r="FG46" s="430">
        <f>'Concentration Limits'!$J$56</f>
        <v>247996703.6486333</v>
      </c>
      <c r="FH46" s="431">
        <f>'Concentration Limits'!$J$57</f>
        <v>18599752.773647498</v>
      </c>
      <c r="FI46" s="431">
        <f t="shared" si="40"/>
        <v>11843346.714755239</v>
      </c>
      <c r="FJ46" s="431">
        <f t="shared" si="41"/>
        <v>11843346.714755239</v>
      </c>
      <c r="FK46" s="431">
        <f t="shared" si="42"/>
        <v>7</v>
      </c>
      <c r="FL46" s="431">
        <f>IF(FJ46&gt;0,RANK(FJ46,$FJ$9:$FJ$60)+COUNTIF($FJ$9:FJ46,FJ46)-1,0)</f>
        <v>7</v>
      </c>
      <c r="FM46" s="430">
        <f t="shared" si="43"/>
        <v>0</v>
      </c>
      <c r="FN46" s="430">
        <f t="shared" si="44"/>
        <v>0</v>
      </c>
      <c r="FO46" s="430">
        <f t="shared" si="45"/>
        <v>0</v>
      </c>
      <c r="FP46" s="431">
        <f t="shared" si="46"/>
        <v>0</v>
      </c>
      <c r="FQ46" s="431">
        <f t="shared" si="47"/>
        <v>11843346.714755239</v>
      </c>
      <c r="FR46" s="431">
        <f>'Concentration Limits'!$J$58</f>
        <v>49599340.729726665</v>
      </c>
      <c r="FS46" s="431">
        <f t="shared" si="48"/>
        <v>46042971.865242489</v>
      </c>
      <c r="FT46" s="431">
        <f>VLOOKUP(BR46,'Concentration Limits'!$E$81:$H$153,4,FALSE)</f>
        <v>1</v>
      </c>
      <c r="FU46" s="431">
        <f t="shared" si="49"/>
        <v>0</v>
      </c>
      <c r="FV46" s="431">
        <f t="shared" si="50"/>
        <v>11843346.714755239</v>
      </c>
      <c r="FW46" s="431">
        <f>'Concentration Limits'!$J$59</f>
        <v>37199505.547294997</v>
      </c>
      <c r="FX46" s="431">
        <f t="shared" si="51"/>
        <v>46042971.865242489</v>
      </c>
      <c r="FY46" s="431">
        <f>VLOOKUP(BR46,'Concentration Limits'!$E$81:$H$153,4,FALSE)</f>
        <v>1</v>
      </c>
      <c r="FZ46" s="431">
        <f t="shared" si="52"/>
        <v>0</v>
      </c>
      <c r="GA46" s="431">
        <f t="shared" si="53"/>
        <v>11843346.714755239</v>
      </c>
      <c r="GB46" s="431">
        <f>'Concentration Limits'!$J$61</f>
        <v>24799670.364863332</v>
      </c>
      <c r="GC46" s="431">
        <f t="shared" si="54"/>
        <v>46042971.865242489</v>
      </c>
      <c r="GD46" s="429">
        <f>VLOOKUP(BR46,'Concentration Limits'!$E$81:$H$153,4,FALSE)</f>
        <v>1</v>
      </c>
      <c r="GE46" s="431">
        <f t="shared" si="55"/>
        <v>0</v>
      </c>
      <c r="GF46" s="431">
        <f t="shared" si="56"/>
        <v>11843346.714755239</v>
      </c>
      <c r="GG46" s="431">
        <f>'Concentration Limits'!$J$64</f>
        <v>24799670.364863332</v>
      </c>
      <c r="GH46" s="431">
        <f t="shared" si="57"/>
        <v>0</v>
      </c>
      <c r="GI46" s="431">
        <f t="shared" si="58"/>
        <v>0</v>
      </c>
      <c r="GJ46" s="431">
        <f t="shared" si="59"/>
        <v>11843346.714755239</v>
      </c>
      <c r="GK46" s="431">
        <f>'Concentration Limits'!$J$67</f>
        <v>24799670.364863332</v>
      </c>
      <c r="GL46" s="429" t="str">
        <f t="shared" si="60"/>
        <v>No</v>
      </c>
      <c r="GM46" s="431">
        <f t="shared" si="61"/>
        <v>0</v>
      </c>
      <c r="GN46" s="431">
        <f t="shared" si="62"/>
        <v>0</v>
      </c>
      <c r="GO46" s="431">
        <f t="shared" si="63"/>
        <v>11843346.714755239</v>
      </c>
      <c r="GP46" s="431">
        <f>'Concentration Limits'!$J$68</f>
        <v>37199505.547294997</v>
      </c>
      <c r="GQ46" s="429" t="str">
        <f t="shared" si="64"/>
        <v>No</v>
      </c>
      <c r="GR46" s="431">
        <f t="shared" si="65"/>
        <v>0</v>
      </c>
      <c r="GS46" s="431">
        <f t="shared" si="66"/>
        <v>0</v>
      </c>
      <c r="GT46" s="431">
        <f t="shared" si="67"/>
        <v>11843346.714755239</v>
      </c>
      <c r="GU46" s="429">
        <f>'Concentration Limits'!$J$69</f>
        <v>37199505.547294997</v>
      </c>
      <c r="GV46" s="429" t="str">
        <f t="shared" si="68"/>
        <v>No</v>
      </c>
      <c r="GW46" s="429">
        <f t="shared" si="69"/>
        <v>0</v>
      </c>
      <c r="GX46" s="429">
        <f t="shared" si="70"/>
        <v>0</v>
      </c>
      <c r="GY46" s="429">
        <f t="shared" si="71"/>
        <v>11843346.714755239</v>
      </c>
      <c r="GZ46" s="429">
        <f>'Concentration Limits'!$J$70</f>
        <v>24799670.364863332</v>
      </c>
      <c r="HA46" s="429" t="str">
        <f t="shared" si="72"/>
        <v>No</v>
      </c>
      <c r="HB46" s="429">
        <f t="shared" si="73"/>
        <v>0</v>
      </c>
      <c r="HC46" s="429">
        <f t="shared" si="74"/>
        <v>0</v>
      </c>
      <c r="HD46" s="429">
        <f t="shared" si="75"/>
        <v>11843346.714755239</v>
      </c>
      <c r="HE46" s="431">
        <f t="shared" si="76"/>
        <v>11843346.714755239</v>
      </c>
      <c r="HF46" s="431">
        <f t="shared" si="77"/>
        <v>0</v>
      </c>
      <c r="HG46" s="431">
        <f t="shared" si="78"/>
        <v>0</v>
      </c>
      <c r="HH46" s="431">
        <f t="shared" si="79"/>
        <v>0</v>
      </c>
      <c r="HI46" s="431">
        <f>IF(BE46=0,0,#REF!*BE46/(BE46+BG46))</f>
        <v>0</v>
      </c>
      <c r="HJ46" s="431">
        <f>IF(BG46=0,0,#REF!*BG46/(BG46+BE46))</f>
        <v>0</v>
      </c>
      <c r="HK46" s="857">
        <f>IF(BF46=0,0,#REF!*BF46/(BF46+BH46))</f>
        <v>0</v>
      </c>
      <c r="HL46" s="431">
        <f>IF(BH46=0,0,#REF!*BH46/(BH46+BF46))</f>
        <v>0</v>
      </c>
      <c r="HM46" s="431">
        <f t="shared" si="80"/>
        <v>0</v>
      </c>
      <c r="HN46" s="431" t="b">
        <f t="shared" si="81"/>
        <v>1</v>
      </c>
    </row>
    <row r="47" spans="1:222" s="432" customFormat="1" ht="12.75" customHeight="1" x14ac:dyDescent="0.35">
      <c r="A47" s="49">
        <f t="shared" si="82"/>
        <v>39</v>
      </c>
      <c r="B47" s="404" t="str">
        <f>INDEX('Loan Tape - Settled'!$B$4:$AP$55,MATCH($A47,'Loan Tape - Settled'!$E$4:$E$55,0),MATCH("Obligor Name",'Loan Tape - Settled'!$B$4:$AM$4,0))</f>
        <v>Ambient Enterprises</v>
      </c>
      <c r="C47" s="404" t="str">
        <f>INDEX('Loan Tape - Settled'!$B$4:$AP$55,MATCH($A47,'Loan Tape - Settled'!$E$4:$E$55,0),MATCH("Security",'Loan Tape - Settled'!$B$4:$AM$4,0))</f>
        <v>1st Lien</v>
      </c>
      <c r="D47" s="405" t="str">
        <f>INDEX('Loan Tape - Settled'!$B$4:$AP$55,MATCH($A47,'Loan Tape - Settled'!$E$4:$E$55,0),MATCH("Loan Type",'Loan Tape - Settled'!$B$4:$AM$4,0))</f>
        <v>First Lien</v>
      </c>
      <c r="E47" s="406" t="b">
        <f>IF(ISERROR(MATCH(D47,AGENT!$A$4:$A$10,0))=FALSE, TRUE)</f>
        <v>1</v>
      </c>
      <c r="F47" s="406" t="b">
        <f t="shared" si="0"/>
        <v>1</v>
      </c>
      <c r="G47" s="406" t="b">
        <f>IF(D47&lt;&gt;"Second Lien",TRUE, IF(CY47&gt;=AGENT!$B$4,TRUE))</f>
        <v>1</v>
      </c>
      <c r="H47" s="406" t="b">
        <f>IF(DE47&lt;=AGENT!$D$4,TRUE)</f>
        <v>1</v>
      </c>
      <c r="I47" s="406" t="b">
        <f>IF(VLOOKUP(CONCATENATE($A$5,A47),'Loan Tape - Settled'!$A$5:$Q$55,17,FALSE)&gt;=AGENT!$E$4,TRUE)</f>
        <v>1</v>
      </c>
      <c r="J47" s="406" t="b">
        <f>IF(INDEX('Loan Tape - Settled'!$B$4:$AP$55,MATCH($A47,'Loan Tape - Settled'!$E$4:$E$55,0),MATCH("Loan Denomination",'Loan Tape - Settled'!$B$4:$AP$4,0))="USD", TRUE)</f>
        <v>1</v>
      </c>
      <c r="K47" s="406" t="b">
        <f>IF(INDEX('Loan Tape - Settled'!$B$4:$AP$55,MATCH($A47,'Loan Tape - Settled'!$E$4:$E$55,0),MATCH("Exposure Country",'Loan Tape - Settled'!$B$4:$AP$4,0))="United States", TRUE)</f>
        <v>1</v>
      </c>
      <c r="L47" s="406" t="b">
        <f t="shared" si="1"/>
        <v>1</v>
      </c>
      <c r="M47" s="406" t="b">
        <f>IF(((BM47-BL47)/365)&lt;=AGENT!$F$4,TRUE)</f>
        <v>1</v>
      </c>
      <c r="N47" s="406" t="b">
        <f t="shared" si="2"/>
        <v>1</v>
      </c>
      <c r="O47" s="453"/>
      <c r="P47" s="709" t="str">
        <f t="shared" si="3"/>
        <v>Yes</v>
      </c>
      <c r="Q47" s="680" t="s">
        <v>243</v>
      </c>
      <c r="R47" s="407" t="str">
        <f t="shared" si="4"/>
        <v>Ambient Enterprises</v>
      </c>
      <c r="S47" s="407"/>
      <c r="T47" s="408" t="str">
        <f t="array" ref="T47">_xlfn.IFS(D47="Second Lien",D47,D47="First Lien",CONCATENATE(D47," ",EI47),D47="FILO",CONCATENATE(D47," ",EJ47))</f>
        <v>First Lien &gt; $20MM</v>
      </c>
      <c r="U47" s="409">
        <f>VLOOKUP(T47,'Concentration Limits'!D:G,4,FALSE)</f>
        <v>0.67500000000000004</v>
      </c>
      <c r="V47" s="410">
        <f t="shared" si="5"/>
        <v>10331560.995420478</v>
      </c>
      <c r="W47" s="448">
        <f>(SUMIFS('Loan Tape - Settled'!$AR$4:$AR$55,'Loan Tape - Settled'!$E$4:$E$55,$A47,'Loan Tape - Settled'!$C$4:$C$55,$A$5))</f>
        <v>10467396.8911747</v>
      </c>
      <c r="X47" s="449">
        <v>1</v>
      </c>
      <c r="Y47" s="411">
        <f t="shared" si="6"/>
        <v>10467396.8911747</v>
      </c>
      <c r="Z47" s="449">
        <f>(SUMIFS('Loan Tape - Settled'!$AQ$4:$AQ$55,'Loan Tape - Settled'!$E$4:$E$55,$A47,'Loan Tape - Settled'!$C$4:$C$55,$A$5))</f>
        <v>10467396.8911747</v>
      </c>
      <c r="AA47" s="411">
        <f t="shared" si="7"/>
        <v>10467396.8911747</v>
      </c>
      <c r="AB47" s="411">
        <f t="shared" si="8"/>
        <v>0</v>
      </c>
      <c r="AC47" s="450">
        <f>VLOOKUP(CONCATENATE($A$5,A47),'Loan Tape - Settled'!$A$5:$Q$55,17,FALSE)</f>
        <v>1</v>
      </c>
      <c r="AD47" s="412"/>
      <c r="AE47" s="413">
        <f>INDEX('Loan Tape - Settled'!$B$4:$AP$55,MATCH($A47,'Loan Tape - Settled'!$E$4:$E$55,0),MATCH("FMV",'Loan Tape - Settled'!$B$4:$AM$4,0))</f>
        <v>1.0020500000000001</v>
      </c>
      <c r="AF47" s="413">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0.98702295354170166</v>
      </c>
      <c r="AG47" s="414" t="str">
        <f>IF(COUNTIFS(VAE!$C$5:$C$96,B47,VAE!$G$5:$G$96,"&lt;="&amp;Availability!$F$8)&gt;=1,"Yes","-")</f>
        <v>-</v>
      </c>
      <c r="AH47" s="414" t="str">
        <f t="array" ref="AH47">IFERROR(IF(AG47="Yes",INDEX(VAE!$D$5:$D$96,MATCH(B47&amp;AJ47,VAE!$C$5:$C$96&amp;VAE!$G$5:$G$96,0)),"-"),0)</f>
        <v>-</v>
      </c>
      <c r="AI47" s="414" t="str">
        <f t="array" ref="AI47">IFERROR(IF(AG47="Yes",INDEX(VAE!$F$5:$F$96,MATCH(B47&amp;AJ47,VAE!$C$5:$C$96&amp;VAE!$G$5:$G$96,0)),"-"),0)</f>
        <v>-</v>
      </c>
      <c r="AJ47" s="415" t="str">
        <f>IF(AG47="-","-",_xlfn.MAXIFS(VAE!$G$5:$G$96,VAE!$C$5:$C$96,$B47))</f>
        <v>-</v>
      </c>
      <c r="AK47" s="416" t="str">
        <f t="array" ref="AK47">IFERROR(IF(AG47="Yes",INDEX(VAE!$P$5:$P$96,MATCH(B47&amp;AJ47,VAE!$C$5:$C$96&amp;VAE!$G$5:$G$96,0)),"-"),0)</f>
        <v>-</v>
      </c>
      <c r="AL47" s="413">
        <f t="shared" si="9"/>
        <v>0.98702295354170166</v>
      </c>
      <c r="AM47" s="410"/>
      <c r="AN47" s="410"/>
      <c r="AO47" s="410">
        <f t="shared" si="10"/>
        <v>10467396.8911747</v>
      </c>
      <c r="AP47" s="410">
        <f t="shared" si="11"/>
        <v>0</v>
      </c>
      <c r="AQ47" s="410">
        <f t="shared" si="83"/>
        <v>10331560.995420478</v>
      </c>
      <c r="AR47" s="410"/>
      <c r="AS47" s="410"/>
      <c r="AT47" s="410"/>
      <c r="AU47" s="410">
        <f t="shared" si="12"/>
        <v>0</v>
      </c>
      <c r="AV47" s="410">
        <f t="shared" si="13"/>
        <v>0</v>
      </c>
      <c r="AW47" s="410">
        <f t="shared" si="14"/>
        <v>0</v>
      </c>
      <c r="AX47" s="410"/>
      <c r="AY47" s="410"/>
      <c r="AZ47" s="410"/>
      <c r="BA47" s="410">
        <f t="shared" si="15"/>
        <v>0</v>
      </c>
      <c r="BB47" s="410"/>
      <c r="BC47" s="410"/>
      <c r="BD47" s="410">
        <f t="shared" si="16"/>
        <v>0</v>
      </c>
      <c r="BE47" s="410"/>
      <c r="BF47" s="410"/>
      <c r="BG47" s="410"/>
      <c r="BH47" s="410"/>
      <c r="BI47" s="410">
        <f t="shared" si="17"/>
        <v>0</v>
      </c>
      <c r="BJ47" s="410" t="b">
        <f t="shared" si="18"/>
        <v>1</v>
      </c>
      <c r="BK47" s="509">
        <f>INDEX('Loan Tape - Settled'!$B$4:$AP$55,MATCH($A47,'Loan Tape - Settled'!$E$4:$E$55,0),MATCH("Inception Date",'Loan Tape - Settled'!$B$4:$AP$4,0))</f>
        <v>45656</v>
      </c>
      <c r="BL47" s="509">
        <f>INDEX('Loan Tape - Settled'!$B$4:$AP$55,MATCH($A47,'Loan Tape - Settled'!$E$4:$E$55,0),MATCH("Inclusion Date",'Loan Tape - Settled'!$B$4:$AP$4,0))</f>
        <v>45656</v>
      </c>
      <c r="BM47" s="509">
        <f>INDEX('Loan Tape - Settled'!$B$4:$AP$55,MATCH($A47,'Loan Tape - Settled'!$E$4:$E$55,0),MATCH("Maturity Date",'Loan Tape - Settled'!$B$4:$AP$4,0))</f>
        <v>47664</v>
      </c>
      <c r="BN47" s="510"/>
      <c r="BO47" s="510"/>
      <c r="BP47" s="511"/>
      <c r="BQ47" s="510"/>
      <c r="BR47" s="512" t="str">
        <f>INDEX('Loan Tape - Settled'!$B$4:$AP$55,MATCH($A47,'Loan Tape - Settled'!$E$4:$E$55,0),MATCH("Industry Classification",'Loan Tape - Settled'!$B$4:$AP$4,0))</f>
        <v>Trading Companies &amp; Distributors</v>
      </c>
      <c r="BS47" s="510" t="str">
        <f>IF(INDEX('Loan Tape - Settled'!$B$4:$AP$55,MATCH($A47,'Loan Tape - Settled'!$E$4:$E$55,0),MATCH("Covenant Lite",'Loan Tape - Settled'!$B$4:$AP$4,0))=-1, "Yes", "No")</f>
        <v>No</v>
      </c>
      <c r="BT47" s="513">
        <f>INDEX('Loan Tape - Settled'!$B$4:$AP$55,MATCH($A47,'Loan Tape - Settled'!$E$4:$E$55,0),MATCH("Spread / Coupon (%)",'Loan Tape - Settled'!$B$4:$AP$4,0))</f>
        <v>5.1942789598514061E-2</v>
      </c>
      <c r="BU47" s="510" t="str">
        <f>IF(INDEX('Loan Tape - Settled'!$B$4:$AP$55,MATCH($A47,'Loan Tape - Settled'!$E$4:$E$55,0),MATCH("Security Type",'Loan Tape - Settled'!$B$4:$AP$4,0))="Delayed Draw Term Loan", "Yes", "No")</f>
        <v>No</v>
      </c>
      <c r="BV47" s="514" t="s">
        <v>244</v>
      </c>
      <c r="BW47" s="514" t="s">
        <v>244</v>
      </c>
      <c r="BX47" s="506" t="s">
        <v>244</v>
      </c>
      <c r="BY47" s="510" t="str">
        <f>IF(INDEX('Loan Tape - Settled'!$B$4:$AP$55,MATCH($A47,'Loan Tape - Settled'!$E$4:$E$55,0),MATCH("Fixed/Floating",'Loan Tape - Settled'!$B$4:$AP$4,0))="Fixed", "Yes", "No")</f>
        <v>No</v>
      </c>
      <c r="BZ47" s="514" t="s">
        <v>244</v>
      </c>
      <c r="CA47" s="514" t="s">
        <v>244</v>
      </c>
      <c r="CB47" s="510" t="str">
        <f>IF(INDEX('Loan Tape - Settled'!$B$4:$AP$55,MATCH($A47,'Loan Tape - Settled'!$E$4:$E$55,0),MATCH("Loan Denomination",'Loan Tape - Settled'!$B$4:$AP$4,0))="CAD", "Yes", "No")</f>
        <v>No</v>
      </c>
      <c r="CC47" s="510" t="str">
        <f>INDEX('Loan Tape - Settled'!$B$4:$AP$55,MATCH($A47,'Loan Tape - Settled'!$E$4:$E$55,0),MATCH("Payment Frequency",'Loan Tape - Settled'!$B$4:$AP$4,0))</f>
        <v>M</v>
      </c>
      <c r="CD47" s="514" t="s">
        <v>244</v>
      </c>
      <c r="CE47" s="510">
        <f>INDEX('Loan Tape - Settled'!$B$4:$AP$55,MATCH($A47,'Loan Tape - Settled'!$E$4:$E$55,0),MATCH("S&amp;P Loan Rating (if applicable)",'Loan Tape - Settled'!$B$4:$AP$4,0))</f>
        <v>0</v>
      </c>
      <c r="CF47" s="510">
        <f>INDEX('Loan Tape - Settled'!$B$4:$AP$55,MATCH($A47,'Loan Tape - Settled'!$E$4:$E$55,0),MATCH("Moody's Loan Rating (if applicable)",'Loan Tape - Settled'!$B$4:$AP$4,0))</f>
        <v>0</v>
      </c>
      <c r="CG47" s="510"/>
      <c r="CH47" s="510"/>
      <c r="CI47" s="515"/>
      <c r="CJ47" s="508" t="str">
        <f>INDEX('Loan Tape - Settled'!$B$4:$BF$55,MATCH($A47,'Loan Tape - Settled'!$E$4:$E$55,0),MATCH("Last Financial Received",'Loan Tape - Settled'!$B$4:$BF$4,0))</f>
        <v>9/30/2025 or Latest Financing</v>
      </c>
      <c r="CK47" s="516">
        <f>INDEX('Loan Tape - Settled'!$B$4:$BJ$55,MATCH($A47,'Loan Tape - Settled'!$E$4:$E$55,0),MATCH("Initial Adjusted TTM EBITDA",'Loan Tape - Settled'!$B$4:$BJ$4,0))</f>
        <v>137</v>
      </c>
      <c r="CL47" s="516">
        <f>INDEX('Loan Tape - Settled'!$B$4:$BJ$55,MATCH($A47,'Loan Tape - Settled'!$E$4:$E$55,0),MATCH("Initial TTM Non-adjusted EBITDA",'Loan Tape - Settled'!$B$4:$BJ$4,0))</f>
        <v>137</v>
      </c>
      <c r="CM47" s="417"/>
      <c r="CN47" s="418"/>
      <c r="CO47" s="418"/>
      <c r="CP47" s="419"/>
      <c r="CQ47" s="420" t="s">
        <v>245</v>
      </c>
      <c r="CR47" s="419"/>
      <c r="CS47" s="421">
        <f t="shared" si="19"/>
        <v>137</v>
      </c>
      <c r="CT47" s="422">
        <f t="shared" si="20"/>
        <v>0</v>
      </c>
      <c r="CU47" s="516">
        <f>INDEX('Loan Tape - Settled'!$B$4:$BJ$55,MATCH($A47,'Loan Tape - Settled'!$E$4:$E$55,0),MATCH("Current TTM Non-adjusted EBITDA",'Loan Tape - Settled'!$B$4:$BJ$4,0))</f>
        <v>151.99</v>
      </c>
      <c r="CV47" s="423">
        <f t="shared" si="21"/>
        <v>0</v>
      </c>
      <c r="CW47" s="652" t="s">
        <v>245</v>
      </c>
      <c r="CX47" s="517"/>
      <c r="CY47" s="658">
        <f t="shared" si="22"/>
        <v>151.99</v>
      </c>
      <c r="CZ47" s="656"/>
      <c r="DA47" s="518"/>
      <c r="DB47" s="519"/>
      <c r="DC47" s="853"/>
      <c r="DD47" s="853">
        <f>INDEX('Loan Tape - Settled'!$B$4:$BJ$55,MATCH($A47,'Loan Tape - Settled'!$E$4:$E$55,0),MATCH("Initial Senior Net Leverage Senior",'Loan Tape - Settled'!$B$4:$BJ$4,0))</f>
        <v>4.0999999999999996</v>
      </c>
      <c r="DE47" s="659">
        <f>INDEX('Loan Tape - Settled'!$B$4:$BJ$55,MATCH($A47,'Loan Tape - Settled'!$E$4:$E$55,0),MATCH("Initial Total Net Leverage",'Loan Tape - Settled'!$B$4:$BJ$4,0))</f>
        <v>4.0999999999999996</v>
      </c>
      <c r="DF47" s="656"/>
      <c r="DG47" s="518"/>
      <c r="DH47" s="519"/>
      <c r="DI47" s="424">
        <f>INDEX('Loan Tape - Settled'!$B$4:$BJ$55,MATCH($A47,'Loan Tape - Settled'!$E$4:$E$55,0),MATCH("Net Attachment",'Loan Tape - Settled'!$B$4:$BJ$4,0))</f>
        <v>-0.15103294295677341</v>
      </c>
      <c r="DJ47" s="522">
        <f t="array" ref="DJ47">IF(AG47="Yes",INDEX(VAE!$M$5:$M$53,MATCH($B47&amp;$AJ47,VAE!$C$5:$C$53&amp;VAE!$G$5:$G$53,0)),DD47)</f>
        <v>4.0999999999999996</v>
      </c>
      <c r="DK47" s="649">
        <f t="array" ref="DK47">IF(AG47="Yes",INDEX(VAE!$N$5:$N$53,MATCH($B47&amp;$AJ47,VAE!$C$5:$C$53&amp;VAE!$G$5:$G$53,0)),DE47)</f>
        <v>4.0999999999999996</v>
      </c>
      <c r="DL47" s="651">
        <f>INDEX('Loan Tape - Settled'!$B$4:$BJ$55,MATCH($A47,'Loan Tape - Settled'!$E$4:$E$55,0),MATCH("Current Senior Net Leverage Senior",'Loan Tape - Settled'!$B$4:$BJ$4,0))</f>
        <v>3.9299966557721682</v>
      </c>
      <c r="DM47" s="433">
        <f>INDEX('Loan Tape - Settled'!$B$4:$BJ$55,MATCH($A47,'Loan Tape - Settled'!$E$4:$E$55,0),MATCH("Current Total Net Leverage",'Loan Tape - Settled'!$B$4:$BJ$4,0))</f>
        <v>3.9299966557721682</v>
      </c>
      <c r="DN47" s="425"/>
      <c r="DO47" s="426">
        <f>INDEX('Loan Tape - Settled'!$B$4:$BJ$55,MATCH($A47,'Loan Tape - Settled'!$E$4:$E$55,0),MATCH("Initial Interest Coverage",'Loan Tape - Settled'!$B$4:$BJ$4,0))</f>
        <v>2.2000000000000002</v>
      </c>
      <c r="DP47" s="854">
        <f t="array" ref="DP47">IF(AG47="Yes",INDEX(VAE!$O$5:$O$53,MATCH($B47&amp;$AJ47,VAE!$C$5:$C$53&amp;VAE!$G$5:$G$53,0)),DO47)</f>
        <v>2.2000000000000002</v>
      </c>
      <c r="DQ47" s="427">
        <f>INDEX('Loan Tape - Settled'!$B$4:$BJ$55,MATCH($A47,'Loan Tape - Settled'!$E$4:$E$55,0),MATCH("Current Interest Coverage",'Loan Tape - Settled'!$B$4:$BJ$4,0))</f>
        <v>2.3660493037210002</v>
      </c>
      <c r="DR47" s="855" t="str">
        <f t="shared" si="23"/>
        <v>No</v>
      </c>
      <c r="DS47" s="428" t="str">
        <f>IF(AG47="Yes",DATEDIF(AJ47,Availability!$F$8,"m"),"")</f>
        <v/>
      </c>
      <c r="DT47" s="428" t="str">
        <f t="shared" si="24"/>
        <v>No</v>
      </c>
      <c r="DU47" s="647" t="str">
        <f t="shared" si="25"/>
        <v>No</v>
      </c>
      <c r="DV47" s="648" t="str">
        <f t="shared" si="26"/>
        <v>No</v>
      </c>
      <c r="DW47" s="648" t="str">
        <f t="array" ref="DW47">_xlfn.IFS(D47&lt;&gt;"Second Lien","No",D47="Second Lien",IF(AND((DM47-DK47)&gt;0.5,DM47&gt;4.5),"Yes","No"))</f>
        <v>No</v>
      </c>
      <c r="DX47" s="685" t="s">
        <v>244</v>
      </c>
      <c r="DY47" s="685" t="s">
        <v>244</v>
      </c>
      <c r="DZ47" s="686" t="s">
        <v>244</v>
      </c>
      <c r="EA47" s="686" t="s">
        <v>244</v>
      </c>
      <c r="EB47" s="686" t="s">
        <v>244</v>
      </c>
      <c r="EC47" s="686" t="s">
        <v>244</v>
      </c>
      <c r="ED47" s="686" t="s">
        <v>244</v>
      </c>
      <c r="EE47" s="686" t="s">
        <v>244</v>
      </c>
      <c r="EF47" s="409" t="str">
        <f t="shared" si="27"/>
        <v>No</v>
      </c>
      <c r="EG47" s="686" t="s">
        <v>244</v>
      </c>
      <c r="EH47" s="691" t="s">
        <v>244</v>
      </c>
      <c r="EI47" s="856" t="str">
        <f t="array" ref="EI47">IF(D47="First Lien",_xlfn.IFS(CY47&gt;AGENT!$B$23, "&gt; $20MM",CY47&lt;=AGENT!$C$25, "&lt;= $10MM",AND(CY47&lt;=AGENT!$C$24,CY47&gt;AGENT!$B$24),"&lt;= $20MM"), "N/A")</f>
        <v>&gt; $20MM</v>
      </c>
      <c r="EJ47" s="856" t="str">
        <f t="array" ref="EJ47">IF(D47="FILO",_xlfn.IFS(DI47&gt;AGENT!$B$29, "&gt; 1.25x",DI47&lt;AGENT!$C$27, "&lt; 0.75x",AND(DI47&lt;=AGENT!$C$28,DI47&gt;=AGENT!$B$28),"&lt;= 1.25x"), "N/A")</f>
        <v>N/A</v>
      </c>
      <c r="EK47" s="429">
        <f t="shared" si="28"/>
        <v>10331560.995420478</v>
      </c>
      <c r="EL47" s="429">
        <f>'Concentration Limits'!$J$49</f>
        <v>49599340.729726665</v>
      </c>
      <c r="EM47" s="429" t="str">
        <f>IF(OR(D47="Second Lien",AND(D47="FILO",DI47&gt;AGENT!$C$57)), "Yes", "No")</f>
        <v>No</v>
      </c>
      <c r="EN47" s="429">
        <f t="shared" si="29"/>
        <v>0</v>
      </c>
      <c r="EO47" s="429">
        <f t="shared" si="30"/>
        <v>0</v>
      </c>
      <c r="EP47" s="429">
        <f t="shared" si="31"/>
        <v>10331560.995420478</v>
      </c>
      <c r="EQ47" s="429">
        <f>'Concentration Limits'!$J$50</f>
        <v>24799670.364863332</v>
      </c>
      <c r="ER47" s="429">
        <f t="shared" si="32"/>
        <v>0</v>
      </c>
      <c r="ES47" s="429">
        <f t="shared" si="84"/>
        <v>0</v>
      </c>
      <c r="ET47" s="429">
        <f t="shared" si="33"/>
        <v>10331560.995420478</v>
      </c>
      <c r="EU47" s="429">
        <f>'Concentration Limits'!$J$51</f>
        <v>74399011.094589993</v>
      </c>
      <c r="EV47" s="429" t="str">
        <f>IF(OR(D47="Second Lien", AND(D47="FILO",DI47&gt;AGENT!$C$59)), "Yes", "No")</f>
        <v>No</v>
      </c>
      <c r="EW47" s="429">
        <f t="shared" si="34"/>
        <v>0</v>
      </c>
      <c r="EX47" s="429">
        <f t="shared" si="35"/>
        <v>0</v>
      </c>
      <c r="EY47" s="429">
        <f t="shared" si="36"/>
        <v>10331560.995420478</v>
      </c>
      <c r="EZ47" s="429">
        <f>'Concentration Limits'!$J$52</f>
        <v>37199505.547294997</v>
      </c>
      <c r="FA47" s="429" t="str">
        <f>IF(CY47&gt;'Concentration Limits'!$E$52, "No", "Yes")</f>
        <v>No</v>
      </c>
      <c r="FB47" s="429">
        <f t="shared" si="37"/>
        <v>0</v>
      </c>
      <c r="FC47" s="429">
        <f t="shared" si="38"/>
        <v>0</v>
      </c>
      <c r="FD47" s="429">
        <f t="shared" si="39"/>
        <v>10331560.995420478</v>
      </c>
      <c r="FE47" s="430">
        <f>'Concentration Limits'!$J$54</f>
        <v>247996703.6486333</v>
      </c>
      <c r="FF47" s="430">
        <f>'Concentration Limits'!$J$55</f>
        <v>247996703.6486333</v>
      </c>
      <c r="FG47" s="430">
        <f>'Concentration Limits'!$J$56</f>
        <v>247996703.6486333</v>
      </c>
      <c r="FH47" s="431">
        <f>'Concentration Limits'!$J$57</f>
        <v>18599752.773647498</v>
      </c>
      <c r="FI47" s="431">
        <f t="shared" si="40"/>
        <v>10331560.995420478</v>
      </c>
      <c r="FJ47" s="431">
        <f t="shared" si="41"/>
        <v>10331560.995420478</v>
      </c>
      <c r="FK47" s="431">
        <f t="shared" si="42"/>
        <v>11</v>
      </c>
      <c r="FL47" s="431">
        <f>IF(FJ47&gt;0,RANK(FJ47,$FJ$9:$FJ$60)+COUNTIF($FJ$9:FJ47,FJ47)-1,0)</f>
        <v>11</v>
      </c>
      <c r="FM47" s="430">
        <f t="shared" si="43"/>
        <v>0</v>
      </c>
      <c r="FN47" s="430">
        <f t="shared" si="44"/>
        <v>0</v>
      </c>
      <c r="FO47" s="430">
        <f t="shared" si="45"/>
        <v>0</v>
      </c>
      <c r="FP47" s="431">
        <f t="shared" si="46"/>
        <v>0</v>
      </c>
      <c r="FQ47" s="431">
        <f t="shared" si="47"/>
        <v>10331560.995420478</v>
      </c>
      <c r="FR47" s="431">
        <f>'Concentration Limits'!$J$58</f>
        <v>49599340.729726665</v>
      </c>
      <c r="FS47" s="431">
        <f t="shared" si="48"/>
        <v>10331560.995420478</v>
      </c>
      <c r="FT47" s="431">
        <f>VLOOKUP(BR47,'Concentration Limits'!$E$81:$H$153,4,FALSE)</f>
        <v>12</v>
      </c>
      <c r="FU47" s="431">
        <f t="shared" si="49"/>
        <v>0</v>
      </c>
      <c r="FV47" s="431">
        <f t="shared" si="50"/>
        <v>10331560.995420478</v>
      </c>
      <c r="FW47" s="431">
        <f>'Concentration Limits'!$J$59</f>
        <v>37199505.547294997</v>
      </c>
      <c r="FX47" s="431">
        <f t="shared" si="51"/>
        <v>10331560.995420478</v>
      </c>
      <c r="FY47" s="431">
        <f>VLOOKUP(BR47,'Concentration Limits'!$E$81:$H$153,4,FALSE)</f>
        <v>12</v>
      </c>
      <c r="FZ47" s="431">
        <f t="shared" si="52"/>
        <v>0</v>
      </c>
      <c r="GA47" s="431">
        <f t="shared" si="53"/>
        <v>10331560.995420478</v>
      </c>
      <c r="GB47" s="431">
        <f>'Concentration Limits'!$J$61</f>
        <v>24799670.364863332</v>
      </c>
      <c r="GC47" s="431">
        <f t="shared" si="54"/>
        <v>10331560.995420478</v>
      </c>
      <c r="GD47" s="429">
        <f>VLOOKUP(BR47,'Concentration Limits'!$E$81:$H$153,4,FALSE)</f>
        <v>12</v>
      </c>
      <c r="GE47" s="431">
        <f t="shared" si="55"/>
        <v>0</v>
      </c>
      <c r="GF47" s="431">
        <f t="shared" si="56"/>
        <v>10331560.995420478</v>
      </c>
      <c r="GG47" s="431">
        <f>'Concentration Limits'!$J$64</f>
        <v>24799670.364863332</v>
      </c>
      <c r="GH47" s="431">
        <f t="shared" si="57"/>
        <v>0</v>
      </c>
      <c r="GI47" s="431">
        <f t="shared" si="58"/>
        <v>0</v>
      </c>
      <c r="GJ47" s="431">
        <f t="shared" si="59"/>
        <v>10331560.995420478</v>
      </c>
      <c r="GK47" s="431">
        <f>'Concentration Limits'!$J$67</f>
        <v>24799670.364863332</v>
      </c>
      <c r="GL47" s="429" t="str">
        <f t="shared" si="60"/>
        <v>No</v>
      </c>
      <c r="GM47" s="431">
        <f t="shared" si="61"/>
        <v>0</v>
      </c>
      <c r="GN47" s="431">
        <f t="shared" si="62"/>
        <v>0</v>
      </c>
      <c r="GO47" s="431">
        <f t="shared" si="63"/>
        <v>10331560.995420478</v>
      </c>
      <c r="GP47" s="431">
        <f>'Concentration Limits'!$J$68</f>
        <v>37199505.547294997</v>
      </c>
      <c r="GQ47" s="429" t="str">
        <f t="shared" si="64"/>
        <v>No</v>
      </c>
      <c r="GR47" s="431">
        <f t="shared" si="65"/>
        <v>0</v>
      </c>
      <c r="GS47" s="431">
        <f t="shared" si="66"/>
        <v>0</v>
      </c>
      <c r="GT47" s="431">
        <f t="shared" si="67"/>
        <v>10331560.995420478</v>
      </c>
      <c r="GU47" s="429">
        <f>'Concentration Limits'!$J$69</f>
        <v>37199505.547294997</v>
      </c>
      <c r="GV47" s="429" t="str">
        <f t="shared" si="68"/>
        <v>No</v>
      </c>
      <c r="GW47" s="429">
        <f t="shared" si="69"/>
        <v>0</v>
      </c>
      <c r="GX47" s="429">
        <f t="shared" si="70"/>
        <v>0</v>
      </c>
      <c r="GY47" s="429">
        <f t="shared" si="71"/>
        <v>10331560.995420478</v>
      </c>
      <c r="GZ47" s="429">
        <f>'Concentration Limits'!$J$70</f>
        <v>24799670.364863332</v>
      </c>
      <c r="HA47" s="429" t="str">
        <f t="shared" si="72"/>
        <v>No</v>
      </c>
      <c r="HB47" s="429">
        <f t="shared" si="73"/>
        <v>0</v>
      </c>
      <c r="HC47" s="429">
        <f t="shared" si="74"/>
        <v>0</v>
      </c>
      <c r="HD47" s="429">
        <f t="shared" si="75"/>
        <v>10331560.995420478</v>
      </c>
      <c r="HE47" s="431">
        <f t="shared" si="76"/>
        <v>10331560.995420478</v>
      </c>
      <c r="HF47" s="431">
        <f t="shared" si="77"/>
        <v>0</v>
      </c>
      <c r="HG47" s="431">
        <f t="shared" si="78"/>
        <v>0</v>
      </c>
      <c r="HH47" s="431">
        <f t="shared" si="79"/>
        <v>0</v>
      </c>
      <c r="HI47" s="431">
        <f>IF(BE47=0,0,#REF!*BE47/(BE47+BG47))</f>
        <v>0</v>
      </c>
      <c r="HJ47" s="431">
        <f>IF(BG47=0,0,#REF!*BG47/(BG47+BE47))</f>
        <v>0</v>
      </c>
      <c r="HK47" s="857">
        <f>IF(BF47=0,0,#REF!*BF47/(BF47+BH47))</f>
        <v>0</v>
      </c>
      <c r="HL47" s="431">
        <f>IF(BH47=0,0,#REF!*BH47/(BH47+BF47))</f>
        <v>0</v>
      </c>
      <c r="HM47" s="431">
        <f t="shared" si="80"/>
        <v>0</v>
      </c>
      <c r="HN47" s="431" t="b">
        <f t="shared" si="81"/>
        <v>1</v>
      </c>
    </row>
    <row r="48" spans="1:222" s="432" customFormat="1" ht="12.75" customHeight="1" x14ac:dyDescent="0.35">
      <c r="A48" s="49">
        <f t="shared" si="82"/>
        <v>40</v>
      </c>
      <c r="B48" s="404" t="str">
        <f>INDEX('Loan Tape - Settled'!$B$4:$AP$55,MATCH($A48,'Loan Tape - Settled'!$E$4:$E$55,0),MATCH("Obligor Name",'Loan Tape - Settled'!$B$4:$AM$4,0))</f>
        <v>Kassel Mechanical</v>
      </c>
      <c r="C48" s="404" t="str">
        <f>INDEX('Loan Tape - Settled'!$B$4:$AP$55,MATCH($A48,'Loan Tape - Settled'!$E$4:$E$55,0),MATCH("Security",'Loan Tape - Settled'!$B$4:$AM$4,0))</f>
        <v>1st Lien</v>
      </c>
      <c r="D48" s="405" t="str">
        <f>INDEX('Loan Tape - Settled'!$B$4:$AP$55,MATCH($A48,'Loan Tape - Settled'!$E$4:$E$55,0),MATCH("Loan Type",'Loan Tape - Settled'!$B$4:$AM$4,0))</f>
        <v>First Lien</v>
      </c>
      <c r="E48" s="406" t="b">
        <f>IF(ISERROR(MATCH(D48,AGENT!$A$4:$A$10,0))=FALSE, TRUE)</f>
        <v>1</v>
      </c>
      <c r="F48" s="406" t="b">
        <f t="shared" si="0"/>
        <v>1</v>
      </c>
      <c r="G48" s="406" t="b">
        <f>IF(D48&lt;&gt;"Second Lien",TRUE, IF(CY48&gt;=AGENT!$B$4,TRUE))</f>
        <v>1</v>
      </c>
      <c r="H48" s="406" t="b">
        <f>IF(DE48&lt;=AGENT!$D$4,TRUE)</f>
        <v>1</v>
      </c>
      <c r="I48" s="406" t="b">
        <f>IF(VLOOKUP(CONCATENATE($A$5,A48),'Loan Tape - Settled'!$A$5:$Q$55,17,FALSE)&gt;=AGENT!$E$4,TRUE)</f>
        <v>1</v>
      </c>
      <c r="J48" s="406" t="b">
        <f>IF(INDEX('Loan Tape - Settled'!$B$4:$AP$55,MATCH($A48,'Loan Tape - Settled'!$E$4:$E$55,0),MATCH("Loan Denomination",'Loan Tape - Settled'!$B$4:$AP$4,0))="USD", TRUE)</f>
        <v>1</v>
      </c>
      <c r="K48" s="406" t="b">
        <f>IF(INDEX('Loan Tape - Settled'!$B$4:$AP$55,MATCH($A48,'Loan Tape - Settled'!$E$4:$E$55,0),MATCH("Exposure Country",'Loan Tape - Settled'!$B$4:$AP$4,0))="United States", TRUE)</f>
        <v>1</v>
      </c>
      <c r="L48" s="406" t="b">
        <f t="shared" si="1"/>
        <v>1</v>
      </c>
      <c r="M48" s="406" t="b">
        <f>IF(((BM48-BL48)/365)&lt;=AGENT!$F$4,TRUE)</f>
        <v>1</v>
      </c>
      <c r="N48" s="406" t="b">
        <f t="shared" si="2"/>
        <v>1</v>
      </c>
      <c r="O48" s="453"/>
      <c r="P48" s="709" t="str">
        <f t="shared" si="3"/>
        <v>Yes</v>
      </c>
      <c r="Q48" s="680" t="s">
        <v>243</v>
      </c>
      <c r="R48" s="407" t="str">
        <f t="shared" si="4"/>
        <v>Kassel Mechanical</v>
      </c>
      <c r="S48" s="407"/>
      <c r="T48" s="408" t="str">
        <f t="array" ref="T48">_xlfn.IFS(D48="Second Lien",D48,D48="First Lien",CONCATENATE(D48," ",EI48),D48="FILO",CONCATENATE(D48," ",EJ48))</f>
        <v>First Lien &gt; $20MM</v>
      </c>
      <c r="U48" s="409">
        <f>VLOOKUP(T48,'Concentration Limits'!D:G,4,FALSE)</f>
        <v>0.67500000000000004</v>
      </c>
      <c r="V48" s="410">
        <f t="shared" si="5"/>
        <v>12232030.652780918</v>
      </c>
      <c r="W48" s="448">
        <f>(SUMIFS('Loan Tape - Settled'!$AR$4:$AR$55,'Loan Tape - Settled'!$E$4:$E$55,$A48,'Loan Tape - Settled'!$C$4:$C$55,$A$5))</f>
        <v>12328190.538985001</v>
      </c>
      <c r="X48" s="449">
        <v>1</v>
      </c>
      <c r="Y48" s="411">
        <f t="shared" si="6"/>
        <v>12328190.538985001</v>
      </c>
      <c r="Z48" s="449">
        <f>(SUMIFS('Loan Tape - Settled'!$AQ$4:$AQ$55,'Loan Tape - Settled'!$E$4:$E$55,$A48,'Loan Tape - Settled'!$C$4:$C$55,$A$5))</f>
        <v>12328190.538985001</v>
      </c>
      <c r="AA48" s="411">
        <f t="shared" si="7"/>
        <v>12328190.538985001</v>
      </c>
      <c r="AB48" s="411">
        <f t="shared" si="8"/>
        <v>0</v>
      </c>
      <c r="AC48" s="450">
        <f>VLOOKUP(CONCATENATE($A$5,A48),'Loan Tape - Settled'!$A$5:$Q$55,17,FALSE)</f>
        <v>1</v>
      </c>
      <c r="AD48" s="412"/>
      <c r="AE48" s="413">
        <f>INDEX('Loan Tape - Settled'!$B$4:$AP$55,MATCH($A48,'Loan Tape - Settled'!$E$4:$E$55,0),MATCH("FMV",'Loan Tape - Settled'!$B$4:$AM$4,0))</f>
        <v>0.99220000000000008</v>
      </c>
      <c r="AF48" s="413">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1</v>
      </c>
      <c r="AG48" s="414" t="str">
        <f>IF(COUNTIFS(VAE!$C$5:$C$96,B48,VAE!$G$5:$G$96,"&lt;="&amp;Availability!$F$8)&gt;=1,"Yes","-")</f>
        <v>-</v>
      </c>
      <c r="AH48" s="414" t="str">
        <f t="array" ref="AH48">IFERROR(IF(AG48="Yes",INDEX(VAE!$D$5:$D$96,MATCH(B48&amp;AJ48,VAE!$C$5:$C$96&amp;VAE!$G$5:$G$96,0)),"-"),0)</f>
        <v>-</v>
      </c>
      <c r="AI48" s="414" t="str">
        <f t="array" ref="AI48">IFERROR(IF(AG48="Yes",INDEX(VAE!$F$5:$F$96,MATCH(B48&amp;AJ48,VAE!$C$5:$C$96&amp;VAE!$G$5:$G$96,0)),"-"),0)</f>
        <v>-</v>
      </c>
      <c r="AJ48" s="415" t="str">
        <f>IF(AG48="-","-",_xlfn.MAXIFS(VAE!$G$5:$G$96,VAE!$C$5:$C$96,$B48))</f>
        <v>-</v>
      </c>
      <c r="AK48" s="416" t="str">
        <f t="array" ref="AK48">IFERROR(IF(AG48="Yes",INDEX(VAE!$P$5:$P$96,MATCH(B48&amp;AJ48,VAE!$C$5:$C$96&amp;VAE!$G$5:$G$96,0)),"-"),0)</f>
        <v>-</v>
      </c>
      <c r="AL48" s="413">
        <f t="shared" si="9"/>
        <v>0.99220000000000008</v>
      </c>
      <c r="AM48" s="410"/>
      <c r="AN48" s="410"/>
      <c r="AO48" s="410">
        <f t="shared" si="10"/>
        <v>12328190.538985001</v>
      </c>
      <c r="AP48" s="410">
        <f t="shared" si="11"/>
        <v>0</v>
      </c>
      <c r="AQ48" s="410">
        <f t="shared" si="83"/>
        <v>12232030.652780918</v>
      </c>
      <c r="AR48" s="410"/>
      <c r="AS48" s="410"/>
      <c r="AT48" s="410"/>
      <c r="AU48" s="410">
        <f t="shared" si="12"/>
        <v>0</v>
      </c>
      <c r="AV48" s="410">
        <f t="shared" si="13"/>
        <v>0</v>
      </c>
      <c r="AW48" s="410">
        <f t="shared" si="14"/>
        <v>0</v>
      </c>
      <c r="AX48" s="410"/>
      <c r="AY48" s="410"/>
      <c r="AZ48" s="410"/>
      <c r="BA48" s="410">
        <f t="shared" si="15"/>
        <v>0</v>
      </c>
      <c r="BB48" s="410"/>
      <c r="BC48" s="410"/>
      <c r="BD48" s="410">
        <f t="shared" si="16"/>
        <v>0</v>
      </c>
      <c r="BE48" s="410"/>
      <c r="BF48" s="410"/>
      <c r="BG48" s="410"/>
      <c r="BH48" s="410"/>
      <c r="BI48" s="410">
        <f t="shared" si="17"/>
        <v>0</v>
      </c>
      <c r="BJ48" s="410" t="b">
        <f t="shared" si="18"/>
        <v>1</v>
      </c>
      <c r="BK48" s="509">
        <f>INDEX('Loan Tape - Settled'!$B$4:$AP$55,MATCH($A48,'Loan Tape - Settled'!$E$4:$E$55,0),MATCH("Inception Date",'Loan Tape - Settled'!$B$4:$AP$4,0))</f>
        <v>45733</v>
      </c>
      <c r="BL48" s="509">
        <f>INDEX('Loan Tape - Settled'!$B$4:$AP$55,MATCH($A48,'Loan Tape - Settled'!$E$4:$E$55,0),MATCH("Inclusion Date",'Loan Tape - Settled'!$B$4:$AP$4,0))</f>
        <v>45733</v>
      </c>
      <c r="BM48" s="509">
        <f>INDEX('Loan Tape - Settled'!$B$4:$AP$55,MATCH($A48,'Loan Tape - Settled'!$E$4:$E$55,0),MATCH("Maturity Date",'Loan Tape - Settled'!$B$4:$AP$4,0))</f>
        <v>47378</v>
      </c>
      <c r="BN48" s="510"/>
      <c r="BO48" s="510"/>
      <c r="BP48" s="511"/>
      <c r="BQ48" s="510"/>
      <c r="BR48" s="512" t="str">
        <f>INDEX('Loan Tape - Settled'!$B$4:$AP$55,MATCH($A48,'Loan Tape - Settled'!$E$4:$E$55,0),MATCH("Industry Classification",'Loan Tape - Settled'!$B$4:$AP$4,0))</f>
        <v>Construction &amp; Engineering</v>
      </c>
      <c r="BS48" s="510" t="str">
        <f>IF(INDEX('Loan Tape - Settled'!$B$4:$AP$55,MATCH($A48,'Loan Tape - Settled'!$E$4:$E$55,0),MATCH("Covenant Lite",'Loan Tape - Settled'!$B$4:$AP$4,0))=-1, "Yes", "No")</f>
        <v>No</v>
      </c>
      <c r="BT48" s="513">
        <f>INDEX('Loan Tape - Settled'!$B$4:$AP$55,MATCH($A48,'Loan Tape - Settled'!$E$4:$E$55,0),MATCH("Spread / Coupon (%)",'Loan Tape - Settled'!$B$4:$AP$4,0))</f>
        <v>7.1486600000000011E-2</v>
      </c>
      <c r="BU48" s="510" t="str">
        <f>IF(INDEX('Loan Tape - Settled'!$B$4:$AP$55,MATCH($A48,'Loan Tape - Settled'!$E$4:$E$55,0),MATCH("Security Type",'Loan Tape - Settled'!$B$4:$AP$4,0))="Delayed Draw Term Loan", "Yes", "No")</f>
        <v>No</v>
      </c>
      <c r="BV48" s="514" t="s">
        <v>244</v>
      </c>
      <c r="BW48" s="514" t="s">
        <v>244</v>
      </c>
      <c r="BX48" s="506" t="s">
        <v>244</v>
      </c>
      <c r="BY48" s="510" t="str">
        <f>IF(INDEX('Loan Tape - Settled'!$B$4:$AP$55,MATCH($A48,'Loan Tape - Settled'!$E$4:$E$55,0),MATCH("Fixed/Floating",'Loan Tape - Settled'!$B$4:$AP$4,0))="Fixed", "Yes", "No")</f>
        <v>No</v>
      </c>
      <c r="BZ48" s="514" t="s">
        <v>244</v>
      </c>
      <c r="CA48" s="514" t="s">
        <v>244</v>
      </c>
      <c r="CB48" s="510" t="str">
        <f>IF(INDEX('Loan Tape - Settled'!$B$4:$AP$55,MATCH($A48,'Loan Tape - Settled'!$E$4:$E$55,0),MATCH("Loan Denomination",'Loan Tape - Settled'!$B$4:$AP$4,0))="CAD", "Yes", "No")</f>
        <v>No</v>
      </c>
      <c r="CC48" s="510" t="str">
        <f>INDEX('Loan Tape - Settled'!$B$4:$AP$55,MATCH($A48,'Loan Tape - Settled'!$E$4:$E$55,0),MATCH("Payment Frequency",'Loan Tape - Settled'!$B$4:$AP$4,0))</f>
        <v>M</v>
      </c>
      <c r="CD48" s="514" t="s">
        <v>244</v>
      </c>
      <c r="CE48" s="510">
        <f>INDEX('Loan Tape - Settled'!$B$4:$AP$55,MATCH($A48,'Loan Tape - Settled'!$E$4:$E$55,0),MATCH("S&amp;P Loan Rating (if applicable)",'Loan Tape - Settled'!$B$4:$AP$4,0))</f>
        <v>0</v>
      </c>
      <c r="CF48" s="510">
        <f>INDEX('Loan Tape - Settled'!$B$4:$AP$55,MATCH($A48,'Loan Tape - Settled'!$E$4:$E$55,0),MATCH("Moody's Loan Rating (if applicable)",'Loan Tape - Settled'!$B$4:$AP$4,0))</f>
        <v>0</v>
      </c>
      <c r="CG48" s="510"/>
      <c r="CH48" s="510"/>
      <c r="CI48" s="515"/>
      <c r="CJ48" s="508" t="str">
        <f>INDEX('Loan Tape - Settled'!$B$4:$BF$55,MATCH($A48,'Loan Tape - Settled'!$E$4:$E$55,0),MATCH("Last Financial Received",'Loan Tape - Settled'!$B$4:$BF$4,0))</f>
        <v>9/30/2025 or Latest Financing</v>
      </c>
      <c r="CK48" s="516">
        <f>INDEX('Loan Tape - Settled'!$B$4:$BJ$55,MATCH($A48,'Loan Tape - Settled'!$E$4:$E$55,0),MATCH("Initial Adjusted TTM EBITDA",'Loan Tape - Settled'!$B$4:$BJ$4,0))</f>
        <v>318.2</v>
      </c>
      <c r="CL48" s="516">
        <f>INDEX('Loan Tape - Settled'!$B$4:$BJ$55,MATCH($A48,'Loan Tape - Settled'!$E$4:$E$55,0),MATCH("Initial TTM Non-adjusted EBITDA",'Loan Tape - Settled'!$B$4:$BJ$4,0))</f>
        <v>318.2</v>
      </c>
      <c r="CM48" s="417"/>
      <c r="CN48" s="418"/>
      <c r="CO48" s="418"/>
      <c r="CP48" s="419"/>
      <c r="CQ48" s="420" t="s">
        <v>245</v>
      </c>
      <c r="CR48" s="419"/>
      <c r="CS48" s="421">
        <f t="shared" si="19"/>
        <v>318.2</v>
      </c>
      <c r="CT48" s="422">
        <f t="shared" si="20"/>
        <v>0</v>
      </c>
      <c r="CU48" s="516">
        <f>INDEX('Loan Tape - Settled'!$B$4:$BJ$55,MATCH($A48,'Loan Tape - Settled'!$E$4:$E$55,0),MATCH("Current TTM Non-adjusted EBITDA",'Loan Tape - Settled'!$B$4:$BJ$4,0))</f>
        <v>37.950145810000059</v>
      </c>
      <c r="CV48" s="423">
        <f t="shared" si="21"/>
        <v>0</v>
      </c>
      <c r="CW48" s="652" t="s">
        <v>245</v>
      </c>
      <c r="CX48" s="517"/>
      <c r="CY48" s="658">
        <f t="shared" si="22"/>
        <v>37.950145810000059</v>
      </c>
      <c r="CZ48" s="656"/>
      <c r="DA48" s="518"/>
      <c r="DB48" s="519"/>
      <c r="DC48" s="853"/>
      <c r="DD48" s="853">
        <f>INDEX('Loan Tape - Settled'!$B$4:$BJ$55,MATCH($A48,'Loan Tape - Settled'!$E$4:$E$55,0),MATCH("Initial Senior Net Leverage Senior",'Loan Tape - Settled'!$B$4:$BJ$4,0))</f>
        <v>2.2999999999999998</v>
      </c>
      <c r="DE48" s="659">
        <f>INDEX('Loan Tape - Settled'!$B$4:$BJ$55,MATCH($A48,'Loan Tape - Settled'!$E$4:$E$55,0),MATCH("Initial Total Net Leverage",'Loan Tape - Settled'!$B$4:$BJ$4,0))</f>
        <v>2.2999999999999998</v>
      </c>
      <c r="DF48" s="656"/>
      <c r="DG48" s="518"/>
      <c r="DH48" s="519"/>
      <c r="DI48" s="424">
        <f>INDEX('Loan Tape - Settled'!$B$4:$BJ$55,MATCH($A48,'Loan Tape - Settled'!$E$4:$E$55,0),MATCH("Net Attachment",'Loan Tape - Settled'!$B$4:$BJ$4,0))</f>
        <v>0.96066168447746314</v>
      </c>
      <c r="DJ48" s="522">
        <f t="array" ref="DJ48">IF(AG48="Yes",INDEX(VAE!$M$5:$M$53,MATCH($B48&amp;$AJ48,VAE!$C$5:$C$53&amp;VAE!$G$5:$G$53,0)),DD48)</f>
        <v>2.2999999999999998</v>
      </c>
      <c r="DK48" s="649">
        <f t="array" ref="DK48">IF(AG48="Yes",INDEX(VAE!$N$5:$N$53,MATCH($B48&amp;$AJ48,VAE!$C$5:$C$53&amp;VAE!$G$5:$G$53,0)),DE48)</f>
        <v>2.2999999999999998</v>
      </c>
      <c r="DL48" s="651">
        <f>INDEX('Loan Tape - Settled'!$B$4:$BJ$55,MATCH($A48,'Loan Tape - Settled'!$E$4:$E$55,0),MATCH("Current Senior Net Leverage Senior",'Loan Tape - Settled'!$B$4:$BJ$4,0))</f>
        <v>2.7587482721296626</v>
      </c>
      <c r="DM48" s="433">
        <f>INDEX('Loan Tape - Settled'!$B$4:$BJ$55,MATCH($A48,'Loan Tape - Settled'!$E$4:$E$55,0),MATCH("Current Total Net Leverage",'Loan Tape - Settled'!$B$4:$BJ$4,0))</f>
        <v>2.7587482721296626</v>
      </c>
      <c r="DN48" s="425"/>
      <c r="DO48" s="426">
        <f>INDEX('Loan Tape - Settled'!$B$4:$BJ$55,MATCH($A48,'Loan Tape - Settled'!$E$4:$E$55,0),MATCH("Initial Interest Coverage",'Loan Tape - Settled'!$B$4:$BJ$4,0))</f>
        <v>3.98</v>
      </c>
      <c r="DP48" s="854">
        <f t="array" ref="DP48">IF(AG48="Yes",INDEX(VAE!$O$5:$O$53,MATCH($B48&amp;$AJ48,VAE!$C$5:$C$53&amp;VAE!$G$5:$G$53,0)),DO48)</f>
        <v>3.98</v>
      </c>
      <c r="DQ48" s="427">
        <f>INDEX('Loan Tape - Settled'!$B$4:$BJ$55,MATCH($A48,'Loan Tape - Settled'!$E$4:$E$55,0),MATCH("Current Interest Coverage",'Loan Tape - Settled'!$B$4:$BJ$4,0))</f>
        <v>3.4317379813660001</v>
      </c>
      <c r="DR48" s="855" t="str">
        <f t="shared" si="23"/>
        <v>No</v>
      </c>
      <c r="DS48" s="428" t="str">
        <f>IF(AG48="Yes",DATEDIF(AJ48,Availability!$F$8,"m"),"")</f>
        <v/>
      </c>
      <c r="DT48" s="428" t="str">
        <f t="shared" si="24"/>
        <v>No</v>
      </c>
      <c r="DU48" s="647" t="str">
        <f t="shared" si="25"/>
        <v>No</v>
      </c>
      <c r="DV48" s="648" t="str">
        <f t="shared" si="26"/>
        <v>No</v>
      </c>
      <c r="DW48" s="648" t="str">
        <f t="array" ref="DW48">_xlfn.IFS(D48&lt;&gt;"Second Lien","No",D48="Second Lien",IF(AND((DM48-DK48)&gt;0.5,DM48&gt;4.5),"Yes","No"))</f>
        <v>No</v>
      </c>
      <c r="DX48" s="685" t="s">
        <v>244</v>
      </c>
      <c r="DY48" s="685" t="s">
        <v>244</v>
      </c>
      <c r="DZ48" s="686" t="s">
        <v>244</v>
      </c>
      <c r="EA48" s="686" t="s">
        <v>244</v>
      </c>
      <c r="EB48" s="686" t="s">
        <v>244</v>
      </c>
      <c r="EC48" s="686" t="s">
        <v>244</v>
      </c>
      <c r="ED48" s="686" t="s">
        <v>244</v>
      </c>
      <c r="EE48" s="686" t="s">
        <v>244</v>
      </c>
      <c r="EF48" s="409" t="str">
        <f t="shared" si="27"/>
        <v>No</v>
      </c>
      <c r="EG48" s="686" t="s">
        <v>244</v>
      </c>
      <c r="EH48" s="691" t="s">
        <v>244</v>
      </c>
      <c r="EI48" s="856" t="str">
        <f t="array" ref="EI48">IF(D48="First Lien",_xlfn.IFS(CY48&gt;AGENT!$B$23, "&gt; $20MM",CY48&lt;=AGENT!$C$25, "&lt;= $10MM",AND(CY48&lt;=AGENT!$C$24,CY48&gt;AGENT!$B$24),"&lt;= $20MM"), "N/A")</f>
        <v>&gt; $20MM</v>
      </c>
      <c r="EJ48" s="856" t="str">
        <f t="array" ref="EJ48">IF(D48="FILO",_xlfn.IFS(DI48&gt;AGENT!$B$29, "&gt; 1.25x",DI48&lt;AGENT!$C$27, "&lt; 0.75x",AND(DI48&lt;=AGENT!$C$28,DI48&gt;=AGENT!$B$28),"&lt;= 1.25x"), "N/A")</f>
        <v>N/A</v>
      </c>
      <c r="EK48" s="429">
        <f t="shared" si="28"/>
        <v>12232030.652780918</v>
      </c>
      <c r="EL48" s="429">
        <f>'Concentration Limits'!$J$49</f>
        <v>49599340.729726665</v>
      </c>
      <c r="EM48" s="429" t="str">
        <f>IF(OR(D48="Second Lien",AND(D48="FILO",DI48&gt;AGENT!$C$57)), "Yes", "No")</f>
        <v>No</v>
      </c>
      <c r="EN48" s="429">
        <f t="shared" si="29"/>
        <v>0</v>
      </c>
      <c r="EO48" s="429">
        <f t="shared" si="30"/>
        <v>0</v>
      </c>
      <c r="EP48" s="429">
        <f t="shared" si="31"/>
        <v>12232030.652780918</v>
      </c>
      <c r="EQ48" s="429">
        <f>'Concentration Limits'!$J$50</f>
        <v>24799670.364863332</v>
      </c>
      <c r="ER48" s="429">
        <f t="shared" si="32"/>
        <v>0</v>
      </c>
      <c r="ES48" s="429">
        <f t="shared" si="84"/>
        <v>0</v>
      </c>
      <c r="ET48" s="429">
        <f t="shared" si="33"/>
        <v>12232030.652780918</v>
      </c>
      <c r="EU48" s="429">
        <f>'Concentration Limits'!$J$51</f>
        <v>74399011.094589993</v>
      </c>
      <c r="EV48" s="429" t="str">
        <f>IF(OR(D48="Second Lien", AND(D48="FILO",DI48&gt;AGENT!$C$59)), "Yes", "No")</f>
        <v>No</v>
      </c>
      <c r="EW48" s="429">
        <f t="shared" si="34"/>
        <v>0</v>
      </c>
      <c r="EX48" s="429">
        <f t="shared" si="35"/>
        <v>0</v>
      </c>
      <c r="EY48" s="429">
        <f t="shared" si="36"/>
        <v>12232030.652780918</v>
      </c>
      <c r="EZ48" s="429">
        <f>'Concentration Limits'!$J$52</f>
        <v>37199505.547294997</v>
      </c>
      <c r="FA48" s="429" t="str">
        <f>IF(CY48&gt;'Concentration Limits'!$E$52, "No", "Yes")</f>
        <v>No</v>
      </c>
      <c r="FB48" s="429">
        <f t="shared" si="37"/>
        <v>0</v>
      </c>
      <c r="FC48" s="429">
        <f t="shared" si="38"/>
        <v>0</v>
      </c>
      <c r="FD48" s="429">
        <f t="shared" si="39"/>
        <v>12232030.652780918</v>
      </c>
      <c r="FE48" s="430">
        <f>'Concentration Limits'!$J$54</f>
        <v>247996703.6486333</v>
      </c>
      <c r="FF48" s="430">
        <f>'Concentration Limits'!$J$55</f>
        <v>247996703.6486333</v>
      </c>
      <c r="FG48" s="430">
        <f>'Concentration Limits'!$J$56</f>
        <v>247996703.6486333</v>
      </c>
      <c r="FH48" s="431">
        <f>'Concentration Limits'!$J$57</f>
        <v>18599752.773647498</v>
      </c>
      <c r="FI48" s="431">
        <f t="shared" si="40"/>
        <v>12232030.652780918</v>
      </c>
      <c r="FJ48" s="431">
        <f t="shared" si="41"/>
        <v>12232030.652780918</v>
      </c>
      <c r="FK48" s="431">
        <f t="shared" si="42"/>
        <v>6</v>
      </c>
      <c r="FL48" s="431">
        <f>IF(FJ48&gt;0,RANK(FJ48,$FJ$9:$FJ$60)+COUNTIF($FJ$9:FJ48,FJ48)-1,0)</f>
        <v>6</v>
      </c>
      <c r="FM48" s="430">
        <f t="shared" si="43"/>
        <v>0</v>
      </c>
      <c r="FN48" s="430">
        <f t="shared" si="44"/>
        <v>0</v>
      </c>
      <c r="FO48" s="430">
        <f t="shared" si="45"/>
        <v>0</v>
      </c>
      <c r="FP48" s="431">
        <f t="shared" si="46"/>
        <v>0</v>
      </c>
      <c r="FQ48" s="431">
        <f t="shared" si="47"/>
        <v>12232030.652780918</v>
      </c>
      <c r="FR48" s="431">
        <f>'Concentration Limits'!$J$58</f>
        <v>49599340.729726665</v>
      </c>
      <c r="FS48" s="431">
        <f t="shared" si="48"/>
        <v>46042971.865242489</v>
      </c>
      <c r="FT48" s="431">
        <f>VLOOKUP(BR48,'Concentration Limits'!$E$81:$H$153,4,FALSE)</f>
        <v>1</v>
      </c>
      <c r="FU48" s="431">
        <f t="shared" si="49"/>
        <v>0</v>
      </c>
      <c r="FV48" s="431">
        <f t="shared" si="50"/>
        <v>12232030.652780918</v>
      </c>
      <c r="FW48" s="431">
        <f>'Concentration Limits'!$J$59</f>
        <v>37199505.547294997</v>
      </c>
      <c r="FX48" s="431">
        <f t="shared" si="51"/>
        <v>46042971.865242489</v>
      </c>
      <c r="FY48" s="431">
        <f>VLOOKUP(BR48,'Concentration Limits'!$E$81:$H$153,4,FALSE)</f>
        <v>1</v>
      </c>
      <c r="FZ48" s="431">
        <f t="shared" si="52"/>
        <v>0</v>
      </c>
      <c r="GA48" s="431">
        <f t="shared" si="53"/>
        <v>12232030.652780918</v>
      </c>
      <c r="GB48" s="431">
        <f>'Concentration Limits'!$J$61</f>
        <v>24799670.364863332</v>
      </c>
      <c r="GC48" s="431">
        <f t="shared" si="54"/>
        <v>46042971.865242489</v>
      </c>
      <c r="GD48" s="429">
        <f>VLOOKUP(BR48,'Concentration Limits'!$E$81:$H$153,4,FALSE)</f>
        <v>1</v>
      </c>
      <c r="GE48" s="431">
        <f t="shared" si="55"/>
        <v>0</v>
      </c>
      <c r="GF48" s="431">
        <f t="shared" si="56"/>
        <v>12232030.652780918</v>
      </c>
      <c r="GG48" s="431">
        <f>'Concentration Limits'!$J$64</f>
        <v>24799670.364863332</v>
      </c>
      <c r="GH48" s="431">
        <f t="shared" si="57"/>
        <v>0</v>
      </c>
      <c r="GI48" s="431">
        <f t="shared" si="58"/>
        <v>0</v>
      </c>
      <c r="GJ48" s="431">
        <f t="shared" si="59"/>
        <v>12232030.652780918</v>
      </c>
      <c r="GK48" s="431">
        <f>'Concentration Limits'!$J$67</f>
        <v>24799670.364863332</v>
      </c>
      <c r="GL48" s="429" t="str">
        <f t="shared" si="60"/>
        <v>No</v>
      </c>
      <c r="GM48" s="431">
        <f t="shared" si="61"/>
        <v>0</v>
      </c>
      <c r="GN48" s="431">
        <f t="shared" si="62"/>
        <v>0</v>
      </c>
      <c r="GO48" s="431">
        <f t="shared" si="63"/>
        <v>12232030.652780918</v>
      </c>
      <c r="GP48" s="431">
        <f>'Concentration Limits'!$J$68</f>
        <v>37199505.547294997</v>
      </c>
      <c r="GQ48" s="429" t="str">
        <f t="shared" si="64"/>
        <v>No</v>
      </c>
      <c r="GR48" s="431">
        <f t="shared" si="65"/>
        <v>0</v>
      </c>
      <c r="GS48" s="431">
        <f t="shared" si="66"/>
        <v>0</v>
      </c>
      <c r="GT48" s="431">
        <f t="shared" si="67"/>
        <v>12232030.652780918</v>
      </c>
      <c r="GU48" s="429">
        <f>'Concentration Limits'!$J$69</f>
        <v>37199505.547294997</v>
      </c>
      <c r="GV48" s="429" t="str">
        <f t="shared" si="68"/>
        <v>No</v>
      </c>
      <c r="GW48" s="429">
        <f t="shared" si="69"/>
        <v>0</v>
      </c>
      <c r="GX48" s="429">
        <f t="shared" si="70"/>
        <v>0</v>
      </c>
      <c r="GY48" s="429">
        <f t="shared" si="71"/>
        <v>12232030.652780918</v>
      </c>
      <c r="GZ48" s="429">
        <f>'Concentration Limits'!$J$70</f>
        <v>24799670.364863332</v>
      </c>
      <c r="HA48" s="429" t="str">
        <f t="shared" si="72"/>
        <v>No</v>
      </c>
      <c r="HB48" s="429">
        <f t="shared" si="73"/>
        <v>0</v>
      </c>
      <c r="HC48" s="429">
        <f t="shared" si="74"/>
        <v>0</v>
      </c>
      <c r="HD48" s="429">
        <f t="shared" si="75"/>
        <v>12232030.652780918</v>
      </c>
      <c r="HE48" s="431">
        <f t="shared" si="76"/>
        <v>12232030.652780917</v>
      </c>
      <c r="HF48" s="431">
        <f t="shared" si="77"/>
        <v>0</v>
      </c>
      <c r="HG48" s="431">
        <f t="shared" si="78"/>
        <v>0</v>
      </c>
      <c r="HH48" s="431">
        <f t="shared" si="79"/>
        <v>0</v>
      </c>
      <c r="HI48" s="431">
        <f>IF(BE48=0,0,#REF!*BE48/(BE48+BG48))</f>
        <v>0</v>
      </c>
      <c r="HJ48" s="431">
        <f>IF(BG48=0,0,#REF!*BG48/(BG48+BE48))</f>
        <v>0</v>
      </c>
      <c r="HK48" s="857">
        <f>IF(BF48=0,0,#REF!*BF48/(BF48+BH48))</f>
        <v>0</v>
      </c>
      <c r="HL48" s="431">
        <f>IF(BH48=0,0,#REF!*BH48/(BH48+BF48))</f>
        <v>0</v>
      </c>
      <c r="HM48" s="431">
        <f t="shared" si="80"/>
        <v>0</v>
      </c>
      <c r="HN48" s="431" t="b">
        <f t="shared" si="81"/>
        <v>1</v>
      </c>
    </row>
    <row r="49" spans="1:224" s="432" customFormat="1" ht="12.75" customHeight="1" x14ac:dyDescent="0.35">
      <c r="A49" s="49">
        <f t="shared" si="82"/>
        <v>41</v>
      </c>
      <c r="B49" s="404" t="str">
        <f>INDEX('Loan Tape - Settled'!$B$4:$AP$55,MATCH($A49,'Loan Tape - Settled'!$E$4:$E$55,0),MATCH("Obligor Name",'Loan Tape - Settled'!$B$4:$AM$4,0))</f>
        <v>Built by Grid, LLC</v>
      </c>
      <c r="C49" s="404" t="str">
        <f>INDEX('Loan Tape - Settled'!$B$4:$AP$55,MATCH($A49,'Loan Tape - Settled'!$E$4:$E$55,0),MATCH("Security",'Loan Tape - Settled'!$B$4:$AM$4,0))</f>
        <v>FILO</v>
      </c>
      <c r="D49" s="405" t="str">
        <f>INDEX('Loan Tape - Settled'!$B$4:$AP$55,MATCH($A49,'Loan Tape - Settled'!$E$4:$E$55,0),MATCH("Loan Type",'Loan Tape - Settled'!$B$4:$AM$4,0))</f>
        <v>FILO</v>
      </c>
      <c r="E49" s="406" t="b">
        <f>IF(ISERROR(MATCH(D49,AGENT!$A$4:$A$10,0))=FALSE, TRUE)</f>
        <v>1</v>
      </c>
      <c r="F49" s="406" t="b">
        <f t="shared" si="0"/>
        <v>1</v>
      </c>
      <c r="G49" s="406" t="b">
        <f>IF(D49&lt;&gt;"Second Lien",TRUE, IF(CY49&gt;=AGENT!$B$4,TRUE))</f>
        <v>1</v>
      </c>
      <c r="H49" s="406" t="b">
        <f>IF(DE49&lt;=AGENT!$D$4,TRUE)</f>
        <v>1</v>
      </c>
      <c r="I49" s="406" t="b">
        <f>IF(VLOOKUP(CONCATENATE($A$5,A49),'Loan Tape - Settled'!$A$5:$Q$55,17,FALSE)&gt;=AGENT!$E$4,TRUE)</f>
        <v>1</v>
      </c>
      <c r="J49" s="406" t="b">
        <f>IF(INDEX('Loan Tape - Settled'!$B$4:$AP$55,MATCH($A49,'Loan Tape - Settled'!$E$4:$E$55,0),MATCH("Loan Denomination",'Loan Tape - Settled'!$B$4:$AP$4,0))="USD", TRUE)</f>
        <v>1</v>
      </c>
      <c r="K49" s="406" t="b">
        <f>IF(INDEX('Loan Tape - Settled'!$B$4:$AP$55,MATCH($A49,'Loan Tape - Settled'!$E$4:$E$55,0),MATCH("Exposure Country",'Loan Tape - Settled'!$B$4:$AP$4,0))="United States", TRUE)</f>
        <v>1</v>
      </c>
      <c r="L49" s="406" t="b">
        <f t="shared" si="1"/>
        <v>1</v>
      </c>
      <c r="M49" s="406" t="b">
        <f>IF(((BM49-BL49)/365)&lt;=AGENT!$F$4,TRUE)</f>
        <v>1</v>
      </c>
      <c r="N49" s="406" t="b">
        <f t="shared" si="2"/>
        <v>1</v>
      </c>
      <c r="O49" s="453"/>
      <c r="P49" s="709" t="str">
        <f t="shared" si="3"/>
        <v>Yes</v>
      </c>
      <c r="Q49" s="680" t="s">
        <v>243</v>
      </c>
      <c r="R49" s="407" t="str">
        <f t="shared" si="4"/>
        <v>Built by Grid, LLC</v>
      </c>
      <c r="S49" s="407"/>
      <c r="T49" s="408" t="str">
        <f t="array" ref="T49">_xlfn.IFS(D49="Second Lien",D49,D49="First Lien",CONCATENATE(D49," ",EI49),D49="FILO",CONCATENATE(D49," ",EJ49))</f>
        <v>FILO &lt; 0.75x</v>
      </c>
      <c r="U49" s="409">
        <f>VLOOKUP(T49,'Concentration Limits'!D:G,4,FALSE)</f>
        <v>0.625</v>
      </c>
      <c r="V49" s="410">
        <f t="shared" si="5"/>
        <v>1883560.9969692549</v>
      </c>
      <c r="W49" s="448">
        <f>(SUMIFS('Loan Tape - Settled'!$AR$4:$AR$55,'Loan Tape - Settled'!$E$4:$E$55,$A49,'Loan Tape - Settled'!$C$4:$C$55,$A$5))</f>
        <v>1883560.9969692549</v>
      </c>
      <c r="X49" s="449">
        <v>1</v>
      </c>
      <c r="Y49" s="411">
        <f t="shared" si="6"/>
        <v>1883560.9969692549</v>
      </c>
      <c r="Z49" s="449">
        <f>(SUMIFS('Loan Tape - Settled'!$AQ$4:$AQ$55,'Loan Tape - Settled'!$E$4:$E$55,$A49,'Loan Tape - Settled'!$C$4:$C$55,$A$5))</f>
        <v>1883560.9969692549</v>
      </c>
      <c r="AA49" s="411">
        <f t="shared" si="7"/>
        <v>1883560.9969692549</v>
      </c>
      <c r="AB49" s="411">
        <f t="shared" si="8"/>
        <v>0</v>
      </c>
      <c r="AC49" s="450">
        <f>VLOOKUP(CONCATENATE($A$5,A49),'Loan Tape - Settled'!$A$5:$Q$55,17,FALSE)</f>
        <v>1</v>
      </c>
      <c r="AD49" s="412"/>
      <c r="AE49" s="413">
        <f>INDEX('Loan Tape - Settled'!$B$4:$AP$55,MATCH($A49,'Loan Tape - Settled'!$E$4:$E$55,0),MATCH("FMV",'Loan Tape - Settled'!$B$4:$AM$4,0))</f>
        <v>1</v>
      </c>
      <c r="AF49" s="413">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1</v>
      </c>
      <c r="AG49" s="414" t="str">
        <f>IF(COUNTIFS(VAE!$C$5:$C$96,B49,VAE!$G$5:$G$96,"&lt;="&amp;Availability!$F$8)&gt;=1,"Yes","-")</f>
        <v>-</v>
      </c>
      <c r="AH49" s="414" t="str">
        <f t="array" ref="AH49">IFERROR(IF(AG49="Yes",INDEX(VAE!$D$5:$D$96,MATCH(B49&amp;AJ49,VAE!$C$5:$C$96&amp;VAE!$G$5:$G$96,0)),"-"),0)</f>
        <v>-</v>
      </c>
      <c r="AI49" s="414" t="str">
        <f t="array" ref="AI49">IFERROR(IF(AG49="Yes",INDEX(VAE!$F$5:$F$96,MATCH(B49&amp;AJ49,VAE!$C$5:$C$96&amp;VAE!$G$5:$G$96,0)),"-"),0)</f>
        <v>-</v>
      </c>
      <c r="AJ49" s="415" t="str">
        <f>IF(AG49="-","-",_xlfn.MAXIFS(VAE!$G$5:$G$96,VAE!$C$5:$C$96,$B49))</f>
        <v>-</v>
      </c>
      <c r="AK49" s="416" t="str">
        <f t="array" ref="AK49">IFERROR(IF(AG49="Yes",INDEX(VAE!$P$5:$P$96,MATCH(B49&amp;AJ49,VAE!$C$5:$C$96&amp;VAE!$G$5:$G$96,0)),"-"),0)</f>
        <v>-</v>
      </c>
      <c r="AL49" s="413">
        <f t="shared" si="9"/>
        <v>1</v>
      </c>
      <c r="AM49" s="410"/>
      <c r="AN49" s="410"/>
      <c r="AO49" s="410">
        <f t="shared" si="10"/>
        <v>0</v>
      </c>
      <c r="AP49" s="410">
        <f t="shared" si="11"/>
        <v>0</v>
      </c>
      <c r="AQ49" s="410">
        <f t="shared" si="83"/>
        <v>0</v>
      </c>
      <c r="AR49" s="410"/>
      <c r="AS49" s="410"/>
      <c r="AT49" s="410"/>
      <c r="AU49" s="410">
        <f t="shared" si="12"/>
        <v>1883560.9969692549</v>
      </c>
      <c r="AV49" s="410">
        <f t="shared" si="13"/>
        <v>0</v>
      </c>
      <c r="AW49" s="410">
        <f t="shared" si="14"/>
        <v>1883560.9969692549</v>
      </c>
      <c r="AX49" s="410"/>
      <c r="AY49" s="410"/>
      <c r="AZ49" s="410"/>
      <c r="BA49" s="410">
        <f t="shared" si="15"/>
        <v>0</v>
      </c>
      <c r="BB49" s="410"/>
      <c r="BC49" s="410"/>
      <c r="BD49" s="410">
        <f t="shared" si="16"/>
        <v>0</v>
      </c>
      <c r="BE49" s="410"/>
      <c r="BF49" s="410"/>
      <c r="BG49" s="410"/>
      <c r="BH49" s="410"/>
      <c r="BI49" s="410">
        <f t="shared" si="17"/>
        <v>0</v>
      </c>
      <c r="BJ49" s="410" t="b">
        <f t="shared" si="18"/>
        <v>1</v>
      </c>
      <c r="BK49" s="509">
        <f>INDEX('Loan Tape - Settled'!$B$4:$AP$55,MATCH($A49,'Loan Tape - Settled'!$E$4:$E$55,0),MATCH("Inception Date",'Loan Tape - Settled'!$B$4:$AP$4,0))</f>
        <v>45996</v>
      </c>
      <c r="BL49" s="509">
        <f>INDEX('Loan Tape - Settled'!$B$4:$AP$55,MATCH($A49,'Loan Tape - Settled'!$E$4:$E$55,0),MATCH("Inclusion Date",'Loan Tape - Settled'!$B$4:$AP$4,0))</f>
        <v>45996</v>
      </c>
      <c r="BM49" s="509">
        <f>INDEX('Loan Tape - Settled'!$B$4:$AP$55,MATCH($A49,'Loan Tape - Settled'!$E$4:$E$55,0),MATCH("Maturity Date",'Loan Tape - Settled'!$B$4:$AP$4,0))</f>
        <v>47822</v>
      </c>
      <c r="BN49" s="510"/>
      <c r="BO49" s="510"/>
      <c r="BP49" s="511"/>
      <c r="BQ49" s="510"/>
      <c r="BR49" s="512" t="str">
        <f>INDEX('Loan Tape - Settled'!$B$4:$AP$55,MATCH($A49,'Loan Tape - Settled'!$E$4:$E$55,0),MATCH("Industry Classification",'Loan Tape - Settled'!$B$4:$AP$4,0))</f>
        <v>Building Products</v>
      </c>
      <c r="BS49" s="510" t="str">
        <f>IF(INDEX('Loan Tape - Settled'!$B$4:$AP$55,MATCH($A49,'Loan Tape - Settled'!$E$4:$E$55,0),MATCH("Covenant Lite",'Loan Tape - Settled'!$B$4:$AP$4,0))=-1, "Yes", "No")</f>
        <v>No</v>
      </c>
      <c r="BT49" s="513">
        <f>INDEX('Loan Tape - Settled'!$B$4:$AP$55,MATCH($A49,'Loan Tape - Settled'!$E$4:$E$55,0),MATCH("Spread / Coupon (%)",'Loan Tape - Settled'!$B$4:$AP$4,0))</f>
        <v>6.9199999999999998E-2</v>
      </c>
      <c r="BU49" s="510" t="str">
        <f>IF(INDEX('Loan Tape - Settled'!$B$4:$AP$55,MATCH($A49,'Loan Tape - Settled'!$E$4:$E$55,0),MATCH("Security Type",'Loan Tape - Settled'!$B$4:$AP$4,0))="Delayed Draw Term Loan", "Yes", "No")</f>
        <v>No</v>
      </c>
      <c r="BV49" s="514" t="s">
        <v>244</v>
      </c>
      <c r="BW49" s="514" t="s">
        <v>244</v>
      </c>
      <c r="BX49" s="506" t="s">
        <v>244</v>
      </c>
      <c r="BY49" s="510" t="str">
        <f>IF(INDEX('Loan Tape - Settled'!$B$4:$AP$55,MATCH($A49,'Loan Tape - Settled'!$E$4:$E$55,0),MATCH("Fixed/Floating",'Loan Tape - Settled'!$B$4:$AP$4,0))="Fixed", "Yes", "No")</f>
        <v>No</v>
      </c>
      <c r="BZ49" s="514" t="s">
        <v>244</v>
      </c>
      <c r="CA49" s="514" t="s">
        <v>244</v>
      </c>
      <c r="CB49" s="510" t="str">
        <f>IF(INDEX('Loan Tape - Settled'!$B$4:$AP$55,MATCH($A49,'Loan Tape - Settled'!$E$4:$E$55,0),MATCH("Loan Denomination",'Loan Tape - Settled'!$B$4:$AP$4,0))="CAD", "Yes", "No")</f>
        <v>No</v>
      </c>
      <c r="CC49" s="510" t="str">
        <f>INDEX('Loan Tape - Settled'!$B$4:$AP$55,MATCH($A49,'Loan Tape - Settled'!$E$4:$E$55,0),MATCH("Payment Frequency",'Loan Tape - Settled'!$B$4:$AP$4,0))</f>
        <v>M</v>
      </c>
      <c r="CD49" s="514" t="s">
        <v>244</v>
      </c>
      <c r="CE49" s="510">
        <f>INDEX('Loan Tape - Settled'!$B$4:$AP$55,MATCH($A49,'Loan Tape - Settled'!$E$4:$E$55,0),MATCH("S&amp;P Loan Rating (if applicable)",'Loan Tape - Settled'!$B$4:$AP$4,0))</f>
        <v>0</v>
      </c>
      <c r="CF49" s="510">
        <f>INDEX('Loan Tape - Settled'!$B$4:$AP$55,MATCH($A49,'Loan Tape - Settled'!$E$4:$E$55,0),MATCH("Moody's Loan Rating (if applicable)",'Loan Tape - Settled'!$B$4:$AP$4,0))</f>
        <v>0</v>
      </c>
      <c r="CG49" s="510"/>
      <c r="CH49" s="510"/>
      <c r="CI49" s="515"/>
      <c r="CJ49" s="508" t="str">
        <f>INDEX('Loan Tape - Settled'!$B$4:$BF$55,MATCH($A49,'Loan Tape - Settled'!$E$4:$E$55,0),MATCH("Last Financial Received",'Loan Tape - Settled'!$B$4:$BF$4,0))</f>
        <v>9/30/2025 or Latest Financing</v>
      </c>
      <c r="CK49" s="516">
        <f>INDEX('Loan Tape - Settled'!$B$4:$BJ$55,MATCH($A49,'Loan Tape - Settled'!$E$4:$E$55,0),MATCH("Initial Adjusted TTM EBITDA",'Loan Tape - Settled'!$B$4:$BJ$4,0))</f>
        <v>11.6</v>
      </c>
      <c r="CL49" s="516">
        <f>INDEX('Loan Tape - Settled'!$B$4:$BJ$55,MATCH($A49,'Loan Tape - Settled'!$E$4:$E$55,0),MATCH("Initial TTM Non-adjusted EBITDA",'Loan Tape - Settled'!$B$4:$BJ$4,0))</f>
        <v>11.6</v>
      </c>
      <c r="CM49" s="417"/>
      <c r="CN49" s="418"/>
      <c r="CO49" s="418"/>
      <c r="CP49" s="419"/>
      <c r="CQ49" s="420" t="s">
        <v>245</v>
      </c>
      <c r="CR49" s="419"/>
      <c r="CS49" s="421">
        <f t="shared" si="19"/>
        <v>11.6</v>
      </c>
      <c r="CT49" s="422">
        <f t="shared" si="20"/>
        <v>0</v>
      </c>
      <c r="CU49" s="516">
        <f>INDEX('Loan Tape - Settled'!$B$4:$BJ$55,MATCH($A49,'Loan Tape - Settled'!$E$4:$E$55,0),MATCH("Current TTM Non-adjusted EBITDA",'Loan Tape - Settled'!$B$4:$BJ$4,0))</f>
        <v>11.6</v>
      </c>
      <c r="CV49" s="423">
        <f t="shared" si="21"/>
        <v>0</v>
      </c>
      <c r="CW49" s="652" t="s">
        <v>245</v>
      </c>
      <c r="CX49" s="517"/>
      <c r="CY49" s="658">
        <f t="shared" si="22"/>
        <v>11.6</v>
      </c>
      <c r="CZ49" s="656"/>
      <c r="DA49" s="518"/>
      <c r="DB49" s="519"/>
      <c r="DC49" s="853"/>
      <c r="DD49" s="853">
        <f>INDEX('Loan Tape - Settled'!$B$4:$BJ$55,MATCH($A49,'Loan Tape - Settled'!$E$4:$E$55,0),MATCH("Initial Senior Net Leverage Senior",'Loan Tape - Settled'!$B$4:$BJ$4,0))</f>
        <v>2</v>
      </c>
      <c r="DE49" s="659">
        <f>INDEX('Loan Tape - Settled'!$B$4:$BJ$55,MATCH($A49,'Loan Tape - Settled'!$E$4:$E$55,0),MATCH("Initial Total Net Leverage",'Loan Tape - Settled'!$B$4:$BJ$4,0))</f>
        <v>2</v>
      </c>
      <c r="DF49" s="656"/>
      <c r="DG49" s="518"/>
      <c r="DH49" s="519"/>
      <c r="DI49" s="424">
        <f>INDEX('Loan Tape - Settled'!$B$4:$BJ$55,MATCH($A49,'Loan Tape - Settled'!$E$4:$E$55,0),MATCH("Net Attachment",'Loan Tape - Settled'!$B$4:$BJ$4,0))</f>
        <v>0.68465517241379314</v>
      </c>
      <c r="DJ49" s="522">
        <f t="array" ref="DJ49">IF(AG49="Yes",INDEX(VAE!$M$5:$M$53,MATCH($B49&amp;$AJ49,VAE!$C$5:$C$53&amp;VAE!$G$5:$G$53,0)),DD49)</f>
        <v>2</v>
      </c>
      <c r="DK49" s="649">
        <f t="array" ref="DK49">IF(AG49="Yes",INDEX(VAE!$N$5:$N$53,MATCH($B49&amp;$AJ49,VAE!$C$5:$C$53&amp;VAE!$G$5:$G$53,0)),DE49)</f>
        <v>2</v>
      </c>
      <c r="DL49" s="651">
        <f>INDEX('Loan Tape - Settled'!$B$4:$BJ$55,MATCH($A49,'Loan Tape - Settled'!$E$4:$E$55,0),MATCH("Current Senior Net Leverage Senior",'Loan Tape - Settled'!$B$4:$BJ$4,0))</f>
        <v>1.9777586206896551</v>
      </c>
      <c r="DM49" s="433">
        <f>INDEX('Loan Tape - Settled'!$B$4:$BJ$55,MATCH($A49,'Loan Tape - Settled'!$E$4:$E$55,0),MATCH("Current Total Net Leverage",'Loan Tape - Settled'!$B$4:$BJ$4,0))</f>
        <v>1.9777586206896551</v>
      </c>
      <c r="DN49" s="425"/>
      <c r="DO49" s="426">
        <f>INDEX('Loan Tape - Settled'!$B$4:$BJ$55,MATCH($A49,'Loan Tape - Settled'!$E$4:$E$55,0),MATCH("Initial Interest Coverage",'Loan Tape - Settled'!$B$4:$BJ$4,0))</f>
        <v>1.74</v>
      </c>
      <c r="DP49" s="854">
        <f t="array" ref="DP49">IF(AG49="Yes",INDEX(VAE!$O$5:$O$53,MATCH($B49&amp;$AJ49,VAE!$C$5:$C$53&amp;VAE!$G$5:$G$53,0)),DO49)</f>
        <v>1.74</v>
      </c>
      <c r="DQ49" s="427">
        <f>INDEX('Loan Tape - Settled'!$B$4:$BJ$55,MATCH($A49,'Loan Tape - Settled'!$E$4:$E$55,0),MATCH("Current Interest Coverage",'Loan Tape - Settled'!$B$4:$BJ$4,0))</f>
        <v>1.74</v>
      </c>
      <c r="DR49" s="855" t="str">
        <f t="shared" si="23"/>
        <v>No</v>
      </c>
      <c r="DS49" s="428" t="str">
        <f>IF(AG49="Yes",DATEDIF(AJ49,Availability!$F$8,"m"),"")</f>
        <v/>
      </c>
      <c r="DT49" s="428" t="str">
        <f t="shared" si="24"/>
        <v>No</v>
      </c>
      <c r="DU49" s="647" t="str">
        <f t="shared" si="25"/>
        <v>No</v>
      </c>
      <c r="DV49" s="648" t="str">
        <f t="shared" si="26"/>
        <v>No</v>
      </c>
      <c r="DW49" s="648" t="str">
        <f t="array" ref="DW49">_xlfn.IFS(D49&lt;&gt;"Second Lien","No",D49="Second Lien",IF(AND((DM49-DK49)&gt;0.5,DM49&gt;4.5),"Yes","No"))</f>
        <v>No</v>
      </c>
      <c r="DX49" s="685" t="s">
        <v>244</v>
      </c>
      <c r="DY49" s="685" t="s">
        <v>244</v>
      </c>
      <c r="DZ49" s="686" t="s">
        <v>244</v>
      </c>
      <c r="EA49" s="686" t="s">
        <v>244</v>
      </c>
      <c r="EB49" s="686" t="s">
        <v>244</v>
      </c>
      <c r="EC49" s="686" t="s">
        <v>244</v>
      </c>
      <c r="ED49" s="686" t="s">
        <v>244</v>
      </c>
      <c r="EE49" s="686" t="s">
        <v>244</v>
      </c>
      <c r="EF49" s="409" t="str">
        <f t="shared" si="27"/>
        <v>No</v>
      </c>
      <c r="EG49" s="686" t="s">
        <v>244</v>
      </c>
      <c r="EH49" s="691" t="s">
        <v>244</v>
      </c>
      <c r="EI49" s="856" t="str">
        <f t="array" ref="EI49">IF(D49="First Lien",_xlfn.IFS(CY49&gt;AGENT!$B$23, "&gt; $20MM",CY49&lt;=AGENT!$C$25, "&lt;= $10MM",AND(CY49&lt;=AGENT!$C$24,CY49&gt;AGENT!$B$24),"&lt;= $20MM"), "N/A")</f>
        <v>N/A</v>
      </c>
      <c r="EJ49" s="856" t="str">
        <f t="array" ref="EJ49">IF(D49="FILO",_xlfn.IFS(DI49&gt;AGENT!$B$29, "&gt; 1.25x",DI49&lt;AGENT!$C$27, "&lt; 0.75x",AND(DI49&lt;=AGENT!$C$28,DI49&gt;=AGENT!$B$28),"&lt;= 1.25x"), "N/A")</f>
        <v>&lt; 0.75x</v>
      </c>
      <c r="EK49" s="429">
        <f t="shared" si="28"/>
        <v>1883560.9969692549</v>
      </c>
      <c r="EL49" s="429">
        <f>'Concentration Limits'!$J$49</f>
        <v>49599340.729726665</v>
      </c>
      <c r="EM49" s="429" t="str">
        <f>IF(OR(D49="Second Lien",AND(D49="FILO",DI49&gt;AGENT!$C$57)), "Yes", "No")</f>
        <v>No</v>
      </c>
      <c r="EN49" s="429">
        <f t="shared" si="29"/>
        <v>0</v>
      </c>
      <c r="EO49" s="429">
        <f t="shared" si="30"/>
        <v>0</v>
      </c>
      <c r="EP49" s="429">
        <f t="shared" si="31"/>
        <v>1883560.9969692549</v>
      </c>
      <c r="EQ49" s="429">
        <f>'Concentration Limits'!$J$50</f>
        <v>24799670.364863332</v>
      </c>
      <c r="ER49" s="429">
        <f t="shared" si="32"/>
        <v>0</v>
      </c>
      <c r="ES49" s="429">
        <f t="shared" si="84"/>
        <v>0</v>
      </c>
      <c r="ET49" s="429">
        <f t="shared" si="33"/>
        <v>1883560.9969692549</v>
      </c>
      <c r="EU49" s="429">
        <f>'Concentration Limits'!$J$51</f>
        <v>74399011.094589993</v>
      </c>
      <c r="EV49" s="429" t="str">
        <f>IF(OR(D49="Second Lien", AND(D49="FILO",DI49&gt;AGENT!$C$59)), "Yes", "No")</f>
        <v>No</v>
      </c>
      <c r="EW49" s="429">
        <f t="shared" si="34"/>
        <v>0</v>
      </c>
      <c r="EX49" s="429">
        <f t="shared" si="35"/>
        <v>0</v>
      </c>
      <c r="EY49" s="429">
        <f t="shared" si="36"/>
        <v>1883560.9969692549</v>
      </c>
      <c r="EZ49" s="429">
        <f>'Concentration Limits'!$J$52</f>
        <v>37199505.547294997</v>
      </c>
      <c r="FA49" s="429" t="str">
        <f>IF(CY49&gt;'Concentration Limits'!$E$52, "No", "Yes")</f>
        <v>No</v>
      </c>
      <c r="FB49" s="429">
        <f t="shared" si="37"/>
        <v>0</v>
      </c>
      <c r="FC49" s="429">
        <f t="shared" si="38"/>
        <v>0</v>
      </c>
      <c r="FD49" s="429">
        <f t="shared" si="39"/>
        <v>1883560.9969692549</v>
      </c>
      <c r="FE49" s="430">
        <f>'Concentration Limits'!$J$54</f>
        <v>247996703.6486333</v>
      </c>
      <c r="FF49" s="430">
        <f>'Concentration Limits'!$J$55</f>
        <v>247996703.6486333</v>
      </c>
      <c r="FG49" s="430">
        <f>'Concentration Limits'!$J$56</f>
        <v>247996703.6486333</v>
      </c>
      <c r="FH49" s="431">
        <f>'Concentration Limits'!$J$57</f>
        <v>18599752.773647498</v>
      </c>
      <c r="FI49" s="431">
        <f t="shared" si="40"/>
        <v>1883560.9969692549</v>
      </c>
      <c r="FJ49" s="431">
        <f t="shared" si="41"/>
        <v>1883560.9969692549</v>
      </c>
      <c r="FK49" s="431">
        <f t="shared" si="42"/>
        <v>28</v>
      </c>
      <c r="FL49" s="431">
        <f>IF(FJ49&gt;0,RANK(FJ49,$FJ$9:$FJ$60)+COUNTIF($FJ$9:FJ49,FJ49)-1,0)</f>
        <v>28</v>
      </c>
      <c r="FM49" s="430">
        <f t="shared" si="43"/>
        <v>0</v>
      </c>
      <c r="FN49" s="430">
        <f t="shared" si="44"/>
        <v>0</v>
      </c>
      <c r="FO49" s="430">
        <f t="shared" si="45"/>
        <v>0</v>
      </c>
      <c r="FP49" s="431">
        <f t="shared" si="46"/>
        <v>0</v>
      </c>
      <c r="FQ49" s="431">
        <f t="shared" si="47"/>
        <v>1883560.9969692549</v>
      </c>
      <c r="FR49" s="431">
        <f>'Concentration Limits'!$J$58</f>
        <v>49599340.729726665</v>
      </c>
      <c r="FS49" s="431">
        <f t="shared" si="48"/>
        <v>1883560.9969692549</v>
      </c>
      <c r="FT49" s="431">
        <f>VLOOKUP(BR49,'Concentration Limits'!$E$81:$H$153,4,FALSE)</f>
        <v>17</v>
      </c>
      <c r="FU49" s="431">
        <f t="shared" si="49"/>
        <v>0</v>
      </c>
      <c r="FV49" s="431">
        <f t="shared" si="50"/>
        <v>1883560.9969692549</v>
      </c>
      <c r="FW49" s="431">
        <f>'Concentration Limits'!$J$59</f>
        <v>37199505.547294997</v>
      </c>
      <c r="FX49" s="431">
        <f t="shared" si="51"/>
        <v>1883560.9969692549</v>
      </c>
      <c r="FY49" s="431">
        <f>VLOOKUP(BR49,'Concentration Limits'!$E$81:$H$153,4,FALSE)</f>
        <v>17</v>
      </c>
      <c r="FZ49" s="431">
        <f t="shared" si="52"/>
        <v>0</v>
      </c>
      <c r="GA49" s="431">
        <f t="shared" si="53"/>
        <v>1883560.9969692549</v>
      </c>
      <c r="GB49" s="431">
        <f>'Concentration Limits'!$J$61</f>
        <v>24799670.364863332</v>
      </c>
      <c r="GC49" s="431">
        <f t="shared" si="54"/>
        <v>1883560.9969692549</v>
      </c>
      <c r="GD49" s="429">
        <f>VLOOKUP(BR49,'Concentration Limits'!$E$81:$H$153,4,FALSE)</f>
        <v>17</v>
      </c>
      <c r="GE49" s="431">
        <f t="shared" si="55"/>
        <v>0</v>
      </c>
      <c r="GF49" s="431">
        <f t="shared" si="56"/>
        <v>1883560.9969692549</v>
      </c>
      <c r="GG49" s="431">
        <f>'Concentration Limits'!$J$64</f>
        <v>24799670.364863332</v>
      </c>
      <c r="GH49" s="431">
        <f t="shared" si="57"/>
        <v>0</v>
      </c>
      <c r="GI49" s="431">
        <f t="shared" si="58"/>
        <v>0</v>
      </c>
      <c r="GJ49" s="431">
        <f t="shared" si="59"/>
        <v>1883560.9969692549</v>
      </c>
      <c r="GK49" s="431">
        <f>'Concentration Limits'!$J$67</f>
        <v>24799670.364863332</v>
      </c>
      <c r="GL49" s="429" t="str">
        <f t="shared" si="60"/>
        <v>No</v>
      </c>
      <c r="GM49" s="431">
        <f t="shared" si="61"/>
        <v>0</v>
      </c>
      <c r="GN49" s="431">
        <f t="shared" si="62"/>
        <v>0</v>
      </c>
      <c r="GO49" s="431">
        <f t="shared" si="63"/>
        <v>1883560.9969692549</v>
      </c>
      <c r="GP49" s="431">
        <f>'Concentration Limits'!$J$68</f>
        <v>37199505.547294997</v>
      </c>
      <c r="GQ49" s="429" t="str">
        <f t="shared" si="64"/>
        <v>No</v>
      </c>
      <c r="GR49" s="431">
        <f t="shared" si="65"/>
        <v>0</v>
      </c>
      <c r="GS49" s="431">
        <f t="shared" si="66"/>
        <v>0</v>
      </c>
      <c r="GT49" s="431">
        <f t="shared" si="67"/>
        <v>1883560.9969692549</v>
      </c>
      <c r="GU49" s="429">
        <f>'Concentration Limits'!$J$69</f>
        <v>37199505.547294997</v>
      </c>
      <c r="GV49" s="429" t="str">
        <f t="shared" si="68"/>
        <v>No</v>
      </c>
      <c r="GW49" s="429">
        <f t="shared" si="69"/>
        <v>0</v>
      </c>
      <c r="GX49" s="429">
        <f t="shared" si="70"/>
        <v>0</v>
      </c>
      <c r="GY49" s="429">
        <f t="shared" si="71"/>
        <v>1883560.9969692549</v>
      </c>
      <c r="GZ49" s="429">
        <f>'Concentration Limits'!$J$70</f>
        <v>24799670.364863332</v>
      </c>
      <c r="HA49" s="429" t="str">
        <f t="shared" si="72"/>
        <v>No</v>
      </c>
      <c r="HB49" s="429">
        <f t="shared" si="73"/>
        <v>0</v>
      </c>
      <c r="HC49" s="429">
        <f t="shared" si="74"/>
        <v>0</v>
      </c>
      <c r="HD49" s="429">
        <f t="shared" si="75"/>
        <v>1883560.9969692549</v>
      </c>
      <c r="HE49" s="431">
        <f t="shared" si="76"/>
        <v>0</v>
      </c>
      <c r="HF49" s="431">
        <f t="shared" si="77"/>
        <v>0</v>
      </c>
      <c r="HG49" s="431">
        <f t="shared" si="78"/>
        <v>1883560.9969692549</v>
      </c>
      <c r="HH49" s="431">
        <f t="shared" si="79"/>
        <v>0</v>
      </c>
      <c r="HI49" s="431">
        <f>IF(BE49=0,0,#REF!*BE49/(BE49+BG49))</f>
        <v>0</v>
      </c>
      <c r="HJ49" s="431">
        <f>IF(BG49=0,0,#REF!*BG49/(BG49+BE49))</f>
        <v>0</v>
      </c>
      <c r="HK49" s="857">
        <f>IF(BF49=0,0,#REF!*BF49/(BF49+BH49))</f>
        <v>0</v>
      </c>
      <c r="HL49" s="431">
        <f>IF(BH49=0,0,#REF!*BH49/(BH49+BF49))</f>
        <v>0</v>
      </c>
      <c r="HM49" s="431">
        <f t="shared" si="80"/>
        <v>0</v>
      </c>
      <c r="HN49" s="431" t="b">
        <f t="shared" si="81"/>
        <v>1</v>
      </c>
    </row>
    <row r="50" spans="1:224" s="432" customFormat="1" ht="12.75" customHeight="1" x14ac:dyDescent="0.35">
      <c r="A50" s="49">
        <f t="shared" si="82"/>
        <v>42</v>
      </c>
      <c r="B50" s="404" t="str">
        <f>INDEX('Loan Tape - Settled'!$B$4:$AP$55,MATCH($A50,'Loan Tape - Settled'!$E$4:$E$55,0),MATCH("Obligor Name",'Loan Tape - Settled'!$B$4:$AM$4,0))</f>
        <v>BluePeak LLC</v>
      </c>
      <c r="C50" s="404" t="str">
        <f>INDEX('Loan Tape - Settled'!$B$4:$AP$55,MATCH($A50,'Loan Tape - Settled'!$E$4:$E$55,0),MATCH("Security",'Loan Tape - Settled'!$B$4:$AM$4,0))</f>
        <v>FILO</v>
      </c>
      <c r="D50" s="405" t="str">
        <f>INDEX('Loan Tape - Settled'!$B$4:$AP$55,MATCH($A50,'Loan Tape - Settled'!$E$4:$E$55,0),MATCH("Loan Type",'Loan Tape - Settled'!$B$4:$AM$4,0))</f>
        <v>FILO</v>
      </c>
      <c r="E50" s="406" t="b">
        <f>IF(ISERROR(MATCH(D50,AGENT!$A$4:$A$10,0))=FALSE, TRUE)</f>
        <v>1</v>
      </c>
      <c r="F50" s="406" t="b">
        <f t="shared" ref="F50" si="85">IF(AND(BZ50="no",CA50="no"),TRUE)</f>
        <v>1</v>
      </c>
      <c r="G50" s="406" t="b">
        <f>IF(D50&lt;&gt;"Second Lien",TRUE, IF(CY50&gt;=AGENT!$B$4,TRUE))</f>
        <v>1</v>
      </c>
      <c r="H50" s="406" t="b">
        <f>IF(DE50&lt;=AGENT!$D$4,TRUE)</f>
        <v>1</v>
      </c>
      <c r="I50" s="406" t="b">
        <f>IF(VLOOKUP(CONCATENATE($A$5,A50),'Loan Tape - Settled'!$A$5:$Q$55,17,FALSE)&gt;=AGENT!$E$4,TRUE)</f>
        <v>1</v>
      </c>
      <c r="J50" s="406" t="b">
        <f>IF(INDEX('Loan Tape - Settled'!$B$4:$AP$55,MATCH($A50,'Loan Tape - Settled'!$E$4:$E$55,0),MATCH("Loan Denomination",'Loan Tape - Settled'!$B$4:$AP$4,0))="USD", TRUE)</f>
        <v>1</v>
      </c>
      <c r="K50" s="406" t="b">
        <f>IF(INDEX('Loan Tape - Settled'!$B$4:$AP$55,MATCH($A50,'Loan Tape - Settled'!$E$4:$E$55,0),MATCH("Exposure Country",'Loan Tape - Settled'!$B$4:$AP$4,0))="United States", TRUE)</f>
        <v>1</v>
      </c>
      <c r="L50" s="406" t="b">
        <f t="shared" ref="L50" si="86">IF(BS50="NO",TRUE)</f>
        <v>1</v>
      </c>
      <c r="M50" s="406" t="b">
        <f>IF(((BM50-BL50)/365)&lt;=AGENT!$F$4,TRUE)</f>
        <v>1</v>
      </c>
      <c r="N50" s="406" t="b">
        <f t="shared" ref="N50" si="87">IF(DX50="Yes",FALSE,TRUE)</f>
        <v>1</v>
      </c>
      <c r="O50" s="453"/>
      <c r="P50" s="709" t="str">
        <f t="shared" ref="P50" si="88">IF($B50="","",IF(OR(O50=TRUE,COUNTIFS($E50:$N50,TRUE)=10),"Yes","No"))</f>
        <v>Yes</v>
      </c>
      <c r="Q50" s="680" t="s">
        <v>243</v>
      </c>
      <c r="R50" s="407" t="str">
        <f t="shared" ref="R50" si="89">IF(P50="Yes",B50,"N/A")</f>
        <v>BluePeak LLC</v>
      </c>
      <c r="S50" s="407"/>
      <c r="T50" s="408" t="str">
        <f t="array" ref="T50">_xlfn.IFS(D50="Second Lien",D50,D50="First Lien",CONCATENATE(D50," ",EI50),D50="FILO",CONCATENATE(D50," ",EJ50))</f>
        <v>FILO &lt;= 1.25x</v>
      </c>
      <c r="U50" s="409">
        <f>VLOOKUP(T50,'Concentration Limits'!D:G,4,FALSE)</f>
        <v>0.57499999999999996</v>
      </c>
      <c r="V50" s="410">
        <f t="shared" ref="V50" si="90">AQ50+AW50+BI50</f>
        <v>15000000</v>
      </c>
      <c r="W50" s="448">
        <f>(SUMIFS('Loan Tape - Settled'!$AR$4:$AR$55,'Loan Tape - Settled'!$E$4:$E$55,$A50,'Loan Tape - Settled'!$C$4:$C$55,$A$5))</f>
        <v>15000000</v>
      </c>
      <c r="X50" s="449">
        <v>1</v>
      </c>
      <c r="Y50" s="411">
        <f t="shared" ref="Y50" si="91">W50*X50</f>
        <v>15000000</v>
      </c>
      <c r="Z50" s="449">
        <f>(SUMIFS('Loan Tape - Settled'!$AQ$4:$AQ$55,'Loan Tape - Settled'!$E$4:$E$55,$A50,'Loan Tape - Settled'!$C$4:$C$55,$A$5))</f>
        <v>15000000</v>
      </c>
      <c r="AA50" s="411">
        <f t="shared" ref="AA50" si="92">Z50*X50</f>
        <v>15000000</v>
      </c>
      <c r="AB50" s="411">
        <f t="shared" ref="AB50" si="93">AA50-Y50</f>
        <v>0</v>
      </c>
      <c r="AC50" s="450">
        <f>VLOOKUP(CONCATENATE($A$5,A50),'Loan Tape - Settled'!$A$5:$Q$55,17,FALSE)</f>
        <v>1</v>
      </c>
      <c r="AD50" s="412"/>
      <c r="AE50" s="413">
        <f>INDEX('Loan Tape - Settled'!$B$4:$AP$55,MATCH($A50,'Loan Tape - Settled'!$E$4:$E$55,0),MATCH("FMV",'Loan Tape - Settled'!$B$4:$AM$4,0))</f>
        <v>1</v>
      </c>
      <c r="AF50" s="413">
        <f t="array" ref="AF50">_xlfn.IFS(D50="First Lien",
_xlfn.IFS(AND(DL50&gt;0,DL50&lt;Tier_1_1L),Tier_1_ApplicableValue,
AND(DL50&gt;=Tier_1_1L,DL50&lt;Tier_2_1L),((Tier_1_1L/DL50)*Tier_1_ApplicableValue)+((DL50-Tier_1_1L)/DL50*Tier_2_ApplicableValue),
AND(DL50&gt;=Tier_2_1L, DL50&lt;Tier_3_1L),((Tier_1_1L/DL50)*Tier_1_ApplicableValue+(Tier_2_1L-Tier_1_1L)/DL50*Tier_2_ApplicableValue+(DL50-Tier_2_1L)/DL50*Tier_3_ApplicableValue),
AND(DL50&gt;=Tier_3_1L, DL50&lt;=Tier_totalzerovalue),((Tier_1_1L/DL50)*Tier_1_ApplicableValue+(Tier_2_1L-Tier_1_1L)/DL50*Tier_2_ApplicableValue+(Tier_3_1L-Tier_2_1L)/DL50*Tier_3_ApplicableValue+(DL50-Tier_partialzerovalue)/DL50*0%),
DL50&gt;Tier_totalzerovalue,0%),
OR(D50="Second Lien", D50="FILO"),
_xlfn.IFS(AND(DM50&gt;0,DM50&lt;Tier_1_2L),Tier_1_ApplicableValue,
AND(DM50&gt;=Tier_1_2L,DM50&lt;Tier_2_2L),((Tier_1_2L/DM50)*Tier_1_ApplicableValue)+((DM50-Tier_1_2L)/DM50*Tier_2_ApplicableValue),
AND(DM50&gt;=Tier_2_2L, DM50&lt;Tier_3_2L),((Tier_1_2L/DM50)*Tier_1_ApplicableValue+(Tier_2_2L-Tier_1_2L)/DM50*Tier_2_ApplicableValue+(DM50-Tier_2_2L)/DM50*Tier_3_ApplicableValue),
AND(DM50&gt;=Tier_3_2L, DM50&lt;=Tier_totalzerovalue),((Tier_1_2L/DM50)*Tier_1_ApplicableValue+(Tier_2_2L-Tier_1_2L)/DM50*Tier_2_ApplicableValue+(Tier_3_2L-Tier_2_2L)/DM50*Tier_3_ApplicableValue+(DM50-Tier_partialzerovalue)/DM50*0%),
DM50&gt;Tier_totalzerovalue,0%))</f>
        <v>1</v>
      </c>
      <c r="AG50" s="414" t="str">
        <f>IF(COUNTIFS(VAE!$C$5:$C$96,B50,VAE!$G$5:$G$96,"&lt;="&amp;Availability!$F$8)&gt;=1,"Yes","-")</f>
        <v>-</v>
      </c>
      <c r="AH50" s="414" t="str">
        <f t="array" ref="AH50">IFERROR(IF(AG50="Yes",INDEX(VAE!$D$5:$D$96,MATCH(B50&amp;AJ50,VAE!$C$5:$C$96&amp;VAE!$G$5:$G$96,0)),"-"),0)</f>
        <v>-</v>
      </c>
      <c r="AI50" s="414" t="str">
        <f t="array" ref="AI50">IFERROR(IF(AG50="Yes",INDEX(VAE!$F$5:$F$96,MATCH(B50&amp;AJ50,VAE!$C$5:$C$96&amp;VAE!$G$5:$G$96,0)),"-"),0)</f>
        <v>-</v>
      </c>
      <c r="AJ50" s="415" t="str">
        <f>IF(AG50="-","-",_xlfn.MAXIFS(VAE!$G$5:$G$96,VAE!$C$5:$C$96,$B50))</f>
        <v>-</v>
      </c>
      <c r="AK50" s="416" t="str">
        <f t="array" ref="AK50">IFERROR(IF(AG50="Yes",INDEX(VAE!$P$5:$P$96,MATCH(B50&amp;AJ50,VAE!$C$5:$C$96&amp;VAE!$G$5:$G$96,0)),"-"),0)</f>
        <v>-</v>
      </c>
      <c r="AL50" s="413">
        <f t="shared" ref="AL50" si="94">IF($A50="","",IF(P50="No",0,(IF(AG50="Yes",MIN(AE50,AK50,AF50),MIN(AE50,AF50)))))</f>
        <v>1</v>
      </c>
      <c r="AM50" s="410"/>
      <c r="AN50" s="410"/>
      <c r="AO50" s="410">
        <f t="shared" ref="AO50" si="95">IF(AND(D50="First Lien",P50="No"),0,IF(D50&lt;&gt;"First Lien",0,Y50))</f>
        <v>0</v>
      </c>
      <c r="AP50" s="410">
        <f t="shared" ref="AP50" si="96">IF(AND(D50="First Lien",P50="No"),W50,0)</f>
        <v>0</v>
      </c>
      <c r="AQ50" s="410">
        <f t="shared" ref="AQ50" si="97">AL50*AO50</f>
        <v>0</v>
      </c>
      <c r="AR50" s="410"/>
      <c r="AS50" s="410"/>
      <c r="AT50" s="410"/>
      <c r="AU50" s="410">
        <f t="shared" ref="AU50" si="98">IF(AND(D50="FILO",P50="No"),0,IF(D50&lt;&gt;"FILO",0,Y50))</f>
        <v>15000000</v>
      </c>
      <c r="AV50" s="410">
        <f t="shared" ref="AV50" si="99">IF(AND(D50="FILO",P50="No"),W50,0)</f>
        <v>0</v>
      </c>
      <c r="AW50" s="410">
        <f t="shared" ref="AW50" si="100">AU50*AL50</f>
        <v>15000000</v>
      </c>
      <c r="AX50" s="410"/>
      <c r="AY50" s="410"/>
      <c r="AZ50" s="410"/>
      <c r="BA50" s="410">
        <f t="shared" ref="BA50" si="101">IF(AND(OR(D50="First Lien",D50="FILO"),P50="No"),0,IF(OR(D50="First Lien",D50="FILO"),0,(Y50)))</f>
        <v>0</v>
      </c>
      <c r="BB50" s="410"/>
      <c r="BC50" s="410"/>
      <c r="BD50" s="410">
        <f t="shared" ref="BD50" si="102">IF(AND(D50="Second Lien",P50="No"),W50,0)</f>
        <v>0</v>
      </c>
      <c r="BE50" s="410"/>
      <c r="BF50" s="410"/>
      <c r="BG50" s="410"/>
      <c r="BH50" s="410"/>
      <c r="BI50" s="410">
        <f t="shared" ref="BI50" si="103">IF(D50="Second Lien",BA50*AL50,0)</f>
        <v>0</v>
      </c>
      <c r="BJ50" s="410" t="b">
        <f t="shared" ref="BJ50" si="104">SUM(AM50:AP50)+SUM(AZ50:BD50)+SUM(AS50:AV50)=Y50</f>
        <v>1</v>
      </c>
      <c r="BK50" s="509">
        <f>INDEX('Loan Tape - Settled'!$B$4:$AP$55,MATCH($A50,'Loan Tape - Settled'!$E$4:$E$55,0),MATCH("Inception Date",'Loan Tape - Settled'!$B$4:$AP$4,0))</f>
        <v>45996</v>
      </c>
      <c r="BL50" s="509">
        <f>INDEX('Loan Tape - Settled'!$B$4:$AP$55,MATCH($A50,'Loan Tape - Settled'!$E$4:$E$55,0),MATCH("Inclusion Date",'Loan Tape - Settled'!$B$4:$AP$4,0))</f>
        <v>46092</v>
      </c>
      <c r="BM50" s="509">
        <f>INDEX('Loan Tape - Settled'!$B$4:$AP$55,MATCH($A50,'Loan Tape - Settled'!$E$4:$E$55,0),MATCH("Maturity Date",'Loan Tape - Settled'!$B$4:$AP$4,0))</f>
        <v>47918</v>
      </c>
      <c r="BN50" s="510"/>
      <c r="BO50" s="510"/>
      <c r="BP50" s="511"/>
      <c r="BQ50" s="510"/>
      <c r="BR50" s="512" t="str">
        <f>INDEX('Loan Tape - Settled'!$B$4:$AP$55,MATCH($A50,'Loan Tape - Settled'!$E$4:$E$55,0),MATCH("Industry Classification",'Loan Tape - Settled'!$B$4:$AP$4,0))</f>
        <v>Chemicals</v>
      </c>
      <c r="BS50" s="510" t="str">
        <f>IF(INDEX('Loan Tape - Settled'!$B$4:$AP$55,MATCH($A50,'Loan Tape - Settled'!$E$4:$E$55,0),MATCH("Covenant Lite",'Loan Tape - Settled'!$B$4:$AP$4,0))=-1, "Yes", "No")</f>
        <v>No</v>
      </c>
      <c r="BT50" s="513">
        <f>INDEX('Loan Tape - Settled'!$B$4:$AP$55,MATCH($A50,'Loan Tape - Settled'!$E$4:$E$55,0),MATCH("Spread / Coupon (%)",'Loan Tape - Settled'!$B$4:$AP$4,0))</f>
        <v>7.4999999999999997E-2</v>
      </c>
      <c r="BU50" s="510" t="str">
        <f>IF(INDEX('Loan Tape - Settled'!$B$4:$AP$55,MATCH($A50,'Loan Tape - Settled'!$E$4:$E$55,0),MATCH("Security Type",'Loan Tape - Settled'!$B$4:$AP$4,0))="Delayed Draw Term Loan", "Yes", "No")</f>
        <v>No</v>
      </c>
      <c r="BV50" s="514" t="s">
        <v>244</v>
      </c>
      <c r="BW50" s="514" t="s">
        <v>244</v>
      </c>
      <c r="BX50" s="506" t="s">
        <v>244</v>
      </c>
      <c r="BY50" s="510" t="str">
        <f>IF(INDEX('Loan Tape - Settled'!$B$4:$AP$55,MATCH($A50,'Loan Tape - Settled'!$E$4:$E$55,0),MATCH("Fixed/Floating",'Loan Tape - Settled'!$B$4:$AP$4,0))="Fixed", "Yes", "No")</f>
        <v>No</v>
      </c>
      <c r="BZ50" s="514" t="s">
        <v>244</v>
      </c>
      <c r="CA50" s="514" t="s">
        <v>244</v>
      </c>
      <c r="CB50" s="510" t="str">
        <f>IF(INDEX('Loan Tape - Settled'!$B$4:$AP$55,MATCH($A50,'Loan Tape - Settled'!$E$4:$E$55,0),MATCH("Loan Denomination",'Loan Tape - Settled'!$B$4:$AP$4,0))="CAD", "Yes", "No")</f>
        <v>No</v>
      </c>
      <c r="CC50" s="510" t="str">
        <f>INDEX('Loan Tape - Settled'!$B$4:$AP$55,MATCH($A50,'Loan Tape - Settled'!$E$4:$E$55,0),MATCH("Payment Frequency",'Loan Tape - Settled'!$B$4:$AP$4,0))</f>
        <v>M</v>
      </c>
      <c r="CD50" s="514" t="s">
        <v>244</v>
      </c>
      <c r="CE50" s="510">
        <f>INDEX('Loan Tape - Settled'!$B$4:$AP$55,MATCH($A50,'Loan Tape - Settled'!$E$4:$E$55,0),MATCH("S&amp;P Loan Rating (if applicable)",'Loan Tape - Settled'!$B$4:$AP$4,0))</f>
        <v>0</v>
      </c>
      <c r="CF50" s="510">
        <f>INDEX('Loan Tape - Settled'!$B$4:$AP$55,MATCH($A50,'Loan Tape - Settled'!$E$4:$E$55,0),MATCH("Moody's Loan Rating (if applicable)",'Loan Tape - Settled'!$B$4:$AP$4,0))</f>
        <v>0</v>
      </c>
      <c r="CG50" s="510"/>
      <c r="CH50" s="510"/>
      <c r="CI50" s="515"/>
      <c r="CJ50" s="508" t="str">
        <f>INDEX('Loan Tape - Settled'!$B$4:$BF$55,MATCH($A50,'Loan Tape - Settled'!$E$4:$E$55,0),MATCH("Last Financial Received",'Loan Tape - Settled'!$B$4:$BF$4,0))</f>
        <v>9/30/2025 or Latest Financing</v>
      </c>
      <c r="CK50" s="516">
        <f>INDEX('Loan Tape - Settled'!$B$4:$BJ$55,MATCH($A50,'Loan Tape - Settled'!$E$4:$E$55,0),MATCH("Initial Adjusted TTM EBITDA",'Loan Tape - Settled'!$B$4:$BJ$4,0))</f>
        <v>11.6</v>
      </c>
      <c r="CL50" s="516">
        <f>INDEX('Loan Tape - Settled'!$B$4:$BJ$55,MATCH($A50,'Loan Tape - Settled'!$E$4:$E$55,0),MATCH("Initial TTM Non-adjusted EBITDA",'Loan Tape - Settled'!$B$4:$BJ$4,0))</f>
        <v>11.6</v>
      </c>
      <c r="CM50" s="417"/>
      <c r="CN50" s="418"/>
      <c r="CO50" s="418"/>
      <c r="CP50" s="419"/>
      <c r="CQ50" s="420" t="s">
        <v>245</v>
      </c>
      <c r="CR50" s="419"/>
      <c r="CS50" s="421">
        <f t="shared" ref="CS50" si="105">CK50-CP50+CR50</f>
        <v>11.6</v>
      </c>
      <c r="CT50" s="422">
        <f t="shared" ref="CT50" si="106">1-CS50/CK50</f>
        <v>0</v>
      </c>
      <c r="CU50" s="516">
        <f>INDEX('Loan Tape - Settled'!$B$4:$BJ$55,MATCH($A50,'Loan Tape - Settled'!$E$4:$E$55,0),MATCH("Current TTM Non-adjusted EBITDA",'Loan Tape - Settled'!$B$4:$BJ$4,0))</f>
        <v>20</v>
      </c>
      <c r="CV50" s="423">
        <f t="shared" ref="CV50" si="107">CT50</f>
        <v>0</v>
      </c>
      <c r="CW50" s="652" t="s">
        <v>245</v>
      </c>
      <c r="CX50" s="517"/>
      <c r="CY50" s="658">
        <f t="shared" ref="CY50" si="108">IF(CW50="N",(1-CV50)*CU50,(1-CX50)*CU50)</f>
        <v>20</v>
      </c>
      <c r="CZ50" s="656"/>
      <c r="DA50" s="518"/>
      <c r="DB50" s="519"/>
      <c r="DC50" s="853"/>
      <c r="DD50" s="853">
        <f>INDEX('Loan Tape - Settled'!$B$4:$BJ$55,MATCH($A50,'Loan Tape - Settled'!$E$4:$E$55,0),MATCH("Initial Senior Net Leverage Senior",'Loan Tape - Settled'!$B$4:$BJ$4,0))</f>
        <v>2</v>
      </c>
      <c r="DE50" s="659">
        <f>INDEX('Loan Tape - Settled'!$B$4:$BJ$55,MATCH($A50,'Loan Tape - Settled'!$E$4:$E$55,0),MATCH("Initial Total Net Leverage",'Loan Tape - Settled'!$B$4:$BJ$4,0))</f>
        <v>2</v>
      </c>
      <c r="DF50" s="656"/>
      <c r="DG50" s="518"/>
      <c r="DH50" s="519"/>
      <c r="DI50" s="424">
        <f>INDEX('Loan Tape - Settled'!$B$4:$BJ$55,MATCH($A50,'Loan Tape - Settled'!$E$4:$E$55,0),MATCH("Net Attachment",'Loan Tape - Settled'!$B$4:$BJ$4,0))</f>
        <v>0.75</v>
      </c>
      <c r="DJ50" s="522">
        <f t="array" ref="DJ50">IF(AG50="Yes",INDEX(VAE!$M$5:$M$53,MATCH($B50&amp;$AJ50,VAE!$C$5:$C$53&amp;VAE!$G$5:$G$53,0)),DD50)</f>
        <v>2</v>
      </c>
      <c r="DK50" s="649">
        <f t="array" ref="DK50">IF(AG50="Yes",INDEX(VAE!$N$5:$N$53,MATCH($B50&amp;$AJ50,VAE!$C$5:$C$53&amp;VAE!$G$5:$G$53,0)),DE50)</f>
        <v>2</v>
      </c>
      <c r="DL50" s="651">
        <f>INDEX('Loan Tape - Settled'!$B$4:$BJ$55,MATCH($A50,'Loan Tape - Settled'!$E$4:$E$55,0),MATCH("Current Senior Net Leverage Senior",'Loan Tape - Settled'!$B$4:$BJ$4,0))</f>
        <v>3.75</v>
      </c>
      <c r="DM50" s="433">
        <f>INDEX('Loan Tape - Settled'!$B$4:$BJ$55,MATCH($A50,'Loan Tape - Settled'!$E$4:$E$55,0),MATCH("Current Total Net Leverage",'Loan Tape - Settled'!$B$4:$BJ$4,0))</f>
        <v>3.75</v>
      </c>
      <c r="DN50" s="425"/>
      <c r="DO50" s="426">
        <f>INDEX('Loan Tape - Settled'!$B$4:$BJ$55,MATCH($A50,'Loan Tape - Settled'!$E$4:$E$55,0),MATCH("Initial Interest Coverage",'Loan Tape - Settled'!$B$4:$BJ$4,0))</f>
        <v>1.74</v>
      </c>
      <c r="DP50" s="854">
        <f t="array" ref="DP50">IF(AG50="Yes",INDEX(VAE!$O$5:$O$53,MATCH($B50&amp;$AJ50,VAE!$C$5:$C$53&amp;VAE!$G$5:$G$53,0)),DO50)</f>
        <v>1.74</v>
      </c>
      <c r="DQ50" s="427">
        <f>INDEX('Loan Tape - Settled'!$B$4:$BJ$55,MATCH($A50,'Loan Tape - Settled'!$E$4:$E$55,0),MATCH("Current Interest Coverage",'Loan Tape - Settled'!$B$4:$BJ$4,0))</f>
        <v>3</v>
      </c>
      <c r="DR50" s="855" t="str">
        <f t="shared" ref="DR50" si="109">IF(OR(DU50="Yes",DU50="N/A",DV50="Yes",DV50="N/A",DW50="Yes",DX50="Yes",DY50="Yes",EF50="Yes",EG50="Yes",EH50="Yes"),"Yes","No")</f>
        <v>No</v>
      </c>
      <c r="DS50" s="428" t="str">
        <f>IF(AG50="Yes",DATEDIF(AJ50,Availability!$F$8,"m"),"")</f>
        <v/>
      </c>
      <c r="DT50" s="428" t="str">
        <f t="shared" ref="DT50" si="110">IF(DS50="","No",IF(DS50&gt;12,"Yes","No"))</f>
        <v>No</v>
      </c>
      <c r="DU50" s="647" t="str">
        <f t="shared" ref="DU50" si="111">IFERROR(IF(AND(DQ50/DP50&lt;0.75,DQ50&lt;1.5),"Yes","No"),"N/A")</f>
        <v>No</v>
      </c>
      <c r="DV50" s="648" t="str">
        <f t="shared" ref="DV50" si="112">IFERROR(IF(OR(D50="First Lien",D50="FILO"),IF(AND((DL50-DJ50)&gt;0.75,DL50&gt;4),"Yes","No"),"No"),"N/A")</f>
        <v>No</v>
      </c>
      <c r="DW50" s="648" t="str">
        <f t="array" ref="DW50">_xlfn.IFS(D50&lt;&gt;"Second Lien","No",D50="Second Lien",IF(AND((DM50-DK50)&gt;0.5,DM50&gt;4.5),"Yes","No"))</f>
        <v>No</v>
      </c>
      <c r="DX50" s="685" t="s">
        <v>244</v>
      </c>
      <c r="DY50" s="685" t="s">
        <v>244</v>
      </c>
      <c r="DZ50" s="686" t="s">
        <v>244</v>
      </c>
      <c r="EA50" s="686" t="s">
        <v>244</v>
      </c>
      <c r="EB50" s="686" t="s">
        <v>244</v>
      </c>
      <c r="EC50" s="686" t="s">
        <v>244</v>
      </c>
      <c r="ED50" s="686" t="s">
        <v>244</v>
      </c>
      <c r="EE50" s="686" t="s">
        <v>244</v>
      </c>
      <c r="EF50" s="409" t="str">
        <f t="shared" ref="EF50" si="113">IF(OR(DZ50="Yes",EA50="Yes",EB50="Yes",EC50="Yes",ED50="Yes",EE50="Yes"),"Yes","No")</f>
        <v>No</v>
      </c>
      <c r="EG50" s="686" t="s">
        <v>244</v>
      </c>
      <c r="EH50" s="691" t="s">
        <v>244</v>
      </c>
      <c r="EI50" s="856" t="str">
        <f t="array" ref="EI50">IF(D50="First Lien",_xlfn.IFS(CY50&gt;AGENT!$B$23, "&gt; $20MM",CY50&lt;=AGENT!$C$25, "&lt;= $10MM",AND(CY50&lt;=AGENT!$C$24,CY50&gt;AGENT!$B$24),"&lt;= $20MM"), "N/A")</f>
        <v>N/A</v>
      </c>
      <c r="EJ50" s="856" t="str">
        <f t="array" ref="EJ50">IF(D50="FILO",_xlfn.IFS(DI50&gt;AGENT!$B$29, "&gt; 1.25x",DI50&lt;AGENT!$C$27, "&lt; 0.75x",AND(DI50&lt;=AGENT!$C$28,DI50&gt;=AGENT!$B$28),"&lt;= 1.25x"), "N/A")</f>
        <v>&lt;= 1.25x</v>
      </c>
      <c r="EK50" s="429">
        <f t="shared" ref="EK50" si="114">V50</f>
        <v>15000000</v>
      </c>
      <c r="EL50" s="429">
        <f>'Concentration Limits'!$J$49</f>
        <v>49599340.729726665</v>
      </c>
      <c r="EM50" s="429" t="str">
        <f>IF(OR(D50="Second Lien",AND(D50="FILO",DI50&gt;AGENT!$C$57)), "Yes", "No")</f>
        <v>No</v>
      </c>
      <c r="EN50" s="429">
        <f t="shared" ref="EN50" si="115">IF(EM50="Yes",SUMIF(EM:EM,"Yes",EK:EK),0)</f>
        <v>0</v>
      </c>
      <c r="EO50" s="429">
        <f t="shared" ref="EO50" si="116">IF(EN50&gt;EL50,(EN50-EL50)*(EK50/SUMIF(EM:EM,"Yes",EK:EK)),0)</f>
        <v>0</v>
      </c>
      <c r="EP50" s="429">
        <f t="shared" ref="EP50" si="117">MAX(0,EK50-EO50)</f>
        <v>15000000</v>
      </c>
      <c r="EQ50" s="429">
        <f>'Concentration Limits'!$J$50</f>
        <v>24799670.364863332</v>
      </c>
      <c r="ER50" s="429">
        <f t="shared" ref="ER50" si="118">IF(D50="Second Lien",SUMIF(D:D,D50,EP:EP),0)</f>
        <v>0</v>
      </c>
      <c r="ES50" s="429">
        <f t="shared" ref="ES50" si="119">MAX(0,(ER50-EQ50)*IFERROR((EP50/SUMIF($D:$D,D50,EP:EP )),0) )</f>
        <v>0</v>
      </c>
      <c r="ET50" s="429">
        <f t="shared" ref="ET50" si="120">MAX(0,EP50-ES50)</f>
        <v>15000000</v>
      </c>
      <c r="EU50" s="429">
        <f>'Concentration Limits'!$J$51</f>
        <v>74399011.094589993</v>
      </c>
      <c r="EV50" s="429" t="str">
        <f>IF(OR(D50="Second Lien", AND(D50="FILO",DI50&gt;AGENT!$C$59)), "Yes", "No")</f>
        <v>No</v>
      </c>
      <c r="EW50" s="429">
        <f t="shared" ref="EW50" si="121">IF(EV50="Yes",SUMIF(EV:EV,"Yes",ET:ET),0)</f>
        <v>0</v>
      </c>
      <c r="EX50" s="429">
        <f t="shared" ref="EX50" si="122">IF(EW50&gt;EU50,(EW50-EU50)*(ET50/SUMIF(EV:EV,"Yes",ET:ET)),0)</f>
        <v>0</v>
      </c>
      <c r="EY50" s="429">
        <f t="shared" ref="EY50" si="123">MAX(0,ET50-EX50)</f>
        <v>15000000</v>
      </c>
      <c r="EZ50" s="429">
        <f>'Concentration Limits'!$J$52</f>
        <v>37199505.547294997</v>
      </c>
      <c r="FA50" s="429" t="str">
        <f>IF(CY50&gt;'Concentration Limits'!$E$52, "No", "Yes")</f>
        <v>No</v>
      </c>
      <c r="FB50" s="429">
        <f t="shared" ref="FB50" si="124">IF(FA50="Yes",SUMIF(FA:FA,"Yes",EY:EY),0)</f>
        <v>0</v>
      </c>
      <c r="FC50" s="429">
        <f t="shared" ref="FC50" si="125">IF(FB50&gt;EZ50,(FB50-EZ50)*(EY50/SUMIF(FA:FA,"Yes",EY:EY)),0)</f>
        <v>0</v>
      </c>
      <c r="FD50" s="429">
        <f t="shared" ref="FD50" si="126">MAX(0,EY50-FC50)</f>
        <v>15000000</v>
      </c>
      <c r="FE50" s="430">
        <f>'Concentration Limits'!$J$54</f>
        <v>247996703.6486333</v>
      </c>
      <c r="FF50" s="430">
        <f>'Concentration Limits'!$J$55</f>
        <v>247996703.6486333</v>
      </c>
      <c r="FG50" s="430">
        <f>'Concentration Limits'!$J$56</f>
        <v>247996703.6486333</v>
      </c>
      <c r="FH50" s="431">
        <f>'Concentration Limits'!$J$57</f>
        <v>18599752.773647498</v>
      </c>
      <c r="FI50" s="431">
        <f t="shared" si="40"/>
        <v>15000000</v>
      </c>
      <c r="FJ50" s="431">
        <f t="shared" si="41"/>
        <v>15000000</v>
      </c>
      <c r="FK50" s="431">
        <f t="shared" ref="FK50" si="127">INDEX(FL$8:FL$60,MATCH(B50,B$8:B$60,0))</f>
        <v>3</v>
      </c>
      <c r="FL50" s="431">
        <f>IF(FJ50&gt;0,RANK(FJ50,$FJ$9:$FJ$60)+COUNTIF($FJ$9:FJ50,FJ50)-1,0)</f>
        <v>3</v>
      </c>
      <c r="FM50" s="430">
        <f t="shared" ref="FM50" si="128">IF(FK50=1,IF(FI50&gt;FE50,(FI50-FE50)*(V50/SUMIF($B:$B,B50,$FD:$FD)),0),0)</f>
        <v>0</v>
      </c>
      <c r="FN50" s="430">
        <f t="shared" ref="FN50" si="129">IF(FK50=2,IF(FI50&gt;FF50,(FI50-FF50)*(V50/SUMIF($B:$B,B50,$FD:$FD)),0),0)</f>
        <v>0</v>
      </c>
      <c r="FO50" s="430">
        <f t="shared" ref="FO50" si="130">IF(FK50=3,IF(FI50&gt;FG50,(FI50-FG50)*(V50/SUMIF($B:$B,B50,$FD:$FD)),0),0)</f>
        <v>0</v>
      </c>
      <c r="FP50" s="431">
        <f t="shared" ref="FP50" si="131">IF(FK50&gt;0,IF(FI50&gt;FH50,(FI50-FH50)*(FD50/(SUMIF($B:$B,$B50,$FD:$FD))),0),0)</f>
        <v>0</v>
      </c>
      <c r="FQ50" s="431">
        <f t="shared" ref="FQ50" si="132">MAX(0,FD50-FM50-FN50-FO50-FP50)</f>
        <v>15000000</v>
      </c>
      <c r="FR50" s="431">
        <f>'Concentration Limits'!$J$58</f>
        <v>49599340.729726665</v>
      </c>
      <c r="FS50" s="431">
        <f t="shared" ref="FS50" si="133">SUMIF($BR:$BR,$BR50,FQ:FQ)</f>
        <v>33599752.773647502</v>
      </c>
      <c r="FT50" s="431">
        <f>VLOOKUP(BR50,'Concentration Limits'!$E$81:$H$153,4,FALSE)</f>
        <v>2</v>
      </c>
      <c r="FU50" s="431">
        <f t="shared" ref="FU50" si="134">IF(FT50=1,MAX(0,(FS50-FR50)*(FQ50/SUMIF($BR:$BR,BR50,FQ:FQ))),0)</f>
        <v>0</v>
      </c>
      <c r="FV50" s="431">
        <f t="shared" ref="FV50" si="135">MAX(0,FQ50-FU50)</f>
        <v>15000000</v>
      </c>
      <c r="FW50" s="431">
        <f>'Concentration Limits'!$J$59</f>
        <v>37199505.547294997</v>
      </c>
      <c r="FX50" s="431">
        <f t="shared" ref="FX50" si="136">SUMIF($BR:$BR,$BR50,FV:FV)</f>
        <v>33599752.773647502</v>
      </c>
      <c r="FY50" s="431">
        <f>VLOOKUP(BR50,'Concentration Limits'!$E$81:$H$153,4,FALSE)</f>
        <v>2</v>
      </c>
      <c r="FZ50" s="431">
        <f t="shared" ref="FZ50" si="137">MAX(0,IF(FY50=2,(FX50-FW50)*(FV50/SUMIF($BR:$BR,BR50,FV:FV)),0))</f>
        <v>0</v>
      </c>
      <c r="GA50" s="431">
        <f t="shared" ref="GA50" si="138">MAX(0,FV50-FZ50)</f>
        <v>15000000</v>
      </c>
      <c r="GB50" s="431">
        <f>'Concentration Limits'!$J$61</f>
        <v>24799670.364863332</v>
      </c>
      <c r="GC50" s="431">
        <f t="shared" ref="GC50" si="139">SUMIF($BR:$BR,$BR50,GA:GA)</f>
        <v>33599752.773647502</v>
      </c>
      <c r="GD50" s="429">
        <f>VLOOKUP(BR50,'Concentration Limits'!$E$81:$H$153,4,FALSE)</f>
        <v>2</v>
      </c>
      <c r="GE50" s="431">
        <f t="shared" ref="GE50" si="140">IF(GA50=0,0,MAX(0,IF(GD50&lt;3,0,(GC50-GB50)*($GA50/SUMIF($BR:$BR,BR50,GA:GA)))))</f>
        <v>0</v>
      </c>
      <c r="GF50" s="431">
        <f t="shared" ref="GF50" si="141">MAX(0,GA50-GE50)</f>
        <v>15000000</v>
      </c>
      <c r="GG50" s="431">
        <f>'Concentration Limits'!$J$64</f>
        <v>24799670.364863332</v>
      </c>
      <c r="GH50" s="431">
        <f t="shared" ref="GH50" si="142">IF(BY50="Yes",SUMIF(BY:BY,BY50,GF:GF),0)</f>
        <v>0</v>
      </c>
      <c r="GI50" s="431">
        <f t="shared" ref="GI50" si="143">IFERROR(MAX(0,(GH50-GG50)*(GF50/SUMIF($T:$T,T50,GF:GF ))),0)</f>
        <v>0</v>
      </c>
      <c r="GJ50" s="431">
        <f t="shared" ref="GJ50" si="144">MAX(0,GF50-GI50)</f>
        <v>15000000</v>
      </c>
      <c r="GK50" s="431">
        <f>'Concentration Limits'!$J$67</f>
        <v>24799670.364863332</v>
      </c>
      <c r="GL50" s="429" t="str">
        <f t="shared" ref="GL50" si="145">IF(OR(BV50="Yes",OR(ISNUMBER(SEARCH("Travel",BR50)),ISNUMBER(SEARCH("Energy",BR50)),ISNUMBER(SEARCH("Leisure",BR50)),ISNUMBER(SEARCH("hotel",BR50)))),"Yes","No")</f>
        <v>No</v>
      </c>
      <c r="GM50" s="431">
        <f t="shared" ref="GM50" si="146">IF(GL50="Yes",SUMIF(GL:GL,"Yes",GJ:GJ),0)</f>
        <v>0</v>
      </c>
      <c r="GN50" s="431">
        <f t="shared" ref="GN50" si="147">IF(GM50&gt;GK50,(GM50-GK50)*(GJ50/SUMIF(GL:GL,"Yes",GJ:GJ)),0)</f>
        <v>0</v>
      </c>
      <c r="GO50" s="431">
        <f t="shared" ref="GO50" si="148">MAX(0,GJ50-GN50)</f>
        <v>15000000</v>
      </c>
      <c r="GP50" s="431">
        <f>'Concentration Limits'!$J$68</f>
        <v>37199505.547294997</v>
      </c>
      <c r="GQ50" s="429" t="str">
        <f t="shared" ref="GQ50" si="149">IF(BU50="Yes","Yes", "No")</f>
        <v>No</v>
      </c>
      <c r="GR50" s="431">
        <f t="shared" ref="GR50" si="150">IF(GQ50="Yes",SUMIF(GQ:GQ,"Yes",GO:GO),0)</f>
        <v>0</v>
      </c>
      <c r="GS50" s="431">
        <f t="shared" ref="GS50" si="151">IF(GR50&gt;GP50,(GR50-GP50)*(GO50/SUMIF(GQ:GQ,"Yes",GO:GO)),0)</f>
        <v>0</v>
      </c>
      <c r="GT50" s="431">
        <f t="shared" ref="GT50" si="152">MAX(0,GO50-GS50)</f>
        <v>15000000</v>
      </c>
      <c r="GU50" s="429">
        <f>'Concentration Limits'!$J$69</f>
        <v>37199505.547294997</v>
      </c>
      <c r="GV50" s="429" t="str">
        <f t="shared" ref="GV50" si="153">IF(BW50="Yes", "Yes", "No")</f>
        <v>No</v>
      </c>
      <c r="GW50" s="429">
        <f t="shared" ref="GW50" si="154">IF(GV50="Yes",SUMIF(GV:GV,"Yes",GT:GT),0)</f>
        <v>0</v>
      </c>
      <c r="GX50" s="429">
        <f t="shared" ref="GX50" si="155">IF(GW50&gt;GU50,(GW50-GU50)*(GT50/SUMIF(GV:GV,"Yes",GT:GT)),0)</f>
        <v>0</v>
      </c>
      <c r="GY50" s="429">
        <f t="shared" ref="GY50" si="156">MAX(0,GT50-GX50)</f>
        <v>15000000</v>
      </c>
      <c r="GZ50" s="429">
        <f>'Concentration Limits'!$J$70</f>
        <v>24799670.364863332</v>
      </c>
      <c r="HA50" s="429" t="str">
        <f t="shared" ref="HA50" si="157">IF(BX50="Yes", "Yes", "No")</f>
        <v>No</v>
      </c>
      <c r="HB50" s="429">
        <f t="shared" ref="HB50" si="158">IF(HA50="Yes",SUMIF(HA:HA,"Yes",GY:GY),0)</f>
        <v>0</v>
      </c>
      <c r="HC50" s="429">
        <f t="shared" ref="HC50" si="159">IF(HB50&gt;GZ50,(HB50-GZ50)*(GY50/SUMIF(HA:HA,"Yes",GY:GY)),0)</f>
        <v>0</v>
      </c>
      <c r="HD50" s="429">
        <f t="shared" ref="HD50" si="160">MAX(0,GY50-HC50)</f>
        <v>15000000</v>
      </c>
      <c r="HE50" s="431">
        <f t="shared" ref="HE50" si="161">IF(AQ50=0,0,HD50*AQ50/(AQ50+AR50))</f>
        <v>0</v>
      </c>
      <c r="HF50" s="431">
        <f t="shared" ref="HF50" si="162">IF(AR50=0,0,HD50*AR50/(AQ50+AR50))</f>
        <v>0</v>
      </c>
      <c r="HG50" s="431">
        <f t="shared" ref="HG50" si="163">IF(AW50=0,0,HD50*AW50/(AW50+AX50))</f>
        <v>15000000</v>
      </c>
      <c r="HH50" s="431">
        <f t="shared" ref="HH50" si="164">IF(AX50=0,0,HD50*AX50/(AX50+AW50))</f>
        <v>0</v>
      </c>
      <c r="HI50" s="431">
        <f>IF(BE50=0,0,#REF!*BE50/(BE50+BG50))</f>
        <v>0</v>
      </c>
      <c r="HJ50" s="431">
        <f>IF(BG50=0,0,#REF!*BG50/(BG50+BE50))</f>
        <v>0</v>
      </c>
      <c r="HK50" s="857">
        <f>IF(BF50=0,0,#REF!*BF50/(BF50+BH50))</f>
        <v>0</v>
      </c>
      <c r="HL50" s="431">
        <f>IF(BH50=0,0,#REF!*BH50/(BH50+BF50))</f>
        <v>0</v>
      </c>
      <c r="HM50" s="431">
        <f t="shared" ref="HM50" si="165">IF(D50="Second Lien",HD50,0)</f>
        <v>0</v>
      </c>
      <c r="HN50" s="431" t="b">
        <f t="shared" ref="HN50" si="166">SUM(HE50:HM50)=HD50</f>
        <v>1</v>
      </c>
    </row>
    <row r="51" spans="1:224" s="432" customFormat="1" ht="12.75" customHeight="1" x14ac:dyDescent="0.35">
      <c r="A51" s="291"/>
      <c r="B51" s="404"/>
      <c r="C51" s="404"/>
      <c r="D51" s="405"/>
      <c r="E51" s="406"/>
      <c r="F51" s="406"/>
      <c r="G51" s="406"/>
      <c r="H51" s="406"/>
      <c r="I51" s="406"/>
      <c r="J51" s="406"/>
      <c r="K51" s="406"/>
      <c r="L51" s="406"/>
      <c r="M51" s="406"/>
      <c r="N51" s="406"/>
      <c r="O51" s="453"/>
      <c r="P51" s="709"/>
      <c r="Q51" s="680"/>
      <c r="R51" s="407"/>
      <c r="S51" s="407"/>
      <c r="T51" s="408"/>
      <c r="U51" s="409"/>
      <c r="V51" s="410"/>
      <c r="W51" s="448"/>
      <c r="X51" s="449"/>
      <c r="Y51" s="411"/>
      <c r="Z51" s="449"/>
      <c r="AA51" s="411"/>
      <c r="AB51" s="411"/>
      <c r="AC51" s="450"/>
      <c r="AD51" s="412"/>
      <c r="AE51" s="413"/>
      <c r="AF51" s="413"/>
      <c r="AG51" s="414"/>
      <c r="AH51" s="414"/>
      <c r="AI51" s="414"/>
      <c r="AJ51" s="415"/>
      <c r="AK51" s="416"/>
      <c r="AL51" s="413"/>
      <c r="AM51" s="410"/>
      <c r="AN51" s="410"/>
      <c r="AO51" s="410"/>
      <c r="AP51" s="410"/>
      <c r="AQ51" s="410"/>
      <c r="AR51" s="410"/>
      <c r="AS51" s="410"/>
      <c r="AT51" s="410"/>
      <c r="AU51" s="410"/>
      <c r="AV51" s="410"/>
      <c r="AW51" s="410"/>
      <c r="AX51" s="410"/>
      <c r="AY51" s="410"/>
      <c r="AZ51" s="410"/>
      <c r="BA51" s="410"/>
      <c r="BB51" s="410"/>
      <c r="BC51" s="410"/>
      <c r="BD51" s="410"/>
      <c r="BE51" s="410"/>
      <c r="BF51" s="410"/>
      <c r="BG51" s="410"/>
      <c r="BH51" s="410"/>
      <c r="BI51" s="410"/>
      <c r="BJ51" s="410"/>
      <c r="BK51" s="509"/>
      <c r="BL51" s="509"/>
      <c r="BM51" s="509"/>
      <c r="BN51" s="510"/>
      <c r="BO51" s="510"/>
      <c r="BP51" s="511"/>
      <c r="BQ51" s="510"/>
      <c r="BR51" s="512"/>
      <c r="BS51" s="510"/>
      <c r="BT51" s="513"/>
      <c r="BU51" s="510"/>
      <c r="BV51" s="514"/>
      <c r="BW51" s="514"/>
      <c r="BX51" s="506"/>
      <c r="BY51" s="510"/>
      <c r="BZ51" s="514"/>
      <c r="CA51" s="514"/>
      <c r="CB51" s="510"/>
      <c r="CC51" s="510"/>
      <c r="CD51" s="514"/>
      <c r="CE51" s="510"/>
      <c r="CF51" s="510"/>
      <c r="CG51" s="510"/>
      <c r="CH51" s="510"/>
      <c r="CI51" s="515"/>
      <c r="CJ51" s="508"/>
      <c r="CK51" s="516"/>
      <c r="CL51" s="516"/>
      <c r="CM51" s="417"/>
      <c r="CN51" s="418"/>
      <c r="CO51" s="418"/>
      <c r="CP51" s="419"/>
      <c r="CQ51" s="420"/>
      <c r="CR51" s="419"/>
      <c r="CS51" s="421"/>
      <c r="CT51" s="422"/>
      <c r="CU51" s="516"/>
      <c r="CV51" s="423"/>
      <c r="CW51" s="652"/>
      <c r="CX51" s="517"/>
      <c r="CY51" s="658"/>
      <c r="CZ51" s="656"/>
      <c r="DA51" s="518"/>
      <c r="DB51" s="519"/>
      <c r="DC51" s="853"/>
      <c r="DD51" s="853"/>
      <c r="DE51" s="659"/>
      <c r="DF51" s="656"/>
      <c r="DG51" s="518"/>
      <c r="DH51" s="519"/>
      <c r="DI51" s="424"/>
      <c r="DJ51" s="522"/>
      <c r="DK51" s="649"/>
      <c r="DL51" s="651"/>
      <c r="DM51" s="433"/>
      <c r="DN51" s="425"/>
      <c r="DO51" s="426"/>
      <c r="DP51" s="854"/>
      <c r="DQ51" s="427"/>
      <c r="DR51" s="855"/>
      <c r="DS51" s="428"/>
      <c r="DT51" s="428"/>
      <c r="DU51" s="647"/>
      <c r="DV51" s="648"/>
      <c r="DW51" s="648"/>
      <c r="DX51" s="685"/>
      <c r="DY51" s="685"/>
      <c r="DZ51" s="686"/>
      <c r="EA51" s="686"/>
      <c r="EB51" s="686"/>
      <c r="EC51" s="686"/>
      <c r="ED51" s="686"/>
      <c r="EE51" s="686"/>
      <c r="EF51" s="409"/>
      <c r="EG51" s="686"/>
      <c r="EH51" s="691"/>
      <c r="EI51" s="856"/>
      <c r="EJ51" s="856"/>
      <c r="EK51" s="429"/>
      <c r="EL51" s="429"/>
      <c r="EM51" s="429"/>
      <c r="EN51" s="429"/>
      <c r="EO51" s="429"/>
      <c r="EP51" s="429"/>
      <c r="EQ51" s="429"/>
      <c r="ER51" s="429"/>
      <c r="ES51" s="429"/>
      <c r="ET51" s="429"/>
      <c r="EU51" s="429"/>
      <c r="EV51" s="429"/>
      <c r="EW51" s="429"/>
      <c r="EX51" s="429"/>
      <c r="EY51" s="429"/>
      <c r="EZ51" s="429"/>
      <c r="FA51" s="429"/>
      <c r="FB51" s="429"/>
      <c r="FC51" s="429"/>
      <c r="FD51" s="429"/>
      <c r="FE51" s="430"/>
      <c r="FF51" s="430"/>
      <c r="FG51" s="430"/>
      <c r="FH51" s="431"/>
      <c r="FI51" s="431"/>
      <c r="FJ51" s="431"/>
      <c r="FK51" s="431"/>
      <c r="FL51" s="431"/>
      <c r="FM51" s="430"/>
      <c r="FN51" s="430"/>
      <c r="FO51" s="430"/>
      <c r="FP51" s="431"/>
      <c r="FQ51" s="431"/>
      <c r="FR51" s="431"/>
      <c r="FS51" s="431"/>
      <c r="FT51" s="431"/>
      <c r="FU51" s="431"/>
      <c r="FV51" s="431"/>
      <c r="FW51" s="431"/>
      <c r="FX51" s="431"/>
      <c r="FY51" s="431"/>
      <c r="FZ51" s="431"/>
      <c r="GA51" s="431"/>
      <c r="GB51" s="431"/>
      <c r="GC51" s="431"/>
      <c r="GD51" s="429"/>
      <c r="GE51" s="431"/>
      <c r="GF51" s="431"/>
      <c r="GG51" s="431"/>
      <c r="GH51" s="431"/>
      <c r="GI51" s="431"/>
      <c r="GJ51" s="431"/>
      <c r="GK51" s="431"/>
      <c r="GL51" s="429"/>
      <c r="GM51" s="431"/>
      <c r="GN51" s="431"/>
      <c r="GO51" s="431"/>
      <c r="GP51" s="431"/>
      <c r="GQ51" s="429"/>
      <c r="GR51" s="431"/>
      <c r="GS51" s="431"/>
      <c r="GT51" s="431"/>
      <c r="GU51" s="429"/>
      <c r="GV51" s="429"/>
      <c r="GW51" s="429"/>
      <c r="GX51" s="429"/>
      <c r="GY51" s="429"/>
      <c r="GZ51" s="429"/>
      <c r="HA51" s="429"/>
      <c r="HB51" s="429"/>
      <c r="HC51" s="429"/>
      <c r="HD51" s="429"/>
      <c r="HE51" s="431"/>
      <c r="HF51" s="431"/>
      <c r="HG51" s="431"/>
      <c r="HH51" s="431"/>
      <c r="HI51" s="431"/>
      <c r="HJ51" s="431"/>
      <c r="HK51" s="857"/>
      <c r="HL51" s="431"/>
      <c r="HM51" s="431"/>
      <c r="HN51" s="431"/>
    </row>
    <row r="52" spans="1:224" s="432" customFormat="1" ht="12.75" customHeight="1" x14ac:dyDescent="0.35">
      <c r="A52" s="291"/>
      <c r="B52" s="404"/>
      <c r="C52" s="404"/>
      <c r="D52" s="405"/>
      <c r="E52" s="406"/>
      <c r="F52" s="406"/>
      <c r="G52" s="406"/>
      <c r="H52" s="406"/>
      <c r="I52" s="406"/>
      <c r="J52" s="406"/>
      <c r="K52" s="406"/>
      <c r="L52" s="406"/>
      <c r="M52" s="406"/>
      <c r="N52" s="406"/>
      <c r="O52" s="453"/>
      <c r="P52" s="709"/>
      <c r="Q52" s="680"/>
      <c r="R52" s="407"/>
      <c r="S52" s="407"/>
      <c r="T52" s="408"/>
      <c r="U52" s="409"/>
      <c r="V52" s="410"/>
      <c r="W52" s="448"/>
      <c r="X52" s="449"/>
      <c r="Y52" s="411"/>
      <c r="Z52" s="449"/>
      <c r="AA52" s="411"/>
      <c r="AB52" s="411"/>
      <c r="AC52" s="450"/>
      <c r="AD52" s="412"/>
      <c r="AE52" s="413"/>
      <c r="AF52" s="413"/>
      <c r="AG52" s="414"/>
      <c r="AH52" s="414"/>
      <c r="AI52" s="414"/>
      <c r="AJ52" s="415"/>
      <c r="AK52" s="416"/>
      <c r="AL52" s="413"/>
      <c r="AM52" s="410"/>
      <c r="AN52" s="410"/>
      <c r="AO52" s="410"/>
      <c r="AP52" s="410"/>
      <c r="AQ52" s="410"/>
      <c r="AR52" s="410"/>
      <c r="AS52" s="410"/>
      <c r="AT52" s="410"/>
      <c r="AU52" s="410"/>
      <c r="AV52" s="410"/>
      <c r="AW52" s="410"/>
      <c r="AX52" s="410"/>
      <c r="AY52" s="410"/>
      <c r="AZ52" s="410"/>
      <c r="BA52" s="410"/>
      <c r="BB52" s="410"/>
      <c r="BC52" s="410"/>
      <c r="BD52" s="410"/>
      <c r="BE52" s="410"/>
      <c r="BF52" s="410"/>
      <c r="BG52" s="410"/>
      <c r="BH52" s="410"/>
      <c r="BI52" s="410"/>
      <c r="BJ52" s="410"/>
      <c r="BK52" s="509"/>
      <c r="BL52" s="509"/>
      <c r="BM52" s="509"/>
      <c r="BN52" s="510"/>
      <c r="BO52" s="510"/>
      <c r="BP52" s="511"/>
      <c r="BQ52" s="510"/>
      <c r="BR52" s="512"/>
      <c r="BS52" s="510"/>
      <c r="BT52" s="513"/>
      <c r="BU52" s="510"/>
      <c r="BV52" s="514"/>
      <c r="BW52" s="514"/>
      <c r="BX52" s="506"/>
      <c r="BY52" s="510"/>
      <c r="BZ52" s="514"/>
      <c r="CA52" s="514"/>
      <c r="CB52" s="510"/>
      <c r="CC52" s="510"/>
      <c r="CD52" s="514"/>
      <c r="CE52" s="510"/>
      <c r="CF52" s="510"/>
      <c r="CG52" s="510"/>
      <c r="CH52" s="510"/>
      <c r="CI52" s="515"/>
      <c r="CJ52" s="508"/>
      <c r="CK52" s="516"/>
      <c r="CL52" s="516"/>
      <c r="CM52" s="417"/>
      <c r="CN52" s="418"/>
      <c r="CO52" s="418"/>
      <c r="CP52" s="419"/>
      <c r="CQ52" s="420"/>
      <c r="CR52" s="419"/>
      <c r="CS52" s="421"/>
      <c r="CT52" s="422"/>
      <c r="CU52" s="516"/>
      <c r="CV52" s="423"/>
      <c r="CW52" s="652"/>
      <c r="CX52" s="517"/>
      <c r="CY52" s="658"/>
      <c r="CZ52" s="656"/>
      <c r="DA52" s="518"/>
      <c r="DB52" s="519"/>
      <c r="DC52" s="853"/>
      <c r="DD52" s="853"/>
      <c r="DE52" s="659"/>
      <c r="DF52" s="656"/>
      <c r="DG52" s="518"/>
      <c r="DH52" s="519"/>
      <c r="DI52" s="424"/>
      <c r="DJ52" s="522"/>
      <c r="DK52" s="649"/>
      <c r="DL52" s="651"/>
      <c r="DM52" s="433"/>
      <c r="DN52" s="425"/>
      <c r="DO52" s="426"/>
      <c r="DP52" s="854"/>
      <c r="DQ52" s="427"/>
      <c r="DR52" s="855"/>
      <c r="DS52" s="428"/>
      <c r="DT52" s="428"/>
      <c r="DU52" s="647"/>
      <c r="DV52" s="648"/>
      <c r="DW52" s="648"/>
      <c r="DX52" s="685"/>
      <c r="DY52" s="685"/>
      <c r="DZ52" s="686"/>
      <c r="EA52" s="686"/>
      <c r="EB52" s="686"/>
      <c r="EC52" s="686"/>
      <c r="ED52" s="686"/>
      <c r="EE52" s="686"/>
      <c r="EF52" s="409"/>
      <c r="EG52" s="686"/>
      <c r="EH52" s="691"/>
      <c r="EI52" s="856"/>
      <c r="EJ52" s="856"/>
      <c r="EK52" s="429"/>
      <c r="EL52" s="429"/>
      <c r="EM52" s="429"/>
      <c r="EN52" s="429"/>
      <c r="EO52" s="429"/>
      <c r="EP52" s="429"/>
      <c r="EQ52" s="429"/>
      <c r="ER52" s="429"/>
      <c r="ES52" s="429"/>
      <c r="ET52" s="429"/>
      <c r="EU52" s="429"/>
      <c r="EV52" s="429"/>
      <c r="EW52" s="429"/>
      <c r="EX52" s="429"/>
      <c r="EY52" s="429"/>
      <c r="EZ52" s="429"/>
      <c r="FA52" s="429"/>
      <c r="FB52" s="429"/>
      <c r="FC52" s="429"/>
      <c r="FD52" s="429"/>
      <c r="FE52" s="430"/>
      <c r="FF52" s="430"/>
      <c r="FG52" s="430"/>
      <c r="FH52" s="431"/>
      <c r="FI52" s="431"/>
      <c r="FJ52" s="431"/>
      <c r="FK52" s="431"/>
      <c r="FL52" s="431"/>
      <c r="FM52" s="430"/>
      <c r="FN52" s="430"/>
      <c r="FO52" s="430"/>
      <c r="FP52" s="431"/>
      <c r="FQ52" s="431"/>
      <c r="FR52" s="431"/>
      <c r="FS52" s="431"/>
      <c r="FT52" s="431"/>
      <c r="FU52" s="431"/>
      <c r="FV52" s="431"/>
      <c r="FW52" s="431"/>
      <c r="FX52" s="431"/>
      <c r="FY52" s="431"/>
      <c r="FZ52" s="431"/>
      <c r="GA52" s="431"/>
      <c r="GB52" s="431"/>
      <c r="GC52" s="431"/>
      <c r="GD52" s="429"/>
      <c r="GE52" s="431"/>
      <c r="GF52" s="431"/>
      <c r="GG52" s="431"/>
      <c r="GH52" s="431"/>
      <c r="GI52" s="431"/>
      <c r="GJ52" s="431"/>
      <c r="GK52" s="431"/>
      <c r="GL52" s="429"/>
      <c r="GM52" s="431"/>
      <c r="GN52" s="431"/>
      <c r="GO52" s="431"/>
      <c r="GP52" s="431"/>
      <c r="GQ52" s="429"/>
      <c r="GR52" s="431"/>
      <c r="GS52" s="431"/>
      <c r="GT52" s="431"/>
      <c r="GU52" s="429"/>
      <c r="GV52" s="429"/>
      <c r="GW52" s="429"/>
      <c r="GX52" s="429"/>
      <c r="GY52" s="429"/>
      <c r="GZ52" s="429"/>
      <c r="HA52" s="429"/>
      <c r="HB52" s="429"/>
      <c r="HC52" s="429"/>
      <c r="HD52" s="429"/>
      <c r="HE52" s="431"/>
      <c r="HF52" s="431"/>
      <c r="HG52" s="431"/>
      <c r="HH52" s="431"/>
      <c r="HI52" s="431"/>
      <c r="HJ52" s="431"/>
      <c r="HK52" s="857"/>
      <c r="HL52" s="431"/>
      <c r="HM52" s="431"/>
      <c r="HN52" s="431"/>
    </row>
    <row r="53" spans="1:224" s="432" customFormat="1" ht="12.75" customHeight="1" x14ac:dyDescent="0.35">
      <c r="A53" s="291"/>
      <c r="B53" s="404"/>
      <c r="C53" s="404"/>
      <c r="D53" s="405"/>
      <c r="E53" s="406"/>
      <c r="F53" s="406"/>
      <c r="G53" s="406"/>
      <c r="H53" s="406"/>
      <c r="I53" s="406"/>
      <c r="J53" s="406"/>
      <c r="K53" s="406"/>
      <c r="L53" s="406"/>
      <c r="M53" s="406"/>
      <c r="N53" s="406"/>
      <c r="O53" s="453"/>
      <c r="P53" s="709"/>
      <c r="Q53" s="680"/>
      <c r="R53" s="407"/>
      <c r="S53" s="407"/>
      <c r="T53" s="408"/>
      <c r="U53" s="409"/>
      <c r="V53" s="410"/>
      <c r="W53" s="448"/>
      <c r="X53" s="449"/>
      <c r="Y53" s="411"/>
      <c r="Z53" s="449"/>
      <c r="AA53" s="411"/>
      <c r="AB53" s="411"/>
      <c r="AC53" s="450"/>
      <c r="AD53" s="412"/>
      <c r="AE53" s="413"/>
      <c r="AF53" s="413"/>
      <c r="AG53" s="414"/>
      <c r="AH53" s="414"/>
      <c r="AI53" s="414"/>
      <c r="AJ53" s="415"/>
      <c r="AK53" s="416"/>
      <c r="AL53" s="413"/>
      <c r="AM53" s="410"/>
      <c r="AN53" s="410"/>
      <c r="AO53" s="410"/>
      <c r="AP53" s="410"/>
      <c r="AQ53" s="410"/>
      <c r="AR53" s="410"/>
      <c r="AS53" s="410"/>
      <c r="AT53" s="410"/>
      <c r="AU53" s="410"/>
      <c r="AV53" s="410"/>
      <c r="AW53" s="410"/>
      <c r="AX53" s="410"/>
      <c r="AY53" s="410"/>
      <c r="AZ53" s="410"/>
      <c r="BA53" s="410"/>
      <c r="BB53" s="410"/>
      <c r="BC53" s="410"/>
      <c r="BD53" s="410"/>
      <c r="BE53" s="410"/>
      <c r="BF53" s="410"/>
      <c r="BG53" s="410"/>
      <c r="BH53" s="410"/>
      <c r="BI53" s="410"/>
      <c r="BJ53" s="410"/>
      <c r="BK53" s="509"/>
      <c r="BL53" s="509"/>
      <c r="BM53" s="509"/>
      <c r="BN53" s="510"/>
      <c r="BO53" s="510"/>
      <c r="BP53" s="511"/>
      <c r="BQ53" s="510"/>
      <c r="BR53" s="512"/>
      <c r="BS53" s="510"/>
      <c r="BT53" s="513"/>
      <c r="BU53" s="510"/>
      <c r="BV53" s="514"/>
      <c r="BW53" s="514"/>
      <c r="BX53" s="506"/>
      <c r="BY53" s="510"/>
      <c r="BZ53" s="514"/>
      <c r="CA53" s="514"/>
      <c r="CB53" s="510"/>
      <c r="CC53" s="510"/>
      <c r="CD53" s="514"/>
      <c r="CE53" s="510"/>
      <c r="CF53" s="510"/>
      <c r="CG53" s="510"/>
      <c r="CH53" s="510"/>
      <c r="CI53" s="515"/>
      <c r="CJ53" s="508"/>
      <c r="CK53" s="516"/>
      <c r="CL53" s="516"/>
      <c r="CM53" s="417"/>
      <c r="CN53" s="418"/>
      <c r="CO53" s="418"/>
      <c r="CP53" s="419"/>
      <c r="CQ53" s="420"/>
      <c r="CR53" s="419"/>
      <c r="CS53" s="421"/>
      <c r="CT53" s="422"/>
      <c r="CU53" s="516"/>
      <c r="CV53" s="423"/>
      <c r="CW53" s="652"/>
      <c r="CX53" s="517"/>
      <c r="CY53" s="658"/>
      <c r="CZ53" s="656"/>
      <c r="DA53" s="518"/>
      <c r="DB53" s="519"/>
      <c r="DC53" s="853"/>
      <c r="DD53" s="853"/>
      <c r="DE53" s="659"/>
      <c r="DF53" s="656"/>
      <c r="DG53" s="518"/>
      <c r="DH53" s="519"/>
      <c r="DI53" s="424"/>
      <c r="DJ53" s="522"/>
      <c r="DK53" s="649"/>
      <c r="DL53" s="651"/>
      <c r="DM53" s="433"/>
      <c r="DN53" s="425"/>
      <c r="DO53" s="426"/>
      <c r="DP53" s="854"/>
      <c r="DQ53" s="427"/>
      <c r="DR53" s="855"/>
      <c r="DS53" s="428"/>
      <c r="DT53" s="428"/>
      <c r="DU53" s="647"/>
      <c r="DV53" s="648"/>
      <c r="DW53" s="648"/>
      <c r="DX53" s="685"/>
      <c r="DY53" s="685"/>
      <c r="DZ53" s="686"/>
      <c r="EA53" s="686"/>
      <c r="EB53" s="686"/>
      <c r="EC53" s="686"/>
      <c r="ED53" s="686"/>
      <c r="EE53" s="686"/>
      <c r="EF53" s="409"/>
      <c r="EG53" s="686"/>
      <c r="EH53" s="691"/>
      <c r="EI53" s="856"/>
      <c r="EJ53" s="856"/>
      <c r="EK53" s="429"/>
      <c r="EL53" s="429"/>
      <c r="EM53" s="429"/>
      <c r="EN53" s="429"/>
      <c r="EO53" s="429"/>
      <c r="EP53" s="429"/>
      <c r="EQ53" s="429"/>
      <c r="ER53" s="429"/>
      <c r="ES53" s="429"/>
      <c r="ET53" s="429"/>
      <c r="EU53" s="429"/>
      <c r="EV53" s="429"/>
      <c r="EW53" s="429"/>
      <c r="EX53" s="429"/>
      <c r="EY53" s="429"/>
      <c r="EZ53" s="429"/>
      <c r="FA53" s="429"/>
      <c r="FB53" s="429"/>
      <c r="FC53" s="429"/>
      <c r="FD53" s="429"/>
      <c r="FE53" s="430"/>
      <c r="FF53" s="430"/>
      <c r="FG53" s="430"/>
      <c r="FH53" s="431"/>
      <c r="FI53" s="431"/>
      <c r="FJ53" s="431"/>
      <c r="FK53" s="431"/>
      <c r="FL53" s="431"/>
      <c r="FM53" s="430"/>
      <c r="FN53" s="430"/>
      <c r="FO53" s="430"/>
      <c r="FP53" s="431"/>
      <c r="FQ53" s="431"/>
      <c r="FR53" s="431"/>
      <c r="FS53" s="431"/>
      <c r="FT53" s="431"/>
      <c r="FU53" s="431"/>
      <c r="FV53" s="431"/>
      <c r="FW53" s="431"/>
      <c r="FX53" s="431"/>
      <c r="FY53" s="431"/>
      <c r="FZ53" s="431"/>
      <c r="GA53" s="431"/>
      <c r="GB53" s="431"/>
      <c r="GC53" s="431"/>
      <c r="GD53" s="429"/>
      <c r="GE53" s="431"/>
      <c r="GF53" s="431"/>
      <c r="GG53" s="431"/>
      <c r="GH53" s="431"/>
      <c r="GI53" s="431"/>
      <c r="GJ53" s="431"/>
      <c r="GK53" s="431"/>
      <c r="GL53" s="429"/>
      <c r="GM53" s="431"/>
      <c r="GN53" s="431"/>
      <c r="GO53" s="431"/>
      <c r="GP53" s="431"/>
      <c r="GQ53" s="429"/>
      <c r="GR53" s="431"/>
      <c r="GS53" s="431"/>
      <c r="GT53" s="431"/>
      <c r="GU53" s="429"/>
      <c r="GV53" s="429"/>
      <c r="GW53" s="429"/>
      <c r="GX53" s="429"/>
      <c r="GY53" s="429"/>
      <c r="GZ53" s="429"/>
      <c r="HA53" s="429"/>
      <c r="HB53" s="429"/>
      <c r="HC53" s="429"/>
      <c r="HD53" s="429"/>
      <c r="HE53" s="431"/>
      <c r="HF53" s="431"/>
      <c r="HG53" s="431"/>
      <c r="HH53" s="431"/>
      <c r="HI53" s="431"/>
      <c r="HJ53" s="431"/>
      <c r="HK53" s="857"/>
      <c r="HL53" s="431"/>
      <c r="HM53" s="431"/>
      <c r="HN53" s="431"/>
    </row>
    <row r="54" spans="1:224" s="432" customFormat="1" ht="12.75" customHeight="1" x14ac:dyDescent="0.35">
      <c r="A54" s="291"/>
      <c r="B54" s="404"/>
      <c r="C54" s="404"/>
      <c r="D54" s="405"/>
      <c r="E54" s="406"/>
      <c r="F54" s="406"/>
      <c r="G54" s="406"/>
      <c r="H54" s="406"/>
      <c r="I54" s="406"/>
      <c r="J54" s="406"/>
      <c r="K54" s="406"/>
      <c r="L54" s="406"/>
      <c r="M54" s="406"/>
      <c r="N54" s="406"/>
      <c r="O54" s="453"/>
      <c r="P54" s="709"/>
      <c r="Q54" s="680"/>
      <c r="R54" s="407"/>
      <c r="S54" s="407"/>
      <c r="T54" s="408"/>
      <c r="U54" s="409"/>
      <c r="V54" s="410"/>
      <c r="W54" s="448"/>
      <c r="X54" s="449"/>
      <c r="Y54" s="411"/>
      <c r="Z54" s="449"/>
      <c r="AA54" s="411"/>
      <c r="AB54" s="411"/>
      <c r="AC54" s="450"/>
      <c r="AD54" s="412"/>
      <c r="AE54" s="413"/>
      <c r="AF54" s="413"/>
      <c r="AG54" s="414"/>
      <c r="AH54" s="414"/>
      <c r="AI54" s="414"/>
      <c r="AJ54" s="415"/>
      <c r="AK54" s="416"/>
      <c r="AL54" s="413"/>
      <c r="AM54" s="410"/>
      <c r="AN54" s="410"/>
      <c r="AO54" s="410"/>
      <c r="AP54" s="410"/>
      <c r="AQ54" s="410"/>
      <c r="AR54" s="410"/>
      <c r="AS54" s="410"/>
      <c r="AT54" s="410"/>
      <c r="AU54" s="410"/>
      <c r="AV54" s="410"/>
      <c r="AW54" s="410"/>
      <c r="AX54" s="410"/>
      <c r="AY54" s="410"/>
      <c r="AZ54" s="410"/>
      <c r="BA54" s="410"/>
      <c r="BB54" s="410"/>
      <c r="BC54" s="410"/>
      <c r="BD54" s="410"/>
      <c r="BE54" s="410"/>
      <c r="BF54" s="410"/>
      <c r="BG54" s="410"/>
      <c r="BH54" s="410"/>
      <c r="BI54" s="410"/>
      <c r="BJ54" s="410"/>
      <c r="BK54" s="509"/>
      <c r="BL54" s="509"/>
      <c r="BM54" s="509"/>
      <c r="BN54" s="510"/>
      <c r="BO54" s="510"/>
      <c r="BP54" s="511"/>
      <c r="BQ54" s="510"/>
      <c r="BR54" s="512"/>
      <c r="BS54" s="510"/>
      <c r="BT54" s="513"/>
      <c r="BU54" s="510"/>
      <c r="BV54" s="514"/>
      <c r="BW54" s="514"/>
      <c r="BX54" s="506"/>
      <c r="BY54" s="510"/>
      <c r="BZ54" s="514"/>
      <c r="CA54" s="514"/>
      <c r="CB54" s="510"/>
      <c r="CC54" s="510"/>
      <c r="CD54" s="514"/>
      <c r="CE54" s="510"/>
      <c r="CF54" s="510"/>
      <c r="CG54" s="510"/>
      <c r="CH54" s="510"/>
      <c r="CI54" s="515"/>
      <c r="CJ54" s="508"/>
      <c r="CK54" s="516"/>
      <c r="CL54" s="516"/>
      <c r="CM54" s="417"/>
      <c r="CN54" s="418"/>
      <c r="CO54" s="418"/>
      <c r="CP54" s="419"/>
      <c r="CQ54" s="420"/>
      <c r="CR54" s="419"/>
      <c r="CS54" s="421"/>
      <c r="CT54" s="422"/>
      <c r="CU54" s="516"/>
      <c r="CV54" s="423"/>
      <c r="CW54" s="652"/>
      <c r="CX54" s="517"/>
      <c r="CY54" s="658"/>
      <c r="CZ54" s="656"/>
      <c r="DA54" s="518"/>
      <c r="DB54" s="519"/>
      <c r="DC54" s="853"/>
      <c r="DD54" s="853"/>
      <c r="DE54" s="659"/>
      <c r="DF54" s="656"/>
      <c r="DG54" s="518"/>
      <c r="DH54" s="519"/>
      <c r="DI54" s="424"/>
      <c r="DJ54" s="522"/>
      <c r="DK54" s="649"/>
      <c r="DL54" s="651"/>
      <c r="DM54" s="433"/>
      <c r="DN54" s="425"/>
      <c r="DO54" s="426"/>
      <c r="DP54" s="854"/>
      <c r="DQ54" s="427"/>
      <c r="DR54" s="855"/>
      <c r="DS54" s="428"/>
      <c r="DT54" s="428"/>
      <c r="DU54" s="647"/>
      <c r="DV54" s="648"/>
      <c r="DW54" s="648"/>
      <c r="DX54" s="685"/>
      <c r="DY54" s="685"/>
      <c r="DZ54" s="686"/>
      <c r="EA54" s="686"/>
      <c r="EB54" s="686"/>
      <c r="EC54" s="686"/>
      <c r="ED54" s="686"/>
      <c r="EE54" s="686"/>
      <c r="EF54" s="409"/>
      <c r="EG54" s="686"/>
      <c r="EH54" s="691"/>
      <c r="EI54" s="856"/>
      <c r="EJ54" s="856"/>
      <c r="EK54" s="429"/>
      <c r="EL54" s="429"/>
      <c r="EM54" s="429"/>
      <c r="EN54" s="429"/>
      <c r="EO54" s="429"/>
      <c r="EP54" s="429"/>
      <c r="EQ54" s="429"/>
      <c r="ER54" s="429"/>
      <c r="ES54" s="429"/>
      <c r="ET54" s="429"/>
      <c r="EU54" s="429"/>
      <c r="EV54" s="429"/>
      <c r="EW54" s="429"/>
      <c r="EX54" s="429"/>
      <c r="EY54" s="429"/>
      <c r="EZ54" s="429"/>
      <c r="FA54" s="429"/>
      <c r="FB54" s="429"/>
      <c r="FC54" s="429"/>
      <c r="FD54" s="429"/>
      <c r="FE54" s="430"/>
      <c r="FF54" s="430"/>
      <c r="FG54" s="430"/>
      <c r="FH54" s="431"/>
      <c r="FI54" s="431"/>
      <c r="FJ54" s="431"/>
      <c r="FK54" s="431"/>
      <c r="FL54" s="431"/>
      <c r="FM54" s="430"/>
      <c r="FN54" s="430"/>
      <c r="FO54" s="430"/>
      <c r="FP54" s="431"/>
      <c r="FQ54" s="431"/>
      <c r="FR54" s="431"/>
      <c r="FS54" s="431"/>
      <c r="FT54" s="431"/>
      <c r="FU54" s="431"/>
      <c r="FV54" s="431"/>
      <c r="FW54" s="431"/>
      <c r="FX54" s="431"/>
      <c r="FY54" s="431"/>
      <c r="FZ54" s="431"/>
      <c r="GA54" s="431"/>
      <c r="GB54" s="431"/>
      <c r="GC54" s="431"/>
      <c r="GD54" s="429"/>
      <c r="GE54" s="431"/>
      <c r="GF54" s="431"/>
      <c r="GG54" s="431"/>
      <c r="GH54" s="431"/>
      <c r="GI54" s="431"/>
      <c r="GJ54" s="431"/>
      <c r="GK54" s="431"/>
      <c r="GL54" s="429"/>
      <c r="GM54" s="431"/>
      <c r="GN54" s="431"/>
      <c r="GO54" s="431"/>
      <c r="GP54" s="431"/>
      <c r="GQ54" s="429"/>
      <c r="GR54" s="431"/>
      <c r="GS54" s="431"/>
      <c r="GT54" s="431"/>
      <c r="GU54" s="429"/>
      <c r="GV54" s="429"/>
      <c r="GW54" s="429"/>
      <c r="GX54" s="429"/>
      <c r="GY54" s="429"/>
      <c r="GZ54" s="429"/>
      <c r="HA54" s="429"/>
      <c r="HB54" s="429"/>
      <c r="HC54" s="429"/>
      <c r="HD54" s="429"/>
      <c r="HE54" s="431"/>
      <c r="HF54" s="431"/>
      <c r="HG54" s="431"/>
      <c r="HH54" s="431"/>
      <c r="HI54" s="431"/>
      <c r="HJ54" s="431"/>
      <c r="HK54" s="857"/>
      <c r="HL54" s="431"/>
      <c r="HM54" s="431"/>
      <c r="HN54" s="431"/>
    </row>
    <row r="55" spans="1:224" s="432" customFormat="1" ht="12.75" customHeight="1" x14ac:dyDescent="0.35">
      <c r="A55" s="291"/>
      <c r="B55" s="404"/>
      <c r="C55" s="404"/>
      <c r="D55" s="405"/>
      <c r="E55" s="406"/>
      <c r="F55" s="406"/>
      <c r="G55" s="406"/>
      <c r="H55" s="406"/>
      <c r="I55" s="406"/>
      <c r="J55" s="406"/>
      <c r="K55" s="406"/>
      <c r="L55" s="406"/>
      <c r="M55" s="406"/>
      <c r="N55" s="406"/>
      <c r="O55" s="453"/>
      <c r="P55" s="709"/>
      <c r="Q55" s="680"/>
      <c r="R55" s="407"/>
      <c r="S55" s="407"/>
      <c r="T55" s="408"/>
      <c r="U55" s="409"/>
      <c r="V55" s="410"/>
      <c r="W55" s="448"/>
      <c r="X55" s="449"/>
      <c r="Y55" s="411"/>
      <c r="Z55" s="449"/>
      <c r="AA55" s="411"/>
      <c r="AB55" s="411"/>
      <c r="AC55" s="450"/>
      <c r="AD55" s="412"/>
      <c r="AE55" s="413"/>
      <c r="AF55" s="413"/>
      <c r="AG55" s="414"/>
      <c r="AH55" s="414"/>
      <c r="AI55" s="414"/>
      <c r="AJ55" s="415"/>
      <c r="AK55" s="416"/>
      <c r="AL55" s="413"/>
      <c r="AM55" s="410"/>
      <c r="AN55" s="410"/>
      <c r="AO55" s="410"/>
      <c r="AP55" s="410"/>
      <c r="AQ55" s="410"/>
      <c r="AR55" s="410"/>
      <c r="AS55" s="410"/>
      <c r="AT55" s="410"/>
      <c r="AU55" s="410"/>
      <c r="AV55" s="410"/>
      <c r="AW55" s="410"/>
      <c r="AX55" s="410"/>
      <c r="AY55" s="410"/>
      <c r="AZ55" s="410"/>
      <c r="BA55" s="410"/>
      <c r="BB55" s="410"/>
      <c r="BC55" s="410"/>
      <c r="BD55" s="410"/>
      <c r="BE55" s="410"/>
      <c r="BF55" s="410"/>
      <c r="BG55" s="410"/>
      <c r="BH55" s="410"/>
      <c r="BI55" s="410"/>
      <c r="BJ55" s="410"/>
      <c r="BK55" s="509"/>
      <c r="BL55" s="509"/>
      <c r="BM55" s="509"/>
      <c r="BN55" s="510"/>
      <c r="BO55" s="510"/>
      <c r="BP55" s="511"/>
      <c r="BQ55" s="510"/>
      <c r="BR55" s="512"/>
      <c r="BS55" s="510"/>
      <c r="BT55" s="513"/>
      <c r="BU55" s="510"/>
      <c r="BV55" s="514"/>
      <c r="BW55" s="514"/>
      <c r="BX55" s="506"/>
      <c r="BY55" s="510"/>
      <c r="BZ55" s="514"/>
      <c r="CA55" s="514"/>
      <c r="CB55" s="510"/>
      <c r="CC55" s="510"/>
      <c r="CD55" s="514"/>
      <c r="CE55" s="510"/>
      <c r="CF55" s="510"/>
      <c r="CG55" s="510"/>
      <c r="CH55" s="510"/>
      <c r="CI55" s="515"/>
      <c r="CJ55" s="508"/>
      <c r="CK55" s="516"/>
      <c r="CL55" s="516"/>
      <c r="CM55" s="417"/>
      <c r="CN55" s="418"/>
      <c r="CO55" s="418"/>
      <c r="CP55" s="419"/>
      <c r="CQ55" s="420"/>
      <c r="CR55" s="419"/>
      <c r="CS55" s="421"/>
      <c r="CT55" s="422"/>
      <c r="CU55" s="516"/>
      <c r="CV55" s="423"/>
      <c r="CW55" s="652"/>
      <c r="CX55" s="517"/>
      <c r="CY55" s="658"/>
      <c r="CZ55" s="656"/>
      <c r="DA55" s="518"/>
      <c r="DB55" s="519"/>
      <c r="DC55" s="853"/>
      <c r="DD55" s="853"/>
      <c r="DE55" s="659"/>
      <c r="DF55" s="656"/>
      <c r="DG55" s="518"/>
      <c r="DH55" s="519"/>
      <c r="DI55" s="424"/>
      <c r="DJ55" s="522"/>
      <c r="DK55" s="649"/>
      <c r="DL55" s="651"/>
      <c r="DM55" s="433"/>
      <c r="DN55" s="425"/>
      <c r="DO55" s="426"/>
      <c r="DP55" s="854"/>
      <c r="DQ55" s="427"/>
      <c r="DR55" s="855"/>
      <c r="DS55" s="428"/>
      <c r="DT55" s="428"/>
      <c r="DU55" s="647"/>
      <c r="DV55" s="648"/>
      <c r="DW55" s="648"/>
      <c r="DX55" s="685"/>
      <c r="DY55" s="685"/>
      <c r="DZ55" s="686"/>
      <c r="EA55" s="686"/>
      <c r="EB55" s="686"/>
      <c r="EC55" s="686"/>
      <c r="ED55" s="686"/>
      <c r="EE55" s="686"/>
      <c r="EF55" s="409"/>
      <c r="EG55" s="686"/>
      <c r="EH55" s="691"/>
      <c r="EI55" s="856"/>
      <c r="EJ55" s="856"/>
      <c r="EK55" s="429"/>
      <c r="EL55" s="429"/>
      <c r="EM55" s="429"/>
      <c r="EN55" s="429"/>
      <c r="EO55" s="429"/>
      <c r="EP55" s="429"/>
      <c r="EQ55" s="429"/>
      <c r="ER55" s="429"/>
      <c r="ES55" s="429"/>
      <c r="ET55" s="429"/>
      <c r="EU55" s="429"/>
      <c r="EV55" s="429"/>
      <c r="EW55" s="429"/>
      <c r="EX55" s="429"/>
      <c r="EY55" s="429"/>
      <c r="EZ55" s="429"/>
      <c r="FA55" s="429"/>
      <c r="FB55" s="429"/>
      <c r="FC55" s="429"/>
      <c r="FD55" s="429"/>
      <c r="FE55" s="430"/>
      <c r="FF55" s="430"/>
      <c r="FG55" s="430"/>
      <c r="FH55" s="431"/>
      <c r="FI55" s="431"/>
      <c r="FJ55" s="431"/>
      <c r="FK55" s="431"/>
      <c r="FL55" s="431"/>
      <c r="FM55" s="430"/>
      <c r="FN55" s="430"/>
      <c r="FO55" s="430"/>
      <c r="FP55" s="431"/>
      <c r="FQ55" s="431"/>
      <c r="FR55" s="431"/>
      <c r="FS55" s="431"/>
      <c r="FT55" s="431"/>
      <c r="FU55" s="431"/>
      <c r="FV55" s="431"/>
      <c r="FW55" s="431"/>
      <c r="FX55" s="431"/>
      <c r="FY55" s="431"/>
      <c r="FZ55" s="431"/>
      <c r="GA55" s="431"/>
      <c r="GB55" s="431"/>
      <c r="GC55" s="431"/>
      <c r="GD55" s="429"/>
      <c r="GE55" s="431"/>
      <c r="GF55" s="431"/>
      <c r="GG55" s="431"/>
      <c r="GH55" s="431"/>
      <c r="GI55" s="431"/>
      <c r="GJ55" s="431"/>
      <c r="GK55" s="431"/>
      <c r="GL55" s="429"/>
      <c r="GM55" s="431"/>
      <c r="GN55" s="431"/>
      <c r="GO55" s="431"/>
      <c r="GP55" s="431"/>
      <c r="GQ55" s="429"/>
      <c r="GR55" s="431"/>
      <c r="GS55" s="431"/>
      <c r="GT55" s="431"/>
      <c r="GU55" s="429"/>
      <c r="GV55" s="429"/>
      <c r="GW55" s="429"/>
      <c r="GX55" s="429"/>
      <c r="GY55" s="429"/>
      <c r="GZ55" s="429"/>
      <c r="HA55" s="429"/>
      <c r="HB55" s="429"/>
      <c r="HC55" s="429"/>
      <c r="HD55" s="429"/>
      <c r="HE55" s="431"/>
      <c r="HF55" s="431"/>
      <c r="HG55" s="431"/>
      <c r="HH55" s="431"/>
      <c r="HI55" s="431"/>
      <c r="HJ55" s="431"/>
      <c r="HK55" s="857"/>
      <c r="HL55" s="431"/>
      <c r="HM55" s="431"/>
      <c r="HN55" s="431"/>
    </row>
    <row r="56" spans="1:224" s="432" customFormat="1" ht="12.75" customHeight="1" x14ac:dyDescent="0.35">
      <c r="A56" s="291"/>
      <c r="B56" s="404"/>
      <c r="C56" s="404"/>
      <c r="D56" s="405"/>
      <c r="E56" s="406"/>
      <c r="F56" s="406"/>
      <c r="G56" s="406"/>
      <c r="H56" s="406"/>
      <c r="I56" s="406"/>
      <c r="J56" s="406"/>
      <c r="K56" s="406"/>
      <c r="L56" s="406"/>
      <c r="M56" s="406"/>
      <c r="N56" s="406"/>
      <c r="O56" s="453"/>
      <c r="P56" s="709"/>
      <c r="Q56" s="680"/>
      <c r="R56" s="407"/>
      <c r="S56" s="407"/>
      <c r="T56" s="408"/>
      <c r="U56" s="409"/>
      <c r="V56" s="410"/>
      <c r="W56" s="448"/>
      <c r="X56" s="449"/>
      <c r="Y56" s="411"/>
      <c r="Z56" s="449"/>
      <c r="AA56" s="411"/>
      <c r="AB56" s="411"/>
      <c r="AC56" s="450"/>
      <c r="AD56" s="412"/>
      <c r="AE56" s="413"/>
      <c r="AF56" s="413"/>
      <c r="AG56" s="414"/>
      <c r="AH56" s="414"/>
      <c r="AI56" s="414"/>
      <c r="AJ56" s="415"/>
      <c r="AK56" s="416"/>
      <c r="AL56" s="413"/>
      <c r="AM56" s="410"/>
      <c r="AN56" s="410"/>
      <c r="AO56" s="410"/>
      <c r="AP56" s="410"/>
      <c r="AQ56" s="410"/>
      <c r="AR56" s="410"/>
      <c r="AS56" s="410"/>
      <c r="AT56" s="410"/>
      <c r="AU56" s="410"/>
      <c r="AV56" s="410"/>
      <c r="AW56" s="410"/>
      <c r="AX56" s="410"/>
      <c r="AY56" s="410"/>
      <c r="AZ56" s="410"/>
      <c r="BA56" s="410"/>
      <c r="BB56" s="410"/>
      <c r="BC56" s="410"/>
      <c r="BD56" s="410"/>
      <c r="BE56" s="410"/>
      <c r="BF56" s="410"/>
      <c r="BG56" s="410"/>
      <c r="BH56" s="410"/>
      <c r="BI56" s="410"/>
      <c r="BJ56" s="410"/>
      <c r="BK56" s="509"/>
      <c r="BL56" s="509"/>
      <c r="BM56" s="509"/>
      <c r="BN56" s="510"/>
      <c r="BO56" s="510"/>
      <c r="BP56" s="511"/>
      <c r="BQ56" s="510"/>
      <c r="BR56" s="512"/>
      <c r="BS56" s="510"/>
      <c r="BT56" s="513"/>
      <c r="BU56" s="510"/>
      <c r="BV56" s="514"/>
      <c r="BW56" s="514"/>
      <c r="BX56" s="506"/>
      <c r="BY56" s="510"/>
      <c r="BZ56" s="514"/>
      <c r="CA56" s="514"/>
      <c r="CB56" s="510"/>
      <c r="CC56" s="510"/>
      <c r="CD56" s="514"/>
      <c r="CE56" s="510"/>
      <c r="CF56" s="510"/>
      <c r="CG56" s="510"/>
      <c r="CH56" s="510"/>
      <c r="CI56" s="515"/>
      <c r="CJ56" s="508"/>
      <c r="CK56" s="516"/>
      <c r="CL56" s="516"/>
      <c r="CM56" s="417"/>
      <c r="CN56" s="418"/>
      <c r="CO56" s="418"/>
      <c r="CP56" s="419"/>
      <c r="CQ56" s="420"/>
      <c r="CR56" s="419"/>
      <c r="CS56" s="421"/>
      <c r="CT56" s="422"/>
      <c r="CU56" s="516"/>
      <c r="CV56" s="423"/>
      <c r="CW56" s="652"/>
      <c r="CX56" s="517"/>
      <c r="CY56" s="658"/>
      <c r="CZ56" s="656"/>
      <c r="DA56" s="518"/>
      <c r="DB56" s="519"/>
      <c r="DC56" s="853"/>
      <c r="DD56" s="853"/>
      <c r="DE56" s="659"/>
      <c r="DF56" s="656"/>
      <c r="DG56" s="518"/>
      <c r="DH56" s="519"/>
      <c r="DI56" s="424"/>
      <c r="DJ56" s="522"/>
      <c r="DK56" s="649"/>
      <c r="DL56" s="651"/>
      <c r="DM56" s="433"/>
      <c r="DN56" s="425"/>
      <c r="DO56" s="426"/>
      <c r="DP56" s="854"/>
      <c r="DQ56" s="427"/>
      <c r="DR56" s="855"/>
      <c r="DS56" s="428"/>
      <c r="DT56" s="428"/>
      <c r="DU56" s="647"/>
      <c r="DV56" s="648"/>
      <c r="DW56" s="648"/>
      <c r="DX56" s="685"/>
      <c r="DY56" s="685"/>
      <c r="DZ56" s="686"/>
      <c r="EA56" s="686"/>
      <c r="EB56" s="686"/>
      <c r="EC56" s="686"/>
      <c r="ED56" s="686"/>
      <c r="EE56" s="686"/>
      <c r="EF56" s="409"/>
      <c r="EG56" s="686"/>
      <c r="EH56" s="691"/>
      <c r="EI56" s="856"/>
      <c r="EJ56" s="856"/>
      <c r="EK56" s="429"/>
      <c r="EL56" s="429"/>
      <c r="EM56" s="429"/>
      <c r="EN56" s="429"/>
      <c r="EO56" s="429"/>
      <c r="EP56" s="429"/>
      <c r="EQ56" s="429"/>
      <c r="ER56" s="429"/>
      <c r="ES56" s="429"/>
      <c r="ET56" s="429"/>
      <c r="EU56" s="429"/>
      <c r="EV56" s="429"/>
      <c r="EW56" s="429"/>
      <c r="EX56" s="429"/>
      <c r="EY56" s="429"/>
      <c r="EZ56" s="429"/>
      <c r="FA56" s="429"/>
      <c r="FB56" s="429"/>
      <c r="FC56" s="429"/>
      <c r="FD56" s="429"/>
      <c r="FE56" s="430"/>
      <c r="FF56" s="430"/>
      <c r="FG56" s="430"/>
      <c r="FH56" s="431"/>
      <c r="FI56" s="431"/>
      <c r="FJ56" s="431"/>
      <c r="FK56" s="431"/>
      <c r="FL56" s="431"/>
      <c r="FM56" s="430"/>
      <c r="FN56" s="430"/>
      <c r="FO56" s="430"/>
      <c r="FP56" s="431"/>
      <c r="FQ56" s="431"/>
      <c r="FR56" s="431"/>
      <c r="FS56" s="431"/>
      <c r="FT56" s="431"/>
      <c r="FU56" s="431"/>
      <c r="FV56" s="431"/>
      <c r="FW56" s="431"/>
      <c r="FX56" s="431"/>
      <c r="FY56" s="431"/>
      <c r="FZ56" s="431"/>
      <c r="GA56" s="431"/>
      <c r="GB56" s="431"/>
      <c r="GC56" s="431"/>
      <c r="GD56" s="429"/>
      <c r="GE56" s="431"/>
      <c r="GF56" s="431"/>
      <c r="GG56" s="431"/>
      <c r="GH56" s="431"/>
      <c r="GI56" s="431"/>
      <c r="GJ56" s="431"/>
      <c r="GK56" s="431"/>
      <c r="GL56" s="429"/>
      <c r="GM56" s="431"/>
      <c r="GN56" s="431"/>
      <c r="GO56" s="431"/>
      <c r="GP56" s="431"/>
      <c r="GQ56" s="429"/>
      <c r="GR56" s="431"/>
      <c r="GS56" s="431"/>
      <c r="GT56" s="431"/>
      <c r="GU56" s="429"/>
      <c r="GV56" s="429"/>
      <c r="GW56" s="429"/>
      <c r="GX56" s="429"/>
      <c r="GY56" s="429"/>
      <c r="GZ56" s="429"/>
      <c r="HA56" s="429"/>
      <c r="HB56" s="429"/>
      <c r="HC56" s="429"/>
      <c r="HD56" s="429"/>
      <c r="HE56" s="431"/>
      <c r="HF56" s="431"/>
      <c r="HG56" s="431"/>
      <c r="HH56" s="431"/>
      <c r="HI56" s="431"/>
      <c r="HJ56" s="431"/>
      <c r="HK56" s="857"/>
      <c r="HL56" s="431"/>
      <c r="HM56" s="431"/>
      <c r="HN56" s="431"/>
    </row>
    <row r="57" spans="1:224" s="432" customFormat="1" ht="12.75" customHeight="1" x14ac:dyDescent="0.35">
      <c r="A57" s="291"/>
      <c r="B57" s="404"/>
      <c r="C57" s="404"/>
      <c r="D57" s="405"/>
      <c r="E57" s="406"/>
      <c r="F57" s="406"/>
      <c r="G57" s="406"/>
      <c r="H57" s="406"/>
      <c r="I57" s="406"/>
      <c r="J57" s="406"/>
      <c r="K57" s="406"/>
      <c r="L57" s="406"/>
      <c r="M57" s="406"/>
      <c r="N57" s="406"/>
      <c r="O57" s="453"/>
      <c r="P57" s="709"/>
      <c r="Q57" s="680"/>
      <c r="R57" s="407"/>
      <c r="S57" s="407"/>
      <c r="T57" s="408"/>
      <c r="U57" s="409"/>
      <c r="V57" s="410"/>
      <c r="W57" s="448"/>
      <c r="X57" s="449"/>
      <c r="Y57" s="411"/>
      <c r="Z57" s="449"/>
      <c r="AA57" s="411"/>
      <c r="AB57" s="411"/>
      <c r="AC57" s="450"/>
      <c r="AD57" s="412"/>
      <c r="AE57" s="413"/>
      <c r="AF57" s="413"/>
      <c r="AG57" s="414"/>
      <c r="AH57" s="414"/>
      <c r="AI57" s="414"/>
      <c r="AJ57" s="415"/>
      <c r="AK57" s="416"/>
      <c r="AL57" s="413"/>
      <c r="AM57" s="410"/>
      <c r="AN57" s="410"/>
      <c r="AO57" s="410"/>
      <c r="AP57" s="410"/>
      <c r="AQ57" s="410"/>
      <c r="AR57" s="410"/>
      <c r="AS57" s="410"/>
      <c r="AT57" s="410"/>
      <c r="AU57" s="410"/>
      <c r="AV57" s="410"/>
      <c r="AW57" s="410"/>
      <c r="AX57" s="410"/>
      <c r="AY57" s="410"/>
      <c r="AZ57" s="410"/>
      <c r="BA57" s="410"/>
      <c r="BB57" s="410"/>
      <c r="BC57" s="410"/>
      <c r="BD57" s="410"/>
      <c r="BE57" s="410"/>
      <c r="BF57" s="410"/>
      <c r="BG57" s="410"/>
      <c r="BH57" s="410"/>
      <c r="BI57" s="410"/>
      <c r="BJ57" s="410"/>
      <c r="BK57" s="509"/>
      <c r="BL57" s="509"/>
      <c r="BM57" s="509"/>
      <c r="BN57" s="510"/>
      <c r="BO57" s="510"/>
      <c r="BP57" s="511"/>
      <c r="BQ57" s="510"/>
      <c r="BR57" s="512"/>
      <c r="BS57" s="510"/>
      <c r="BT57" s="513"/>
      <c r="BU57" s="510"/>
      <c r="BV57" s="514"/>
      <c r="BW57" s="514"/>
      <c r="BX57" s="506"/>
      <c r="BY57" s="510"/>
      <c r="BZ57" s="514"/>
      <c r="CA57" s="514"/>
      <c r="CB57" s="510"/>
      <c r="CC57" s="510"/>
      <c r="CD57" s="514"/>
      <c r="CE57" s="510"/>
      <c r="CF57" s="510"/>
      <c r="CG57" s="510"/>
      <c r="CH57" s="510"/>
      <c r="CI57" s="515"/>
      <c r="CJ57" s="508"/>
      <c r="CK57" s="516"/>
      <c r="CL57" s="516"/>
      <c r="CM57" s="417"/>
      <c r="CN57" s="418"/>
      <c r="CO57" s="418"/>
      <c r="CP57" s="419"/>
      <c r="CQ57" s="420"/>
      <c r="CR57" s="419"/>
      <c r="CS57" s="421"/>
      <c r="CT57" s="422"/>
      <c r="CU57" s="516"/>
      <c r="CV57" s="423"/>
      <c r="CW57" s="652"/>
      <c r="CX57" s="517"/>
      <c r="CY57" s="658"/>
      <c r="CZ57" s="656"/>
      <c r="DA57" s="518"/>
      <c r="DB57" s="519"/>
      <c r="DC57" s="853"/>
      <c r="DD57" s="853"/>
      <c r="DE57" s="659"/>
      <c r="DF57" s="656"/>
      <c r="DG57" s="518"/>
      <c r="DH57" s="519"/>
      <c r="DI57" s="424"/>
      <c r="DJ57" s="522"/>
      <c r="DK57" s="649"/>
      <c r="DL57" s="651"/>
      <c r="DM57" s="433"/>
      <c r="DN57" s="425"/>
      <c r="DO57" s="426"/>
      <c r="DP57" s="854"/>
      <c r="DQ57" s="427"/>
      <c r="DR57" s="855"/>
      <c r="DS57" s="428"/>
      <c r="DT57" s="428"/>
      <c r="DU57" s="647"/>
      <c r="DV57" s="648"/>
      <c r="DW57" s="648"/>
      <c r="DX57" s="685"/>
      <c r="DY57" s="685"/>
      <c r="DZ57" s="686"/>
      <c r="EA57" s="686"/>
      <c r="EB57" s="686"/>
      <c r="EC57" s="686"/>
      <c r="ED57" s="686"/>
      <c r="EE57" s="686"/>
      <c r="EF57" s="409"/>
      <c r="EG57" s="686"/>
      <c r="EH57" s="691"/>
      <c r="EI57" s="856"/>
      <c r="EJ57" s="856"/>
      <c r="EK57" s="429"/>
      <c r="EL57" s="429"/>
      <c r="EM57" s="429"/>
      <c r="EN57" s="429"/>
      <c r="EO57" s="429"/>
      <c r="EP57" s="429"/>
      <c r="EQ57" s="429"/>
      <c r="ER57" s="429"/>
      <c r="ES57" s="429"/>
      <c r="ET57" s="429"/>
      <c r="EU57" s="429"/>
      <c r="EV57" s="429"/>
      <c r="EW57" s="429"/>
      <c r="EX57" s="429"/>
      <c r="EY57" s="429"/>
      <c r="EZ57" s="429"/>
      <c r="FA57" s="429"/>
      <c r="FB57" s="429"/>
      <c r="FC57" s="429"/>
      <c r="FD57" s="429"/>
      <c r="FE57" s="430"/>
      <c r="FF57" s="430"/>
      <c r="FG57" s="430"/>
      <c r="FH57" s="431"/>
      <c r="FI57" s="431"/>
      <c r="FJ57" s="431"/>
      <c r="FK57" s="431"/>
      <c r="FL57" s="431"/>
      <c r="FM57" s="430"/>
      <c r="FN57" s="430"/>
      <c r="FO57" s="430"/>
      <c r="FP57" s="431"/>
      <c r="FQ57" s="431"/>
      <c r="FR57" s="431"/>
      <c r="FS57" s="431"/>
      <c r="FT57" s="431"/>
      <c r="FU57" s="431"/>
      <c r="FV57" s="431"/>
      <c r="FW57" s="431"/>
      <c r="FX57" s="431"/>
      <c r="FY57" s="431"/>
      <c r="FZ57" s="431"/>
      <c r="GA57" s="431"/>
      <c r="GB57" s="431"/>
      <c r="GC57" s="431"/>
      <c r="GD57" s="429"/>
      <c r="GE57" s="431"/>
      <c r="GF57" s="431"/>
      <c r="GG57" s="431"/>
      <c r="GH57" s="431"/>
      <c r="GI57" s="431"/>
      <c r="GJ57" s="431"/>
      <c r="GK57" s="431"/>
      <c r="GL57" s="429"/>
      <c r="GM57" s="431"/>
      <c r="GN57" s="431"/>
      <c r="GO57" s="431"/>
      <c r="GP57" s="431"/>
      <c r="GQ57" s="429"/>
      <c r="GR57" s="431"/>
      <c r="GS57" s="431"/>
      <c r="GT57" s="431"/>
      <c r="GU57" s="429"/>
      <c r="GV57" s="429"/>
      <c r="GW57" s="429"/>
      <c r="GX57" s="429"/>
      <c r="GY57" s="429"/>
      <c r="GZ57" s="429"/>
      <c r="HA57" s="429"/>
      <c r="HB57" s="429"/>
      <c r="HC57" s="429"/>
      <c r="HD57" s="429"/>
      <c r="HE57" s="431"/>
      <c r="HF57" s="431"/>
      <c r="HG57" s="431"/>
      <c r="HH57" s="431"/>
      <c r="HI57" s="431"/>
      <c r="HJ57" s="431"/>
      <c r="HK57" s="857"/>
      <c r="HL57" s="431"/>
      <c r="HM57" s="431"/>
      <c r="HN57" s="431"/>
    </row>
    <row r="58" spans="1:224" s="432" customFormat="1" ht="12.75" customHeight="1" x14ac:dyDescent="0.35">
      <c r="A58" s="291"/>
      <c r="B58" s="404"/>
      <c r="C58" s="404"/>
      <c r="D58" s="405"/>
      <c r="E58" s="406"/>
      <c r="F58" s="406"/>
      <c r="G58" s="406"/>
      <c r="H58" s="406"/>
      <c r="I58" s="406"/>
      <c r="J58" s="406"/>
      <c r="K58" s="406"/>
      <c r="L58" s="406"/>
      <c r="M58" s="406"/>
      <c r="N58" s="406"/>
      <c r="O58" s="453"/>
      <c r="P58" s="709"/>
      <c r="Q58" s="680"/>
      <c r="R58" s="407"/>
      <c r="S58" s="407"/>
      <c r="T58" s="408"/>
      <c r="U58" s="409"/>
      <c r="V58" s="410"/>
      <c r="W58" s="448"/>
      <c r="X58" s="449"/>
      <c r="Y58" s="411"/>
      <c r="Z58" s="449"/>
      <c r="AA58" s="411"/>
      <c r="AB58" s="411"/>
      <c r="AC58" s="450"/>
      <c r="AD58" s="412"/>
      <c r="AE58" s="413"/>
      <c r="AF58" s="413"/>
      <c r="AG58" s="414"/>
      <c r="AH58" s="414"/>
      <c r="AI58" s="414"/>
      <c r="AJ58" s="415"/>
      <c r="AK58" s="416"/>
      <c r="AL58" s="413"/>
      <c r="AM58" s="410"/>
      <c r="AN58" s="410"/>
      <c r="AO58" s="410"/>
      <c r="AP58" s="410"/>
      <c r="AQ58" s="410"/>
      <c r="AR58" s="410"/>
      <c r="AS58" s="410"/>
      <c r="AT58" s="410"/>
      <c r="AU58" s="410"/>
      <c r="AV58" s="410"/>
      <c r="AW58" s="410"/>
      <c r="AX58" s="410"/>
      <c r="AY58" s="410"/>
      <c r="AZ58" s="410"/>
      <c r="BA58" s="410"/>
      <c r="BB58" s="410"/>
      <c r="BC58" s="410"/>
      <c r="BD58" s="410"/>
      <c r="BE58" s="410"/>
      <c r="BF58" s="410"/>
      <c r="BG58" s="410"/>
      <c r="BH58" s="410"/>
      <c r="BI58" s="410"/>
      <c r="BJ58" s="410"/>
      <c r="BK58" s="509"/>
      <c r="BL58" s="509"/>
      <c r="BM58" s="509"/>
      <c r="BN58" s="510"/>
      <c r="BO58" s="510"/>
      <c r="BP58" s="511"/>
      <c r="BQ58" s="510"/>
      <c r="BR58" s="512"/>
      <c r="BS58" s="510"/>
      <c r="BT58" s="513"/>
      <c r="BU58" s="510"/>
      <c r="BV58" s="514"/>
      <c r="BW58" s="514"/>
      <c r="BX58" s="506"/>
      <c r="BY58" s="510"/>
      <c r="BZ58" s="514"/>
      <c r="CA58" s="514"/>
      <c r="CB58" s="510"/>
      <c r="CC58" s="510"/>
      <c r="CD58" s="514"/>
      <c r="CE58" s="510"/>
      <c r="CF58" s="510"/>
      <c r="CG58" s="510"/>
      <c r="CH58" s="510"/>
      <c r="CI58" s="515"/>
      <c r="CJ58" s="508"/>
      <c r="CK58" s="516"/>
      <c r="CL58" s="516"/>
      <c r="CM58" s="417"/>
      <c r="CN58" s="418"/>
      <c r="CO58" s="418"/>
      <c r="CP58" s="419"/>
      <c r="CQ58" s="420"/>
      <c r="CR58" s="419"/>
      <c r="CS58" s="421"/>
      <c r="CT58" s="422"/>
      <c r="CU58" s="516"/>
      <c r="CV58" s="423"/>
      <c r="CW58" s="652"/>
      <c r="CX58" s="517"/>
      <c r="CY58" s="658"/>
      <c r="CZ58" s="656"/>
      <c r="DA58" s="518"/>
      <c r="DB58" s="519"/>
      <c r="DC58" s="853"/>
      <c r="DD58" s="853"/>
      <c r="DE58" s="659"/>
      <c r="DF58" s="656"/>
      <c r="DG58" s="518"/>
      <c r="DH58" s="519"/>
      <c r="DI58" s="424"/>
      <c r="DJ58" s="522"/>
      <c r="DK58" s="649"/>
      <c r="DL58" s="651"/>
      <c r="DM58" s="433"/>
      <c r="DN58" s="425"/>
      <c r="DO58" s="426"/>
      <c r="DP58" s="854"/>
      <c r="DQ58" s="427"/>
      <c r="DR58" s="855"/>
      <c r="DS58" s="428"/>
      <c r="DT58" s="428"/>
      <c r="DU58" s="647"/>
      <c r="DV58" s="648"/>
      <c r="DW58" s="648"/>
      <c r="DX58" s="685"/>
      <c r="DY58" s="685"/>
      <c r="DZ58" s="686"/>
      <c r="EA58" s="686"/>
      <c r="EB58" s="686"/>
      <c r="EC58" s="686"/>
      <c r="ED58" s="686"/>
      <c r="EE58" s="686"/>
      <c r="EF58" s="409"/>
      <c r="EG58" s="686"/>
      <c r="EH58" s="691"/>
      <c r="EI58" s="856"/>
      <c r="EJ58" s="856"/>
      <c r="EK58" s="429"/>
      <c r="EL58" s="429"/>
      <c r="EM58" s="429"/>
      <c r="EN58" s="429"/>
      <c r="EO58" s="429"/>
      <c r="EP58" s="429"/>
      <c r="EQ58" s="429"/>
      <c r="ER58" s="429"/>
      <c r="ES58" s="429"/>
      <c r="ET58" s="429"/>
      <c r="EU58" s="429"/>
      <c r="EV58" s="429"/>
      <c r="EW58" s="429"/>
      <c r="EX58" s="429"/>
      <c r="EY58" s="429"/>
      <c r="EZ58" s="429"/>
      <c r="FA58" s="429"/>
      <c r="FB58" s="429"/>
      <c r="FC58" s="429"/>
      <c r="FD58" s="429"/>
      <c r="FE58" s="430"/>
      <c r="FF58" s="430"/>
      <c r="FG58" s="430"/>
      <c r="FH58" s="431"/>
      <c r="FI58" s="431"/>
      <c r="FJ58" s="431"/>
      <c r="FK58" s="431"/>
      <c r="FL58" s="431"/>
      <c r="FM58" s="430"/>
      <c r="FN58" s="430"/>
      <c r="FO58" s="430"/>
      <c r="FP58" s="431"/>
      <c r="FQ58" s="431"/>
      <c r="FR58" s="431"/>
      <c r="FS58" s="431"/>
      <c r="FT58" s="431"/>
      <c r="FU58" s="431"/>
      <c r="FV58" s="431"/>
      <c r="FW58" s="431"/>
      <c r="FX58" s="431"/>
      <c r="FY58" s="431"/>
      <c r="FZ58" s="431"/>
      <c r="GA58" s="431"/>
      <c r="GB58" s="431"/>
      <c r="GC58" s="431"/>
      <c r="GD58" s="429"/>
      <c r="GE58" s="431"/>
      <c r="GF58" s="431"/>
      <c r="GG58" s="431"/>
      <c r="GH58" s="431"/>
      <c r="GI58" s="431"/>
      <c r="GJ58" s="431"/>
      <c r="GK58" s="431"/>
      <c r="GL58" s="429"/>
      <c r="GM58" s="431"/>
      <c r="GN58" s="431"/>
      <c r="GO58" s="431"/>
      <c r="GP58" s="431"/>
      <c r="GQ58" s="429"/>
      <c r="GR58" s="431"/>
      <c r="GS58" s="431"/>
      <c r="GT58" s="431"/>
      <c r="GU58" s="429"/>
      <c r="GV58" s="429"/>
      <c r="GW58" s="429"/>
      <c r="GX58" s="429"/>
      <c r="GY58" s="429"/>
      <c r="GZ58" s="429"/>
      <c r="HA58" s="429"/>
      <c r="HB58" s="429"/>
      <c r="HC58" s="429"/>
      <c r="HD58" s="429"/>
      <c r="HE58" s="431"/>
      <c r="HF58" s="431"/>
      <c r="HG58" s="431"/>
      <c r="HH58" s="431"/>
      <c r="HI58" s="431"/>
      <c r="HJ58" s="431"/>
      <c r="HK58" s="857"/>
      <c r="HL58" s="431"/>
      <c r="HM58" s="431"/>
      <c r="HN58" s="431"/>
    </row>
    <row r="59" spans="1:224" s="432" customFormat="1" ht="12.75" customHeight="1" x14ac:dyDescent="0.35">
      <c r="A59" s="48"/>
      <c r="B59" s="404"/>
      <c r="C59" s="404"/>
      <c r="D59" s="405"/>
      <c r="E59" s="406"/>
      <c r="F59" s="406"/>
      <c r="G59" s="406"/>
      <c r="H59" s="406"/>
      <c r="I59" s="406"/>
      <c r="J59" s="406"/>
      <c r="K59" s="406"/>
      <c r="L59" s="406"/>
      <c r="M59" s="406"/>
      <c r="N59" s="406"/>
      <c r="O59" s="453"/>
      <c r="P59" s="709"/>
      <c r="Q59" s="680"/>
      <c r="R59" s="407"/>
      <c r="S59" s="407"/>
      <c r="T59" s="408"/>
      <c r="U59" s="409"/>
      <c r="V59" s="410"/>
      <c r="W59" s="448"/>
      <c r="X59" s="449"/>
      <c r="Y59" s="411"/>
      <c r="Z59" s="449"/>
      <c r="AA59" s="411"/>
      <c r="AB59" s="411"/>
      <c r="AC59" s="450"/>
      <c r="AD59" s="412"/>
      <c r="AE59" s="413"/>
      <c r="AF59" s="413"/>
      <c r="AG59" s="414"/>
      <c r="AH59" s="414"/>
      <c r="AI59" s="414"/>
      <c r="AJ59" s="415"/>
      <c r="AK59" s="416"/>
      <c r="AL59" s="413"/>
      <c r="AM59" s="410"/>
      <c r="AN59" s="410"/>
      <c r="AO59" s="410"/>
      <c r="AP59" s="410"/>
      <c r="AQ59" s="410"/>
      <c r="AR59" s="410"/>
      <c r="AS59" s="410"/>
      <c r="AT59" s="410"/>
      <c r="AU59" s="410"/>
      <c r="AV59" s="410"/>
      <c r="AW59" s="410"/>
      <c r="AX59" s="410"/>
      <c r="AY59" s="410"/>
      <c r="AZ59" s="410"/>
      <c r="BA59" s="410"/>
      <c r="BB59" s="410"/>
      <c r="BC59" s="410"/>
      <c r="BD59" s="410"/>
      <c r="BE59" s="410"/>
      <c r="BF59" s="410"/>
      <c r="BG59" s="410"/>
      <c r="BH59" s="410"/>
      <c r="BI59" s="410"/>
      <c r="BJ59" s="410"/>
      <c r="BK59" s="509"/>
      <c r="BL59" s="509"/>
      <c r="BM59" s="509"/>
      <c r="BN59" s="510"/>
      <c r="BO59" s="510"/>
      <c r="BP59" s="511"/>
      <c r="BQ59" s="510"/>
      <c r="BR59" s="512"/>
      <c r="BS59" s="510"/>
      <c r="BT59" s="513"/>
      <c r="BU59" s="510"/>
      <c r="BV59" s="514"/>
      <c r="BW59" s="514"/>
      <c r="BX59" s="506"/>
      <c r="BY59" s="510"/>
      <c r="BZ59" s="514"/>
      <c r="CA59" s="514"/>
      <c r="CB59" s="510"/>
      <c r="CC59" s="510"/>
      <c r="CD59" s="514"/>
      <c r="CE59" s="510"/>
      <c r="CF59" s="510"/>
      <c r="CG59" s="510"/>
      <c r="CH59" s="510"/>
      <c r="CI59" s="515"/>
      <c r="CJ59" s="508"/>
      <c r="CK59" s="516"/>
      <c r="CL59" s="516"/>
      <c r="CM59" s="417"/>
      <c r="CN59" s="418"/>
      <c r="CO59" s="418"/>
      <c r="CP59" s="419"/>
      <c r="CQ59" s="420"/>
      <c r="CR59" s="419"/>
      <c r="CS59" s="421"/>
      <c r="CT59" s="422"/>
      <c r="CU59" s="516"/>
      <c r="CV59" s="423"/>
      <c r="CW59" s="652"/>
      <c r="CX59" s="517"/>
      <c r="CY59" s="658"/>
      <c r="CZ59" s="656"/>
      <c r="DA59" s="518"/>
      <c r="DB59" s="519"/>
      <c r="DC59" s="853"/>
      <c r="DD59" s="853"/>
      <c r="DE59" s="659"/>
      <c r="DF59" s="656"/>
      <c r="DG59" s="518"/>
      <c r="DH59" s="519"/>
      <c r="DI59" s="424"/>
      <c r="DJ59" s="522"/>
      <c r="DK59" s="649"/>
      <c r="DL59" s="651"/>
      <c r="DM59" s="433"/>
      <c r="DN59" s="425"/>
      <c r="DO59" s="426"/>
      <c r="DP59" s="854"/>
      <c r="DQ59" s="427"/>
      <c r="DR59" s="855"/>
      <c r="DS59" s="428"/>
      <c r="DT59" s="428"/>
      <c r="DU59" s="647"/>
      <c r="DV59" s="648"/>
      <c r="DW59" s="648"/>
      <c r="DX59" s="685"/>
      <c r="DY59" s="685"/>
      <c r="DZ59" s="686"/>
      <c r="EA59" s="686"/>
      <c r="EB59" s="686"/>
      <c r="EC59" s="686"/>
      <c r="ED59" s="686"/>
      <c r="EE59" s="686"/>
      <c r="EF59" s="409"/>
      <c r="EG59" s="686"/>
      <c r="EH59" s="691"/>
      <c r="EI59" s="856"/>
      <c r="EJ59" s="856"/>
      <c r="EK59" s="429"/>
      <c r="EL59" s="429"/>
      <c r="EM59" s="429"/>
      <c r="EN59" s="429"/>
      <c r="EO59" s="429"/>
      <c r="EP59" s="429"/>
      <c r="EQ59" s="429"/>
      <c r="ER59" s="429"/>
      <c r="ES59" s="429"/>
      <c r="ET59" s="429"/>
      <c r="EU59" s="429"/>
      <c r="EV59" s="429"/>
      <c r="EW59" s="429"/>
      <c r="EX59" s="429"/>
      <c r="EY59" s="429"/>
      <c r="EZ59" s="429"/>
      <c r="FA59" s="429"/>
      <c r="FB59" s="429"/>
      <c r="FC59" s="429"/>
      <c r="FD59" s="429"/>
      <c r="FE59" s="430"/>
      <c r="FF59" s="430"/>
      <c r="FG59" s="430"/>
      <c r="FH59" s="431"/>
      <c r="FI59" s="431"/>
      <c r="FJ59" s="431"/>
      <c r="FK59" s="431"/>
      <c r="FL59" s="431"/>
      <c r="FM59" s="430"/>
      <c r="FN59" s="430"/>
      <c r="FO59" s="430"/>
      <c r="FP59" s="431"/>
      <c r="FQ59" s="431"/>
      <c r="FR59" s="431"/>
      <c r="FS59" s="431"/>
      <c r="FT59" s="431"/>
      <c r="FU59" s="431"/>
      <c r="FV59" s="431"/>
      <c r="FW59" s="431"/>
      <c r="FX59" s="431"/>
      <c r="FY59" s="431"/>
      <c r="FZ59" s="431"/>
      <c r="GA59" s="431"/>
      <c r="GB59" s="431"/>
      <c r="GC59" s="431"/>
      <c r="GD59" s="429"/>
      <c r="GE59" s="431"/>
      <c r="GF59" s="431"/>
      <c r="GG59" s="431"/>
      <c r="GH59" s="431"/>
      <c r="GI59" s="431"/>
      <c r="GJ59" s="431"/>
      <c r="GK59" s="431"/>
      <c r="GL59" s="429"/>
      <c r="GM59" s="431"/>
      <c r="GN59" s="431"/>
      <c r="GO59" s="431"/>
      <c r="GP59" s="431"/>
      <c r="GQ59" s="429"/>
      <c r="GR59" s="431"/>
      <c r="GS59" s="431"/>
      <c r="GT59" s="431"/>
      <c r="GU59" s="429"/>
      <c r="GV59" s="429"/>
      <c r="GW59" s="429"/>
      <c r="GX59" s="429"/>
      <c r="GY59" s="429"/>
      <c r="GZ59" s="429"/>
      <c r="HA59" s="429"/>
      <c r="HB59" s="429"/>
      <c r="HC59" s="429"/>
      <c r="HD59" s="429"/>
      <c r="HE59" s="431"/>
      <c r="HF59" s="431"/>
      <c r="HG59" s="431"/>
      <c r="HH59" s="431"/>
      <c r="HI59" s="431"/>
      <c r="HJ59" s="431"/>
      <c r="HK59" s="857"/>
      <c r="HL59" s="431"/>
      <c r="HM59" s="431"/>
      <c r="HN59" s="431"/>
    </row>
    <row r="60" spans="1:224" s="486" customFormat="1" ht="12.75" customHeight="1" x14ac:dyDescent="0.4">
      <c r="A60" s="454" t="s">
        <v>246</v>
      </c>
      <c r="B60" s="454"/>
      <c r="C60" s="454"/>
      <c r="D60" s="454"/>
      <c r="E60" s="337"/>
      <c r="F60" s="337"/>
      <c r="G60" s="337"/>
      <c r="H60" s="337"/>
      <c r="I60" s="337"/>
      <c r="J60" s="337"/>
      <c r="K60" s="337"/>
      <c r="L60" s="337"/>
      <c r="M60" s="337"/>
      <c r="N60" s="337"/>
      <c r="O60" s="337"/>
      <c r="P60" s="681"/>
      <c r="Q60" s="681"/>
      <c r="R60" s="455"/>
      <c r="S60" s="455"/>
      <c r="T60" s="456"/>
      <c r="U60" s="457"/>
      <c r="V60" s="458"/>
      <c r="W60" s="459"/>
      <c r="X60" s="459"/>
      <c r="Y60" s="459"/>
      <c r="Z60" s="459"/>
      <c r="AA60" s="460"/>
      <c r="AB60" s="461"/>
      <c r="AC60" s="462"/>
      <c r="AD60" s="461">
        <v>0</v>
      </c>
      <c r="AE60" s="461"/>
      <c r="AF60" s="461"/>
      <c r="AG60" s="461"/>
      <c r="AH60" s="461"/>
      <c r="AI60" s="461"/>
      <c r="AJ60" s="461"/>
      <c r="AK60" s="461"/>
      <c r="AL60" s="461"/>
      <c r="AM60" s="461"/>
      <c r="AN60" s="463"/>
      <c r="AO60" s="463"/>
      <c r="AP60" s="463"/>
      <c r="AQ60" s="463"/>
      <c r="AR60" s="463"/>
      <c r="AS60" s="461"/>
      <c r="AT60" s="463"/>
      <c r="AU60" s="463"/>
      <c r="AV60" s="463"/>
      <c r="AW60" s="463"/>
      <c r="AX60" s="463"/>
      <c r="AY60" s="463"/>
      <c r="AZ60" s="463"/>
      <c r="BA60" s="463"/>
      <c r="BB60" s="463"/>
      <c r="BC60" s="463"/>
      <c r="BD60" s="463"/>
      <c r="BE60" s="463"/>
      <c r="BF60" s="463"/>
      <c r="BG60" s="463"/>
      <c r="BH60" s="463"/>
      <c r="BI60" s="463"/>
      <c r="BJ60" s="463"/>
      <c r="BK60" s="464"/>
      <c r="BL60" s="464"/>
      <c r="BM60" s="465"/>
      <c r="BN60" s="466"/>
      <c r="BO60" s="466"/>
      <c r="BP60" s="466"/>
      <c r="BQ60" s="466"/>
      <c r="BR60" s="467"/>
      <c r="BS60" s="467"/>
      <c r="BT60" s="467"/>
      <c r="BU60" s="468"/>
      <c r="BV60" s="468"/>
      <c r="BW60" s="468"/>
      <c r="BX60" s="468"/>
      <c r="BY60" s="467"/>
      <c r="BZ60" s="467"/>
      <c r="CA60" s="467"/>
      <c r="CB60" s="467"/>
      <c r="CC60" s="467"/>
      <c r="CD60" s="467"/>
      <c r="CE60" s="467"/>
      <c r="CF60" s="467"/>
      <c r="CG60" s="459"/>
      <c r="CH60" s="459"/>
      <c r="CI60" s="459"/>
      <c r="CJ60" s="459"/>
      <c r="CK60" s="467"/>
      <c r="CL60" s="467"/>
      <c r="CM60" s="467"/>
      <c r="CN60" s="469"/>
      <c r="CO60" s="469"/>
      <c r="CP60" s="470"/>
      <c r="CQ60" s="470"/>
      <c r="CR60" s="470"/>
      <c r="CS60" s="470"/>
      <c r="CT60" s="464"/>
      <c r="CU60" s="467"/>
      <c r="CV60" s="469"/>
      <c r="CW60" s="469"/>
      <c r="CX60" s="469"/>
      <c r="CY60" s="470"/>
      <c r="CZ60" s="464"/>
      <c r="DA60" s="464"/>
      <c r="DB60" s="464"/>
      <c r="DC60" s="464"/>
      <c r="DD60" s="467"/>
      <c r="DE60" s="467"/>
      <c r="DF60" s="467"/>
      <c r="DG60" s="467"/>
      <c r="DH60" s="467"/>
      <c r="DI60" s="467"/>
      <c r="DJ60" s="467"/>
      <c r="DK60" s="467"/>
      <c r="DL60" s="467"/>
      <c r="DM60" s="467"/>
      <c r="DN60" s="471"/>
      <c r="DO60" s="467"/>
      <c r="DP60" s="467"/>
      <c r="DQ60" s="467"/>
      <c r="DR60" s="472"/>
      <c r="DS60" s="473"/>
      <c r="DT60" s="473"/>
      <c r="DU60" s="474"/>
      <c r="DV60" s="467"/>
      <c r="DW60" s="475"/>
      <c r="DX60" s="687"/>
      <c r="DY60" s="687"/>
      <c r="DZ60" s="688"/>
      <c r="EA60" s="688"/>
      <c r="EB60" s="688"/>
      <c r="EC60" s="688"/>
      <c r="ED60" s="688"/>
      <c r="EE60" s="688"/>
      <c r="EF60" s="476"/>
      <c r="EG60" s="688"/>
      <c r="EH60" s="688"/>
      <c r="EI60" s="458"/>
      <c r="EJ60" s="477"/>
      <c r="EK60" s="478"/>
      <c r="EL60" s="479"/>
      <c r="EM60" s="479"/>
      <c r="EN60" s="479"/>
      <c r="EO60" s="479"/>
      <c r="EP60" s="479"/>
      <c r="EQ60" s="479"/>
      <c r="ER60" s="479"/>
      <c r="ES60" s="479"/>
      <c r="ET60" s="479"/>
      <c r="EU60" s="459"/>
      <c r="EV60" s="459"/>
      <c r="EW60" s="459"/>
      <c r="EX60" s="459"/>
      <c r="EY60" s="459"/>
      <c r="EZ60" s="459"/>
      <c r="FA60" s="459"/>
      <c r="FB60" s="459"/>
      <c r="FC60" s="459"/>
      <c r="FD60" s="459"/>
      <c r="FE60" s="480"/>
      <c r="FF60" s="480"/>
      <c r="FG60" s="480"/>
      <c r="FH60" s="481"/>
      <c r="FI60" s="482"/>
      <c r="FJ60" s="482"/>
      <c r="FK60" s="482"/>
      <c r="FL60" s="482"/>
      <c r="FM60" s="482"/>
      <c r="FN60" s="482"/>
      <c r="FO60" s="482"/>
      <c r="FP60" s="482"/>
      <c r="FQ60" s="482"/>
      <c r="FR60" s="482"/>
      <c r="FS60" s="482"/>
      <c r="FT60" s="482"/>
      <c r="FU60" s="482"/>
      <c r="FV60" s="482"/>
      <c r="FW60" s="482"/>
      <c r="FX60" s="482"/>
      <c r="FY60" s="482"/>
      <c r="FZ60" s="482"/>
      <c r="GA60" s="482"/>
      <c r="GB60" s="482"/>
      <c r="GC60" s="482"/>
      <c r="GD60" s="482"/>
      <c r="GE60" s="482"/>
      <c r="GF60" s="482"/>
      <c r="GG60" s="483"/>
      <c r="GH60" s="479"/>
      <c r="GI60" s="479"/>
      <c r="GJ60" s="484"/>
      <c r="GK60" s="482"/>
      <c r="GL60" s="482"/>
      <c r="GM60" s="482"/>
      <c r="GN60" s="482"/>
      <c r="GO60" s="482"/>
      <c r="GP60" s="482"/>
      <c r="GQ60" s="482"/>
      <c r="GR60" s="482"/>
      <c r="GS60" s="482"/>
      <c r="GT60" s="482"/>
      <c r="GU60" s="482"/>
      <c r="GV60" s="482"/>
      <c r="GW60" s="482"/>
      <c r="GX60" s="482"/>
      <c r="GY60" s="482"/>
      <c r="GZ60" s="482"/>
      <c r="HA60" s="482"/>
      <c r="HB60" s="482"/>
      <c r="HC60" s="482"/>
      <c r="HD60" s="482"/>
      <c r="HE60" s="485"/>
      <c r="HF60" s="485"/>
      <c r="HG60" s="485"/>
      <c r="HH60" s="485"/>
      <c r="HI60" s="485"/>
      <c r="HJ60" s="485"/>
      <c r="HK60" s="485"/>
      <c r="HL60" s="485"/>
      <c r="HM60" s="485"/>
      <c r="HN60" s="479"/>
      <c r="HO60" s="485"/>
      <c r="HP60" s="485"/>
    </row>
    <row r="61" spans="1:224" s="295" customFormat="1" ht="14.25" customHeight="1" x14ac:dyDescent="0.35">
      <c r="C61" s="295" t="s">
        <v>247</v>
      </c>
      <c r="P61" s="682"/>
      <c r="Q61" s="682"/>
      <c r="U61" s="434">
        <f>SUMPRODUCT(U9:U60,Y9:Y60)/SUM(Y9:Y60)</f>
        <v>0.61592342307181047</v>
      </c>
      <c r="V61" s="435">
        <f>SUM(V9:V60)</f>
        <v>247996703.6486333</v>
      </c>
      <c r="W61" s="435">
        <f>SUM(W9:W60)</f>
        <v>345231191.00440776</v>
      </c>
      <c r="X61" s="435"/>
      <c r="Y61" s="435">
        <f>SUM(Y9:Y60)</f>
        <v>345231191.00440776</v>
      </c>
      <c r="Z61" s="435"/>
      <c r="AA61" s="435"/>
      <c r="AB61" s="435"/>
      <c r="AC61" s="435"/>
      <c r="AE61" s="436"/>
      <c r="AF61" s="436"/>
      <c r="AG61" s="343"/>
      <c r="AH61" s="343"/>
      <c r="AI61" s="343"/>
      <c r="AJ61" s="343"/>
      <c r="AK61" s="343"/>
      <c r="AL61" s="434">
        <f>AVERAGE(AL9:AL60)</f>
        <v>0.62557088075131928</v>
      </c>
      <c r="AM61" s="436">
        <f t="shared" ref="AM61:BI61" si="167">SUM(AM9:AM60)</f>
        <v>0</v>
      </c>
      <c r="AN61" s="436">
        <f t="shared" si="167"/>
        <v>0</v>
      </c>
      <c r="AO61" s="436">
        <f t="shared" si="167"/>
        <v>153097953.55428821</v>
      </c>
      <c r="AP61" s="436">
        <f t="shared" si="167"/>
        <v>56801870.473609172</v>
      </c>
      <c r="AQ61" s="436">
        <f t="shared" si="167"/>
        <v>134989734.57689992</v>
      </c>
      <c r="AR61" s="436">
        <f t="shared" si="167"/>
        <v>0</v>
      </c>
      <c r="AS61" s="436">
        <f t="shared" si="167"/>
        <v>0</v>
      </c>
      <c r="AT61" s="436">
        <f t="shared" si="167"/>
        <v>0</v>
      </c>
      <c r="AU61" s="436">
        <f t="shared" si="167"/>
        <v>135331366.97651047</v>
      </c>
      <c r="AV61" s="436">
        <f t="shared" si="167"/>
        <v>0</v>
      </c>
      <c r="AW61" s="436">
        <f t="shared" si="167"/>
        <v>113006969.07173337</v>
      </c>
      <c r="AX61" s="436">
        <f t="shared" si="167"/>
        <v>0</v>
      </c>
      <c r="AY61" s="436">
        <f t="shared" si="167"/>
        <v>0</v>
      </c>
      <c r="AZ61" s="436">
        <f t="shared" si="167"/>
        <v>0</v>
      </c>
      <c r="BA61" s="436">
        <f t="shared" si="167"/>
        <v>0</v>
      </c>
      <c r="BB61" s="436">
        <f t="shared" si="167"/>
        <v>0</v>
      </c>
      <c r="BC61" s="436">
        <f t="shared" si="167"/>
        <v>0</v>
      </c>
      <c r="BD61" s="436">
        <f t="shared" si="167"/>
        <v>0</v>
      </c>
      <c r="BE61" s="436">
        <f t="shared" si="167"/>
        <v>0</v>
      </c>
      <c r="BF61" s="436">
        <f t="shared" si="167"/>
        <v>0</v>
      </c>
      <c r="BG61" s="436">
        <f t="shared" si="167"/>
        <v>0</v>
      </c>
      <c r="BH61" s="436">
        <f t="shared" si="167"/>
        <v>0</v>
      </c>
      <c r="BI61" s="436">
        <f t="shared" si="167"/>
        <v>0</v>
      </c>
      <c r="BJ61" s="436"/>
      <c r="BK61" s="436"/>
      <c r="BL61" s="436"/>
      <c r="BM61" s="436"/>
      <c r="BN61" s="342"/>
      <c r="BO61" s="342"/>
      <c r="BP61" s="342"/>
      <c r="BQ61" s="342"/>
      <c r="BS61" s="437"/>
      <c r="BT61" s="437"/>
      <c r="BU61" s="342"/>
      <c r="BV61" s="342"/>
      <c r="BW61" s="342"/>
      <c r="BX61" s="342"/>
      <c r="BY61" s="437"/>
      <c r="BZ61" s="437"/>
      <c r="CA61" s="437"/>
      <c r="CB61" s="437"/>
      <c r="CC61" s="437"/>
      <c r="CD61" s="437"/>
      <c r="CE61" s="437"/>
      <c r="CF61" s="437"/>
      <c r="CG61" s="435"/>
      <c r="CH61" s="435"/>
      <c r="CI61" s="435"/>
      <c r="CJ61" s="435"/>
      <c r="CK61" s="437"/>
      <c r="CL61" s="437"/>
      <c r="CM61" s="437"/>
      <c r="CN61" s="437"/>
      <c r="CO61" s="437"/>
      <c r="CP61" s="437"/>
      <c r="CQ61" s="437"/>
      <c r="CR61" s="437"/>
      <c r="CS61" s="437"/>
      <c r="CT61" s="437"/>
      <c r="CU61" s="437"/>
      <c r="CV61" s="437"/>
      <c r="CW61" s="437"/>
      <c r="CX61" s="437"/>
      <c r="CY61" s="437"/>
      <c r="CZ61" s="437"/>
      <c r="DA61" s="437"/>
      <c r="DB61" s="437"/>
      <c r="DC61" s="437"/>
      <c r="DD61" s="437"/>
      <c r="DE61" s="437"/>
      <c r="DF61" s="437"/>
      <c r="DG61" s="437"/>
      <c r="DH61" s="437"/>
      <c r="DI61" s="437"/>
      <c r="DJ61" s="437"/>
      <c r="DK61" s="437"/>
      <c r="DL61" s="438"/>
      <c r="DM61" s="437"/>
      <c r="DN61" s="437"/>
      <c r="DO61" s="437"/>
      <c r="DP61" s="437"/>
      <c r="DQ61" s="437"/>
      <c r="DR61" s="436"/>
      <c r="DS61" s="436"/>
      <c r="DT61" s="436"/>
      <c r="DU61" s="437"/>
      <c r="DV61" s="437"/>
      <c r="DW61" s="437"/>
      <c r="DX61" s="689"/>
      <c r="DY61" s="689"/>
      <c r="DZ61" s="689"/>
      <c r="EA61" s="689"/>
      <c r="EB61" s="689"/>
      <c r="EC61" s="689"/>
      <c r="ED61" s="689"/>
      <c r="EE61" s="689"/>
      <c r="EF61" s="437"/>
      <c r="EG61" s="689"/>
      <c r="EH61" s="689"/>
      <c r="EI61" s="435"/>
      <c r="EJ61" s="435"/>
      <c r="EK61" s="435">
        <f>SUM(EK9:EK60)</f>
        <v>247996703.6486333</v>
      </c>
      <c r="EL61" s="435"/>
      <c r="EM61" s="435"/>
      <c r="EN61" s="435">
        <f>MAX(EN9:EN60)</f>
        <v>4121303.4157976536</v>
      </c>
      <c r="EO61" s="435">
        <f>SUM(EO9:EO60)</f>
        <v>0</v>
      </c>
      <c r="EP61" s="435"/>
      <c r="EQ61" s="435"/>
      <c r="ER61" s="435">
        <f>MAX(ER9:ER60)</f>
        <v>0</v>
      </c>
      <c r="ES61" s="435">
        <f>SUM(ES9:ES60)</f>
        <v>0</v>
      </c>
      <c r="ET61" s="435">
        <f>SUM(ET9:ET60)</f>
        <v>247996703.6486333</v>
      </c>
      <c r="EU61" s="435"/>
      <c r="EV61" s="435"/>
      <c r="EW61" s="435">
        <f>MAX(EW9:EW60)</f>
        <v>53940434.707607172</v>
      </c>
      <c r="EX61" s="435">
        <f>SUM(EX9:EX60)</f>
        <v>0</v>
      </c>
      <c r="EY61" s="435">
        <f>SUM(EY9:EY60)</f>
        <v>247996703.6486333</v>
      </c>
      <c r="EZ61" s="435"/>
      <c r="FA61" s="435"/>
      <c r="FB61" s="435">
        <f>MAX(FB9:FB60)</f>
        <v>0</v>
      </c>
      <c r="FC61" s="435">
        <f>SUM(FC9:FC60)</f>
        <v>0</v>
      </c>
      <c r="FD61" s="435">
        <f>SUM(FD9:FD60)</f>
        <v>247996703.6486333</v>
      </c>
      <c r="FE61" s="435"/>
      <c r="FF61" s="435"/>
      <c r="FG61" s="435"/>
      <c r="FH61" s="335"/>
      <c r="FI61" s="437">
        <f>MAX(FI9:FI60)</f>
        <v>19507632.143256925</v>
      </c>
      <c r="FJ61" s="437"/>
      <c r="FK61" s="437"/>
      <c r="FL61" s="437"/>
      <c r="FM61" s="435">
        <f>SUM(FM9:FM60)</f>
        <v>0</v>
      </c>
      <c r="FN61" s="435">
        <f>SUM(FN9:FN60)</f>
        <v>0</v>
      </c>
      <c r="FO61" s="435">
        <f>SUM(FO9:FO60)</f>
        <v>0</v>
      </c>
      <c r="FP61" s="435">
        <f>SUM(FP9:FP60)</f>
        <v>907879.36960942671</v>
      </c>
      <c r="FQ61" s="435">
        <f>SUM(FQ9:FQ60)</f>
        <v>247088824.27902386</v>
      </c>
      <c r="FR61" s="437"/>
      <c r="FS61" s="437">
        <f>INDEX(FS9:FS60,MATCH(1,FT9:FT60,0))</f>
        <v>46042971.865242489</v>
      </c>
      <c r="FT61" s="437"/>
      <c r="FU61" s="435">
        <f>SUM(FU9:FU60)</f>
        <v>0</v>
      </c>
      <c r="FV61" s="435">
        <f>SUM(FV9:FV60)</f>
        <v>247088824.27902386</v>
      </c>
      <c r="FW61" s="437"/>
      <c r="FX61" s="437">
        <f>INDEX(FX9:FX60,MATCH(2,FY9:FY60,0))</f>
        <v>33599752.773647502</v>
      </c>
      <c r="FY61" s="437"/>
      <c r="FZ61" s="435">
        <f>SUM(FZ9:FZ60)</f>
        <v>0</v>
      </c>
      <c r="GA61" s="435">
        <f>SUM(GA9:GA60)</f>
        <v>247088824.27902386</v>
      </c>
      <c r="GB61" s="437"/>
      <c r="GC61" s="437">
        <f>INDEX(GC9:GC60,MATCH(3,GD9:GD60,0))</f>
        <v>24394399.03040082</v>
      </c>
      <c r="GD61" s="437"/>
      <c r="GE61" s="435">
        <f>SUM(GE9:GE60)</f>
        <v>0</v>
      </c>
      <c r="GF61" s="435">
        <f>SUM(GF9:GF60)</f>
        <v>247088824.27902386</v>
      </c>
      <c r="GG61" s="437"/>
      <c r="GH61" s="437">
        <f>MAX(GH9:GH60)</f>
        <v>0</v>
      </c>
      <c r="GI61" s="435">
        <f>SUM(GI9:GI60)</f>
        <v>0</v>
      </c>
      <c r="GJ61" s="435">
        <f>SUM(GJ9:GJ60)</f>
        <v>247088824.27902386</v>
      </c>
      <c r="GK61" s="437"/>
      <c r="GL61" s="437"/>
      <c r="GM61" s="437">
        <f>MAX(GM9:GM60)</f>
        <v>8077912.1877550166</v>
      </c>
      <c r="GN61" s="435">
        <f>SUM(GN9:GN60)</f>
        <v>0</v>
      </c>
      <c r="GO61" s="435">
        <f>SUM(GO9:GO60)</f>
        <v>247088824.27902386</v>
      </c>
      <c r="GP61" s="437"/>
      <c r="GQ61" s="437"/>
      <c r="GR61" s="437">
        <f>MAX(GR8:GR60)</f>
        <v>0</v>
      </c>
      <c r="GS61" s="435">
        <f>SUM(GS9:GS60)</f>
        <v>0</v>
      </c>
      <c r="GT61" s="435">
        <f>SUM(GT9:GT60)</f>
        <v>247088824.27902386</v>
      </c>
      <c r="GU61" s="437"/>
      <c r="GV61" s="437"/>
      <c r="GW61" s="435">
        <f>MAX(GW9:GW60)</f>
        <v>12656117.589817706</v>
      </c>
      <c r="GX61" s="435">
        <f>SUM(GX9:GX60)</f>
        <v>0</v>
      </c>
      <c r="GY61" s="435">
        <f>SUM(GY9:GY60)</f>
        <v>247088824.27902386</v>
      </c>
      <c r="GZ61" s="435"/>
      <c r="HA61" s="435"/>
      <c r="HB61" s="435">
        <f>MAX(HB9:HB60)</f>
        <v>0</v>
      </c>
      <c r="HC61" s="435">
        <f>SUM(HC9:HC60)</f>
        <v>0</v>
      </c>
      <c r="HD61" s="435">
        <f>SUM(HD9:HD60)</f>
        <v>247088824.27902386</v>
      </c>
      <c r="HE61" s="435">
        <f>SUM(HE9:HE60)</f>
        <v>134989734.57689992</v>
      </c>
      <c r="HF61" s="435"/>
      <c r="HG61" s="435">
        <f>SUM(HG9:HG60)</f>
        <v>112099089.70212394</v>
      </c>
      <c r="HH61" s="435"/>
      <c r="HI61" s="435">
        <f>SUM(HI9:HI60)</f>
        <v>0</v>
      </c>
      <c r="HJ61" s="435">
        <f>SUM(HJ9:HJ60)</f>
        <v>0</v>
      </c>
      <c r="HK61" s="435">
        <f>SUM(HK9:HK60)</f>
        <v>0</v>
      </c>
      <c r="HL61" s="435">
        <f>SUM(HL9:HL60)</f>
        <v>0</v>
      </c>
      <c r="HM61" s="435">
        <f>SUM(HM9:HM60)</f>
        <v>0</v>
      </c>
      <c r="HN61" s="437"/>
    </row>
    <row r="62" spans="1:224" s="295" customFormat="1" ht="14.25" customHeight="1" x14ac:dyDescent="0.35">
      <c r="P62" s="682"/>
      <c r="Q62" s="682"/>
      <c r="V62" s="439"/>
      <c r="W62" s="440">
        <v>93777489.800300002</v>
      </c>
      <c r="X62" s="439"/>
      <c r="Y62" s="439"/>
      <c r="Z62" s="439"/>
      <c r="AA62" s="439"/>
      <c r="AB62" s="439"/>
      <c r="AC62" s="439"/>
      <c r="AE62" s="441"/>
      <c r="AF62" s="434"/>
      <c r="AG62" s="343"/>
      <c r="AH62" s="343"/>
      <c r="AI62" s="343"/>
      <c r="AJ62" s="343"/>
      <c r="AK62" s="343"/>
      <c r="AL62" s="441"/>
      <c r="AM62" s="441"/>
      <c r="AN62" s="441"/>
      <c r="AO62" s="441"/>
      <c r="AP62" s="441"/>
      <c r="AQ62" s="441"/>
      <c r="AR62" s="441"/>
      <c r="AS62" s="441"/>
      <c r="AT62" s="441"/>
      <c r="AU62" s="441"/>
      <c r="AV62" s="441"/>
      <c r="AW62" s="441"/>
      <c r="AX62" s="441"/>
      <c r="AY62" s="441"/>
      <c r="AZ62" s="343"/>
      <c r="BA62" s="343"/>
      <c r="BB62" s="343"/>
      <c r="BC62" s="343"/>
      <c r="BD62" s="343"/>
      <c r="BE62" s="343"/>
      <c r="BF62" s="343"/>
      <c r="BG62" s="343"/>
      <c r="BH62" s="343"/>
      <c r="BI62" s="343"/>
      <c r="BJ62" s="343"/>
      <c r="BK62" s="343"/>
      <c r="BL62" s="343"/>
      <c r="BM62" s="441"/>
      <c r="BN62" s="342"/>
      <c r="BO62" s="342"/>
      <c r="BP62" s="342"/>
      <c r="BQ62" s="342"/>
      <c r="BU62" s="342"/>
      <c r="BV62" s="342"/>
      <c r="BW62" s="342"/>
      <c r="BX62" s="342"/>
      <c r="BY62" s="342"/>
      <c r="BZ62" s="342"/>
      <c r="CA62" s="342"/>
      <c r="CB62" s="342"/>
      <c r="CC62" s="342"/>
      <c r="CD62" s="342"/>
      <c r="CE62" s="342"/>
      <c r="CF62" s="342"/>
      <c r="CG62" s="439"/>
      <c r="CH62" s="439"/>
      <c r="CI62" s="439"/>
      <c r="CJ62" s="439"/>
      <c r="DD62" s="342"/>
      <c r="DL62" s="434"/>
      <c r="DR62" s="441"/>
      <c r="DS62" s="441"/>
      <c r="DT62" s="441"/>
      <c r="DU62" s="295" t="e">
        <f>#REF!/#REF!</f>
        <v>#REF!</v>
      </c>
      <c r="DX62" s="682"/>
      <c r="DY62" s="682"/>
      <c r="DZ62" s="682"/>
      <c r="EA62" s="682"/>
      <c r="EB62" s="682"/>
      <c r="EC62" s="682"/>
      <c r="ED62" s="682"/>
      <c r="EE62" s="682"/>
      <c r="EG62" s="682"/>
      <c r="EH62" s="682"/>
      <c r="EI62" s="439"/>
      <c r="EJ62" s="439"/>
      <c r="EK62" s="439"/>
      <c r="EL62" s="439"/>
      <c r="EM62" s="439"/>
      <c r="EN62" s="439"/>
      <c r="EO62" s="439"/>
      <c r="EP62" s="439"/>
      <c r="EQ62" s="439"/>
      <c r="ER62" s="439"/>
      <c r="ES62" s="439"/>
      <c r="ET62" s="439"/>
      <c r="EU62" s="439"/>
      <c r="EV62" s="439"/>
      <c r="EW62" s="439"/>
      <c r="EX62" s="439"/>
      <c r="EY62" s="439"/>
      <c r="EZ62" s="439"/>
      <c r="FA62" s="439"/>
      <c r="FB62" s="439"/>
      <c r="FC62" s="439"/>
      <c r="FD62" s="439"/>
      <c r="FE62" s="342"/>
      <c r="FF62" s="342"/>
      <c r="FG62" s="342"/>
      <c r="FH62" s="335"/>
      <c r="FW62" s="342"/>
      <c r="FX62" s="342"/>
      <c r="FY62" s="342"/>
      <c r="FZ62" s="342"/>
      <c r="GA62" s="342"/>
      <c r="GB62" s="342"/>
      <c r="GC62" s="342"/>
      <c r="GD62" s="342"/>
      <c r="GE62" s="342"/>
      <c r="GF62" s="342"/>
      <c r="GK62" s="342"/>
      <c r="GL62" s="342"/>
      <c r="GM62" s="342"/>
      <c r="GN62" s="342"/>
      <c r="GO62" s="342"/>
      <c r="GP62" s="342"/>
      <c r="GQ62" s="342"/>
      <c r="GR62" s="342"/>
      <c r="GS62" s="342"/>
      <c r="GT62" s="342"/>
      <c r="GU62" s="342"/>
      <c r="GV62" s="342"/>
      <c r="GW62" s="342"/>
      <c r="GX62" s="342"/>
      <c r="GY62" s="342"/>
      <c r="GZ62" s="342"/>
      <c r="HA62" s="342"/>
      <c r="HB62" s="342"/>
      <c r="HC62" s="342"/>
      <c r="HD62" s="342"/>
    </row>
    <row r="63" spans="1:224" s="295" customFormat="1" ht="14.25" customHeight="1" x14ac:dyDescent="0.4">
      <c r="A63" s="357" t="s">
        <v>248</v>
      </c>
      <c r="D63" s="297"/>
      <c r="E63" s="297"/>
      <c r="F63" s="297"/>
      <c r="G63" s="297"/>
      <c r="H63" s="297"/>
      <c r="I63" s="297"/>
      <c r="J63" s="297"/>
      <c r="K63" s="297"/>
      <c r="L63" s="297"/>
      <c r="M63" s="297"/>
      <c r="N63" s="297"/>
      <c r="O63" s="297"/>
      <c r="P63" s="683"/>
      <c r="Q63" s="683"/>
      <c r="R63" s="297"/>
      <c r="S63" s="297"/>
      <c r="T63" s="297"/>
      <c r="U63" s="297"/>
      <c r="V63" s="442"/>
      <c r="W63" s="443"/>
      <c r="X63" s="442"/>
      <c r="Y63" s="442"/>
      <c r="Z63" s="442"/>
      <c r="AA63" s="442"/>
      <c r="AB63" s="442"/>
      <c r="AC63" s="442"/>
      <c r="AE63" s="441"/>
      <c r="AF63" s="444"/>
      <c r="AG63" s="343"/>
      <c r="AH63" s="343"/>
      <c r="AI63" s="343"/>
      <c r="AJ63" s="343"/>
      <c r="AK63" s="343"/>
      <c r="AL63" s="441"/>
      <c r="AM63" s="441"/>
      <c r="AN63" s="441"/>
      <c r="AO63" s="441"/>
      <c r="AP63" s="441"/>
      <c r="AQ63" s="441"/>
      <c r="AR63" s="441"/>
      <c r="AS63" s="441"/>
      <c r="AT63" s="441"/>
      <c r="AU63" s="441"/>
      <c r="AV63" s="441"/>
      <c r="AW63" s="441"/>
      <c r="AX63" s="441"/>
      <c r="AY63" s="441"/>
      <c r="AZ63" s="343"/>
      <c r="BA63" s="343"/>
      <c r="BB63" s="343"/>
      <c r="BC63" s="343"/>
      <c r="BD63" s="343"/>
      <c r="BE63" s="343"/>
      <c r="BF63" s="343"/>
      <c r="BG63" s="343"/>
      <c r="BH63" s="343"/>
      <c r="BI63" s="343"/>
      <c r="BJ63" s="343"/>
      <c r="BK63" s="343"/>
      <c r="BL63" s="343"/>
      <c r="BM63" s="441"/>
      <c r="BN63" s="344"/>
      <c r="BO63" s="344"/>
      <c r="BP63" s="344"/>
      <c r="BQ63" s="344"/>
      <c r="BU63" s="344"/>
      <c r="BV63" s="344"/>
      <c r="BW63" s="344"/>
      <c r="BX63" s="344"/>
      <c r="CG63" s="442"/>
      <c r="CH63" s="442"/>
      <c r="CI63" s="442"/>
      <c r="CJ63" s="442"/>
      <c r="DR63" s="441"/>
      <c r="DS63" s="441"/>
      <c r="DT63" s="441"/>
      <c r="DU63" s="295">
        <f>DP48/DO48</f>
        <v>1</v>
      </c>
      <c r="DX63" s="682"/>
      <c r="DY63" s="682"/>
      <c r="DZ63" s="682"/>
      <c r="EA63" s="682"/>
      <c r="EB63" s="682"/>
      <c r="EC63" s="682"/>
      <c r="ED63" s="682"/>
      <c r="EE63" s="682"/>
      <c r="EG63" s="682"/>
      <c r="EH63" s="682"/>
      <c r="EI63" s="442"/>
      <c r="EJ63" s="442"/>
      <c r="EK63" s="442"/>
      <c r="EL63" s="442"/>
      <c r="EM63" s="442"/>
      <c r="EN63" s="442"/>
      <c r="EO63" s="442"/>
      <c r="EP63" s="442"/>
      <c r="EQ63" s="442"/>
      <c r="ER63" s="442"/>
      <c r="ES63" s="442"/>
      <c r="ET63" s="442"/>
      <c r="EU63" s="442"/>
      <c r="EV63" s="442"/>
      <c r="EW63" s="442"/>
      <c r="EX63" s="439"/>
      <c r="EY63" s="442"/>
      <c r="EZ63" s="442"/>
      <c r="FA63" s="442"/>
      <c r="FB63" s="442"/>
      <c r="FC63" s="439"/>
      <c r="FD63" s="442"/>
      <c r="FE63" s="342"/>
      <c r="FF63" s="342"/>
      <c r="FG63" s="342"/>
      <c r="FH63" s="335"/>
    </row>
    <row r="64" spans="1:224" s="295" customFormat="1" ht="14.25" customHeight="1" x14ac:dyDescent="0.35">
      <c r="P64" s="682"/>
      <c r="Q64" s="682"/>
      <c r="V64" s="295">
        <f>COUNTIF(V9:V49,0)</f>
        <v>14</v>
      </c>
      <c r="AE64" s="342"/>
      <c r="AF64" s="441"/>
      <c r="AG64" s="445"/>
      <c r="AH64" s="343"/>
      <c r="AI64" s="343"/>
      <c r="AJ64" s="343"/>
      <c r="AK64" s="343"/>
      <c r="AL64" s="342"/>
      <c r="AM64" s="342"/>
      <c r="AN64" s="342"/>
      <c r="AO64" s="342"/>
      <c r="AP64" s="342"/>
      <c r="AQ64" s="342"/>
      <c r="AR64" s="342"/>
      <c r="AS64" s="342"/>
      <c r="AT64" s="342"/>
      <c r="AU64" s="342"/>
      <c r="AV64" s="342"/>
      <c r="AW64" s="342"/>
      <c r="AX64" s="342"/>
      <c r="AY64" s="342"/>
      <c r="AZ64" s="343"/>
      <c r="BA64" s="343"/>
      <c r="BB64" s="343"/>
      <c r="BC64" s="343"/>
      <c r="BD64" s="343"/>
      <c r="BE64" s="343"/>
      <c r="BF64" s="343"/>
      <c r="BG64" s="343"/>
      <c r="BH64" s="343"/>
      <c r="BI64" s="343"/>
      <c r="BJ64" s="343"/>
      <c r="BK64" s="343"/>
      <c r="BL64" s="343"/>
      <c r="BM64" s="342"/>
      <c r="BN64" s="342"/>
      <c r="BO64" s="342"/>
      <c r="BP64" s="342"/>
      <c r="BQ64" s="342"/>
      <c r="BU64" s="342"/>
      <c r="BV64" s="342"/>
      <c r="BW64" s="342"/>
      <c r="BX64" s="342"/>
      <c r="DE64" s="446"/>
      <c r="DF64" s="446"/>
      <c r="DG64" s="446"/>
      <c r="DH64" s="446"/>
      <c r="DI64" s="446"/>
      <c r="DJ64" s="446"/>
      <c r="DK64" s="446"/>
      <c r="DM64" s="446"/>
      <c r="DN64" s="446"/>
      <c r="DR64" s="342"/>
      <c r="DS64" s="342"/>
      <c r="DT64" s="342"/>
      <c r="DX64" s="682"/>
      <c r="DY64" s="682"/>
      <c r="DZ64" s="682"/>
      <c r="EA64" s="682"/>
      <c r="EB64" s="682"/>
      <c r="EC64" s="682"/>
      <c r="ED64" s="682"/>
      <c r="EE64" s="682"/>
      <c r="EG64" s="682"/>
      <c r="EH64" s="682"/>
      <c r="EX64" s="439"/>
      <c r="FC64" s="439"/>
      <c r="FE64" s="342"/>
      <c r="FF64" s="342"/>
      <c r="FG64" s="342"/>
      <c r="FH64" s="335"/>
      <c r="FJ64" s="350"/>
    </row>
    <row r="65" spans="1:166" x14ac:dyDescent="0.45">
      <c r="A65">
        <v>1</v>
      </c>
      <c r="B65" t="s">
        <v>249</v>
      </c>
      <c r="P65" s="684"/>
      <c r="Q65" s="684"/>
      <c r="DK65" s="30"/>
      <c r="DL65" s="152"/>
      <c r="DX65" s="690"/>
      <c r="DY65" s="690"/>
      <c r="DZ65" s="684"/>
      <c r="EA65" s="684"/>
      <c r="EB65" s="684"/>
      <c r="EC65" s="684"/>
      <c r="ED65" s="684"/>
      <c r="EE65" s="684"/>
      <c r="EG65" s="684"/>
      <c r="EH65" s="684"/>
      <c r="FJ65" s="175"/>
    </row>
    <row r="66" spans="1:166" x14ac:dyDescent="0.45">
      <c r="P66" s="684"/>
      <c r="Q66" s="684"/>
      <c r="W66" s="53"/>
      <c r="DL66" s="152"/>
      <c r="DO66" s="50"/>
      <c r="DP66" s="50"/>
      <c r="DX66" s="690"/>
      <c r="DY66" s="690"/>
      <c r="DZ66" s="684"/>
      <c r="EA66" s="684"/>
      <c r="EB66" s="684"/>
      <c r="EC66" s="684"/>
      <c r="ED66" s="684"/>
      <c r="EE66" s="684"/>
      <c r="EG66" s="684"/>
      <c r="EH66" s="684"/>
      <c r="FJ66" s="175"/>
    </row>
    <row r="67" spans="1:166" x14ac:dyDescent="0.45">
      <c r="P67" s="684"/>
      <c r="Q67" s="684"/>
      <c r="DX67" s="690"/>
      <c r="DY67" s="690"/>
      <c r="DZ67" s="684"/>
      <c r="EA67" s="684"/>
      <c r="EB67" s="684"/>
      <c r="EC67" s="684"/>
      <c r="ED67" s="684"/>
      <c r="EE67" s="684"/>
      <c r="EG67" s="684"/>
      <c r="EH67" s="684"/>
      <c r="FJ67" s="175"/>
    </row>
    <row r="68" spans="1:166" x14ac:dyDescent="0.45">
      <c r="P68" s="684"/>
      <c r="Q68" s="684"/>
      <c r="DX68" s="690"/>
      <c r="DY68" s="690"/>
      <c r="DZ68" s="684"/>
      <c r="EA68" s="684"/>
      <c r="EB68" s="684"/>
      <c r="EC68" s="684"/>
      <c r="ED68" s="684"/>
      <c r="EE68" s="684"/>
      <c r="EG68" s="684"/>
      <c r="EH68" s="684"/>
      <c r="FJ68" s="175"/>
    </row>
    <row r="69" spans="1:166" x14ac:dyDescent="0.45">
      <c r="P69" s="684"/>
      <c r="Q69" s="684"/>
      <c r="V69" s="707"/>
      <c r="W69" s="707"/>
      <c r="DX69" s="690"/>
      <c r="DY69" s="690"/>
      <c r="DZ69" s="684"/>
      <c r="EA69" s="684"/>
      <c r="EB69" s="684"/>
      <c r="EC69" s="684"/>
      <c r="ED69" s="684"/>
      <c r="EE69" s="684"/>
      <c r="EG69" s="684"/>
      <c r="EH69" s="684"/>
      <c r="FJ69" s="175"/>
    </row>
    <row r="70" spans="1:166" x14ac:dyDescent="0.45">
      <c r="P70" s="684"/>
      <c r="Q70" s="684"/>
      <c r="V70" s="707"/>
      <c r="W70" s="707"/>
      <c r="DX70" s="690"/>
      <c r="DY70" s="690"/>
      <c r="DZ70" s="684"/>
      <c r="EA70" s="684"/>
      <c r="EB70" s="684"/>
      <c r="EC70" s="684"/>
      <c r="ED70" s="684"/>
      <c r="EE70" s="684"/>
      <c r="EG70" s="684"/>
      <c r="EH70" s="684"/>
      <c r="FJ70" s="175"/>
    </row>
    <row r="71" spans="1:166" x14ac:dyDescent="0.45">
      <c r="P71" s="684"/>
      <c r="Q71" s="684"/>
      <c r="V71" s="707"/>
      <c r="W71" s="707"/>
      <c r="DX71" s="690"/>
      <c r="DY71" s="690"/>
      <c r="DZ71" s="684"/>
      <c r="EA71" s="684"/>
      <c r="EB71" s="684"/>
      <c r="EC71" s="684"/>
      <c r="ED71" s="684"/>
      <c r="EE71" s="684"/>
      <c r="EG71" s="684"/>
      <c r="EH71" s="684"/>
      <c r="FJ71" s="175"/>
    </row>
    <row r="72" spans="1:166" x14ac:dyDescent="0.45">
      <c r="P72" s="684"/>
      <c r="Q72" s="684"/>
      <c r="DX72" s="690"/>
      <c r="DY72" s="690"/>
      <c r="DZ72" s="684"/>
      <c r="EA72" s="684"/>
      <c r="EB72" s="684"/>
      <c r="EC72" s="684"/>
      <c r="ED72" s="684"/>
      <c r="EE72" s="684"/>
      <c r="EG72" s="684"/>
      <c r="EH72" s="684"/>
      <c r="FJ72" s="175"/>
    </row>
    <row r="73" spans="1:166" x14ac:dyDescent="0.45">
      <c r="P73" s="684"/>
      <c r="Q73" s="684"/>
      <c r="DX73" s="690"/>
      <c r="DY73" s="690"/>
      <c r="DZ73" s="684"/>
      <c r="EA73" s="684"/>
      <c r="EB73" s="684"/>
      <c r="EC73" s="684"/>
      <c r="ED73" s="684"/>
      <c r="EE73" s="684"/>
      <c r="EG73" s="684"/>
      <c r="EH73" s="684"/>
      <c r="FJ73" s="175"/>
    </row>
    <row r="74" spans="1:166" x14ac:dyDescent="0.45">
      <c r="P74" s="684"/>
      <c r="Q74" s="684"/>
      <c r="DX74" s="690"/>
      <c r="DY74" s="690"/>
      <c r="DZ74" s="684"/>
      <c r="EA74" s="684"/>
      <c r="EB74" s="684"/>
      <c r="EC74" s="684"/>
      <c r="ED74" s="684"/>
      <c r="EE74" s="684"/>
      <c r="EG74" s="684"/>
      <c r="EH74" s="684"/>
      <c r="FJ74" s="175"/>
    </row>
    <row r="75" spans="1:166" x14ac:dyDescent="0.45">
      <c r="P75" s="684"/>
      <c r="Q75" s="684"/>
      <c r="DX75" s="690"/>
      <c r="DY75" s="690"/>
      <c r="DZ75" s="684"/>
      <c r="EA75" s="684"/>
      <c r="EB75" s="684"/>
      <c r="EC75" s="684"/>
      <c r="ED75" s="684"/>
      <c r="EE75" s="684"/>
      <c r="EG75" s="684"/>
      <c r="EH75" s="684"/>
      <c r="FJ75" s="175"/>
    </row>
    <row r="76" spans="1:166" x14ac:dyDescent="0.45">
      <c r="P76" s="684"/>
      <c r="Q76" s="684"/>
      <c r="DX76" s="690"/>
      <c r="DY76" s="690"/>
      <c r="DZ76" s="684"/>
      <c r="EA76" s="684"/>
      <c r="EB76" s="684"/>
      <c r="EC76" s="684"/>
      <c r="ED76" s="684"/>
      <c r="EE76" s="684"/>
      <c r="EG76" s="684"/>
      <c r="EH76" s="684"/>
      <c r="FJ76" s="175"/>
    </row>
    <row r="77" spans="1:166" x14ac:dyDescent="0.45">
      <c r="P77" s="684"/>
      <c r="Q77" s="684"/>
      <c r="DX77" s="690"/>
      <c r="DY77" s="690"/>
      <c r="DZ77" s="684"/>
      <c r="EA77" s="684"/>
      <c r="EB77" s="684"/>
      <c r="EC77" s="684"/>
      <c r="ED77" s="684"/>
      <c r="EE77" s="684"/>
      <c r="EG77" s="684"/>
      <c r="EH77" s="684"/>
      <c r="FJ77" s="175"/>
    </row>
    <row r="78" spans="1:166" x14ac:dyDescent="0.45">
      <c r="P78" s="684"/>
      <c r="Q78" s="684"/>
      <c r="DX78" s="690"/>
      <c r="DY78" s="690"/>
      <c r="DZ78" s="684"/>
      <c r="EA78" s="684"/>
      <c r="EB78" s="684"/>
      <c r="EC78" s="684"/>
      <c r="ED78" s="684"/>
      <c r="EE78" s="684"/>
      <c r="EG78" s="684"/>
      <c r="EH78" s="684"/>
      <c r="FJ78" s="175"/>
    </row>
    <row r="79" spans="1:166" x14ac:dyDescent="0.45">
      <c r="P79" s="684"/>
      <c r="Q79" s="684"/>
      <c r="DX79" s="690"/>
      <c r="DY79" s="690"/>
      <c r="DZ79" s="684"/>
      <c r="EA79" s="684"/>
      <c r="EB79" s="684"/>
      <c r="EC79" s="684"/>
      <c r="ED79" s="684"/>
      <c r="EE79" s="684"/>
      <c r="EG79" s="684"/>
      <c r="EH79" s="684"/>
      <c r="FJ79" s="175"/>
    </row>
    <row r="80" spans="1:166" x14ac:dyDescent="0.45">
      <c r="P80" s="684"/>
      <c r="Q80" s="684"/>
      <c r="DX80" s="690"/>
      <c r="DY80" s="690"/>
      <c r="DZ80" s="684"/>
      <c r="EA80" s="684"/>
      <c r="EB80" s="684"/>
      <c r="EC80" s="684"/>
      <c r="ED80" s="684"/>
      <c r="EE80" s="684"/>
      <c r="EG80" s="684"/>
      <c r="EH80" s="684"/>
    </row>
    <row r="81" spans="16:138" x14ac:dyDescent="0.45">
      <c r="P81" s="684"/>
      <c r="Q81" s="684"/>
      <c r="DX81" s="690"/>
      <c r="DY81" s="690"/>
      <c r="DZ81" s="684"/>
      <c r="EA81" s="684"/>
      <c r="EB81" s="684"/>
      <c r="EC81" s="684"/>
      <c r="ED81" s="684"/>
      <c r="EE81" s="684"/>
      <c r="EG81" s="684"/>
      <c r="EH81" s="684"/>
    </row>
    <row r="82" spans="16:138" x14ac:dyDescent="0.45">
      <c r="P82" s="684"/>
      <c r="Q82" s="684"/>
      <c r="DX82" s="690"/>
      <c r="DY82" s="690"/>
      <c r="DZ82" s="684"/>
      <c r="EA82" s="684"/>
      <c r="EB82" s="684"/>
      <c r="EC82" s="684"/>
      <c r="ED82" s="684"/>
      <c r="EE82" s="684"/>
      <c r="EG82" s="684"/>
      <c r="EH82" s="684"/>
    </row>
    <row r="83" spans="16:138" x14ac:dyDescent="0.45">
      <c r="P83" s="684"/>
      <c r="Q83" s="684"/>
      <c r="DX83" s="690"/>
      <c r="DY83" s="690"/>
      <c r="DZ83" s="684"/>
      <c r="EA83" s="684"/>
      <c r="EB83" s="684"/>
      <c r="EC83" s="684"/>
      <c r="ED83" s="684"/>
      <c r="EE83" s="684"/>
      <c r="EG83" s="684"/>
      <c r="EH83" s="684"/>
    </row>
    <row r="84" spans="16:138" x14ac:dyDescent="0.45">
      <c r="P84" s="684"/>
      <c r="Q84" s="684"/>
      <c r="DX84" s="690"/>
      <c r="DY84" s="690"/>
      <c r="DZ84" s="684"/>
      <c r="EA84" s="684"/>
      <c r="EB84" s="684"/>
      <c r="EC84" s="684"/>
      <c r="ED84" s="684"/>
      <c r="EE84" s="684"/>
      <c r="EG84" s="684"/>
      <c r="EH84" s="684"/>
    </row>
    <row r="85" spans="16:138" x14ac:dyDescent="0.45">
      <c r="P85" s="684"/>
      <c r="Q85" s="684"/>
      <c r="DX85" s="690"/>
      <c r="DY85" s="690"/>
      <c r="DZ85" s="684"/>
      <c r="EA85" s="684"/>
      <c r="EB85" s="684"/>
      <c r="EC85" s="684"/>
      <c r="ED85" s="684"/>
      <c r="EE85" s="684"/>
      <c r="EG85" s="684"/>
      <c r="EH85" s="684"/>
    </row>
    <row r="86" spans="16:138" x14ac:dyDescent="0.45">
      <c r="P86" s="684"/>
      <c r="Q86" s="684"/>
      <c r="DX86" s="690"/>
      <c r="DY86" s="690"/>
      <c r="DZ86" s="684"/>
      <c r="EA86" s="684"/>
      <c r="EB86" s="684"/>
      <c r="EC86" s="684"/>
      <c r="ED86" s="684"/>
      <c r="EE86" s="684"/>
      <c r="EG86" s="684"/>
      <c r="EH86" s="684"/>
    </row>
    <row r="87" spans="16:138" x14ac:dyDescent="0.45">
      <c r="P87" s="684"/>
      <c r="Q87" s="684"/>
      <c r="DX87" s="690"/>
      <c r="DY87" s="690"/>
      <c r="DZ87" s="684"/>
      <c r="EA87" s="684"/>
      <c r="EB87" s="684"/>
      <c r="EC87" s="684"/>
      <c r="ED87" s="684"/>
      <c r="EE87" s="684"/>
      <c r="EG87" s="684"/>
      <c r="EH87" s="684"/>
    </row>
    <row r="88" spans="16:138" x14ac:dyDescent="0.45">
      <c r="P88" s="684"/>
      <c r="Q88" s="684"/>
      <c r="DX88" s="690"/>
      <c r="DY88" s="690"/>
      <c r="DZ88" s="684"/>
      <c r="EA88" s="684"/>
      <c r="EB88" s="684"/>
      <c r="EC88" s="684"/>
      <c r="ED88" s="684"/>
      <c r="EE88" s="684"/>
      <c r="EG88" s="684"/>
      <c r="EH88" s="684"/>
    </row>
    <row r="89" spans="16:138" x14ac:dyDescent="0.45">
      <c r="P89" s="684"/>
      <c r="Q89" s="684"/>
      <c r="DX89" s="690"/>
      <c r="DY89" s="690"/>
      <c r="DZ89" s="684"/>
      <c r="EA89" s="684"/>
      <c r="EB89" s="684"/>
      <c r="EC89" s="684"/>
      <c r="ED89" s="684"/>
      <c r="EE89" s="684"/>
      <c r="EG89" s="684"/>
      <c r="EH89" s="684"/>
    </row>
    <row r="90" spans="16:138" x14ac:dyDescent="0.45">
      <c r="P90" s="684"/>
      <c r="Q90" s="684"/>
      <c r="DX90" s="690"/>
      <c r="DY90" s="690"/>
      <c r="DZ90" s="684"/>
      <c r="EA90" s="684"/>
      <c r="EB90" s="684"/>
      <c r="EC90" s="684"/>
      <c r="ED90" s="684"/>
      <c r="EE90" s="684"/>
      <c r="EG90" s="684"/>
      <c r="EH90" s="684"/>
    </row>
    <row r="91" spans="16:138" x14ac:dyDescent="0.45">
      <c r="P91" s="684"/>
      <c r="Q91" s="684"/>
      <c r="DX91" s="690"/>
      <c r="DY91" s="690"/>
      <c r="DZ91" s="684"/>
      <c r="EA91" s="684"/>
      <c r="EB91" s="684"/>
      <c r="EC91" s="684"/>
      <c r="ED91" s="684"/>
      <c r="EE91" s="684"/>
      <c r="EG91" s="684"/>
      <c r="EH91" s="684"/>
    </row>
    <row r="92" spans="16:138" x14ac:dyDescent="0.45">
      <c r="P92" s="684"/>
      <c r="Q92" s="684"/>
      <c r="DX92" s="690"/>
      <c r="DY92" s="690"/>
      <c r="DZ92" s="684"/>
      <c r="EA92" s="684"/>
      <c r="EB92" s="684"/>
      <c r="EC92" s="684"/>
      <c r="ED92" s="684"/>
      <c r="EE92" s="684"/>
      <c r="EG92" s="684"/>
      <c r="EH92" s="684"/>
    </row>
    <row r="93" spans="16:138" x14ac:dyDescent="0.45">
      <c r="P93" s="684"/>
      <c r="Q93" s="684"/>
      <c r="DX93" s="690"/>
      <c r="DY93" s="690"/>
      <c r="DZ93" s="684"/>
      <c r="EA93" s="684"/>
      <c r="EB93" s="684"/>
      <c r="EC93" s="684"/>
      <c r="ED93" s="684"/>
      <c r="EE93" s="684"/>
      <c r="EG93" s="684"/>
      <c r="EH93" s="684"/>
    </row>
    <row r="94" spans="16:138" x14ac:dyDescent="0.45">
      <c r="P94" s="684"/>
      <c r="Q94" s="684"/>
      <c r="DX94" s="690"/>
      <c r="DY94" s="690"/>
      <c r="DZ94" s="684"/>
      <c r="EA94" s="684"/>
      <c r="EB94" s="684"/>
      <c r="EC94" s="684"/>
      <c r="ED94" s="684"/>
      <c r="EE94" s="684"/>
      <c r="EG94" s="684"/>
      <c r="EH94" s="684"/>
    </row>
    <row r="95" spans="16:138" x14ac:dyDescent="0.45">
      <c r="P95" s="684"/>
      <c r="Q95" s="684"/>
      <c r="DX95" s="690"/>
      <c r="DY95" s="690"/>
      <c r="DZ95" s="684"/>
      <c r="EA95" s="684"/>
      <c r="EB95" s="684"/>
      <c r="EC95" s="684"/>
      <c r="ED95" s="684"/>
      <c r="EE95" s="684"/>
      <c r="EG95" s="684"/>
      <c r="EH95" s="684"/>
    </row>
    <row r="96" spans="16:138" x14ac:dyDescent="0.45">
      <c r="P96" s="684"/>
      <c r="Q96" s="684"/>
      <c r="DX96" s="690"/>
      <c r="DY96" s="690"/>
      <c r="DZ96" s="684"/>
      <c r="EA96" s="684"/>
      <c r="EB96" s="684"/>
      <c r="EC96" s="684"/>
      <c r="ED96" s="684"/>
      <c r="EE96" s="684"/>
      <c r="EG96" s="684"/>
      <c r="EH96" s="684"/>
    </row>
    <row r="97" spans="16:138" x14ac:dyDescent="0.45">
      <c r="P97" s="684"/>
      <c r="Q97" s="684"/>
      <c r="DX97" s="690"/>
      <c r="DY97" s="690"/>
      <c r="DZ97" s="684"/>
      <c r="EA97" s="684"/>
      <c r="EB97" s="684"/>
      <c r="EC97" s="684"/>
      <c r="ED97" s="684"/>
      <c r="EE97" s="684"/>
      <c r="EG97" s="684"/>
      <c r="EH97" s="684"/>
    </row>
    <row r="98" spans="16:138" x14ac:dyDescent="0.45">
      <c r="P98" s="684"/>
      <c r="Q98" s="684"/>
      <c r="DX98" s="690"/>
      <c r="DY98" s="690"/>
      <c r="DZ98" s="684"/>
      <c r="EA98" s="684"/>
      <c r="EB98" s="684"/>
      <c r="EC98" s="684"/>
      <c r="ED98" s="684"/>
      <c r="EE98" s="684"/>
      <c r="EG98" s="684"/>
      <c r="EH98" s="684"/>
    </row>
    <row r="99" spans="16:138" x14ac:dyDescent="0.45">
      <c r="P99" s="684"/>
      <c r="Q99" s="684"/>
      <c r="DX99" s="690"/>
      <c r="DY99" s="690"/>
      <c r="DZ99" s="684"/>
      <c r="EA99" s="684"/>
      <c r="EB99" s="684"/>
      <c r="EC99" s="684"/>
      <c r="ED99" s="684"/>
      <c r="EE99" s="684"/>
      <c r="EG99" s="684"/>
      <c r="EH99" s="684"/>
    </row>
    <row r="100" spans="16:138" x14ac:dyDescent="0.45">
      <c r="P100" s="684"/>
      <c r="Q100" s="684"/>
      <c r="DX100" s="690"/>
      <c r="DY100" s="690"/>
      <c r="DZ100" s="684"/>
      <c r="EA100" s="684"/>
      <c r="EB100" s="684"/>
      <c r="EC100" s="684"/>
      <c r="ED100" s="684"/>
      <c r="EE100" s="684"/>
      <c r="EG100" s="684"/>
      <c r="EH100" s="684"/>
    </row>
    <row r="101" spans="16:138" x14ac:dyDescent="0.45">
      <c r="P101" s="684"/>
      <c r="Q101" s="684"/>
      <c r="DX101" s="690"/>
      <c r="DY101" s="690"/>
      <c r="DZ101" s="684"/>
      <c r="EA101" s="684"/>
      <c r="EB101" s="684"/>
      <c r="EC101" s="684"/>
      <c r="ED101" s="684"/>
      <c r="EE101" s="684"/>
      <c r="EG101" s="684"/>
      <c r="EH101" s="684"/>
    </row>
    <row r="102" spans="16:138" x14ac:dyDescent="0.45">
      <c r="P102" s="684"/>
      <c r="Q102" s="684"/>
      <c r="DX102" s="690"/>
      <c r="DY102" s="690"/>
      <c r="DZ102" s="684"/>
      <c r="EA102" s="684"/>
      <c r="EB102" s="684"/>
      <c r="EC102" s="684"/>
      <c r="ED102" s="684"/>
      <c r="EE102" s="684"/>
      <c r="EG102" s="684"/>
      <c r="EH102" s="684"/>
    </row>
    <row r="103" spans="16:138" x14ac:dyDescent="0.45">
      <c r="P103" s="684"/>
      <c r="Q103" s="684"/>
      <c r="DX103" s="690"/>
      <c r="DY103" s="690"/>
      <c r="DZ103" s="684"/>
      <c r="EA103" s="684"/>
      <c r="EB103" s="684"/>
      <c r="EC103" s="684"/>
      <c r="ED103" s="684"/>
      <c r="EE103" s="684"/>
      <c r="EG103" s="684"/>
      <c r="EH103" s="684"/>
    </row>
    <row r="104" spans="16:138" x14ac:dyDescent="0.45">
      <c r="P104" s="684"/>
      <c r="Q104" s="684"/>
      <c r="DX104" s="690"/>
      <c r="DY104" s="690"/>
      <c r="DZ104" s="684"/>
      <c r="EA104" s="684"/>
      <c r="EB104" s="684"/>
      <c r="EC104" s="684"/>
      <c r="ED104" s="684"/>
      <c r="EE104" s="684"/>
      <c r="EG104" s="684"/>
      <c r="EH104" s="684"/>
    </row>
    <row r="105" spans="16:138" x14ac:dyDescent="0.45">
      <c r="P105" s="684"/>
      <c r="Q105" s="684"/>
      <c r="DX105" s="690"/>
      <c r="DY105" s="690"/>
      <c r="DZ105" s="684"/>
      <c r="EA105" s="684"/>
      <c r="EB105" s="684"/>
      <c r="EC105" s="684"/>
      <c r="ED105" s="684"/>
      <c r="EE105" s="684"/>
      <c r="EG105" s="684"/>
      <c r="EH105" s="684"/>
    </row>
    <row r="106" spans="16:138" x14ac:dyDescent="0.45">
      <c r="P106" s="684"/>
      <c r="Q106" s="684"/>
      <c r="DX106" s="690"/>
      <c r="DY106" s="690"/>
      <c r="DZ106" s="684"/>
      <c r="EA106" s="684"/>
      <c r="EB106" s="684"/>
      <c r="EC106" s="684"/>
      <c r="ED106" s="684"/>
      <c r="EE106" s="684"/>
      <c r="EG106" s="684"/>
      <c r="EH106" s="684"/>
    </row>
    <row r="107" spans="16:138" x14ac:dyDescent="0.45">
      <c r="P107" s="684"/>
      <c r="Q107" s="684"/>
      <c r="DX107" s="690"/>
      <c r="DY107" s="690"/>
      <c r="DZ107" s="684"/>
      <c r="EA107" s="684"/>
      <c r="EB107" s="684"/>
      <c r="EC107" s="684"/>
      <c r="ED107" s="684"/>
      <c r="EE107" s="684"/>
      <c r="EG107" s="684"/>
      <c r="EH107" s="684"/>
    </row>
    <row r="108" spans="16:138" x14ac:dyDescent="0.45">
      <c r="P108" s="684"/>
      <c r="Q108" s="684"/>
      <c r="DX108" s="690"/>
      <c r="DY108" s="690"/>
      <c r="DZ108" s="684"/>
      <c r="EA108" s="684"/>
      <c r="EB108" s="684"/>
      <c r="EC108" s="684"/>
      <c r="ED108" s="684"/>
      <c r="EE108" s="684"/>
      <c r="EG108" s="684"/>
      <c r="EH108" s="684"/>
    </row>
    <row r="109" spans="16:138" x14ac:dyDescent="0.45">
      <c r="P109" s="684"/>
      <c r="Q109" s="684"/>
      <c r="DX109" s="690"/>
      <c r="DY109" s="690"/>
      <c r="DZ109" s="684"/>
      <c r="EA109" s="684"/>
      <c r="EB109" s="684"/>
      <c r="EC109" s="684"/>
      <c r="ED109" s="684"/>
      <c r="EE109" s="684"/>
      <c r="EG109" s="684"/>
      <c r="EH109" s="684"/>
    </row>
    <row r="110" spans="16:138" x14ac:dyDescent="0.45">
      <c r="P110" s="684"/>
      <c r="Q110" s="684"/>
      <c r="DX110" s="690"/>
      <c r="DY110" s="690"/>
      <c r="DZ110" s="684"/>
      <c r="EA110" s="684"/>
      <c r="EB110" s="684"/>
      <c r="EC110" s="684"/>
      <c r="ED110" s="684"/>
      <c r="EE110" s="684"/>
      <c r="EG110" s="684"/>
      <c r="EH110" s="684"/>
    </row>
    <row r="111" spans="16:138" x14ac:dyDescent="0.45">
      <c r="P111" s="684"/>
      <c r="Q111" s="684"/>
      <c r="DX111" s="690"/>
      <c r="DY111" s="690"/>
      <c r="DZ111" s="684"/>
      <c r="EA111" s="684"/>
      <c r="EB111" s="684"/>
      <c r="EC111" s="684"/>
      <c r="ED111" s="684"/>
      <c r="EE111" s="684"/>
      <c r="EG111" s="684"/>
      <c r="EH111" s="684"/>
    </row>
    <row r="112" spans="16:138" x14ac:dyDescent="0.45">
      <c r="P112" s="684"/>
      <c r="Q112" s="684"/>
      <c r="DX112" s="690"/>
      <c r="DY112" s="690"/>
      <c r="DZ112" s="684"/>
      <c r="EA112" s="684"/>
      <c r="EB112" s="684"/>
      <c r="EC112" s="684"/>
      <c r="ED112" s="684"/>
      <c r="EE112" s="684"/>
      <c r="EG112" s="684"/>
      <c r="EH112" s="684"/>
    </row>
    <row r="113" spans="16:138" x14ac:dyDescent="0.45">
      <c r="P113" s="684"/>
      <c r="Q113" s="684"/>
      <c r="DX113" s="690"/>
      <c r="DY113" s="690"/>
      <c r="DZ113" s="684"/>
      <c r="EA113" s="684"/>
      <c r="EB113" s="684"/>
      <c r="EC113" s="684"/>
      <c r="ED113" s="684"/>
      <c r="EE113" s="684"/>
      <c r="EG113" s="684"/>
      <c r="EH113" s="684"/>
    </row>
    <row r="114" spans="16:138" x14ac:dyDescent="0.45">
      <c r="P114" s="684"/>
      <c r="Q114" s="684"/>
      <c r="DX114" s="690"/>
      <c r="DY114" s="690"/>
      <c r="DZ114" s="684"/>
      <c r="EA114" s="684"/>
      <c r="EB114" s="684"/>
      <c r="EC114" s="684"/>
      <c r="ED114" s="684"/>
      <c r="EE114" s="684"/>
      <c r="EG114" s="684"/>
      <c r="EH114" s="684"/>
    </row>
    <row r="115" spans="16:138" x14ac:dyDescent="0.45">
      <c r="P115" s="684"/>
      <c r="Q115" s="684"/>
      <c r="DX115" s="690"/>
      <c r="DY115" s="690"/>
      <c r="DZ115" s="684"/>
      <c r="EA115" s="684"/>
      <c r="EB115" s="684"/>
      <c r="EC115" s="684"/>
      <c r="ED115" s="684"/>
      <c r="EE115" s="684"/>
      <c r="EG115" s="684"/>
      <c r="EH115" s="684"/>
    </row>
    <row r="116" spans="16:138" x14ac:dyDescent="0.45">
      <c r="P116" s="684"/>
      <c r="Q116" s="684"/>
      <c r="DX116" s="690"/>
      <c r="DY116" s="690"/>
      <c r="DZ116" s="684"/>
      <c r="EA116" s="684"/>
      <c r="EB116" s="684"/>
      <c r="EC116" s="684"/>
      <c r="ED116" s="684"/>
      <c r="EE116" s="684"/>
      <c r="EG116" s="684"/>
      <c r="EH116" s="684"/>
    </row>
    <row r="117" spans="16:138" x14ac:dyDescent="0.45">
      <c r="P117" s="684"/>
      <c r="Q117" s="684"/>
      <c r="DX117" s="690"/>
      <c r="DY117" s="690"/>
      <c r="DZ117" s="684"/>
      <c r="EA117" s="684"/>
      <c r="EB117" s="684"/>
      <c r="EC117" s="684"/>
      <c r="ED117" s="684"/>
      <c r="EE117" s="684"/>
      <c r="EG117" s="684"/>
      <c r="EH117" s="684"/>
    </row>
    <row r="118" spans="16:138" x14ac:dyDescent="0.45">
      <c r="P118" s="684"/>
      <c r="Q118" s="684"/>
      <c r="DX118" s="690"/>
      <c r="DY118" s="690"/>
      <c r="DZ118" s="684"/>
      <c r="EA118" s="684"/>
      <c r="EB118" s="684"/>
      <c r="EC118" s="684"/>
      <c r="ED118" s="684"/>
      <c r="EE118" s="684"/>
      <c r="EG118" s="684"/>
      <c r="EH118" s="684"/>
    </row>
    <row r="119" spans="16:138" x14ac:dyDescent="0.45">
      <c r="P119" s="684"/>
      <c r="Q119" s="684"/>
      <c r="DX119" s="690"/>
      <c r="DY119" s="690"/>
      <c r="DZ119" s="684"/>
      <c r="EA119" s="684"/>
      <c r="EB119" s="684"/>
      <c r="EC119" s="684"/>
      <c r="ED119" s="684"/>
      <c r="EE119" s="684"/>
      <c r="EG119" s="684"/>
      <c r="EH119" s="684"/>
    </row>
    <row r="120" spans="16:138" x14ac:dyDescent="0.45">
      <c r="P120" s="684"/>
      <c r="Q120" s="684"/>
      <c r="DX120" s="690"/>
      <c r="DY120" s="690"/>
      <c r="DZ120" s="684"/>
      <c r="EA120" s="684"/>
      <c r="EB120" s="684"/>
      <c r="EC120" s="684"/>
      <c r="ED120" s="684"/>
      <c r="EE120" s="684"/>
      <c r="EG120" s="684"/>
      <c r="EH120" s="684"/>
    </row>
    <row r="121" spans="16:138" x14ac:dyDescent="0.45">
      <c r="P121" s="684"/>
      <c r="Q121" s="684"/>
      <c r="DX121" s="690"/>
      <c r="DY121" s="690"/>
      <c r="DZ121" s="684"/>
      <c r="EA121" s="684"/>
      <c r="EB121" s="684"/>
      <c r="EC121" s="684"/>
      <c r="ED121" s="684"/>
      <c r="EE121" s="684"/>
      <c r="EG121" s="684"/>
      <c r="EH121" s="684"/>
    </row>
    <row r="122" spans="16:138" x14ac:dyDescent="0.45">
      <c r="P122" s="684"/>
      <c r="Q122" s="684"/>
      <c r="DX122" s="690"/>
      <c r="DY122" s="690"/>
      <c r="DZ122" s="684"/>
      <c r="EA122" s="684"/>
      <c r="EB122" s="684"/>
      <c r="EC122" s="684"/>
      <c r="ED122" s="684"/>
      <c r="EE122" s="684"/>
      <c r="EG122" s="684"/>
      <c r="EH122" s="684"/>
    </row>
    <row r="123" spans="16:138" x14ac:dyDescent="0.45">
      <c r="P123" s="684"/>
      <c r="Q123" s="684"/>
      <c r="DX123" s="690"/>
      <c r="DY123" s="690"/>
      <c r="DZ123" s="684"/>
      <c r="EA123" s="684"/>
      <c r="EB123" s="684"/>
      <c r="EC123" s="684"/>
      <c r="ED123" s="684"/>
      <c r="EE123" s="684"/>
      <c r="EG123" s="684"/>
      <c r="EH123" s="684"/>
    </row>
    <row r="124" spans="16:138" x14ac:dyDescent="0.45">
      <c r="P124" s="684"/>
      <c r="Q124" s="684"/>
      <c r="DX124" s="690"/>
      <c r="DY124" s="690"/>
      <c r="DZ124" s="684"/>
      <c r="EA124" s="684"/>
      <c r="EB124" s="684"/>
      <c r="EC124" s="684"/>
      <c r="ED124" s="684"/>
      <c r="EE124" s="684"/>
      <c r="EG124" s="684"/>
      <c r="EH124" s="684"/>
    </row>
    <row r="125" spans="16:138" x14ac:dyDescent="0.45">
      <c r="P125" s="684"/>
      <c r="Q125" s="684"/>
      <c r="DX125" s="690"/>
      <c r="DY125" s="690"/>
      <c r="DZ125" s="684"/>
      <c r="EA125" s="684"/>
      <c r="EB125" s="684"/>
      <c r="EC125" s="684"/>
      <c r="ED125" s="684"/>
      <c r="EE125" s="684"/>
      <c r="EG125" s="684"/>
      <c r="EH125" s="684"/>
    </row>
    <row r="126" spans="16:138" x14ac:dyDescent="0.45">
      <c r="P126" s="684"/>
      <c r="Q126" s="684"/>
      <c r="DX126" s="690"/>
      <c r="DY126" s="690"/>
      <c r="DZ126" s="684"/>
      <c r="EA126" s="684"/>
      <c r="EB126" s="684"/>
      <c r="EC126" s="684"/>
      <c r="ED126" s="684"/>
      <c r="EE126" s="684"/>
      <c r="EG126" s="684"/>
      <c r="EH126" s="684"/>
    </row>
    <row r="127" spans="16:138" x14ac:dyDescent="0.45">
      <c r="P127" s="684"/>
      <c r="Q127" s="684"/>
      <c r="DX127" s="690"/>
      <c r="DY127" s="690"/>
      <c r="DZ127" s="684"/>
      <c r="EA127" s="684"/>
      <c r="EB127" s="684"/>
      <c r="EC127" s="684"/>
      <c r="ED127" s="684"/>
      <c r="EE127" s="684"/>
      <c r="EG127" s="684"/>
      <c r="EH127" s="684"/>
    </row>
    <row r="128" spans="16:138" x14ac:dyDescent="0.45">
      <c r="P128" s="684"/>
      <c r="Q128" s="684"/>
      <c r="DX128" s="690"/>
      <c r="DY128" s="690"/>
      <c r="DZ128" s="684"/>
      <c r="EA128" s="684"/>
      <c r="EB128" s="684"/>
      <c r="EC128" s="684"/>
      <c r="ED128" s="684"/>
      <c r="EE128" s="684"/>
      <c r="EG128" s="684"/>
      <c r="EH128" s="684"/>
    </row>
    <row r="129" spans="16:138" x14ac:dyDescent="0.45">
      <c r="P129" s="684"/>
      <c r="Q129" s="684"/>
      <c r="DX129" s="690"/>
      <c r="DY129" s="690"/>
      <c r="DZ129" s="684"/>
      <c r="EA129" s="684"/>
      <c r="EB129" s="684"/>
      <c r="EC129" s="684"/>
      <c r="ED129" s="684"/>
      <c r="EE129" s="684"/>
      <c r="EG129" s="684"/>
      <c r="EH129" s="684"/>
    </row>
    <row r="130" spans="16:138" x14ac:dyDescent="0.45">
      <c r="P130" s="684"/>
      <c r="Q130" s="684"/>
      <c r="DX130" s="690"/>
      <c r="DY130" s="690"/>
      <c r="DZ130" s="684"/>
      <c r="EA130" s="684"/>
      <c r="EB130" s="684"/>
      <c r="EC130" s="684"/>
      <c r="ED130" s="684"/>
      <c r="EE130" s="684"/>
      <c r="EG130" s="684"/>
      <c r="EH130" s="684"/>
    </row>
    <row r="131" spans="16:138" x14ac:dyDescent="0.45">
      <c r="P131" s="684"/>
      <c r="Q131" s="684"/>
      <c r="DX131" s="690"/>
      <c r="DY131" s="690"/>
      <c r="DZ131" s="684"/>
      <c r="EA131" s="684"/>
      <c r="EB131" s="684"/>
      <c r="EC131" s="684"/>
      <c r="ED131" s="684"/>
      <c r="EE131" s="684"/>
      <c r="EG131" s="684"/>
      <c r="EH131" s="684"/>
    </row>
    <row r="132" spans="16:138" x14ac:dyDescent="0.45">
      <c r="P132" s="684"/>
      <c r="Q132" s="684"/>
      <c r="DX132" s="690"/>
      <c r="DY132" s="690"/>
      <c r="DZ132" s="684"/>
      <c r="EA132" s="684"/>
      <c r="EB132" s="684"/>
      <c r="EC132" s="684"/>
      <c r="ED132" s="684"/>
      <c r="EE132" s="684"/>
      <c r="EG132" s="684"/>
      <c r="EH132" s="684"/>
    </row>
    <row r="133" spans="16:138" x14ac:dyDescent="0.45">
      <c r="P133" s="684"/>
      <c r="Q133" s="684"/>
      <c r="DX133" s="690"/>
      <c r="DY133" s="690"/>
      <c r="DZ133" s="684"/>
      <c r="EA133" s="684"/>
      <c r="EB133" s="684"/>
      <c r="EC133" s="684"/>
      <c r="ED133" s="684"/>
      <c r="EE133" s="684"/>
      <c r="EG133" s="684"/>
      <c r="EH133" s="684"/>
    </row>
    <row r="134" spans="16:138" x14ac:dyDescent="0.45">
      <c r="P134" s="684"/>
      <c r="Q134" s="684"/>
      <c r="DX134" s="690"/>
      <c r="DY134" s="690"/>
      <c r="DZ134" s="684"/>
      <c r="EA134" s="684"/>
      <c r="EB134" s="684"/>
      <c r="EC134" s="684"/>
      <c r="ED134" s="684"/>
      <c r="EE134" s="684"/>
      <c r="EG134" s="684"/>
      <c r="EH134" s="684"/>
    </row>
    <row r="135" spans="16:138" x14ac:dyDescent="0.45">
      <c r="P135" s="684"/>
      <c r="Q135" s="684"/>
      <c r="DX135" s="690"/>
      <c r="DY135" s="690"/>
      <c r="DZ135" s="684"/>
      <c r="EA135" s="684"/>
      <c r="EB135" s="684"/>
      <c r="EC135" s="684"/>
      <c r="ED135" s="684"/>
      <c r="EE135" s="684"/>
      <c r="EG135" s="684"/>
      <c r="EH135" s="684"/>
    </row>
    <row r="136" spans="16:138" x14ac:dyDescent="0.45">
      <c r="P136" s="684"/>
      <c r="Q136" s="684"/>
      <c r="DX136" s="690"/>
      <c r="DY136" s="690"/>
      <c r="DZ136" s="684"/>
      <c r="EA136" s="684"/>
      <c r="EB136" s="684"/>
      <c r="EC136" s="684"/>
      <c r="ED136" s="684"/>
      <c r="EE136" s="684"/>
      <c r="EG136" s="684"/>
      <c r="EH136" s="684"/>
    </row>
    <row r="137" spans="16:138" x14ac:dyDescent="0.45">
      <c r="P137" s="684"/>
      <c r="Q137" s="684"/>
      <c r="DX137" s="690"/>
      <c r="DY137" s="690"/>
      <c r="DZ137" s="684"/>
      <c r="EA137" s="684"/>
      <c r="EB137" s="684"/>
      <c r="EC137" s="684"/>
      <c r="ED137" s="684"/>
      <c r="EE137" s="684"/>
      <c r="EG137" s="684"/>
      <c r="EH137" s="684"/>
    </row>
    <row r="138" spans="16:138" x14ac:dyDescent="0.45">
      <c r="P138" s="684"/>
      <c r="Q138" s="684"/>
      <c r="DX138" s="690"/>
      <c r="DY138" s="690"/>
      <c r="DZ138" s="684"/>
      <c r="EA138" s="684"/>
      <c r="EB138" s="684"/>
      <c r="EC138" s="684"/>
      <c r="ED138" s="684"/>
      <c r="EE138" s="684"/>
      <c r="EG138" s="684"/>
      <c r="EH138" s="684"/>
    </row>
    <row r="139" spans="16:138" x14ac:dyDescent="0.45">
      <c r="P139" s="684"/>
      <c r="Q139" s="684"/>
      <c r="DX139" s="690"/>
      <c r="DY139" s="690"/>
      <c r="DZ139" s="684"/>
      <c r="EA139" s="684"/>
      <c r="EB139" s="684"/>
      <c r="EC139" s="684"/>
      <c r="ED139" s="684"/>
      <c r="EE139" s="684"/>
      <c r="EG139" s="684"/>
      <c r="EH139" s="684"/>
    </row>
    <row r="140" spans="16:138" x14ac:dyDescent="0.45">
      <c r="P140" s="684"/>
      <c r="Q140" s="684"/>
      <c r="DX140" s="690"/>
      <c r="DY140" s="690"/>
      <c r="DZ140" s="684"/>
      <c r="EA140" s="684"/>
      <c r="EB140" s="684"/>
      <c r="EC140" s="684"/>
      <c r="ED140" s="684"/>
      <c r="EE140" s="684"/>
      <c r="EG140" s="684"/>
      <c r="EH140" s="684"/>
    </row>
    <row r="141" spans="16:138" x14ac:dyDescent="0.45">
      <c r="P141" s="684"/>
      <c r="Q141" s="684"/>
      <c r="DX141" s="690"/>
      <c r="DY141" s="690"/>
      <c r="DZ141" s="684"/>
      <c r="EA141" s="684"/>
      <c r="EB141" s="684"/>
      <c r="EC141" s="684"/>
      <c r="ED141" s="684"/>
      <c r="EE141" s="684"/>
      <c r="EG141" s="684"/>
      <c r="EH141" s="684"/>
    </row>
    <row r="142" spans="16:138" x14ac:dyDescent="0.45">
      <c r="P142" s="684"/>
      <c r="Q142" s="684"/>
      <c r="DX142" s="690"/>
      <c r="DY142" s="690"/>
      <c r="DZ142" s="684"/>
      <c r="EA142" s="684"/>
      <c r="EB142" s="684"/>
      <c r="EC142" s="684"/>
      <c r="ED142" s="684"/>
      <c r="EE142" s="684"/>
      <c r="EG142" s="684"/>
      <c r="EH142" s="684"/>
    </row>
    <row r="143" spans="16:138" x14ac:dyDescent="0.45">
      <c r="P143" s="684"/>
      <c r="Q143" s="684"/>
      <c r="DX143" s="690"/>
      <c r="DY143" s="690"/>
      <c r="DZ143" s="684"/>
      <c r="EA143" s="684"/>
      <c r="EB143" s="684"/>
      <c r="EC143" s="684"/>
      <c r="ED143" s="684"/>
      <c r="EE143" s="684"/>
      <c r="EG143" s="684"/>
      <c r="EH143" s="684"/>
    </row>
    <row r="144" spans="16:138" x14ac:dyDescent="0.45">
      <c r="P144" s="684"/>
      <c r="Q144" s="684"/>
      <c r="DX144" s="690"/>
      <c r="DY144" s="690"/>
      <c r="DZ144" s="684"/>
      <c r="EA144" s="684"/>
      <c r="EB144" s="684"/>
      <c r="EC144" s="684"/>
      <c r="ED144" s="684"/>
      <c r="EE144" s="684"/>
      <c r="EG144" s="684"/>
      <c r="EH144" s="684"/>
    </row>
    <row r="145" spans="16:138" x14ac:dyDescent="0.45">
      <c r="P145" s="684"/>
      <c r="Q145" s="684"/>
      <c r="DX145" s="690"/>
      <c r="DY145" s="690"/>
      <c r="DZ145" s="684"/>
      <c r="EA145" s="684"/>
      <c r="EB145" s="684"/>
      <c r="EC145" s="684"/>
      <c r="ED145" s="684"/>
      <c r="EE145" s="684"/>
      <c r="EG145" s="684"/>
      <c r="EH145" s="684"/>
    </row>
    <row r="146" spans="16:138" x14ac:dyDescent="0.45">
      <c r="P146" s="684"/>
      <c r="Q146" s="684"/>
      <c r="DX146" s="690"/>
      <c r="DY146" s="690"/>
      <c r="DZ146" s="684"/>
      <c r="EA146" s="684"/>
      <c r="EB146" s="684"/>
      <c r="EC146" s="684"/>
      <c r="ED146" s="684"/>
      <c r="EE146" s="684"/>
      <c r="EG146" s="684"/>
      <c r="EH146" s="684"/>
    </row>
    <row r="147" spans="16:138" x14ac:dyDescent="0.45">
      <c r="P147" s="684"/>
      <c r="Q147" s="684"/>
      <c r="DX147" s="690"/>
      <c r="DY147" s="690"/>
      <c r="DZ147" s="684"/>
      <c r="EA147" s="684"/>
      <c r="EB147" s="684"/>
      <c r="EC147" s="684"/>
      <c r="ED147" s="684"/>
      <c r="EE147" s="684"/>
      <c r="EG147" s="684"/>
      <c r="EH147" s="684"/>
    </row>
    <row r="148" spans="16:138" x14ac:dyDescent="0.45">
      <c r="P148" s="684"/>
      <c r="Q148" s="684"/>
      <c r="DX148" s="690"/>
      <c r="DY148" s="690"/>
      <c r="DZ148" s="684"/>
      <c r="EA148" s="684"/>
      <c r="EB148" s="684"/>
      <c r="EC148" s="684"/>
      <c r="ED148" s="684"/>
      <c r="EE148" s="684"/>
      <c r="EG148" s="684"/>
      <c r="EH148" s="684"/>
    </row>
    <row r="149" spans="16:138" x14ac:dyDescent="0.45">
      <c r="P149" s="684"/>
      <c r="Q149" s="684"/>
      <c r="DX149" s="690"/>
      <c r="DY149" s="690"/>
      <c r="DZ149" s="684"/>
      <c r="EA149" s="684"/>
      <c r="EB149" s="684"/>
      <c r="EC149" s="684"/>
      <c r="ED149" s="684"/>
      <c r="EE149" s="684"/>
      <c r="EG149" s="684"/>
      <c r="EH149" s="684"/>
    </row>
    <row r="150" spans="16:138" x14ac:dyDescent="0.45">
      <c r="P150" s="684"/>
      <c r="Q150" s="684"/>
      <c r="DX150" s="690"/>
      <c r="DY150" s="690"/>
      <c r="DZ150" s="684"/>
      <c r="EA150" s="684"/>
      <c r="EB150" s="684"/>
      <c r="EC150" s="684"/>
      <c r="ED150" s="684"/>
      <c r="EE150" s="684"/>
      <c r="EG150" s="684"/>
      <c r="EH150" s="684"/>
    </row>
    <row r="151" spans="16:138" x14ac:dyDescent="0.45">
      <c r="P151" s="684"/>
      <c r="Q151" s="684"/>
      <c r="DX151" s="690"/>
      <c r="DY151" s="690"/>
      <c r="DZ151" s="684"/>
      <c r="EA151" s="684"/>
      <c r="EB151" s="684"/>
      <c r="EC151" s="684"/>
      <c r="ED151" s="684"/>
      <c r="EE151" s="684"/>
      <c r="EG151" s="684"/>
      <c r="EH151" s="684"/>
    </row>
    <row r="152" spans="16:138" x14ac:dyDescent="0.45">
      <c r="P152" s="684"/>
      <c r="Q152" s="684"/>
      <c r="DX152" s="690"/>
      <c r="DY152" s="690"/>
      <c r="DZ152" s="684"/>
      <c r="EA152" s="684"/>
      <c r="EB152" s="684"/>
      <c r="EC152" s="684"/>
      <c r="ED152" s="684"/>
      <c r="EE152" s="684"/>
      <c r="EG152" s="684"/>
      <c r="EH152" s="684"/>
    </row>
    <row r="153" spans="16:138" x14ac:dyDescent="0.45">
      <c r="P153" s="684"/>
      <c r="Q153" s="684"/>
      <c r="DX153" s="690"/>
      <c r="DY153" s="690"/>
      <c r="DZ153" s="684"/>
      <c r="EA153" s="684"/>
      <c r="EB153" s="684"/>
      <c r="EC153" s="684"/>
      <c r="ED153" s="684"/>
      <c r="EE153" s="684"/>
      <c r="EG153" s="684"/>
      <c r="EH153" s="684"/>
    </row>
    <row r="154" spans="16:138" x14ac:dyDescent="0.45">
      <c r="P154" s="684"/>
      <c r="Q154" s="684"/>
      <c r="DX154" s="690"/>
      <c r="DY154" s="690"/>
      <c r="DZ154" s="684"/>
      <c r="EA154" s="684"/>
      <c r="EB154" s="684"/>
      <c r="EC154" s="684"/>
      <c r="ED154" s="684"/>
      <c r="EE154" s="684"/>
      <c r="EG154" s="684"/>
      <c r="EH154" s="684"/>
    </row>
    <row r="155" spans="16:138" x14ac:dyDescent="0.45">
      <c r="P155" s="684"/>
      <c r="Q155" s="684"/>
      <c r="DX155" s="690"/>
      <c r="DY155" s="690"/>
      <c r="DZ155" s="684"/>
      <c r="EA155" s="684"/>
      <c r="EB155" s="684"/>
      <c r="EC155" s="684"/>
      <c r="ED155" s="684"/>
      <c r="EE155" s="684"/>
      <c r="EG155" s="684"/>
      <c r="EH155" s="684"/>
    </row>
    <row r="156" spans="16:138" x14ac:dyDescent="0.45">
      <c r="P156" s="684"/>
      <c r="Q156" s="684"/>
      <c r="DX156" s="690"/>
      <c r="DY156" s="690"/>
      <c r="DZ156" s="684"/>
      <c r="EA156" s="684"/>
      <c r="EB156" s="684"/>
      <c r="EC156" s="684"/>
      <c r="ED156" s="684"/>
      <c r="EE156" s="684"/>
      <c r="EG156" s="684"/>
      <c r="EH156" s="684"/>
    </row>
    <row r="157" spans="16:138" x14ac:dyDescent="0.45">
      <c r="P157" s="684"/>
      <c r="Q157" s="684"/>
      <c r="DX157" s="690"/>
      <c r="DY157" s="690"/>
      <c r="DZ157" s="684"/>
      <c r="EA157" s="684"/>
      <c r="EB157" s="684"/>
      <c r="EC157" s="684"/>
      <c r="ED157" s="684"/>
      <c r="EE157" s="684"/>
      <c r="EG157" s="684"/>
      <c r="EH157" s="684"/>
    </row>
    <row r="158" spans="16:138" x14ac:dyDescent="0.45">
      <c r="P158" s="684"/>
      <c r="Q158" s="684"/>
      <c r="DX158" s="690"/>
      <c r="DY158" s="690"/>
      <c r="DZ158" s="684"/>
      <c r="EA158" s="684"/>
      <c r="EB158" s="684"/>
      <c r="EC158" s="684"/>
      <c r="ED158" s="684"/>
      <c r="EE158" s="684"/>
      <c r="EG158" s="684"/>
      <c r="EH158" s="684"/>
    </row>
    <row r="159" spans="16:138" x14ac:dyDescent="0.45">
      <c r="P159" s="684"/>
      <c r="Q159" s="684"/>
      <c r="DX159" s="690"/>
      <c r="DY159" s="690"/>
      <c r="DZ159" s="684"/>
      <c r="EA159" s="684"/>
      <c r="EB159" s="684"/>
      <c r="EC159" s="684"/>
      <c r="ED159" s="684"/>
      <c r="EE159" s="684"/>
      <c r="EG159" s="684"/>
      <c r="EH159" s="684"/>
    </row>
    <row r="160" spans="16:138" x14ac:dyDescent="0.45">
      <c r="P160" s="684"/>
      <c r="Q160" s="684"/>
      <c r="DX160" s="690"/>
      <c r="DY160" s="690"/>
      <c r="DZ160" s="684"/>
      <c r="EA160" s="684"/>
      <c r="EB160" s="684"/>
      <c r="EC160" s="684"/>
      <c r="ED160" s="684"/>
      <c r="EE160" s="684"/>
      <c r="EG160" s="684"/>
      <c r="EH160" s="684"/>
    </row>
    <row r="161" spans="16:138" x14ac:dyDescent="0.45">
      <c r="P161" s="684"/>
      <c r="Q161" s="684"/>
      <c r="DX161" s="690"/>
      <c r="DY161" s="690"/>
      <c r="DZ161" s="684"/>
      <c r="EA161" s="684"/>
      <c r="EB161" s="684"/>
      <c r="EC161" s="684"/>
      <c r="ED161" s="684"/>
      <c r="EE161" s="684"/>
      <c r="EG161" s="684"/>
      <c r="EH161" s="684"/>
    </row>
    <row r="162" spans="16:138" x14ac:dyDescent="0.45">
      <c r="P162" s="684"/>
      <c r="Q162" s="684"/>
      <c r="DX162" s="690"/>
      <c r="DY162" s="690"/>
      <c r="DZ162" s="684"/>
      <c r="EA162" s="684"/>
      <c r="EB162" s="684"/>
      <c r="EC162" s="684"/>
      <c r="ED162" s="684"/>
      <c r="EE162" s="684"/>
      <c r="EG162" s="684"/>
      <c r="EH162" s="684"/>
    </row>
    <row r="163" spans="16:138" x14ac:dyDescent="0.45">
      <c r="P163" s="684"/>
      <c r="Q163" s="684"/>
      <c r="DX163" s="690"/>
      <c r="DY163" s="690"/>
      <c r="DZ163" s="684"/>
      <c r="EA163" s="684"/>
      <c r="EB163" s="684"/>
      <c r="EC163" s="684"/>
      <c r="ED163" s="684"/>
      <c r="EE163" s="684"/>
      <c r="EG163" s="684"/>
      <c r="EH163" s="684"/>
    </row>
    <row r="164" spans="16:138" x14ac:dyDescent="0.45">
      <c r="P164" s="684"/>
      <c r="Q164" s="684"/>
      <c r="DX164" s="690"/>
      <c r="DY164" s="690"/>
      <c r="DZ164" s="684"/>
      <c r="EA164" s="684"/>
      <c r="EB164" s="684"/>
      <c r="EC164" s="684"/>
      <c r="ED164" s="684"/>
      <c r="EE164" s="684"/>
      <c r="EG164" s="684"/>
      <c r="EH164" s="684"/>
    </row>
    <row r="165" spans="16:138" x14ac:dyDescent="0.45">
      <c r="P165" s="684"/>
      <c r="Q165" s="684"/>
      <c r="DX165" s="690"/>
      <c r="DY165" s="690"/>
      <c r="DZ165" s="684"/>
      <c r="EA165" s="684"/>
      <c r="EB165" s="684"/>
      <c r="EC165" s="684"/>
      <c r="ED165" s="684"/>
      <c r="EE165" s="684"/>
      <c r="EG165" s="684"/>
      <c r="EH165" s="684"/>
    </row>
    <row r="166" spans="16:138" x14ac:dyDescent="0.45">
      <c r="P166" s="684"/>
      <c r="Q166" s="684"/>
      <c r="DX166" s="690"/>
      <c r="DY166" s="690"/>
      <c r="DZ166" s="684"/>
      <c r="EA166" s="684"/>
      <c r="EB166" s="684"/>
      <c r="EC166" s="684"/>
      <c r="ED166" s="684"/>
      <c r="EE166" s="684"/>
      <c r="EG166" s="684"/>
      <c r="EH166" s="684"/>
    </row>
    <row r="167" spans="16:138" x14ac:dyDescent="0.45">
      <c r="P167" s="684"/>
      <c r="Q167" s="684"/>
      <c r="DX167" s="690"/>
      <c r="DY167" s="690"/>
      <c r="DZ167" s="684"/>
      <c r="EA167" s="684"/>
      <c r="EB167" s="684"/>
      <c r="EC167" s="684"/>
      <c r="ED167" s="684"/>
      <c r="EE167" s="684"/>
      <c r="EG167" s="684"/>
      <c r="EH167" s="684"/>
    </row>
    <row r="168" spans="16:138" x14ac:dyDescent="0.45">
      <c r="P168" s="684"/>
      <c r="Q168" s="684"/>
      <c r="DX168" s="690"/>
      <c r="DY168" s="690"/>
      <c r="DZ168" s="684"/>
      <c r="EA168" s="684"/>
      <c r="EB168" s="684"/>
      <c r="EC168" s="684"/>
      <c r="ED168" s="684"/>
      <c r="EE168" s="684"/>
      <c r="EG168" s="684"/>
      <c r="EH168" s="684"/>
    </row>
    <row r="169" spans="16:138" x14ac:dyDescent="0.45">
      <c r="P169" s="684"/>
      <c r="Q169" s="684"/>
      <c r="DX169" s="690"/>
      <c r="DY169" s="690"/>
      <c r="DZ169" s="684"/>
      <c r="EA169" s="684"/>
      <c r="EB169" s="684"/>
      <c r="EC169" s="684"/>
      <c r="ED169" s="684"/>
      <c r="EE169" s="684"/>
      <c r="EG169" s="684"/>
      <c r="EH169" s="684"/>
    </row>
    <row r="170" spans="16:138" x14ac:dyDescent="0.45">
      <c r="P170" s="684"/>
      <c r="Q170" s="684"/>
      <c r="DX170" s="690"/>
      <c r="DY170" s="690"/>
      <c r="DZ170" s="684"/>
      <c r="EA170" s="684"/>
      <c r="EB170" s="684"/>
      <c r="EC170" s="684"/>
      <c r="ED170" s="684"/>
      <c r="EE170" s="684"/>
      <c r="EG170" s="684"/>
      <c r="EH170" s="684"/>
    </row>
    <row r="171" spans="16:138" x14ac:dyDescent="0.45">
      <c r="P171" s="684"/>
      <c r="Q171" s="684"/>
      <c r="DX171" s="690"/>
      <c r="DY171" s="690"/>
      <c r="DZ171" s="684"/>
      <c r="EA171" s="684"/>
      <c r="EB171" s="684"/>
      <c r="EC171" s="684"/>
      <c r="ED171" s="684"/>
      <c r="EE171" s="684"/>
      <c r="EG171" s="684"/>
      <c r="EH171" s="684"/>
    </row>
    <row r="172" spans="16:138" x14ac:dyDescent="0.45">
      <c r="P172" s="684"/>
      <c r="Q172" s="684"/>
      <c r="DX172" s="690"/>
      <c r="DY172" s="690"/>
      <c r="DZ172" s="684"/>
      <c r="EA172" s="684"/>
      <c r="EB172" s="684"/>
      <c r="EC172" s="684"/>
      <c r="ED172" s="684"/>
      <c r="EE172" s="684"/>
      <c r="EG172" s="684"/>
      <c r="EH172" s="684"/>
    </row>
    <row r="173" spans="16:138" x14ac:dyDescent="0.45">
      <c r="P173" s="684"/>
      <c r="Q173" s="684"/>
      <c r="DX173" s="690"/>
      <c r="DY173" s="690"/>
      <c r="DZ173" s="684"/>
      <c r="EA173" s="684"/>
      <c r="EB173" s="684"/>
      <c r="EC173" s="684"/>
      <c r="ED173" s="684"/>
      <c r="EE173" s="684"/>
      <c r="EG173" s="684"/>
      <c r="EH173" s="684"/>
    </row>
    <row r="174" spans="16:138" x14ac:dyDescent="0.45">
      <c r="P174" s="684"/>
      <c r="Q174" s="684"/>
      <c r="DX174" s="690"/>
      <c r="DY174" s="690"/>
      <c r="DZ174" s="684"/>
      <c r="EA174" s="684"/>
      <c r="EB174" s="684"/>
      <c r="EC174" s="684"/>
      <c r="ED174" s="684"/>
      <c r="EE174" s="684"/>
      <c r="EG174" s="684"/>
      <c r="EH174" s="684"/>
    </row>
    <row r="175" spans="16:138" x14ac:dyDescent="0.45">
      <c r="P175" s="684"/>
      <c r="Q175" s="684"/>
      <c r="DX175" s="690"/>
      <c r="DY175" s="690"/>
      <c r="DZ175" s="684"/>
      <c r="EA175" s="684"/>
      <c r="EB175" s="684"/>
      <c r="EC175" s="684"/>
      <c r="ED175" s="684"/>
      <c r="EE175" s="684"/>
      <c r="EG175" s="684"/>
      <c r="EH175" s="684"/>
    </row>
    <row r="176" spans="16:138" x14ac:dyDescent="0.45">
      <c r="P176" s="684"/>
      <c r="Q176" s="684"/>
      <c r="DX176" s="690"/>
      <c r="DY176" s="690"/>
      <c r="DZ176" s="684"/>
      <c r="EA176" s="684"/>
      <c r="EB176" s="684"/>
      <c r="EC176" s="684"/>
      <c r="ED176" s="684"/>
      <c r="EE176" s="684"/>
      <c r="EG176" s="684"/>
      <c r="EH176" s="684"/>
    </row>
    <row r="177" spans="16:138" x14ac:dyDescent="0.45">
      <c r="P177" s="684"/>
      <c r="Q177" s="684"/>
      <c r="DX177" s="690"/>
      <c r="DY177" s="690"/>
      <c r="DZ177" s="684"/>
      <c r="EA177" s="684"/>
      <c r="EB177" s="684"/>
      <c r="EC177" s="684"/>
      <c r="ED177" s="684"/>
      <c r="EE177" s="684"/>
      <c r="EG177" s="684"/>
      <c r="EH177" s="684"/>
    </row>
    <row r="178" spans="16:138" x14ac:dyDescent="0.45">
      <c r="P178" s="684"/>
      <c r="Q178" s="684"/>
      <c r="DX178" s="690"/>
      <c r="DY178" s="690"/>
      <c r="DZ178" s="684"/>
      <c r="EA178" s="684"/>
      <c r="EB178" s="684"/>
      <c r="EC178" s="684"/>
      <c r="ED178" s="684"/>
      <c r="EE178" s="684"/>
      <c r="EG178" s="684"/>
      <c r="EH178" s="684"/>
    </row>
    <row r="179" spans="16:138" x14ac:dyDescent="0.45">
      <c r="P179" s="684"/>
      <c r="Q179" s="684"/>
      <c r="DX179" s="690"/>
      <c r="DY179" s="690"/>
      <c r="DZ179" s="684"/>
      <c r="EA179" s="684"/>
      <c r="EB179" s="684"/>
      <c r="EC179" s="684"/>
      <c r="ED179" s="684"/>
      <c r="EE179" s="684"/>
      <c r="EG179" s="684"/>
      <c r="EH179" s="684"/>
    </row>
    <row r="180" spans="16:138" x14ac:dyDescent="0.45">
      <c r="P180" s="684"/>
      <c r="Q180" s="684"/>
      <c r="DX180" s="690"/>
      <c r="DY180" s="690"/>
      <c r="DZ180" s="684"/>
      <c r="EA180" s="684"/>
      <c r="EB180" s="684"/>
      <c r="EC180" s="684"/>
      <c r="ED180" s="684"/>
      <c r="EE180" s="684"/>
      <c r="EG180" s="684"/>
      <c r="EH180" s="684"/>
    </row>
    <row r="181" spans="16:138" x14ac:dyDescent="0.45">
      <c r="P181" s="684"/>
      <c r="Q181" s="684"/>
      <c r="DX181" s="690"/>
      <c r="DY181" s="690"/>
      <c r="DZ181" s="684"/>
      <c r="EA181" s="684"/>
      <c r="EB181" s="684"/>
      <c r="EC181" s="684"/>
      <c r="ED181" s="684"/>
      <c r="EE181" s="684"/>
      <c r="EG181" s="684"/>
      <c r="EH181" s="684"/>
    </row>
    <row r="182" spans="16:138" x14ac:dyDescent="0.45">
      <c r="P182" s="684"/>
      <c r="Q182" s="684"/>
      <c r="DX182" s="690"/>
      <c r="DY182" s="690"/>
      <c r="DZ182" s="684"/>
      <c r="EA182" s="684"/>
      <c r="EB182" s="684"/>
      <c r="EC182" s="684"/>
      <c r="ED182" s="684"/>
      <c r="EE182" s="684"/>
      <c r="EG182" s="684"/>
      <c r="EH182" s="684"/>
    </row>
    <row r="183" spans="16:138" x14ac:dyDescent="0.45">
      <c r="P183" s="684"/>
      <c r="Q183" s="684"/>
      <c r="DX183" s="690"/>
      <c r="DY183" s="690"/>
      <c r="DZ183" s="684"/>
      <c r="EA183" s="684"/>
      <c r="EB183" s="684"/>
      <c r="EC183" s="684"/>
      <c r="ED183" s="684"/>
      <c r="EE183" s="684"/>
      <c r="EG183" s="684"/>
      <c r="EH183" s="684"/>
    </row>
    <row r="184" spans="16:138" x14ac:dyDescent="0.45">
      <c r="P184" s="684"/>
      <c r="Q184" s="684"/>
      <c r="DX184" s="690"/>
      <c r="DY184" s="690"/>
      <c r="DZ184" s="684"/>
      <c r="EA184" s="684"/>
      <c r="EB184" s="684"/>
      <c r="EC184" s="684"/>
      <c r="ED184" s="684"/>
      <c r="EE184" s="684"/>
      <c r="EG184" s="684"/>
      <c r="EH184" s="684"/>
    </row>
    <row r="185" spans="16:138" x14ac:dyDescent="0.45">
      <c r="P185" s="684"/>
      <c r="Q185" s="684"/>
      <c r="DX185" s="690"/>
      <c r="DY185" s="690"/>
      <c r="DZ185" s="684"/>
      <c r="EA185" s="684"/>
      <c r="EB185" s="684"/>
      <c r="EC185" s="684"/>
      <c r="ED185" s="684"/>
      <c r="EE185" s="684"/>
      <c r="EG185" s="684"/>
      <c r="EH185" s="684"/>
    </row>
    <row r="186" spans="16:138" x14ac:dyDescent="0.45">
      <c r="P186" s="684"/>
      <c r="Q186" s="684"/>
      <c r="DX186" s="690"/>
      <c r="DY186" s="690"/>
      <c r="DZ186" s="684"/>
      <c r="EA186" s="684"/>
      <c r="EB186" s="684"/>
      <c r="EC186" s="684"/>
      <c r="ED186" s="684"/>
      <c r="EE186" s="684"/>
      <c r="EG186" s="684"/>
      <c r="EH186" s="684"/>
    </row>
    <row r="187" spans="16:138" x14ac:dyDescent="0.45">
      <c r="P187" s="684"/>
      <c r="Q187" s="684"/>
      <c r="DX187" s="690"/>
      <c r="DY187" s="690"/>
      <c r="DZ187" s="684"/>
      <c r="EA187" s="684"/>
      <c r="EB187" s="684"/>
      <c r="EC187" s="684"/>
      <c r="ED187" s="684"/>
      <c r="EE187" s="684"/>
      <c r="EG187" s="684"/>
      <c r="EH187" s="684"/>
    </row>
    <row r="188" spans="16:138" x14ac:dyDescent="0.45">
      <c r="P188" s="684"/>
      <c r="Q188" s="684"/>
      <c r="DX188" s="690"/>
      <c r="DY188" s="690"/>
      <c r="DZ188" s="684"/>
      <c r="EA188" s="684"/>
      <c r="EB188" s="684"/>
      <c r="EC188" s="684"/>
      <c r="ED188" s="684"/>
      <c r="EE188" s="684"/>
      <c r="EG188" s="684"/>
      <c r="EH188" s="684"/>
    </row>
    <row r="189" spans="16:138" x14ac:dyDescent="0.45">
      <c r="P189" s="684"/>
      <c r="Q189" s="684"/>
      <c r="DX189" s="690"/>
      <c r="DY189" s="690"/>
      <c r="DZ189" s="684"/>
      <c r="EA189" s="684"/>
      <c r="EB189" s="684"/>
      <c r="EC189" s="684"/>
      <c r="ED189" s="684"/>
      <c r="EE189" s="684"/>
      <c r="EG189" s="684"/>
      <c r="EH189" s="684"/>
    </row>
    <row r="190" spans="16:138" x14ac:dyDescent="0.45">
      <c r="P190" s="684"/>
      <c r="Q190" s="684"/>
      <c r="DX190" s="690"/>
      <c r="DY190" s="690"/>
      <c r="DZ190" s="684"/>
      <c r="EA190" s="684"/>
      <c r="EB190" s="684"/>
      <c r="EC190" s="684"/>
      <c r="ED190" s="684"/>
      <c r="EE190" s="684"/>
      <c r="EG190" s="684"/>
      <c r="EH190" s="684"/>
    </row>
    <row r="191" spans="16:138" x14ac:dyDescent="0.45">
      <c r="P191" s="684"/>
      <c r="Q191" s="684"/>
      <c r="DX191" s="690"/>
      <c r="DY191" s="690"/>
      <c r="DZ191" s="684"/>
      <c r="EA191" s="684"/>
      <c r="EB191" s="684"/>
      <c r="EC191" s="684"/>
      <c r="ED191" s="684"/>
      <c r="EE191" s="684"/>
      <c r="EG191" s="684"/>
      <c r="EH191" s="684"/>
    </row>
    <row r="192" spans="16:138" x14ac:dyDescent="0.45">
      <c r="P192" s="684"/>
      <c r="Q192" s="684"/>
      <c r="DX192" s="690"/>
      <c r="DY192" s="690"/>
      <c r="DZ192" s="684"/>
      <c r="EA192" s="684"/>
      <c r="EB192" s="684"/>
      <c r="EC192" s="684"/>
      <c r="ED192" s="684"/>
      <c r="EE192" s="684"/>
      <c r="EG192" s="684"/>
      <c r="EH192" s="684"/>
    </row>
    <row r="193" spans="16:138" x14ac:dyDescent="0.45">
      <c r="P193" s="684"/>
      <c r="Q193" s="684"/>
      <c r="DX193" s="690"/>
      <c r="DY193" s="690"/>
      <c r="DZ193" s="684"/>
      <c r="EA193" s="684"/>
      <c r="EB193" s="684"/>
      <c r="EC193" s="684"/>
      <c r="ED193" s="684"/>
      <c r="EE193" s="684"/>
      <c r="EG193" s="684"/>
      <c r="EH193" s="684"/>
    </row>
    <row r="194" spans="16:138" x14ac:dyDescent="0.45">
      <c r="P194" s="684"/>
      <c r="Q194" s="684"/>
      <c r="DX194" s="690"/>
      <c r="DY194" s="690"/>
      <c r="DZ194" s="684"/>
      <c r="EA194" s="684"/>
      <c r="EB194" s="684"/>
      <c r="EC194" s="684"/>
      <c r="ED194" s="684"/>
      <c r="EE194" s="684"/>
      <c r="EG194" s="684"/>
      <c r="EH194" s="684"/>
    </row>
    <row r="195" spans="16:138" x14ac:dyDescent="0.45">
      <c r="P195" s="684"/>
      <c r="Q195" s="684"/>
      <c r="DX195" s="690"/>
      <c r="DY195" s="690"/>
      <c r="DZ195" s="684"/>
      <c r="EA195" s="684"/>
      <c r="EB195" s="684"/>
      <c r="EC195" s="684"/>
      <c r="ED195" s="684"/>
      <c r="EE195" s="684"/>
      <c r="EG195" s="684"/>
      <c r="EH195" s="684"/>
    </row>
    <row r="196" spans="16:138" x14ac:dyDescent="0.45">
      <c r="P196" s="684"/>
      <c r="Q196" s="684"/>
      <c r="DX196" s="690"/>
      <c r="DY196" s="690"/>
      <c r="DZ196" s="684"/>
      <c r="EA196" s="684"/>
      <c r="EB196" s="684"/>
      <c r="EC196" s="684"/>
      <c r="ED196" s="684"/>
      <c r="EE196" s="684"/>
      <c r="EG196" s="684"/>
      <c r="EH196" s="684"/>
    </row>
    <row r="197" spans="16:138" x14ac:dyDescent="0.45">
      <c r="P197" s="684"/>
      <c r="Q197" s="684"/>
      <c r="DX197" s="690"/>
      <c r="DY197" s="690"/>
      <c r="DZ197" s="684"/>
      <c r="EA197" s="684"/>
      <c r="EB197" s="684"/>
      <c r="EC197" s="684"/>
      <c r="ED197" s="684"/>
      <c r="EE197" s="684"/>
      <c r="EG197" s="684"/>
      <c r="EH197" s="684"/>
    </row>
    <row r="198" spans="16:138" x14ac:dyDescent="0.45">
      <c r="P198" s="684"/>
      <c r="Q198" s="684"/>
      <c r="DX198" s="690"/>
      <c r="DY198" s="690"/>
      <c r="DZ198" s="684"/>
      <c r="EA198" s="684"/>
      <c r="EB198" s="684"/>
      <c r="EC198" s="684"/>
      <c r="ED198" s="684"/>
      <c r="EE198" s="684"/>
      <c r="EG198" s="684"/>
      <c r="EH198" s="684"/>
    </row>
    <row r="199" spans="16:138" x14ac:dyDescent="0.45">
      <c r="P199" s="684"/>
      <c r="Q199" s="684"/>
      <c r="DX199" s="690"/>
      <c r="DY199" s="690"/>
      <c r="DZ199" s="684"/>
      <c r="EA199" s="684"/>
      <c r="EB199" s="684"/>
      <c r="EC199" s="684"/>
      <c r="ED199" s="684"/>
      <c r="EE199" s="684"/>
      <c r="EG199" s="684"/>
      <c r="EH199" s="684"/>
    </row>
    <row r="200" spans="16:138" x14ac:dyDescent="0.45">
      <c r="P200" s="684"/>
      <c r="Q200" s="684"/>
      <c r="DX200" s="690"/>
      <c r="DY200" s="690"/>
      <c r="DZ200" s="684"/>
      <c r="EA200" s="684"/>
      <c r="EB200" s="684"/>
      <c r="EC200" s="684"/>
      <c r="ED200" s="684"/>
      <c r="EE200" s="684"/>
      <c r="EG200" s="684"/>
      <c r="EH200" s="684"/>
    </row>
    <row r="201" spans="16:138" x14ac:dyDescent="0.45">
      <c r="P201" s="684"/>
      <c r="Q201" s="684"/>
      <c r="DX201" s="690"/>
      <c r="DY201" s="690"/>
      <c r="DZ201" s="684"/>
      <c r="EA201" s="684"/>
      <c r="EB201" s="684"/>
      <c r="EC201" s="684"/>
      <c r="ED201" s="684"/>
      <c r="EE201" s="684"/>
      <c r="EG201" s="684"/>
      <c r="EH201" s="684"/>
    </row>
    <row r="202" spans="16:138" x14ac:dyDescent="0.45">
      <c r="P202" s="684"/>
      <c r="Q202" s="684"/>
      <c r="DX202" s="690"/>
      <c r="DY202" s="690"/>
      <c r="DZ202" s="684"/>
      <c r="EA202" s="684"/>
      <c r="EB202" s="684"/>
      <c r="EC202" s="684"/>
      <c r="ED202" s="684"/>
      <c r="EE202" s="684"/>
      <c r="EG202" s="684"/>
      <c r="EH202" s="684"/>
    </row>
    <row r="203" spans="16:138" x14ac:dyDescent="0.45">
      <c r="P203" s="684"/>
      <c r="Q203" s="684"/>
      <c r="DX203" s="690"/>
      <c r="DY203" s="690"/>
      <c r="DZ203" s="684"/>
      <c r="EA203" s="684"/>
      <c r="EB203" s="684"/>
      <c r="EC203" s="684"/>
      <c r="ED203" s="684"/>
      <c r="EE203" s="684"/>
      <c r="EG203" s="684"/>
      <c r="EH203" s="684"/>
    </row>
    <row r="204" spans="16:138" x14ac:dyDescent="0.45">
      <c r="P204" s="684"/>
      <c r="Q204" s="684"/>
      <c r="DX204" s="690"/>
      <c r="DY204" s="690"/>
      <c r="DZ204" s="684"/>
      <c r="EA204" s="684"/>
      <c r="EB204" s="684"/>
      <c r="EC204" s="684"/>
      <c r="ED204" s="684"/>
      <c r="EE204" s="684"/>
      <c r="EG204" s="684"/>
      <c r="EH204" s="684"/>
    </row>
    <row r="205" spans="16:138" x14ac:dyDescent="0.45">
      <c r="P205" s="684"/>
      <c r="Q205" s="684"/>
      <c r="DX205" s="690"/>
      <c r="DY205" s="690"/>
      <c r="DZ205" s="684"/>
      <c r="EA205" s="684"/>
      <c r="EB205" s="684"/>
      <c r="EC205" s="684"/>
      <c r="ED205" s="684"/>
      <c r="EE205" s="684"/>
      <c r="EG205" s="684"/>
      <c r="EH205" s="684"/>
    </row>
    <row r="206" spans="16:138" x14ac:dyDescent="0.45">
      <c r="P206" s="684"/>
      <c r="Q206" s="684"/>
      <c r="DX206" s="690"/>
      <c r="DY206" s="690"/>
      <c r="DZ206" s="684"/>
      <c r="EA206" s="684"/>
      <c r="EB206" s="684"/>
      <c r="EC206" s="684"/>
      <c r="ED206" s="684"/>
      <c r="EE206" s="684"/>
      <c r="EG206" s="684"/>
      <c r="EH206" s="684"/>
    </row>
    <row r="207" spans="16:138" x14ac:dyDescent="0.45">
      <c r="P207" s="684"/>
      <c r="Q207" s="684"/>
      <c r="DX207" s="690"/>
      <c r="DY207" s="690"/>
      <c r="DZ207" s="684"/>
      <c r="EA207" s="684"/>
      <c r="EB207" s="684"/>
      <c r="EC207" s="684"/>
      <c r="ED207" s="684"/>
      <c r="EE207" s="684"/>
      <c r="EG207" s="684"/>
      <c r="EH207" s="684"/>
    </row>
  </sheetData>
  <mergeCells count="26">
    <mergeCell ref="CU5:CY5"/>
    <mergeCell ref="DF5:DM5"/>
    <mergeCell ref="HG7:HM7"/>
    <mergeCell ref="HE6:HM6"/>
    <mergeCell ref="GB5:GF7"/>
    <mergeCell ref="GP5:GT7"/>
    <mergeCell ref="DO5:DQ5"/>
    <mergeCell ref="DZ5:EF5"/>
    <mergeCell ref="FH5:FQ7"/>
    <mergeCell ref="CZ5:DE5"/>
    <mergeCell ref="BN5:BQ5"/>
    <mergeCell ref="AG3:AK3"/>
    <mergeCell ref="EU5:EY7"/>
    <mergeCell ref="HE7:HF7"/>
    <mergeCell ref="DU5:DW5"/>
    <mergeCell ref="DU4:EH4"/>
    <mergeCell ref="EZ5:FD7"/>
    <mergeCell ref="EQ5:ET7"/>
    <mergeCell ref="GZ5:HD7"/>
    <mergeCell ref="FR5:FV7"/>
    <mergeCell ref="GU5:GY7"/>
    <mergeCell ref="GK5:GO7"/>
    <mergeCell ref="CK5:CT5"/>
    <mergeCell ref="EL5:EP7"/>
    <mergeCell ref="FW5:GA7"/>
    <mergeCell ref="GG5:GJ7"/>
  </mergeCells>
  <conditionalFormatting sqref="E9:N59">
    <cfRule type="containsText" dxfId="26" priority="6" operator="containsText" text="False">
      <formula>NOT(ISERROR(SEARCH("False",E9)))</formula>
    </cfRule>
  </conditionalFormatting>
  <conditionalFormatting sqref="P9:P59">
    <cfRule type="containsText" dxfId="25" priority="9" operator="containsText" text="No">
      <formula>NOT(ISERROR(SEARCH("No",P9)))</formula>
    </cfRule>
    <cfRule type="containsText" dxfId="24" priority="12" operator="containsText" text="No">
      <formula>NOT(ISERROR(SEARCH("No",P9)))</formula>
    </cfRule>
  </conditionalFormatting>
  <conditionalFormatting sqref="DR1:DR7 DR9:DR1048576">
    <cfRule type="cellIs" dxfId="23" priority="13" operator="equal">
      <formula>"Yes"</formula>
    </cfRule>
  </conditionalFormatting>
  <conditionalFormatting sqref="DX9:DX59">
    <cfRule type="containsText" dxfId="22" priority="11" operator="containsText" text="yes">
      <formula>NOT(ISERROR(SEARCH("yes",DX9)))</formula>
    </cfRule>
  </conditionalFormatting>
  <dataValidations count="2">
    <dataValidation type="list" allowBlank="1" showInputMessage="1" showErrorMessage="1" sqref="CW9:CW59 CQ9:CQ59" xr:uid="{00000000-0002-0000-0100-000000000000}">
      <formula1>"N,Y"</formula1>
    </dataValidation>
    <dataValidation type="list" allowBlank="1" showInputMessage="1" showErrorMessage="1" sqref="DX9:DY59 CG9:CH59 CD9:CD59 BZ9:CA59 BV9:BX59 S9:S59 Q9:Q59" xr:uid="{00000000-0002-0000-0100-000001000000}">
      <formula1>"No, Yes"</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183"/>
  <sheetViews>
    <sheetView zoomScale="70" zoomScaleNormal="70" workbookViewId="0">
      <selection activeCell="L61" sqref="L61"/>
    </sheetView>
  </sheetViews>
  <sheetFormatPr defaultColWidth="9.265625" defaultRowHeight="13.15" outlineLevelRow="1" x14ac:dyDescent="0.4"/>
  <cols>
    <col min="1" max="1" width="2.265625" style="2" customWidth="1"/>
    <col min="2" max="2" width="2" style="2" customWidth="1"/>
    <col min="3" max="3" width="3.59765625" style="2" customWidth="1"/>
    <col min="4" max="4" width="8.59765625" style="2" customWidth="1"/>
    <col min="5" max="5" width="53.59765625" style="2" bestFit="1" customWidth="1"/>
    <col min="6" max="6" width="19.59765625" style="2" customWidth="1"/>
    <col min="7" max="7" width="26.265625" style="2" bestFit="1" customWidth="1"/>
    <col min="8" max="8" width="19.265625" style="2" customWidth="1"/>
    <col min="9" max="9" width="14.59765625" style="2" bestFit="1" customWidth="1"/>
    <col min="10" max="10" width="12.265625" style="2" bestFit="1" customWidth="1"/>
    <col min="11" max="11" width="12.265625" style="2" customWidth="1"/>
    <col min="12" max="12" width="14" style="2" bestFit="1" customWidth="1"/>
    <col min="13" max="13" width="17" style="2" bestFit="1" customWidth="1"/>
    <col min="14" max="14" width="18.59765625" style="2" customWidth="1"/>
    <col min="15" max="15" width="16.265625" style="2" bestFit="1" customWidth="1"/>
    <col min="16" max="16" width="9.265625" style="2" customWidth="1"/>
    <col min="17" max="17" width="14.59765625" style="2" bestFit="1" customWidth="1"/>
    <col min="18" max="18" width="13.59765625" style="2" bestFit="1" customWidth="1"/>
    <col min="19" max="19" width="14.59765625" style="2" bestFit="1" customWidth="1"/>
    <col min="20" max="20" width="9.265625" style="2" customWidth="1"/>
    <col min="21" max="16384" width="9.265625" style="2"/>
  </cols>
  <sheetData>
    <row r="1" spans="2:14" x14ac:dyDescent="0.4">
      <c r="B1" s="12"/>
      <c r="C1" s="525" t="s">
        <v>250</v>
      </c>
      <c r="D1" s="525"/>
      <c r="E1" s="525"/>
      <c r="F1" s="525"/>
      <c r="G1" s="525"/>
      <c r="H1" s="525"/>
      <c r="I1" s="525"/>
      <c r="J1" s="525"/>
      <c r="K1" s="525"/>
      <c r="L1" s="525"/>
      <c r="M1" s="525"/>
      <c r="N1" s="13"/>
    </row>
    <row r="2" spans="2:14" x14ac:dyDescent="0.4">
      <c r="B2" s="12"/>
      <c r="C2" s="12"/>
      <c r="I2" s="14" t="s">
        <v>94</v>
      </c>
      <c r="J2" s="15"/>
      <c r="K2" s="14" t="s">
        <v>251</v>
      </c>
      <c r="L2" s="15"/>
    </row>
    <row r="3" spans="2:14" x14ac:dyDescent="0.4">
      <c r="B3" s="12"/>
      <c r="C3" s="12"/>
      <c r="G3" s="11" t="s">
        <v>252</v>
      </c>
      <c r="H3" s="11" t="s">
        <v>253</v>
      </c>
      <c r="I3" s="16" t="s">
        <v>254</v>
      </c>
      <c r="J3" s="17"/>
      <c r="K3" s="16" t="s">
        <v>255</v>
      </c>
      <c r="L3" s="17"/>
    </row>
    <row r="4" spans="2:14" x14ac:dyDescent="0.4">
      <c r="B4" s="12"/>
      <c r="D4" s="18" t="s">
        <v>256</v>
      </c>
      <c r="G4" s="19" t="s">
        <v>257</v>
      </c>
      <c r="H4" s="19" t="s">
        <v>258</v>
      </c>
      <c r="I4" s="20" t="s">
        <v>259</v>
      </c>
      <c r="J4" s="21" t="s">
        <v>260</v>
      </c>
      <c r="K4" s="20" t="s">
        <v>259</v>
      </c>
      <c r="L4" s="21" t="s">
        <v>260</v>
      </c>
    </row>
    <row r="5" spans="2:14" x14ac:dyDescent="0.4">
      <c r="B5" s="12"/>
      <c r="D5" s="2" t="s">
        <v>261</v>
      </c>
      <c r="G5" s="22">
        <f>AGENT!D25</f>
        <v>0.625</v>
      </c>
      <c r="H5" s="23">
        <f>COUNTIF(Portfolio!$T$9:$T$60, 'Concentration Limits'!D5)</f>
        <v>11</v>
      </c>
      <c r="I5" s="24">
        <f>SUMIF(Portfolio!$T$9:$T$60, 'Concentration Limits'!$D$5, Portfolio!$AO$9:$AO$60)</f>
        <v>12455729.764371179</v>
      </c>
      <c r="J5" s="25">
        <f t="shared" ref="J5:J30" si="0">I5/I$32</f>
        <v>3.6079387056924844E-2</v>
      </c>
      <c r="K5" s="24">
        <f>SUMIF(Portfolio!$T$9:$T$60, 'Concentration Limits'!D5, Portfolio!$HE$9:$HE$60)</f>
        <v>4666942.9311727853</v>
      </c>
      <c r="L5" s="25">
        <f>K5/K$32</f>
        <v>1.888771353698564E-2</v>
      </c>
    </row>
    <row r="6" spans="2:14" hidden="1" x14ac:dyDescent="0.4">
      <c r="B6" s="12"/>
      <c r="E6" s="141"/>
      <c r="G6" s="22"/>
      <c r="H6" s="23"/>
      <c r="I6" s="24">
        <f>SUMIF(Portfolio!$T$9:$T$60, 'Concentration Limits'!$D$5, Portfolio!$AM$9:$AM$60)</f>
        <v>0</v>
      </c>
      <c r="J6" s="25">
        <f t="shared" si="0"/>
        <v>0</v>
      </c>
      <c r="K6" s="24">
        <f>SUMIF(Portfolio!$T$9:$T$60, 'Concentration Limits'!D5, Portfolio!$HF$9:$HF$60)</f>
        <v>0</v>
      </c>
      <c r="L6" s="25">
        <f>K6/K$32</f>
        <v>0</v>
      </c>
    </row>
    <row r="7" spans="2:14" hidden="1" x14ac:dyDescent="0.4">
      <c r="B7" s="12"/>
      <c r="E7" s="141"/>
      <c r="G7" s="22"/>
      <c r="H7" s="23"/>
      <c r="I7" s="24">
        <f>SUMIF(Portfolio!$T$9:$T$60, 'Concentration Limits'!$D$5, Portfolio!$AN$9:$AN$60)</f>
        <v>0</v>
      </c>
      <c r="J7" s="25">
        <f t="shared" si="0"/>
        <v>0</v>
      </c>
      <c r="K7" s="24"/>
      <c r="L7" s="25"/>
    </row>
    <row r="8" spans="2:14" x14ac:dyDescent="0.4">
      <c r="B8" s="12"/>
      <c r="E8" s="2" t="s">
        <v>262</v>
      </c>
      <c r="G8" s="22"/>
      <c r="H8" s="23"/>
      <c r="I8" s="24">
        <f>SUMIF(Portfolio!$T$9:$T$60, 'Concentration Limits'!$D$5, Portfolio!$AP$9:$AP$60)</f>
        <v>37888648.1875493</v>
      </c>
      <c r="J8" s="25">
        <f t="shared" si="0"/>
        <v>0.10974862403746583</v>
      </c>
      <c r="K8" s="24"/>
      <c r="L8" s="25"/>
    </row>
    <row r="9" spans="2:14" x14ac:dyDescent="0.4">
      <c r="B9" s="12"/>
      <c r="D9" s="2" t="s">
        <v>263</v>
      </c>
      <c r="G9" s="22">
        <f>AGENT!D24</f>
        <v>0.65</v>
      </c>
      <c r="H9" s="23">
        <f>COUNTIF(Portfolio!$T$9:$T$60, 'Concentration Limits'!D9)</f>
        <v>8</v>
      </c>
      <c r="I9" s="24">
        <f>SUMIF(Portfolio!$T$9:$T$60, 'Concentration Limits'!$D$9, Portfolio!$AO$9:$AO$60)</f>
        <v>70092185.513582498</v>
      </c>
      <c r="J9" s="25">
        <f t="shared" si="0"/>
        <v>0.20302970108134752</v>
      </c>
      <c r="K9" s="24">
        <f>SUMIF(Portfolio!$T$9:$T$60, 'Concentration Limits'!D9, Portfolio!$HE$9:$HE$60)</f>
        <v>62826600.358250052</v>
      </c>
      <c r="L9" s="25">
        <f>K9/K$32</f>
        <v>0.25426726822457746</v>
      </c>
    </row>
    <row r="10" spans="2:14" hidden="1" x14ac:dyDescent="0.4">
      <c r="B10" s="12"/>
      <c r="E10" s="141"/>
      <c r="G10" s="22"/>
      <c r="H10" s="23"/>
      <c r="I10" s="24">
        <f>SUMIF(Portfolio!$T$9:$T$60, 'Concentration Limits'!$D$9, Portfolio!$AM$9:$AM$60)</f>
        <v>0</v>
      </c>
      <c r="J10" s="25">
        <f t="shared" si="0"/>
        <v>0</v>
      </c>
      <c r="K10" s="24">
        <f>SUMIF(Portfolio!$T$9:$T$60, 'Concentration Limits'!D9, Portfolio!$HF$9:$HF$60)</f>
        <v>0</v>
      </c>
      <c r="L10" s="25">
        <f>K10/K$32</f>
        <v>0</v>
      </c>
    </row>
    <row r="11" spans="2:14" hidden="1" x14ac:dyDescent="0.4">
      <c r="B11" s="12"/>
      <c r="E11" s="141"/>
      <c r="G11" s="22"/>
      <c r="H11" s="23"/>
      <c r="I11" s="24">
        <f>SUMIF(Portfolio!$T$9:$T$60, 'Concentration Limits'!$D$9, Portfolio!$AN$9:$AN$60)</f>
        <v>0</v>
      </c>
      <c r="J11" s="25">
        <f t="shared" si="0"/>
        <v>0</v>
      </c>
      <c r="K11" s="24"/>
      <c r="L11" s="25"/>
    </row>
    <row r="12" spans="2:14" x14ac:dyDescent="0.4">
      <c r="B12" s="12"/>
      <c r="E12" s="2" t="s">
        <v>262</v>
      </c>
      <c r="G12" s="22"/>
      <c r="H12" s="23"/>
      <c r="I12" s="24">
        <f>SUMIF(Portfolio!$T$9:$T$60, 'Concentration Limits'!$D$9, Portfolio!$AP$9:$AP$60)</f>
        <v>0</v>
      </c>
      <c r="J12" s="25">
        <f t="shared" si="0"/>
        <v>0</v>
      </c>
      <c r="K12" s="24"/>
      <c r="L12" s="25"/>
    </row>
    <row r="13" spans="2:14" x14ac:dyDescent="0.4">
      <c r="B13" s="12"/>
      <c r="D13" s="2" t="s">
        <v>264</v>
      </c>
      <c r="G13" s="22">
        <f>AGENT!D23</f>
        <v>0.67500000000000004</v>
      </c>
      <c r="H13" s="23">
        <f>COUNTIF(Portfolio!$T$9:$T$60, 'Concentration Limits'!D13)</f>
        <v>8</v>
      </c>
      <c r="I13" s="24">
        <f>SUMIF(Portfolio!$T$9:$T$60, 'Concentration Limits'!$D$13, Portfolio!$AO$9:$AO$60)</f>
        <v>70550038.276334465</v>
      </c>
      <c r="J13" s="25">
        <f t="shared" si="0"/>
        <v>0.20435592181308354</v>
      </c>
      <c r="K13" s="24">
        <f>SUMIF(Portfolio!$T$9:$T$60, 'Concentration Limits'!D13, Portfolio!$HE$9:$HE$60)</f>
        <v>67496191.287477076</v>
      </c>
      <c r="L13" s="25">
        <f>K13/K$32</f>
        <v>0.273165698547569</v>
      </c>
    </row>
    <row r="14" spans="2:14" hidden="1" x14ac:dyDescent="0.4">
      <c r="B14" s="12"/>
      <c r="E14" s="141"/>
      <c r="G14" s="22"/>
      <c r="H14" s="23"/>
      <c r="I14" s="24">
        <f>SUMIF(Portfolio!$T$9:$T$60, 'Concentration Limits'!$D$13, Portfolio!$AM$9:$AM$60)</f>
        <v>0</v>
      </c>
      <c r="J14" s="25">
        <f t="shared" si="0"/>
        <v>0</v>
      </c>
      <c r="K14" s="24">
        <f>SUMIF(Portfolio!$T$9:$T$60, 'Concentration Limits'!D13, Portfolio!$HF$9:$HF$60)</f>
        <v>0</v>
      </c>
      <c r="L14" s="25">
        <f>K14/K$32</f>
        <v>0</v>
      </c>
    </row>
    <row r="15" spans="2:14" hidden="1" x14ac:dyDescent="0.4">
      <c r="B15" s="12"/>
      <c r="E15" s="141"/>
      <c r="G15" s="22"/>
      <c r="H15" s="23"/>
      <c r="I15" s="24">
        <f>SUMIF(Portfolio!$T$9:$T$60, 'Concentration Limits'!$D$13, Portfolio!$AN$9:$AN$60)</f>
        <v>0</v>
      </c>
      <c r="J15" s="25">
        <f t="shared" si="0"/>
        <v>0</v>
      </c>
      <c r="K15" s="24"/>
      <c r="L15" s="25"/>
    </row>
    <row r="16" spans="2:14" x14ac:dyDescent="0.4">
      <c r="B16" s="12"/>
      <c r="E16" s="2" t="s">
        <v>262</v>
      </c>
      <c r="G16" s="22"/>
      <c r="H16" s="23"/>
      <c r="I16" s="24">
        <f>SUMIF(Portfolio!$T$9:$T$60, 'Concentration Limits'!$D$13, Portfolio!$AP$9:$AP$60)</f>
        <v>18913222.286059871</v>
      </c>
      <c r="J16" s="25">
        <f t="shared" si="0"/>
        <v>5.4784222222314771E-2</v>
      </c>
      <c r="K16" s="24"/>
      <c r="L16" s="25"/>
    </row>
    <row r="17" spans="1:21" x14ac:dyDescent="0.4">
      <c r="B17" s="12"/>
      <c r="D17" s="2" t="s">
        <v>265</v>
      </c>
      <c r="G17" s="22">
        <f>AGENT!D27</f>
        <v>0.625</v>
      </c>
      <c r="H17" s="23">
        <f>COUNTIF(Portfolio!$T$9:$T$60, 'Concentration Limits'!D17)</f>
        <v>7</v>
      </c>
      <c r="I17" s="24">
        <f>SUMIF(Portfolio!$T$9:$T$60, 'Concentration Limits'!$D$17, Portfolio!$AU$9:$AU$60)</f>
        <v>44546771.745046124</v>
      </c>
      <c r="J17" s="25">
        <f t="shared" si="0"/>
        <v>0.1290346089976481</v>
      </c>
      <c r="K17" s="24">
        <f>SUMIF(Portfolio!$T$9:$T$60, 'Concentration Limits'!D17, Portfolio!$HG$9:$HG$60)</f>
        <v>27598469.639210325</v>
      </c>
      <c r="L17" s="25">
        <f>K17/K$32</f>
        <v>0.11169452815091664</v>
      </c>
    </row>
    <row r="18" spans="1:21" hidden="1" x14ac:dyDescent="0.4">
      <c r="B18" s="12"/>
      <c r="E18" s="141"/>
      <c r="G18" s="22"/>
      <c r="H18" s="23"/>
      <c r="I18" s="24">
        <f>SUMIF(Portfolio!$T$9:$T$60, 'Concentration Limits'!$D$17, Portfolio!$AS$9:$AS$60)</f>
        <v>0</v>
      </c>
      <c r="J18" s="25">
        <f t="shared" si="0"/>
        <v>0</v>
      </c>
      <c r="K18" s="24">
        <f>SUMIF(Portfolio!$T$9:$T$60, 'Concentration Limits'!D17, Portfolio!$HH$9:$HH$60)</f>
        <v>0</v>
      </c>
      <c r="L18" s="25">
        <f>K18/K$32</f>
        <v>0</v>
      </c>
    </row>
    <row r="19" spans="1:21" hidden="1" x14ac:dyDescent="0.4">
      <c r="B19" s="12"/>
      <c r="E19" s="141"/>
      <c r="G19" s="22"/>
      <c r="H19" s="23"/>
      <c r="I19" s="24">
        <f>SUMIF(Portfolio!$T$9:$T$60, 'Concentration Limits'!$D$17, Portfolio!$AT$9:$AT$60)</f>
        <v>0</v>
      </c>
      <c r="J19" s="25">
        <f t="shared" si="0"/>
        <v>0</v>
      </c>
      <c r="K19" s="24"/>
      <c r="L19" s="25"/>
    </row>
    <row r="20" spans="1:21" x14ac:dyDescent="0.4">
      <c r="B20" s="12"/>
      <c r="E20" s="2" t="s">
        <v>262</v>
      </c>
      <c r="G20" s="22"/>
      <c r="H20" s="23"/>
      <c r="I20" s="24">
        <f>SUMIF(Portfolio!$T$9:$T$60, 'Concentration Limits'!$D$17, Portfolio!$AV$9:$AV$60)</f>
        <v>0</v>
      </c>
      <c r="J20" s="25">
        <f t="shared" si="0"/>
        <v>0</v>
      </c>
      <c r="K20" s="24"/>
      <c r="L20" s="25"/>
    </row>
    <row r="21" spans="1:21" x14ac:dyDescent="0.4">
      <c r="B21" s="12"/>
      <c r="D21" s="2" t="s">
        <v>266</v>
      </c>
      <c r="G21" s="22">
        <f>AGENT!D28</f>
        <v>0.57499999999999996</v>
      </c>
      <c r="H21" s="23">
        <f>COUNTIF(Portfolio!$T$9:$T$60, 'Concentration Limits'!D21)</f>
        <v>5</v>
      </c>
      <c r="I21" s="24">
        <f>SUMIF(Portfolio!$T$9:$T$60, 'Concentration Limits'!$D$21, Portfolio!$AU$9:$AU$60)</f>
        <v>52226552.291079536</v>
      </c>
      <c r="J21" s="25">
        <f t="shared" si="0"/>
        <v>0.15127993545175566</v>
      </c>
      <c r="K21" s="63">
        <f>SUMIF(Portfolio!$T$9:$T$60, 'Concentration Limits'!$D$21, Portfolio!$HG$9:$HG$60)</f>
        <v>50704429.068376541</v>
      </c>
      <c r="L21" s="64">
        <f>K21/K$32</f>
        <v>0.20520729424459444</v>
      </c>
    </row>
    <row r="22" spans="1:21" s="62" customFormat="1" hidden="1" x14ac:dyDescent="0.4">
      <c r="A22" s="2"/>
      <c r="B22" s="12"/>
      <c r="C22" s="2"/>
      <c r="D22" s="2"/>
      <c r="E22" s="141"/>
      <c r="F22" s="2"/>
      <c r="G22" s="22"/>
      <c r="H22" s="23"/>
      <c r="I22" s="24">
        <f>SUMIF(Portfolio!$T$9:$T$60, D21, Portfolio!$AY$9:$AY$60)</f>
        <v>0</v>
      </c>
      <c r="J22" s="25">
        <f t="shared" si="0"/>
        <v>0</v>
      </c>
      <c r="K22" s="63">
        <f>SUMIF(Portfolio!$T$9:$T$60, 'Concentration Limits'!$D$21, Portfolio!$HJ$9:$HJ$60)</f>
        <v>0</v>
      </c>
      <c r="L22" s="64">
        <f>K22/K$32</f>
        <v>0</v>
      </c>
      <c r="M22" s="2"/>
      <c r="N22" s="2"/>
      <c r="O22" s="2"/>
      <c r="P22" s="2"/>
      <c r="Q22" s="2"/>
      <c r="R22" s="2"/>
      <c r="S22" s="2"/>
      <c r="T22" s="2"/>
      <c r="U22" s="2"/>
    </row>
    <row r="23" spans="1:21" hidden="1" x14ac:dyDescent="0.4">
      <c r="B23" s="12"/>
      <c r="E23" s="141"/>
      <c r="G23" s="22"/>
      <c r="H23" s="23"/>
      <c r="I23" s="24">
        <f>SUMIF(Portfolio!$T$9:$T$60, 'Concentration Limits'!$D$21, Portfolio!$AZ$9:$AZ$60)</f>
        <v>0</v>
      </c>
      <c r="J23" s="25">
        <f t="shared" si="0"/>
        <v>0</v>
      </c>
      <c r="K23" s="63"/>
      <c r="L23" s="64"/>
    </row>
    <row r="24" spans="1:21" x14ac:dyDescent="0.4">
      <c r="B24" s="12"/>
      <c r="E24" s="2" t="s">
        <v>262</v>
      </c>
      <c r="G24" s="22"/>
      <c r="H24" s="23"/>
      <c r="I24" s="24">
        <f>SUMIF(Portfolio!$T$9:$T$60, D21, Portfolio!$AV$9:$AV$60)</f>
        <v>0</v>
      </c>
      <c r="J24" s="25">
        <f t="shared" si="0"/>
        <v>0</v>
      </c>
      <c r="K24" s="63"/>
      <c r="L24" s="64"/>
    </row>
    <row r="25" spans="1:21" x14ac:dyDescent="0.4">
      <c r="B25" s="12"/>
      <c r="D25" s="2" t="s">
        <v>267</v>
      </c>
      <c r="G25" s="22">
        <f>AGENT!D29</f>
        <v>0.45</v>
      </c>
      <c r="H25" s="23">
        <f>COUNTIF(Portfolio!$T$9:$T$60, 'Concentration Limits'!D25)</f>
        <v>3</v>
      </c>
      <c r="I25" s="24">
        <f>SUMIF(Portfolio!$T$9:$T$60, 'Concentration Limits'!$D$25, Portfolio!$AU$9:$AU$60)</f>
        <v>38558042.940384798</v>
      </c>
      <c r="J25" s="25">
        <f t="shared" si="0"/>
        <v>0.11168759933945975</v>
      </c>
      <c r="K25" s="63">
        <f>SUMIF(Portfolio!$T$9:$T$60, 'Concentration Limits'!$D$25, Portfolio!$HG$9:$HG$60)</f>
        <v>33796190.994537078</v>
      </c>
      <c r="L25" s="64">
        <f>K25/K$32</f>
        <v>0.13677749729535679</v>
      </c>
    </row>
    <row r="26" spans="1:21" s="62" customFormat="1" hidden="1" x14ac:dyDescent="0.4">
      <c r="A26" s="2"/>
      <c r="B26" s="12"/>
      <c r="C26" s="2"/>
      <c r="D26" s="2"/>
      <c r="E26" s="141"/>
      <c r="F26" s="2"/>
      <c r="G26" s="22"/>
      <c r="H26" s="23"/>
      <c r="I26" s="24">
        <f>SUMIF(Portfolio!$T$9:$T$60, D25, Portfolio!$AY$9:$AY$60)</f>
        <v>0</v>
      </c>
      <c r="J26" s="25">
        <f t="shared" si="0"/>
        <v>0</v>
      </c>
      <c r="K26" s="24">
        <f>SUMIF(Portfolio!$T$9:$T$60, 'Concentration Limits'!$D$25, Portfolio!$HL$9:$HL$60)</f>
        <v>0</v>
      </c>
      <c r="L26" s="25">
        <f>K26/K$32</f>
        <v>0</v>
      </c>
      <c r="M26" s="2"/>
      <c r="N26" s="2"/>
      <c r="O26" s="2"/>
      <c r="P26" s="2"/>
      <c r="Q26" s="2"/>
      <c r="R26" s="2"/>
      <c r="S26" s="2"/>
      <c r="T26" s="2"/>
      <c r="U26" s="2"/>
    </row>
    <row r="27" spans="1:21" hidden="1" x14ac:dyDescent="0.4">
      <c r="B27" s="12"/>
      <c r="E27" s="141"/>
      <c r="G27" s="22"/>
      <c r="H27" s="23"/>
      <c r="I27" s="24">
        <f>SUMIF(Portfolio!$T$9:$T$60, 'Concentration Limits'!$D$25, Portfolio!$AZ$9:$AZ$60)</f>
        <v>0</v>
      </c>
      <c r="J27" s="25">
        <f t="shared" si="0"/>
        <v>0</v>
      </c>
      <c r="K27" s="24"/>
      <c r="L27" s="25"/>
    </row>
    <row r="28" spans="1:21" x14ac:dyDescent="0.4">
      <c r="B28" s="12"/>
      <c r="E28" s="2" t="s">
        <v>262</v>
      </c>
      <c r="G28" s="22"/>
      <c r="H28" s="23"/>
      <c r="I28" s="24">
        <f>SUMIF(Portfolio!$T$9:$T$60, $D$25, Portfolio!$AV$9:$AV$60)</f>
        <v>0</v>
      </c>
      <c r="J28" s="25">
        <f t="shared" si="0"/>
        <v>0</v>
      </c>
      <c r="K28" s="24"/>
      <c r="L28" s="25"/>
    </row>
    <row r="29" spans="1:21" x14ac:dyDescent="0.4">
      <c r="B29" s="12"/>
      <c r="D29" s="2" t="s">
        <v>241</v>
      </c>
      <c r="G29" s="22">
        <f>AGENT!D31</f>
        <v>0.45</v>
      </c>
      <c r="H29" s="23">
        <f>COUNTIF(Portfolio!$T$9:$T$60, 'Concentration Limits'!D29)</f>
        <v>0</v>
      </c>
      <c r="I29" s="24">
        <f>SUMIF(Portfolio!$T$9:$T$60, 'Concentration Limits'!$D$29, Portfolio!$BA$9:$BA$60)</f>
        <v>0</v>
      </c>
      <c r="J29" s="25">
        <f t="shared" si="0"/>
        <v>0</v>
      </c>
      <c r="K29" s="24">
        <f>SUMIF(Portfolio!$T$9:$T$60, 'Concentration Limits'!D29, Portfolio!$HM$9:$HM$60)</f>
        <v>0</v>
      </c>
      <c r="L29" s="25">
        <f>K29/K$32</f>
        <v>0</v>
      </c>
    </row>
    <row r="30" spans="1:21" x14ac:dyDescent="0.4">
      <c r="B30" s="12"/>
      <c r="E30" s="2" t="s">
        <v>262</v>
      </c>
      <c r="G30" s="22"/>
      <c r="H30" s="23"/>
      <c r="I30" s="54">
        <f>SUMIF(Portfolio!$T$9:$T$60, $D$29, Portfolio!$AZ$9:$AZ$60)</f>
        <v>0</v>
      </c>
      <c r="J30" s="25">
        <f t="shared" si="0"/>
        <v>0</v>
      </c>
      <c r="K30" s="54"/>
      <c r="L30" s="25"/>
    </row>
    <row r="31" spans="1:21" x14ac:dyDescent="0.4">
      <c r="B31" s="12"/>
      <c r="D31" s="6"/>
      <c r="E31" s="6"/>
      <c r="F31" s="6"/>
      <c r="G31" s="22"/>
      <c r="H31" s="23"/>
      <c r="I31" s="54"/>
      <c r="J31" s="25"/>
      <c r="K31" s="54"/>
      <c r="L31" s="25"/>
    </row>
    <row r="32" spans="1:21" x14ac:dyDescent="0.4">
      <c r="B32" s="12"/>
      <c r="D32" s="2" t="s">
        <v>42</v>
      </c>
      <c r="G32" s="858"/>
      <c r="H32" s="858">
        <f>SUM(H5:H29)</f>
        <v>42</v>
      </c>
      <c r="I32" s="859">
        <f>SUM(I5:I31)</f>
        <v>345231191.00440776</v>
      </c>
      <c r="J32" s="860">
        <f>SUM(J5:J31)</f>
        <v>1</v>
      </c>
      <c r="K32" s="859">
        <f>SUM(K5:K31)</f>
        <v>247088824.27902386</v>
      </c>
      <c r="L32" s="860">
        <f>SUM(L5:L31)</f>
        <v>1</v>
      </c>
    </row>
    <row r="33" spans="2:19" ht="13.5" customHeight="1" thickBot="1" x14ac:dyDescent="0.45">
      <c r="B33" s="12"/>
      <c r="D33" s="26"/>
      <c r="E33" s="26"/>
      <c r="F33" s="148"/>
      <c r="G33" s="27"/>
      <c r="H33" s="26"/>
      <c r="I33" s="28"/>
      <c r="J33" s="29"/>
      <c r="K33" s="29"/>
      <c r="L33" s="28"/>
      <c r="M33" s="30"/>
    </row>
    <row r="34" spans="2:19" ht="13.5" customHeight="1" thickTop="1" x14ac:dyDescent="0.4">
      <c r="B34" s="12"/>
      <c r="D34" s="2" t="s">
        <v>268</v>
      </c>
      <c r="G34" s="861">
        <f>COUNTA(_xlfn.UNIQUE(Portfolio!B9:B59))-1</f>
        <v>42</v>
      </c>
      <c r="I34" s="31"/>
      <c r="J34" s="31"/>
      <c r="K34" s="31"/>
      <c r="L34" s="31"/>
      <c r="M34" s="32"/>
    </row>
    <row r="35" spans="2:19" x14ac:dyDescent="0.4">
      <c r="B35" s="12"/>
      <c r="D35" s="147" t="s">
        <v>269</v>
      </c>
      <c r="E35" s="147"/>
      <c r="F35" s="149">
        <f>AGENT!C43</f>
        <v>12</v>
      </c>
      <c r="G35" s="197">
        <f>AGENT!D43</f>
        <v>0.55000000000000004</v>
      </c>
      <c r="I35" s="31"/>
      <c r="J35" s="31"/>
      <c r="K35" s="31"/>
      <c r="L35" s="31"/>
      <c r="M35" s="5"/>
    </row>
    <row r="36" spans="2:19" x14ac:dyDescent="0.4">
      <c r="B36" s="12"/>
      <c r="D36" s="147" t="s">
        <v>269</v>
      </c>
      <c r="E36" s="147"/>
      <c r="F36" s="150">
        <f>AGENT!B42</f>
        <v>12</v>
      </c>
      <c r="G36" s="197">
        <f>AGENT!D42</f>
        <v>0.625</v>
      </c>
      <c r="I36" s="31"/>
      <c r="J36" s="31"/>
      <c r="K36" s="31"/>
      <c r="L36" s="31"/>
      <c r="M36" s="5"/>
    </row>
    <row r="37" spans="2:19" x14ac:dyDescent="0.4">
      <c r="B37" s="12"/>
      <c r="D37" s="147" t="s">
        <v>269</v>
      </c>
      <c r="E37" s="147"/>
      <c r="F37" s="151">
        <f>AGENT!B41</f>
        <v>20</v>
      </c>
      <c r="G37" s="197">
        <f>AGENT!D41</f>
        <v>0.65</v>
      </c>
      <c r="I37" s="31"/>
      <c r="J37" s="31"/>
      <c r="K37" s="31"/>
      <c r="L37" s="31"/>
      <c r="M37" s="5"/>
    </row>
    <row r="38" spans="2:19" x14ac:dyDescent="0.4">
      <c r="B38" s="12"/>
      <c r="D38" s="2" t="s">
        <v>44</v>
      </c>
      <c r="G38" s="8">
        <f>SUMPRODUCT(G5:G31,L5:L31)</f>
        <v>0.61081853989407575</v>
      </c>
      <c r="I38" s="31"/>
      <c r="J38" s="31"/>
      <c r="K38" s="31"/>
      <c r="L38" s="31"/>
      <c r="M38" s="5"/>
    </row>
    <row r="39" spans="2:19" x14ac:dyDescent="0.4">
      <c r="B39" s="12"/>
      <c r="D39" s="2" t="s">
        <v>270</v>
      </c>
      <c r="G39" s="153">
        <f t="array" ref="G39">_xlfn.IFS(G34&lt;F35,Cap_1,AND(G34&gt;=F35,G34&lt;F37),Cap_2,G34&gt;=F37,Cap_3)</f>
        <v>0.65</v>
      </c>
      <c r="I39" s="31"/>
      <c r="J39" s="31"/>
      <c r="K39" s="31"/>
      <c r="L39" s="31"/>
      <c r="M39" s="5"/>
    </row>
    <row r="40" spans="2:19" x14ac:dyDescent="0.4">
      <c r="B40" s="12"/>
      <c r="C40" s="12"/>
      <c r="G40" s="23"/>
      <c r="H40" s="31"/>
      <c r="I40" s="31"/>
      <c r="J40" s="33"/>
      <c r="K40" s="33"/>
    </row>
    <row r="41" spans="2:19" x14ac:dyDescent="0.4">
      <c r="B41" s="12"/>
      <c r="C41" s="525" t="s">
        <v>271</v>
      </c>
      <c r="D41" s="525"/>
      <c r="E41" s="525"/>
      <c r="F41" s="525"/>
      <c r="G41" s="525"/>
      <c r="H41" s="525"/>
      <c r="I41" s="525"/>
      <c r="J41" s="525"/>
      <c r="K41" s="525"/>
      <c r="L41" s="525"/>
      <c r="M41" s="526"/>
    </row>
    <row r="42" spans="2:19" x14ac:dyDescent="0.4">
      <c r="B42" s="12"/>
      <c r="D42" s="1"/>
      <c r="F42" s="13"/>
      <c r="G42" s="13"/>
      <c r="H42" s="13"/>
      <c r="I42" s="34"/>
      <c r="J42" s="13"/>
      <c r="K42" s="13"/>
      <c r="L42" s="13"/>
    </row>
    <row r="43" spans="2:19" x14ac:dyDescent="0.4">
      <c r="B43" s="12"/>
      <c r="D43" s="1" t="s">
        <v>272</v>
      </c>
      <c r="F43" s="34"/>
      <c r="G43" s="34"/>
      <c r="H43" s="34"/>
      <c r="I43" s="34"/>
      <c r="J43" s="13"/>
      <c r="K43" s="13"/>
      <c r="L43" s="13"/>
      <c r="M43" s="35">
        <f>Portfolio!V61</f>
        <v>247996703.6486333</v>
      </c>
    </row>
    <row r="44" spans="2:19" x14ac:dyDescent="0.4">
      <c r="B44" s="12"/>
      <c r="D44" s="1" t="s">
        <v>273</v>
      </c>
      <c r="F44" s="13"/>
      <c r="G44" s="13"/>
      <c r="H44" s="13"/>
      <c r="I44" s="34"/>
      <c r="J44" s="13"/>
      <c r="K44" s="13"/>
      <c r="L44" s="13"/>
      <c r="M44" s="56">
        <f>K49+K50+K51+K52+K57+K58+K59+K61+K64+K67+K68+K69+K70</f>
        <v>907879.36960942671</v>
      </c>
    </row>
    <row r="45" spans="2:19" x14ac:dyDescent="0.4">
      <c r="B45" s="12"/>
      <c r="D45" s="12"/>
      <c r="I45" s="7"/>
      <c r="L45" s="176"/>
      <c r="M45" s="55">
        <f>M43-M44</f>
        <v>247088824.27902389</v>
      </c>
    </row>
    <row r="46" spans="2:19" x14ac:dyDescent="0.4">
      <c r="B46" s="12"/>
      <c r="I46" s="36"/>
      <c r="J46" s="11"/>
      <c r="K46" s="11" t="s">
        <v>220</v>
      </c>
      <c r="M46" s="35"/>
    </row>
    <row r="47" spans="2:19" x14ac:dyDescent="0.4">
      <c r="B47" s="12"/>
      <c r="D47" s="12"/>
      <c r="H47" s="11"/>
      <c r="J47" s="11" t="s">
        <v>274</v>
      </c>
      <c r="K47" s="11" t="s">
        <v>275</v>
      </c>
      <c r="L47" s="15"/>
      <c r="Q47" s="32"/>
      <c r="R47" s="32"/>
      <c r="S47" s="32"/>
    </row>
    <row r="48" spans="2:19" x14ac:dyDescent="0.4">
      <c r="B48" s="12"/>
      <c r="D48" s="12"/>
      <c r="E48" s="19"/>
      <c r="F48" s="19"/>
      <c r="G48" s="19"/>
      <c r="H48" s="37" t="s">
        <v>276</v>
      </c>
      <c r="I48" s="37"/>
      <c r="J48" s="19" t="s">
        <v>277</v>
      </c>
      <c r="K48" s="19" t="s">
        <v>278</v>
      </c>
      <c r="L48" s="17" t="s">
        <v>279</v>
      </c>
      <c r="M48" s="19" t="s">
        <v>280</v>
      </c>
      <c r="O48" s="146"/>
      <c r="P48" s="146"/>
      <c r="Q48" s="146"/>
      <c r="R48" s="146"/>
      <c r="S48" s="146"/>
    </row>
    <row r="49" spans="2:19" x14ac:dyDescent="0.4">
      <c r="B49" s="12"/>
      <c r="D49" s="12" t="s">
        <v>281</v>
      </c>
      <c r="E49" s="192" t="s">
        <v>282</v>
      </c>
      <c r="F49" s="11"/>
      <c r="G49" s="11"/>
      <c r="H49" s="40">
        <f>AGENT!D57</f>
        <v>0.2</v>
      </c>
      <c r="I49" s="39"/>
      <c r="J49" s="623">
        <f t="shared" ref="J49:J59" si="1">MAX(H49*M$43,0)</f>
        <v>49599340.729726665</v>
      </c>
      <c r="K49" s="624">
        <f>Portfolio!EO61</f>
        <v>0</v>
      </c>
      <c r="L49" s="625">
        <f>Portfolio!EN61</f>
        <v>4121303.4157976536</v>
      </c>
      <c r="M49" s="25">
        <f t="shared" ref="M49:M59" si="2">L49/$M$43</f>
        <v>1.66183798218415E-2</v>
      </c>
      <c r="O49" s="146"/>
      <c r="P49" s="146"/>
      <c r="Q49" s="146"/>
      <c r="R49" s="146"/>
      <c r="S49" s="146"/>
    </row>
    <row r="50" spans="2:19" x14ac:dyDescent="0.4">
      <c r="B50" s="12"/>
      <c r="D50" s="12" t="s">
        <v>283</v>
      </c>
      <c r="E50" s="38" t="s">
        <v>284</v>
      </c>
      <c r="F50" s="11"/>
      <c r="G50" s="11"/>
      <c r="H50" s="40">
        <f>AGENT!D58</f>
        <v>0.1</v>
      </c>
      <c r="I50" s="39"/>
      <c r="J50" s="623">
        <f t="shared" si="1"/>
        <v>24799670.364863332</v>
      </c>
      <c r="K50" s="624">
        <f>Portfolio!ES61</f>
        <v>0</v>
      </c>
      <c r="L50" s="625">
        <f>Portfolio!ER61</f>
        <v>0</v>
      </c>
      <c r="M50" s="25">
        <f t="shared" si="2"/>
        <v>0</v>
      </c>
      <c r="N50" s="5"/>
      <c r="O50" s="5"/>
      <c r="P50" s="5"/>
      <c r="Q50" s="32"/>
      <c r="R50" s="32"/>
      <c r="S50" s="32"/>
    </row>
    <row r="51" spans="2:19" x14ac:dyDescent="0.4">
      <c r="B51" s="12"/>
      <c r="D51" s="12" t="s">
        <v>285</v>
      </c>
      <c r="E51" s="38" t="s">
        <v>286</v>
      </c>
      <c r="F51" s="11"/>
      <c r="G51" s="11"/>
      <c r="H51" s="40">
        <f>AGENT!D59</f>
        <v>0.3</v>
      </c>
      <c r="I51" s="39"/>
      <c r="J51" s="623">
        <f t="shared" si="1"/>
        <v>74399011.094589993</v>
      </c>
      <c r="K51" s="624">
        <f>Portfolio!EX61</f>
        <v>0</v>
      </c>
      <c r="L51" s="625">
        <f>Portfolio!EW61</f>
        <v>53940434.707607172</v>
      </c>
      <c r="M51" s="25">
        <f t="shared" si="2"/>
        <v>0.21750464386829538</v>
      </c>
      <c r="N51" s="5"/>
      <c r="O51" s="5"/>
      <c r="P51" s="5"/>
      <c r="Q51" s="32"/>
      <c r="R51" s="32"/>
      <c r="S51" s="32"/>
    </row>
    <row r="52" spans="2:19" x14ac:dyDescent="0.4">
      <c r="B52" s="12"/>
      <c r="D52" s="12" t="s">
        <v>287</v>
      </c>
      <c r="E52" s="191">
        <f>AGENT!C60</f>
        <v>5</v>
      </c>
      <c r="F52" s="52"/>
      <c r="G52" s="52"/>
      <c r="H52" s="40">
        <f>AGENT!D60</f>
        <v>0.15</v>
      </c>
      <c r="I52" s="39"/>
      <c r="J52" s="623">
        <f t="shared" si="1"/>
        <v>37199505.547294997</v>
      </c>
      <c r="K52" s="624">
        <f>Portfolio!FC61</f>
        <v>0</v>
      </c>
      <c r="L52" s="625">
        <f>Portfolio!FB61</f>
        <v>0</v>
      </c>
      <c r="M52" s="25">
        <f t="shared" si="2"/>
        <v>0</v>
      </c>
      <c r="N52" s="5"/>
      <c r="O52" s="5"/>
      <c r="P52" s="5"/>
      <c r="Q52" s="32"/>
      <c r="R52" s="32"/>
      <c r="S52" s="32"/>
    </row>
    <row r="53" spans="2:19" hidden="1" outlineLevel="1" x14ac:dyDescent="0.4">
      <c r="B53" s="12"/>
      <c r="D53" s="12"/>
      <c r="E53" s="178">
        <v>5.5</v>
      </c>
      <c r="F53" s="179"/>
      <c r="G53" s="179"/>
      <c r="H53" s="180">
        <v>1</v>
      </c>
      <c r="I53" s="181"/>
      <c r="J53" s="626">
        <f t="shared" si="1"/>
        <v>247996703.6486333</v>
      </c>
      <c r="K53" s="627">
        <f>Portfolio!FC61</f>
        <v>0</v>
      </c>
      <c r="L53" s="628"/>
      <c r="M53" s="184">
        <f t="shared" si="2"/>
        <v>0</v>
      </c>
      <c r="N53" s="5"/>
      <c r="O53" s="5"/>
      <c r="P53" s="5"/>
      <c r="Q53" s="32"/>
      <c r="R53" s="32"/>
      <c r="S53" s="32"/>
    </row>
    <row r="54" spans="2:19" hidden="1" outlineLevel="1" x14ac:dyDescent="0.4">
      <c r="B54" s="12"/>
      <c r="D54" s="12"/>
      <c r="E54" s="177" t="s">
        <v>288</v>
      </c>
      <c r="F54" s="185"/>
      <c r="G54" s="185"/>
      <c r="H54" s="180">
        <v>1</v>
      </c>
      <c r="I54" s="186"/>
      <c r="J54" s="626">
        <f t="shared" si="1"/>
        <v>247996703.6486333</v>
      </c>
      <c r="K54" s="627">
        <f>Portfolio!FM61</f>
        <v>0</v>
      </c>
      <c r="L54" s="628"/>
      <c r="M54" s="184">
        <f t="shared" si="2"/>
        <v>0</v>
      </c>
      <c r="N54" s="5"/>
      <c r="O54" s="5"/>
      <c r="P54" s="5"/>
      <c r="Q54" s="32"/>
      <c r="R54" s="32"/>
      <c r="S54" s="32"/>
    </row>
    <row r="55" spans="2:19" hidden="1" outlineLevel="1" x14ac:dyDescent="0.4">
      <c r="B55" s="12"/>
      <c r="D55" s="12"/>
      <c r="E55" s="177" t="s">
        <v>289</v>
      </c>
      <c r="F55" s="185"/>
      <c r="G55" s="185"/>
      <c r="H55" s="180">
        <v>1</v>
      </c>
      <c r="I55" s="186"/>
      <c r="J55" s="626">
        <f t="shared" si="1"/>
        <v>247996703.6486333</v>
      </c>
      <c r="K55" s="627">
        <f>Portfolio!FN61</f>
        <v>0</v>
      </c>
      <c r="L55" s="628"/>
      <c r="M55" s="184">
        <f t="shared" si="2"/>
        <v>0</v>
      </c>
      <c r="N55" s="5"/>
      <c r="O55" s="5"/>
      <c r="P55" s="5"/>
      <c r="Q55" s="32"/>
      <c r="R55" s="32"/>
      <c r="S55" s="32"/>
    </row>
    <row r="56" spans="2:19" hidden="1" outlineLevel="1" x14ac:dyDescent="0.4">
      <c r="B56" s="12"/>
      <c r="D56" s="12"/>
      <c r="E56" s="177" t="s">
        <v>290</v>
      </c>
      <c r="F56" s="185"/>
      <c r="G56" s="185"/>
      <c r="H56" s="180">
        <v>1</v>
      </c>
      <c r="I56" s="186"/>
      <c r="J56" s="626">
        <f t="shared" si="1"/>
        <v>247996703.6486333</v>
      </c>
      <c r="K56" s="627">
        <f>Portfolio!FO61</f>
        <v>0</v>
      </c>
      <c r="L56" s="628"/>
      <c r="M56" s="184">
        <f t="shared" si="2"/>
        <v>0</v>
      </c>
      <c r="N56" s="5"/>
      <c r="O56" s="5"/>
      <c r="P56" s="5"/>
      <c r="Q56" s="32"/>
      <c r="R56" s="32"/>
      <c r="S56" s="32"/>
    </row>
    <row r="57" spans="2:19" collapsed="1" x14ac:dyDescent="0.4">
      <c r="B57" s="12"/>
      <c r="D57" s="12" t="s">
        <v>291</v>
      </c>
      <c r="E57" s="1" t="s">
        <v>292</v>
      </c>
      <c r="F57" s="144"/>
      <c r="G57" s="144"/>
      <c r="H57" s="145">
        <f>AGENT!D61</f>
        <v>7.4999999999999997E-2</v>
      </c>
      <c r="I57" s="41"/>
      <c r="J57" s="623">
        <f t="shared" si="1"/>
        <v>18599752.773647498</v>
      </c>
      <c r="K57" s="624">
        <f>Portfolio!FP61</f>
        <v>907879.36960942671</v>
      </c>
      <c r="L57" s="625">
        <f>IF(K57=0,Portfolio!FI61,K57+J57)</f>
        <v>19507632.143256925</v>
      </c>
      <c r="M57" s="25">
        <f t="shared" si="2"/>
        <v>7.8660852568813694E-2</v>
      </c>
      <c r="N57" s="5"/>
      <c r="O57" s="5"/>
      <c r="P57" s="5"/>
      <c r="Q57" s="32"/>
      <c r="R57" s="32"/>
      <c r="S57" s="32"/>
    </row>
    <row r="58" spans="2:19" x14ac:dyDescent="0.4">
      <c r="B58" s="12"/>
      <c r="D58" s="12" t="s">
        <v>293</v>
      </c>
      <c r="E58" s="1" t="s">
        <v>294</v>
      </c>
      <c r="H58" s="40">
        <f>AGENT!D62</f>
        <v>0.2</v>
      </c>
      <c r="I58" s="41"/>
      <c r="J58" s="623">
        <f t="shared" si="1"/>
        <v>49599340.729726665</v>
      </c>
      <c r="K58" s="624">
        <f>Portfolio!FU61</f>
        <v>0</v>
      </c>
      <c r="L58" s="625">
        <f>Portfolio!FS61</f>
        <v>46042971.865242489</v>
      </c>
      <c r="M58" s="25">
        <f t="shared" si="2"/>
        <v>0.18565961235709444</v>
      </c>
      <c r="N58" s="5"/>
      <c r="O58" s="5"/>
      <c r="P58" s="5"/>
      <c r="Q58" s="32"/>
      <c r="R58" s="32"/>
      <c r="S58" s="32"/>
    </row>
    <row r="59" spans="2:19" x14ac:dyDescent="0.4">
      <c r="B59" s="12"/>
      <c r="D59" s="12" t="s">
        <v>295</v>
      </c>
      <c r="E59" s="1" t="s">
        <v>296</v>
      </c>
      <c r="H59" s="40">
        <f>AGENT!D63</f>
        <v>0.15</v>
      </c>
      <c r="I59" s="41"/>
      <c r="J59" s="623">
        <f t="shared" si="1"/>
        <v>37199505.547294997</v>
      </c>
      <c r="K59" s="624">
        <f>Portfolio!FZ61</f>
        <v>0</v>
      </c>
      <c r="L59" s="625">
        <f>Portfolio!FX61</f>
        <v>33599752.773647502</v>
      </c>
      <c r="M59" s="25">
        <f t="shared" si="2"/>
        <v>0.13548467491427751</v>
      </c>
      <c r="N59" s="5"/>
      <c r="O59" s="32"/>
      <c r="Q59" s="32"/>
      <c r="R59" s="32"/>
      <c r="S59" s="32"/>
    </row>
    <row r="60" spans="2:19" hidden="1" outlineLevel="1" x14ac:dyDescent="0.4">
      <c r="B60" s="12"/>
      <c r="D60" s="12"/>
      <c r="E60" s="618"/>
      <c r="F60" s="185"/>
      <c r="G60" s="185"/>
      <c r="H60" s="180"/>
      <c r="I60" s="186"/>
      <c r="J60" s="626"/>
      <c r="K60" s="627"/>
      <c r="L60" s="628"/>
      <c r="M60" s="184"/>
      <c r="N60" s="5"/>
      <c r="O60" s="32"/>
      <c r="Q60" s="32"/>
      <c r="R60" s="32"/>
      <c r="S60" s="32"/>
    </row>
    <row r="61" spans="2:19" collapsed="1" x14ac:dyDescent="0.4">
      <c r="B61" s="12"/>
      <c r="D61" s="12" t="s">
        <v>297</v>
      </c>
      <c r="E61" s="1" t="s">
        <v>298</v>
      </c>
      <c r="H61" s="40">
        <f>AGENT!D64</f>
        <v>0.1</v>
      </c>
      <c r="I61" s="41"/>
      <c r="J61" s="623">
        <f>MAX(H61*M$43,0)</f>
        <v>24799670.364863332</v>
      </c>
      <c r="K61" s="624">
        <f>Portfolio!GE61</f>
        <v>0</v>
      </c>
      <c r="L61" s="625">
        <f>IF(K61=0,Portfolio!GC61,K61+J61 )</f>
        <v>24394399.03040082</v>
      </c>
      <c r="M61" s="25">
        <f>L61/$M$43</f>
        <v>9.8365819672197305E-2</v>
      </c>
      <c r="N61" s="5"/>
      <c r="O61" s="32"/>
      <c r="Q61" s="32"/>
      <c r="R61" s="32"/>
      <c r="S61" s="32"/>
    </row>
    <row r="62" spans="2:19" hidden="1" outlineLevel="1" x14ac:dyDescent="0.4">
      <c r="B62" s="12"/>
      <c r="D62" s="12"/>
      <c r="E62" s="177" t="s">
        <v>284</v>
      </c>
      <c r="F62" s="185"/>
      <c r="G62" s="185"/>
      <c r="H62" s="180">
        <v>1</v>
      </c>
      <c r="I62" s="186"/>
      <c r="J62" s="626">
        <f>MAX(H62*M$43,0)</f>
        <v>247996703.6486333</v>
      </c>
      <c r="K62" s="627" t="e">
        <f>Portfolio!#REF!</f>
        <v>#REF!</v>
      </c>
      <c r="L62" s="628"/>
      <c r="M62" s="184">
        <f>L62/$M$43</f>
        <v>0</v>
      </c>
      <c r="N62" s="5"/>
      <c r="O62" s="32"/>
      <c r="Q62" s="32"/>
      <c r="R62" s="32"/>
      <c r="S62" s="32"/>
    </row>
    <row r="63" spans="2:19" hidden="1" outlineLevel="1" x14ac:dyDescent="0.4">
      <c r="B63" s="12"/>
      <c r="D63" s="12"/>
      <c r="E63" s="177" t="s">
        <v>299</v>
      </c>
      <c r="F63" s="185"/>
      <c r="G63" s="185"/>
      <c r="H63" s="180">
        <v>1</v>
      </c>
      <c r="I63" s="186"/>
      <c r="J63" s="626">
        <f>MAX(H63*M$43,0)</f>
        <v>247996703.6486333</v>
      </c>
      <c r="K63" s="627" t="e">
        <f>Portfolio!#REF!</f>
        <v>#REF!</v>
      </c>
      <c r="L63" s="628"/>
      <c r="M63" s="184">
        <f>L63/$M$43</f>
        <v>0</v>
      </c>
      <c r="N63" s="5"/>
      <c r="O63" s="32"/>
      <c r="Q63" s="32"/>
      <c r="R63" s="32"/>
      <c r="S63" s="32"/>
    </row>
    <row r="64" spans="2:19" collapsed="1" x14ac:dyDescent="0.4">
      <c r="B64" s="12"/>
      <c r="D64" s="12" t="s">
        <v>300</v>
      </c>
      <c r="E64" s="1" t="s">
        <v>301</v>
      </c>
      <c r="H64" s="40">
        <f>AGENT!D65</f>
        <v>0.1</v>
      </c>
      <c r="I64" s="41"/>
      <c r="J64" s="623">
        <f>MAX(H64*M$43,0)</f>
        <v>24799670.364863332</v>
      </c>
      <c r="K64" s="624">
        <f>Portfolio!GI61</f>
        <v>0</v>
      </c>
      <c r="L64" s="625">
        <f>Portfolio!GH61</f>
        <v>0</v>
      </c>
      <c r="M64" s="25">
        <f>L64/$M$43</f>
        <v>0</v>
      </c>
      <c r="N64" s="5"/>
      <c r="O64" s="32"/>
      <c r="Q64" s="32"/>
      <c r="R64" s="32"/>
      <c r="S64" s="32"/>
    </row>
    <row r="65" spans="2:14" hidden="1" outlineLevel="1" x14ac:dyDescent="0.4">
      <c r="D65" s="144"/>
      <c r="E65" s="142"/>
      <c r="F65" s="51"/>
      <c r="H65" s="40"/>
      <c r="I65" s="41"/>
      <c r="J65" s="623"/>
      <c r="K65" s="624"/>
      <c r="L65" s="625"/>
      <c r="M65" s="25"/>
      <c r="N65" s="5"/>
    </row>
    <row r="66" spans="2:14" hidden="1" outlineLevel="1" x14ac:dyDescent="0.4">
      <c r="D66" s="144"/>
      <c r="E66" s="142"/>
      <c r="H66" s="40"/>
      <c r="I66" s="41"/>
      <c r="J66" s="623"/>
      <c r="K66" s="624"/>
      <c r="L66" s="625"/>
      <c r="M66" s="25"/>
      <c r="N66" s="5"/>
    </row>
    <row r="67" spans="2:14" collapsed="1" x14ac:dyDescent="0.4">
      <c r="D67" s="144" t="s">
        <v>302</v>
      </c>
      <c r="E67" s="34" t="s">
        <v>303</v>
      </c>
      <c r="H67" s="40">
        <f>AGENT!D66</f>
        <v>0.1</v>
      </c>
      <c r="I67" s="41"/>
      <c r="J67" s="623">
        <f>MAX(H67*M$43,0)</f>
        <v>24799670.364863332</v>
      </c>
      <c r="K67" s="624">
        <f>Portfolio!GN61</f>
        <v>0</v>
      </c>
      <c r="L67" s="629">
        <f>Portfolio!GM61</f>
        <v>8077912.1877550166</v>
      </c>
      <c r="M67" s="25">
        <f>L67/$M$43</f>
        <v>3.2572659510829487E-2</v>
      </c>
      <c r="N67" s="5"/>
    </row>
    <row r="68" spans="2:14" x14ac:dyDescent="0.4">
      <c r="D68" s="2" t="s">
        <v>304</v>
      </c>
      <c r="E68" s="34" t="s">
        <v>305</v>
      </c>
      <c r="H68" s="40">
        <f>AGENT!D67</f>
        <v>0.15</v>
      </c>
      <c r="I68" s="41"/>
      <c r="J68" s="623">
        <f>MAX(H68*M$43,0)</f>
        <v>37199505.547294997</v>
      </c>
      <c r="K68" s="624">
        <f>Portfolio!GS61</f>
        <v>0</v>
      </c>
      <c r="L68" s="629">
        <f>Portfolio!GR61</f>
        <v>0</v>
      </c>
      <c r="M68" s="25">
        <f>L68/$M$43</f>
        <v>0</v>
      </c>
      <c r="N68" s="5"/>
    </row>
    <row r="69" spans="2:14" x14ac:dyDescent="0.4">
      <c r="D69" s="2" t="s">
        <v>306</v>
      </c>
      <c r="E69" s="1" t="s">
        <v>307</v>
      </c>
      <c r="F69" s="51"/>
      <c r="H69" s="40">
        <f>AGENT!D68</f>
        <v>0.15</v>
      </c>
      <c r="I69" s="41"/>
      <c r="J69" s="623">
        <f>MAX(H69*M$43,0)</f>
        <v>37199505.547294997</v>
      </c>
      <c r="K69" s="624">
        <f>Portfolio!GX61</f>
        <v>0</v>
      </c>
      <c r="L69" s="625">
        <f>Portfolio!GW61</f>
        <v>12656117.589817706</v>
      </c>
      <c r="M69" s="25">
        <f>L69/$M$43</f>
        <v>5.103341053979954E-2</v>
      </c>
      <c r="N69" s="5"/>
    </row>
    <row r="70" spans="2:14" x14ac:dyDescent="0.4">
      <c r="D70" s="2" t="s">
        <v>308</v>
      </c>
      <c r="E70" s="1" t="s">
        <v>309</v>
      </c>
      <c r="H70" s="40">
        <f>AGENT!D69</f>
        <v>0.1</v>
      </c>
      <c r="I70" s="41"/>
      <c r="J70" s="623">
        <f>MAX(H70*M$43,0)</f>
        <v>24799670.364863332</v>
      </c>
      <c r="K70" s="624">
        <f>Portfolio!HC61</f>
        <v>0</v>
      </c>
      <c r="L70" s="625">
        <f>Portfolio!HB61</f>
        <v>0</v>
      </c>
      <c r="M70" s="25">
        <f>L70/$M$43</f>
        <v>0</v>
      </c>
      <c r="N70" s="5"/>
    </row>
    <row r="71" spans="2:14" hidden="1" outlineLevel="1" x14ac:dyDescent="0.4">
      <c r="E71" s="187"/>
      <c r="F71" s="185"/>
      <c r="G71" s="185"/>
      <c r="H71" s="180"/>
      <c r="I71" s="186"/>
      <c r="J71" s="182"/>
      <c r="K71" s="183"/>
      <c r="L71" s="185"/>
      <c r="M71" s="188"/>
    </row>
    <row r="72" spans="2:14" hidden="1" outlineLevel="1" x14ac:dyDescent="0.4">
      <c r="E72" s="187"/>
      <c r="F72" s="185"/>
      <c r="G72" s="185"/>
      <c r="H72" s="180"/>
      <c r="I72" s="186"/>
      <c r="J72" s="182"/>
      <c r="K72" s="183"/>
      <c r="L72" s="185"/>
      <c r="M72" s="188"/>
    </row>
    <row r="73" spans="2:14" hidden="1" outlineLevel="1" x14ac:dyDescent="0.4">
      <c r="E73" s="187"/>
      <c r="F73" s="185"/>
      <c r="G73" s="185"/>
      <c r="H73" s="180"/>
      <c r="I73" s="186"/>
      <c r="J73" s="182"/>
      <c r="K73" s="183"/>
      <c r="L73" s="185"/>
      <c r="M73" s="188"/>
    </row>
    <row r="74" spans="2:14" hidden="1" outlineLevel="1" x14ac:dyDescent="0.4">
      <c r="E74" s="187"/>
      <c r="F74" s="185"/>
      <c r="G74" s="185"/>
      <c r="H74" s="180"/>
      <c r="I74" s="186"/>
      <c r="J74" s="182"/>
      <c r="K74" s="183"/>
      <c r="L74" s="185"/>
      <c r="M74" s="188"/>
    </row>
    <row r="75" spans="2:14" hidden="1" outlineLevel="1" x14ac:dyDescent="0.4">
      <c r="E75" s="187"/>
      <c r="F75" s="185"/>
      <c r="G75" s="185"/>
      <c r="H75" s="180"/>
      <c r="I75" s="186"/>
      <c r="J75" s="182"/>
      <c r="K75" s="183"/>
      <c r="L75" s="185"/>
      <c r="M75" s="188"/>
    </row>
    <row r="76" spans="2:14" collapsed="1" x14ac:dyDescent="0.4">
      <c r="E76" s="34"/>
      <c r="H76" s="40"/>
      <c r="I76" s="41"/>
      <c r="J76" s="36"/>
      <c r="K76" s="35"/>
    </row>
    <row r="77" spans="2:14" x14ac:dyDescent="0.4">
      <c r="E77" s="1"/>
      <c r="H77" s="40"/>
      <c r="I77" s="41"/>
      <c r="J77" s="36"/>
      <c r="K77" s="35"/>
    </row>
    <row r="78" spans="2:14" x14ac:dyDescent="0.4">
      <c r="B78" s="12"/>
      <c r="C78" s="525" t="s">
        <v>310</v>
      </c>
      <c r="D78" s="525"/>
      <c r="E78" s="525"/>
      <c r="F78" s="525"/>
      <c r="G78" s="525"/>
      <c r="H78" s="525"/>
      <c r="I78" s="525"/>
      <c r="J78" s="525"/>
      <c r="K78" s="525"/>
      <c r="L78" s="525"/>
      <c r="M78" s="525"/>
    </row>
    <row r="79" spans="2:14" x14ac:dyDescent="0.4">
      <c r="B79" s="12"/>
      <c r="C79" s="12"/>
      <c r="F79" s="31"/>
    </row>
    <row r="80" spans="2:14" x14ac:dyDescent="0.4">
      <c r="B80" s="12"/>
      <c r="E80" s="42" t="s">
        <v>311</v>
      </c>
      <c r="F80" s="43" t="s">
        <v>312</v>
      </c>
      <c r="G80" s="43"/>
      <c r="H80" s="43" t="s">
        <v>313</v>
      </c>
    </row>
    <row r="81" spans="2:8" x14ac:dyDescent="0.4">
      <c r="B81" s="12"/>
      <c r="D81" s="44">
        <v>1</v>
      </c>
      <c r="E81" s="45" t="s">
        <v>314</v>
      </c>
      <c r="F81" s="46">
        <f>SUMIF(Portfolio!$BR$9:$BR$60, 'Concentration Limits'!E81, Portfolio!$V$9:$V$60)</f>
        <v>0</v>
      </c>
      <c r="G81" s="25">
        <f t="shared" ref="G81:G112" si="3">F81/$F$157</f>
        <v>0</v>
      </c>
      <c r="H81" s="23" t="str">
        <f t="shared" ref="H81:H112" si="4">IF(F81=0, "", RANK(F81, $F$81:$F$153))</f>
        <v/>
      </c>
    </row>
    <row r="82" spans="2:8" x14ac:dyDescent="0.4">
      <c r="B82" s="12"/>
      <c r="D82" s="44">
        <f t="shared" ref="D82:D113" si="5">D81+1</f>
        <v>2</v>
      </c>
      <c r="E82" s="45" t="s">
        <v>315</v>
      </c>
      <c r="F82" s="46">
        <f>SUMIF(Portfolio!$BR$9:$BR$60, 'Concentration Limits'!E82, Portfolio!$V$9:$V$60)</f>
        <v>0</v>
      </c>
      <c r="G82" s="25">
        <f t="shared" si="3"/>
        <v>0</v>
      </c>
      <c r="H82" s="23" t="str">
        <f t="shared" si="4"/>
        <v/>
      </c>
    </row>
    <row r="83" spans="2:8" x14ac:dyDescent="0.4">
      <c r="B83" s="12"/>
      <c r="D83" s="44">
        <f t="shared" si="5"/>
        <v>3</v>
      </c>
      <c r="E83" s="45" t="s">
        <v>316</v>
      </c>
      <c r="F83" s="46">
        <f>SUMIF(Portfolio!$BR$9:$BR$60, 'Concentration Limits'!E83, Portfolio!$V$9:$V$60)</f>
        <v>0</v>
      </c>
      <c r="G83" s="25">
        <f t="shared" si="3"/>
        <v>0</v>
      </c>
      <c r="H83" s="23" t="str">
        <f t="shared" si="4"/>
        <v/>
      </c>
    </row>
    <row r="84" spans="2:8" x14ac:dyDescent="0.4">
      <c r="B84" s="12"/>
      <c r="D84" s="44">
        <f t="shared" si="5"/>
        <v>4</v>
      </c>
      <c r="E84" s="45" t="s">
        <v>317</v>
      </c>
      <c r="F84" s="46">
        <f>SUMIF(Portfolio!$BR$9:$BR$60, 'Concentration Limits'!E84, Portfolio!$V$9:$V$60)</f>
        <v>0</v>
      </c>
      <c r="G84" s="25">
        <f t="shared" si="3"/>
        <v>0</v>
      </c>
      <c r="H84" s="23" t="str">
        <f t="shared" si="4"/>
        <v/>
      </c>
    </row>
    <row r="85" spans="2:8" x14ac:dyDescent="0.4">
      <c r="B85" s="12"/>
      <c r="D85" s="44">
        <f t="shared" si="5"/>
        <v>5</v>
      </c>
      <c r="E85" s="45" t="s">
        <v>318</v>
      </c>
      <c r="F85" s="46">
        <f>SUMIF(Portfolio!$BR$9:$BR$60, 'Concentration Limits'!E85, Portfolio!$V$9:$V$60)</f>
        <v>0</v>
      </c>
      <c r="G85" s="25">
        <f t="shared" si="3"/>
        <v>0</v>
      </c>
      <c r="H85" s="23" t="str">
        <f t="shared" si="4"/>
        <v/>
      </c>
    </row>
    <row r="86" spans="2:8" x14ac:dyDescent="0.4">
      <c r="B86" s="12"/>
      <c r="D86" s="44">
        <f t="shared" si="5"/>
        <v>6</v>
      </c>
      <c r="E86" s="45" t="s">
        <v>319</v>
      </c>
      <c r="F86" s="46">
        <f>SUMIF(Portfolio!$BR$9:$BR$60, 'Concentration Limits'!E86, Portfolio!$V$9:$V$60)</f>
        <v>0</v>
      </c>
      <c r="G86" s="25">
        <f t="shared" si="3"/>
        <v>0</v>
      </c>
      <c r="H86" s="23" t="str">
        <f t="shared" si="4"/>
        <v/>
      </c>
    </row>
    <row r="87" spans="2:8" x14ac:dyDescent="0.4">
      <c r="B87" s="12"/>
      <c r="D87" s="44">
        <f t="shared" si="5"/>
        <v>7</v>
      </c>
      <c r="E87" s="45" t="s">
        <v>320</v>
      </c>
      <c r="F87" s="46">
        <f>SUMIF(Portfolio!$BR$9:$BR$60, 'Concentration Limits'!E87, Portfolio!$V$9:$V$60)</f>
        <v>0</v>
      </c>
      <c r="G87" s="25">
        <f t="shared" si="3"/>
        <v>0</v>
      </c>
      <c r="H87" s="23" t="str">
        <f t="shared" si="4"/>
        <v/>
      </c>
    </row>
    <row r="88" spans="2:8" x14ac:dyDescent="0.4">
      <c r="B88" s="12"/>
      <c r="D88" s="44">
        <f t="shared" si="5"/>
        <v>8</v>
      </c>
      <c r="E88" s="45" t="s">
        <v>321</v>
      </c>
      <c r="F88" s="46">
        <f>SUMIF(Portfolio!$BR$9:$BR$60, 'Concentration Limits'!E88, Portfolio!$V$9:$V$60)</f>
        <v>0</v>
      </c>
      <c r="G88" s="25">
        <f t="shared" si="3"/>
        <v>0</v>
      </c>
      <c r="H88" s="23" t="str">
        <f t="shared" si="4"/>
        <v/>
      </c>
    </row>
    <row r="89" spans="2:8" x14ac:dyDescent="0.4">
      <c r="B89" s="12"/>
      <c r="D89" s="44">
        <f t="shared" si="5"/>
        <v>9</v>
      </c>
      <c r="E89" s="45" t="s">
        <v>322</v>
      </c>
      <c r="F89" s="46">
        <f>SUMIF(Portfolio!$BR$9:$BR$60, 'Concentration Limits'!E89, Portfolio!$V$9:$V$60)</f>
        <v>1883560.9969692549</v>
      </c>
      <c r="G89" s="25">
        <f t="shared" si="3"/>
        <v>7.2078806420111568E-3</v>
      </c>
      <c r="H89" s="23">
        <f t="shared" si="4"/>
        <v>17</v>
      </c>
    </row>
    <row r="90" spans="2:8" x14ac:dyDescent="0.4">
      <c r="B90" s="12"/>
      <c r="D90" s="44">
        <f t="shared" si="5"/>
        <v>10</v>
      </c>
      <c r="E90" s="45" t="s">
        <v>323</v>
      </c>
      <c r="F90" s="46">
        <f>SUMIF(Portfolio!$BR$9:$BR$60, 'Concentration Limits'!E90, Portfolio!$V$9:$V$60)</f>
        <v>0</v>
      </c>
      <c r="G90" s="25">
        <f t="shared" si="3"/>
        <v>0</v>
      </c>
      <c r="H90" s="23" t="str">
        <f t="shared" si="4"/>
        <v/>
      </c>
    </row>
    <row r="91" spans="2:8" x14ac:dyDescent="0.4">
      <c r="B91" s="12"/>
      <c r="D91" s="44">
        <f t="shared" si="5"/>
        <v>11</v>
      </c>
      <c r="E91" s="45" t="s">
        <v>324</v>
      </c>
      <c r="F91" s="46">
        <f>SUMIF(Portfolio!$BR$9:$BR$60, 'Concentration Limits'!E91, Portfolio!$V$9:$V$60)</f>
        <v>34507632.143256925</v>
      </c>
      <c r="G91" s="25">
        <f t="shared" si="3"/>
        <v>0.13205141438330786</v>
      </c>
      <c r="H91" s="23">
        <f t="shared" si="4"/>
        <v>2</v>
      </c>
    </row>
    <row r="92" spans="2:8" x14ac:dyDescent="0.4">
      <c r="B92" s="12"/>
      <c r="D92" s="44">
        <f t="shared" si="5"/>
        <v>12</v>
      </c>
      <c r="E92" s="45" t="s">
        <v>325</v>
      </c>
      <c r="F92" s="46">
        <f>SUMIF(Portfolio!$BR$9:$BR$60, 'Concentration Limits'!E92, Portfolio!$V$9:$V$60)</f>
        <v>13322967.211468514</v>
      </c>
      <c r="G92" s="25">
        <f t="shared" si="3"/>
        <v>5.0983407286629409E-2</v>
      </c>
      <c r="H92" s="23">
        <f t="shared" si="4"/>
        <v>8</v>
      </c>
    </row>
    <row r="93" spans="2:8" x14ac:dyDescent="0.4">
      <c r="B93" s="12"/>
      <c r="D93" s="44">
        <f t="shared" si="5"/>
        <v>13</v>
      </c>
      <c r="E93" s="45" t="s">
        <v>326</v>
      </c>
      <c r="F93" s="46">
        <f>SUMIF(Portfolio!$BR$9:$BR$60, 'Concentration Limits'!E93, Portfolio!$V$9:$V$60)</f>
        <v>0</v>
      </c>
      <c r="G93" s="25">
        <f t="shared" si="3"/>
        <v>0</v>
      </c>
      <c r="H93" s="23" t="str">
        <f t="shared" si="4"/>
        <v/>
      </c>
    </row>
    <row r="94" spans="2:8" x14ac:dyDescent="0.4">
      <c r="B94" s="12"/>
      <c r="D94" s="44">
        <f t="shared" si="5"/>
        <v>14</v>
      </c>
      <c r="E94" s="45" t="s">
        <v>327</v>
      </c>
      <c r="F94" s="46">
        <f>SUMIF(Portfolio!$BR$9:$BR$60, 'Concentration Limits'!E94, Portfolio!$V$9:$V$60)</f>
        <v>46042971.865242489</v>
      </c>
      <c r="G94" s="25">
        <f t="shared" si="3"/>
        <v>0.17619405272361496</v>
      </c>
      <c r="H94" s="23">
        <f t="shared" si="4"/>
        <v>1</v>
      </c>
    </row>
    <row r="95" spans="2:8" x14ac:dyDescent="0.4">
      <c r="B95" s="12"/>
      <c r="D95" s="44">
        <f t="shared" si="5"/>
        <v>15</v>
      </c>
      <c r="E95" s="45" t="s">
        <v>328</v>
      </c>
      <c r="F95" s="46">
        <f>SUMIF(Portfolio!$BR$9:$BR$60, 'Concentration Limits'!E95, Portfolio!$V$9:$V$60)</f>
        <v>0</v>
      </c>
      <c r="G95" s="25">
        <f t="shared" si="3"/>
        <v>0</v>
      </c>
      <c r="H95" s="23" t="str">
        <f t="shared" si="4"/>
        <v/>
      </c>
    </row>
    <row r="96" spans="2:8" x14ac:dyDescent="0.4">
      <c r="B96" s="12"/>
      <c r="D96" s="44">
        <f t="shared" si="5"/>
        <v>16</v>
      </c>
      <c r="E96" s="45" t="s">
        <v>329</v>
      </c>
      <c r="F96" s="46">
        <f>SUMIF(Portfolio!$BR$9:$BR$60, 'Concentration Limits'!E96, Portfolio!$V$9:$V$60)</f>
        <v>0</v>
      </c>
      <c r="G96" s="25">
        <f t="shared" si="3"/>
        <v>0</v>
      </c>
      <c r="H96" s="23" t="str">
        <f t="shared" si="4"/>
        <v/>
      </c>
    </row>
    <row r="97" spans="2:8" x14ac:dyDescent="0.4">
      <c r="B97" s="12"/>
      <c r="D97" s="44">
        <f t="shared" si="5"/>
        <v>17</v>
      </c>
      <c r="E97" s="45" t="s">
        <v>330</v>
      </c>
      <c r="F97" s="46">
        <f>SUMIF(Portfolio!$BR$9:$BR$60, 'Concentration Limits'!E97, Portfolio!$V$9:$V$60)</f>
        <v>0</v>
      </c>
      <c r="G97" s="25">
        <f t="shared" si="3"/>
        <v>0</v>
      </c>
      <c r="H97" s="23" t="str">
        <f t="shared" si="4"/>
        <v/>
      </c>
    </row>
    <row r="98" spans="2:8" x14ac:dyDescent="0.4">
      <c r="B98" s="12"/>
      <c r="D98" s="44">
        <f t="shared" si="5"/>
        <v>18</v>
      </c>
      <c r="E98" s="45" t="s">
        <v>331</v>
      </c>
      <c r="F98" s="46">
        <f>SUMIF(Portfolio!$BR$9:$BR$60, 'Concentration Limits'!E98, Portfolio!$V$9:$V$60)</f>
        <v>0</v>
      </c>
      <c r="G98" s="25">
        <f t="shared" si="3"/>
        <v>0</v>
      </c>
      <c r="H98" s="23" t="str">
        <f t="shared" si="4"/>
        <v/>
      </c>
    </row>
    <row r="99" spans="2:8" x14ac:dyDescent="0.4">
      <c r="B99" s="12"/>
      <c r="D99" s="44">
        <f t="shared" si="5"/>
        <v>19</v>
      </c>
      <c r="E99" s="45" t="s">
        <v>332</v>
      </c>
      <c r="F99" s="46">
        <f>SUMIF(Portfolio!$BR$9:$BR$60, 'Concentration Limits'!E99, Portfolio!$V$9:$V$60)</f>
        <v>0</v>
      </c>
      <c r="G99" s="25">
        <f t="shared" si="3"/>
        <v>0</v>
      </c>
      <c r="H99" s="23" t="str">
        <f t="shared" si="4"/>
        <v/>
      </c>
    </row>
    <row r="100" spans="2:8" x14ac:dyDescent="0.4">
      <c r="B100" s="12"/>
      <c r="D100" s="44">
        <f t="shared" si="5"/>
        <v>20</v>
      </c>
      <c r="E100" s="45" t="s">
        <v>333</v>
      </c>
      <c r="F100" s="46">
        <f>SUMIF(Portfolio!$BR$9:$BR$60, 'Concentration Limits'!E100, Portfolio!$V$9:$V$60)</f>
        <v>0</v>
      </c>
      <c r="G100" s="25">
        <f t="shared" si="3"/>
        <v>0</v>
      </c>
      <c r="H100" s="23" t="str">
        <f t="shared" si="4"/>
        <v/>
      </c>
    </row>
    <row r="101" spans="2:8" x14ac:dyDescent="0.4">
      <c r="B101" s="12"/>
      <c r="D101" s="44">
        <f t="shared" si="5"/>
        <v>21</v>
      </c>
      <c r="E101" s="45" t="s">
        <v>334</v>
      </c>
      <c r="F101" s="46">
        <f>SUMIF(Portfolio!$BR$9:$BR$60, 'Concentration Limits'!E101, Portfolio!$V$9:$V$60)</f>
        <v>11328458.381135054</v>
      </c>
      <c r="G101" s="25">
        <f t="shared" si="3"/>
        <v>4.3350959167554493E-2</v>
      </c>
      <c r="H101" s="23">
        <f t="shared" si="4"/>
        <v>11</v>
      </c>
    </row>
    <row r="102" spans="2:8" x14ac:dyDescent="0.4">
      <c r="B102" s="12"/>
      <c r="D102" s="44">
        <f t="shared" si="5"/>
        <v>22</v>
      </c>
      <c r="E102" s="45" t="s">
        <v>335</v>
      </c>
      <c r="F102" s="46">
        <f>SUMIF(Portfolio!$BR$9:$BR$60, 'Concentration Limits'!E102, Portfolio!$V$9:$V$60)</f>
        <v>0</v>
      </c>
      <c r="G102" s="25">
        <f t="shared" si="3"/>
        <v>0</v>
      </c>
      <c r="H102" s="23" t="str">
        <f t="shared" si="4"/>
        <v/>
      </c>
    </row>
    <row r="103" spans="2:8" x14ac:dyDescent="0.4">
      <c r="B103" s="12"/>
      <c r="D103" s="44">
        <f t="shared" si="5"/>
        <v>23</v>
      </c>
      <c r="E103" s="45" t="s">
        <v>336</v>
      </c>
      <c r="F103" s="46">
        <f>SUMIF(Portfolio!$BR$9:$BR$60, 'Concentration Limits'!E103, Portfolio!$V$9:$V$60)</f>
        <v>0</v>
      </c>
      <c r="G103" s="25">
        <f t="shared" si="3"/>
        <v>0</v>
      </c>
      <c r="H103" s="23" t="str">
        <f t="shared" si="4"/>
        <v/>
      </c>
    </row>
    <row r="104" spans="2:8" x14ac:dyDescent="0.4">
      <c r="B104" s="12"/>
      <c r="D104" s="44">
        <f t="shared" si="5"/>
        <v>24</v>
      </c>
      <c r="E104" s="45" t="s">
        <v>337</v>
      </c>
      <c r="F104" s="46">
        <f>SUMIF(Portfolio!$BR$9:$BR$60, 'Concentration Limits'!E104, Portfolio!$V$9:$V$60)</f>
        <v>0</v>
      </c>
      <c r="G104" s="25">
        <f t="shared" si="3"/>
        <v>0</v>
      </c>
      <c r="H104" s="23" t="str">
        <f t="shared" si="4"/>
        <v/>
      </c>
    </row>
    <row r="105" spans="2:8" x14ac:dyDescent="0.4">
      <c r="B105" s="12"/>
      <c r="D105" s="44">
        <f t="shared" si="5"/>
        <v>25</v>
      </c>
      <c r="E105" s="45" t="s">
        <v>338</v>
      </c>
      <c r="F105" s="46">
        <f>SUMIF(Portfolio!$BR$9:$BR$60, 'Concentration Limits'!E105, Portfolio!$V$9:$V$60)</f>
        <v>0</v>
      </c>
      <c r="G105" s="25">
        <f t="shared" si="3"/>
        <v>0</v>
      </c>
      <c r="H105" s="23" t="str">
        <f t="shared" si="4"/>
        <v/>
      </c>
    </row>
    <row r="106" spans="2:8" x14ac:dyDescent="0.4">
      <c r="B106" s="12"/>
      <c r="D106" s="44">
        <f t="shared" si="5"/>
        <v>26</v>
      </c>
      <c r="E106" s="45" t="s">
        <v>339</v>
      </c>
      <c r="F106" s="46">
        <f>SUMIF(Portfolio!$BR$9:$BR$60, 'Concentration Limits'!E106, Portfolio!$V$9:$V$60)</f>
        <v>0</v>
      </c>
      <c r="G106" s="25">
        <f t="shared" si="3"/>
        <v>0</v>
      </c>
      <c r="H106" s="23" t="str">
        <f t="shared" si="4"/>
        <v/>
      </c>
    </row>
    <row r="107" spans="2:8" x14ac:dyDescent="0.4">
      <c r="B107" s="12"/>
      <c r="D107" s="44">
        <f t="shared" si="5"/>
        <v>27</v>
      </c>
      <c r="E107" s="45" t="s">
        <v>340</v>
      </c>
      <c r="F107" s="46">
        <f>SUMIF(Portfolio!$BR$9:$BR$60, 'Concentration Limits'!E107, Portfolio!$V$9:$V$60)</f>
        <v>0</v>
      </c>
      <c r="G107" s="25">
        <f t="shared" si="3"/>
        <v>0</v>
      </c>
      <c r="H107" s="23" t="str">
        <f t="shared" si="4"/>
        <v/>
      </c>
    </row>
    <row r="108" spans="2:8" x14ac:dyDescent="0.4">
      <c r="B108" s="12"/>
      <c r="D108" s="44">
        <f t="shared" si="5"/>
        <v>28</v>
      </c>
      <c r="E108" s="45" t="s">
        <v>341</v>
      </c>
      <c r="F108" s="46">
        <f>SUMIF(Portfolio!$BR$9:$BR$60, 'Concentration Limits'!E108, Portfolio!$V$9:$V$60)</f>
        <v>0</v>
      </c>
      <c r="G108" s="25">
        <f t="shared" si="3"/>
        <v>0</v>
      </c>
      <c r="H108" s="23" t="str">
        <f t="shared" si="4"/>
        <v/>
      </c>
    </row>
    <row r="109" spans="2:8" x14ac:dyDescent="0.4">
      <c r="B109" s="12"/>
      <c r="D109" s="44">
        <f t="shared" si="5"/>
        <v>29</v>
      </c>
      <c r="E109" s="45" t="s">
        <v>342</v>
      </c>
      <c r="F109" s="46">
        <f>SUMIF(Portfolio!$BR$9:$BR$60, 'Concentration Limits'!E109, Portfolio!$V$9:$V$60)</f>
        <v>6815322.9192201942</v>
      </c>
      <c r="G109" s="25">
        <f t="shared" si="3"/>
        <v>2.6080405262980739E-2</v>
      </c>
      <c r="H109" s="23">
        <f t="shared" si="4"/>
        <v>15</v>
      </c>
    </row>
    <row r="110" spans="2:8" x14ac:dyDescent="0.4">
      <c r="B110" s="12"/>
      <c r="D110" s="44">
        <f t="shared" si="5"/>
        <v>30</v>
      </c>
      <c r="E110" s="45" t="s">
        <v>343</v>
      </c>
      <c r="F110" s="46">
        <f>SUMIF(Portfolio!$BR$9:$BR$60, 'Concentration Limits'!E110, Portfolio!$V$9:$V$60)</f>
        <v>0</v>
      </c>
      <c r="G110" s="25">
        <f t="shared" si="3"/>
        <v>0</v>
      </c>
      <c r="H110" s="23" t="str">
        <f t="shared" si="4"/>
        <v/>
      </c>
    </row>
    <row r="111" spans="2:8" x14ac:dyDescent="0.4">
      <c r="B111" s="12"/>
      <c r="D111" s="44">
        <f t="shared" si="5"/>
        <v>31</v>
      </c>
      <c r="E111" s="45" t="s">
        <v>344</v>
      </c>
      <c r="F111" s="46">
        <f>SUMIF(Portfolio!$BR$9:$BR$60, 'Concentration Limits'!E111, Portfolio!$V$9:$V$60)</f>
        <v>0</v>
      </c>
      <c r="G111" s="25">
        <f t="shared" si="3"/>
        <v>0</v>
      </c>
      <c r="H111" s="23" t="str">
        <f t="shared" si="4"/>
        <v/>
      </c>
    </row>
    <row r="112" spans="2:8" x14ac:dyDescent="0.4">
      <c r="B112" s="12"/>
      <c r="D112" s="44">
        <f t="shared" si="5"/>
        <v>32</v>
      </c>
      <c r="E112" s="45" t="s">
        <v>345</v>
      </c>
      <c r="F112" s="46">
        <f>SUMIF(Portfolio!$BR$9:$BR$60, 'Concentration Limits'!E112, Portfolio!$V$9:$V$60)</f>
        <v>16096607.119937314</v>
      </c>
      <c r="G112" s="25">
        <f t="shared" si="3"/>
        <v>6.1597380200875407E-2</v>
      </c>
      <c r="H112" s="23">
        <f t="shared" si="4"/>
        <v>5</v>
      </c>
    </row>
    <row r="113" spans="2:8" x14ac:dyDescent="0.4">
      <c r="B113" s="12"/>
      <c r="D113" s="44">
        <f t="shared" si="5"/>
        <v>33</v>
      </c>
      <c r="E113" s="45" t="s">
        <v>346</v>
      </c>
      <c r="F113" s="46">
        <f>SUMIF(Portfolio!$BR$9:$BR$60, 'Concentration Limits'!E113, Portfolio!$V$9:$V$60)</f>
        <v>0</v>
      </c>
      <c r="G113" s="25">
        <f t="shared" ref="G113:G144" si="6">F113/$F$157</f>
        <v>0</v>
      </c>
      <c r="H113" s="23" t="str">
        <f t="shared" ref="H113:H144" si="7">IF(F113=0, "", RANK(F113, $F$81:$F$153))</f>
        <v/>
      </c>
    </row>
    <row r="114" spans="2:8" x14ac:dyDescent="0.4">
      <c r="B114" s="12"/>
      <c r="D114" s="44">
        <f t="shared" ref="D114:D145" si="8">D113+1</f>
        <v>34</v>
      </c>
      <c r="E114" s="45" t="s">
        <v>347</v>
      </c>
      <c r="F114" s="46">
        <f>SUMIF(Portfolio!$BR$9:$BR$60, 'Concentration Limits'!E114, Portfolio!$V$9:$V$60)</f>
        <v>8077912.1877550166</v>
      </c>
      <c r="G114" s="25">
        <f t="shared" si="6"/>
        <v>3.0911994344580161E-2</v>
      </c>
      <c r="H114" s="23">
        <f t="shared" si="7"/>
        <v>13</v>
      </c>
    </row>
    <row r="115" spans="2:8" x14ac:dyDescent="0.4">
      <c r="B115" s="12"/>
      <c r="D115" s="44">
        <f t="shared" si="8"/>
        <v>35</v>
      </c>
      <c r="E115" s="45" t="s">
        <v>348</v>
      </c>
      <c r="F115" s="46">
        <f>SUMIF(Portfolio!$BR$9:$BR$60, 'Concentration Limits'!E115, Portfolio!$V$9:$V$60)</f>
        <v>0</v>
      </c>
      <c r="G115" s="25">
        <f t="shared" si="6"/>
        <v>0</v>
      </c>
      <c r="H115" s="23" t="str">
        <f t="shared" si="7"/>
        <v/>
      </c>
    </row>
    <row r="116" spans="2:8" x14ac:dyDescent="0.4">
      <c r="B116" s="12"/>
      <c r="D116" s="44">
        <f t="shared" si="8"/>
        <v>36</v>
      </c>
      <c r="E116" s="45" t="s">
        <v>349</v>
      </c>
      <c r="F116" s="46">
        <f>SUMIF(Portfolio!$BR$9:$BR$60, 'Concentration Limits'!E116, Portfolio!$V$9:$V$60)</f>
        <v>12656117.589817706</v>
      </c>
      <c r="G116" s="25">
        <f t="shared" si="6"/>
        <v>4.8431553385023175E-2</v>
      </c>
      <c r="H116" s="23">
        <f t="shared" si="7"/>
        <v>10</v>
      </c>
    </row>
    <row r="117" spans="2:8" x14ac:dyDescent="0.4">
      <c r="B117" s="12"/>
      <c r="D117" s="44">
        <f t="shared" si="8"/>
        <v>37</v>
      </c>
      <c r="E117" s="45" t="s">
        <v>350</v>
      </c>
      <c r="F117" s="46">
        <f>SUMIF(Portfolio!$BR$9:$BR$60, 'Concentration Limits'!E117, Portfolio!$V$9:$V$60)</f>
        <v>0</v>
      </c>
      <c r="G117" s="25">
        <f t="shared" si="6"/>
        <v>0</v>
      </c>
      <c r="H117" s="23" t="str">
        <f t="shared" si="7"/>
        <v/>
      </c>
    </row>
    <row r="118" spans="2:8" x14ac:dyDescent="0.4">
      <c r="B118" s="12"/>
      <c r="D118" s="44">
        <f t="shared" si="8"/>
        <v>38</v>
      </c>
      <c r="E118" s="45" t="s">
        <v>351</v>
      </c>
      <c r="F118" s="46">
        <f>SUMIF(Portfolio!$BR$9:$BR$60, 'Concentration Limits'!E118, Portfolio!$V$9:$V$60)</f>
        <v>0</v>
      </c>
      <c r="G118" s="25">
        <f t="shared" si="6"/>
        <v>0</v>
      </c>
      <c r="H118" s="23" t="str">
        <f t="shared" si="7"/>
        <v/>
      </c>
    </row>
    <row r="119" spans="2:8" x14ac:dyDescent="0.4">
      <c r="B119" s="12"/>
      <c r="D119" s="44">
        <f t="shared" si="8"/>
        <v>39</v>
      </c>
      <c r="E119" s="45" t="s">
        <v>352</v>
      </c>
      <c r="F119" s="46">
        <f>SUMIF(Portfolio!$BR$9:$BR$60, 'Concentration Limits'!E119, Portfolio!$V$9:$V$60)</f>
        <v>0</v>
      </c>
      <c r="G119" s="25">
        <f t="shared" si="6"/>
        <v>0</v>
      </c>
      <c r="H119" s="23" t="str">
        <f t="shared" si="7"/>
        <v/>
      </c>
    </row>
    <row r="120" spans="2:8" x14ac:dyDescent="0.4">
      <c r="B120" s="12"/>
      <c r="D120" s="44">
        <f t="shared" si="8"/>
        <v>40</v>
      </c>
      <c r="E120" s="45" t="s">
        <v>353</v>
      </c>
      <c r="F120" s="46">
        <f>SUMIF(Portfolio!$BR$9:$BR$60, 'Concentration Limits'!E120, Portfolio!$V$9:$V$60)</f>
        <v>0</v>
      </c>
      <c r="G120" s="25">
        <f t="shared" si="6"/>
        <v>0</v>
      </c>
      <c r="H120" s="23" t="str">
        <f t="shared" si="7"/>
        <v/>
      </c>
    </row>
    <row r="121" spans="2:8" x14ac:dyDescent="0.4">
      <c r="B121" s="12"/>
      <c r="D121" s="44">
        <f t="shared" si="8"/>
        <v>41</v>
      </c>
      <c r="E121" s="45" t="s">
        <v>354</v>
      </c>
      <c r="F121" s="46">
        <f>SUMIF(Portfolio!$BR$9:$BR$60, 'Concentration Limits'!E121, Portfolio!$V$9:$V$60)</f>
        <v>0</v>
      </c>
      <c r="G121" s="25">
        <f t="shared" si="6"/>
        <v>0</v>
      </c>
      <c r="H121" s="23" t="str">
        <f t="shared" si="7"/>
        <v/>
      </c>
    </row>
    <row r="122" spans="2:8" x14ac:dyDescent="0.4">
      <c r="B122" s="12"/>
      <c r="D122" s="44">
        <f t="shared" si="8"/>
        <v>42</v>
      </c>
      <c r="E122" s="2" t="s">
        <v>355</v>
      </c>
      <c r="F122" s="46">
        <f>SUMIF(Portfolio!$BR$9:$BR$60, 'Concentration Limits'!E122, Portfolio!$V$9:$V$60)</f>
        <v>0</v>
      </c>
      <c r="G122" s="25">
        <f t="shared" si="6"/>
        <v>0</v>
      </c>
      <c r="H122" s="23" t="str">
        <f t="shared" si="7"/>
        <v/>
      </c>
    </row>
    <row r="123" spans="2:8" x14ac:dyDescent="0.4">
      <c r="B123" s="12"/>
      <c r="D123" s="44">
        <f t="shared" si="8"/>
        <v>43</v>
      </c>
      <c r="E123" s="2" t="s">
        <v>356</v>
      </c>
      <c r="F123" s="46">
        <f>SUMIF(Portfolio!$BR$9:$BR$60, 'Concentration Limits'!E123, Portfolio!$V$9:$V$60)</f>
        <v>14364237.751482427</v>
      </c>
      <c r="G123" s="25">
        <f t="shared" si="6"/>
        <v>5.4968069201236522E-2</v>
      </c>
      <c r="H123" s="23">
        <f t="shared" si="7"/>
        <v>6</v>
      </c>
    </row>
    <row r="124" spans="2:8" x14ac:dyDescent="0.4">
      <c r="B124" s="12"/>
      <c r="D124" s="44">
        <f t="shared" si="8"/>
        <v>44</v>
      </c>
      <c r="E124" s="2" t="s">
        <v>357</v>
      </c>
      <c r="F124" s="46">
        <f>SUMIF(Portfolio!$BR$9:$BR$60, 'Concentration Limits'!E124, Portfolio!$V$9:$V$60)</f>
        <v>0</v>
      </c>
      <c r="G124" s="25">
        <f t="shared" si="6"/>
        <v>0</v>
      </c>
      <c r="H124" s="23" t="str">
        <f t="shared" si="7"/>
        <v/>
      </c>
    </row>
    <row r="125" spans="2:8" x14ac:dyDescent="0.4">
      <c r="B125" s="12"/>
      <c r="D125" s="44">
        <f t="shared" si="8"/>
        <v>45</v>
      </c>
      <c r="E125" s="2" t="s">
        <v>358</v>
      </c>
      <c r="F125" s="46">
        <f>SUMIF(Portfolio!$BR$9:$BR$60, 'Concentration Limits'!E125, Portfolio!$V$9:$V$60)</f>
        <v>0</v>
      </c>
      <c r="G125" s="25">
        <f t="shared" si="6"/>
        <v>0</v>
      </c>
      <c r="H125" s="23" t="str">
        <f t="shared" si="7"/>
        <v/>
      </c>
    </row>
    <row r="126" spans="2:8" x14ac:dyDescent="0.4">
      <c r="B126" s="12"/>
      <c r="D126" s="44">
        <f t="shared" si="8"/>
        <v>46</v>
      </c>
      <c r="E126" s="2" t="s">
        <v>359</v>
      </c>
      <c r="F126" s="46">
        <f>SUMIF(Portfolio!$BR$9:$BR$60, 'Concentration Limits'!E126, Portfolio!$V$9:$V$60)</f>
        <v>0</v>
      </c>
      <c r="G126" s="25">
        <f t="shared" si="6"/>
        <v>0</v>
      </c>
      <c r="H126" s="23" t="str">
        <f t="shared" si="7"/>
        <v/>
      </c>
    </row>
    <row r="127" spans="2:8" x14ac:dyDescent="0.4">
      <c r="B127" s="12"/>
      <c r="D127" s="44">
        <f t="shared" si="8"/>
        <v>47</v>
      </c>
      <c r="E127" s="2" t="s">
        <v>360</v>
      </c>
      <c r="F127" s="46">
        <f>SUMIF(Portfolio!$BR$9:$BR$60, 'Concentration Limits'!E127, Portfolio!$V$9:$V$60)</f>
        <v>0</v>
      </c>
      <c r="G127" s="25">
        <f t="shared" si="6"/>
        <v>0</v>
      </c>
      <c r="H127" s="23" t="str">
        <f t="shared" si="7"/>
        <v/>
      </c>
    </row>
    <row r="128" spans="2:8" x14ac:dyDescent="0.4">
      <c r="B128" s="12"/>
      <c r="D128" s="44">
        <f t="shared" si="8"/>
        <v>48</v>
      </c>
      <c r="E128" s="2" t="s">
        <v>361</v>
      </c>
      <c r="F128" s="46">
        <f>SUMIF(Portfolio!$BR$9:$BR$60, 'Concentration Limits'!E128, Portfolio!$V$9:$V$60)</f>
        <v>13656662.095759427</v>
      </c>
      <c r="G128" s="25">
        <f t="shared" si="6"/>
        <v>5.2260367735847017E-2</v>
      </c>
      <c r="H128" s="23">
        <f t="shared" si="7"/>
        <v>7</v>
      </c>
    </row>
    <row r="129" spans="2:8" x14ac:dyDescent="0.4">
      <c r="B129" s="12"/>
      <c r="D129" s="44">
        <f t="shared" si="8"/>
        <v>49</v>
      </c>
      <c r="E129" s="2" t="s">
        <v>362</v>
      </c>
      <c r="F129" s="46">
        <f>SUMIF(Portfolio!$BR$9:$BR$60, 'Concentration Limits'!E129, Portfolio!$V$9:$V$60)</f>
        <v>0</v>
      </c>
      <c r="G129" s="25">
        <f t="shared" si="6"/>
        <v>0</v>
      </c>
      <c r="H129" s="23" t="str">
        <f t="shared" si="7"/>
        <v/>
      </c>
    </row>
    <row r="130" spans="2:8" x14ac:dyDescent="0.4">
      <c r="B130" s="12"/>
      <c r="D130" s="44">
        <f t="shared" si="8"/>
        <v>50</v>
      </c>
      <c r="E130" s="2" t="s">
        <v>363</v>
      </c>
      <c r="F130" s="46">
        <f>SUMIF(Portfolio!$BR$9:$BR$60, 'Concentration Limits'!E130, Portfolio!$V$9:$V$60)</f>
        <v>0</v>
      </c>
      <c r="G130" s="25">
        <f t="shared" si="6"/>
        <v>0</v>
      </c>
      <c r="H130" s="23" t="str">
        <f t="shared" si="7"/>
        <v/>
      </c>
    </row>
    <row r="131" spans="2:8" x14ac:dyDescent="0.4">
      <c r="B131" s="12"/>
      <c r="D131" s="44">
        <f t="shared" si="8"/>
        <v>51</v>
      </c>
      <c r="E131" s="2" t="s">
        <v>364</v>
      </c>
      <c r="F131" s="46">
        <f>SUMIF(Portfolio!$BR$9:$BR$60, 'Concentration Limits'!E131, Portfolio!$V$9:$V$60)</f>
        <v>0</v>
      </c>
      <c r="G131" s="25">
        <f t="shared" si="6"/>
        <v>0</v>
      </c>
      <c r="H131" s="23" t="str">
        <f t="shared" si="7"/>
        <v/>
      </c>
    </row>
    <row r="132" spans="2:8" x14ac:dyDescent="0.4">
      <c r="B132" s="12"/>
      <c r="D132" s="44">
        <f t="shared" si="8"/>
        <v>52</v>
      </c>
      <c r="E132" s="2" t="s">
        <v>365</v>
      </c>
      <c r="F132" s="46">
        <f>SUMIF(Portfolio!$BR$9:$BR$60, 'Concentration Limits'!E132, Portfolio!$V$9:$V$60)</f>
        <v>0</v>
      </c>
      <c r="G132" s="25">
        <f t="shared" si="6"/>
        <v>0</v>
      </c>
      <c r="H132" s="23" t="str">
        <f t="shared" si="7"/>
        <v/>
      </c>
    </row>
    <row r="133" spans="2:8" x14ac:dyDescent="0.4">
      <c r="B133" s="12"/>
      <c r="D133" s="44">
        <f t="shared" si="8"/>
        <v>53</v>
      </c>
      <c r="E133" s="2" t="s">
        <v>366</v>
      </c>
      <c r="F133" s="46">
        <f>SUMIF(Portfolio!$BR$9:$BR$60, 'Concentration Limits'!E133, Portfolio!$V$9:$V$60)</f>
        <v>0</v>
      </c>
      <c r="G133" s="25">
        <f t="shared" si="6"/>
        <v>0</v>
      </c>
      <c r="H133" s="23" t="str">
        <f t="shared" si="7"/>
        <v/>
      </c>
    </row>
    <row r="134" spans="2:8" x14ac:dyDescent="0.4">
      <c r="B134" s="12"/>
      <c r="D134" s="44">
        <f t="shared" si="8"/>
        <v>54</v>
      </c>
      <c r="E134" s="2" t="s">
        <v>367</v>
      </c>
      <c r="F134" s="46">
        <f>SUMIF(Portfolio!$BR$9:$BR$60, 'Concentration Limits'!E134, Portfolio!$V$9:$V$60)</f>
        <v>0</v>
      </c>
      <c r="G134" s="25">
        <f t="shared" si="6"/>
        <v>0</v>
      </c>
      <c r="H134" s="23" t="str">
        <f t="shared" si="7"/>
        <v/>
      </c>
    </row>
    <row r="135" spans="2:8" x14ac:dyDescent="0.4">
      <c r="B135" s="12"/>
      <c r="D135" s="44">
        <f t="shared" si="8"/>
        <v>55</v>
      </c>
      <c r="E135" s="2" t="s">
        <v>368</v>
      </c>
      <c r="F135" s="46">
        <f>SUMIF(Portfolio!$BR$9:$BR$60, 'Concentration Limits'!E135, Portfolio!$V$9:$V$60)</f>
        <v>4121303.4157976536</v>
      </c>
      <c r="G135" s="25">
        <f t="shared" si="6"/>
        <v>1.5771118194940651E-2</v>
      </c>
      <c r="H135" s="23">
        <f t="shared" si="7"/>
        <v>16</v>
      </c>
    </row>
    <row r="136" spans="2:8" x14ac:dyDescent="0.4">
      <c r="B136" s="12"/>
      <c r="D136" s="44">
        <f t="shared" si="8"/>
        <v>56</v>
      </c>
      <c r="E136" s="2" t="s">
        <v>369</v>
      </c>
      <c r="F136" s="46">
        <f>SUMIF(Portfolio!$BR$9:$BR$60, 'Concentration Limits'!E136, Portfolio!$V$9:$V$60)</f>
        <v>0</v>
      </c>
      <c r="G136" s="25">
        <f t="shared" si="6"/>
        <v>0</v>
      </c>
      <c r="H136" s="23" t="str">
        <f t="shared" si="7"/>
        <v/>
      </c>
    </row>
    <row r="137" spans="2:8" x14ac:dyDescent="0.4">
      <c r="B137" s="12"/>
      <c r="D137" s="44">
        <f t="shared" si="8"/>
        <v>57</v>
      </c>
      <c r="E137" s="2" t="s">
        <v>370</v>
      </c>
      <c r="F137" s="46">
        <f>SUMIF(Portfolio!$BR$9:$BR$60, 'Concentration Limits'!E137, Portfolio!$V$9:$V$60)</f>
        <v>24394399.03040082</v>
      </c>
      <c r="G137" s="25">
        <f t="shared" si="6"/>
        <v>9.3350795024766536E-2</v>
      </c>
      <c r="H137" s="23">
        <f t="shared" si="7"/>
        <v>3</v>
      </c>
    </row>
    <row r="138" spans="2:8" x14ac:dyDescent="0.4">
      <c r="B138" s="12"/>
      <c r="D138" s="44">
        <f t="shared" si="8"/>
        <v>58</v>
      </c>
      <c r="E138" s="2" t="s">
        <v>371</v>
      </c>
      <c r="F138" s="46">
        <f>SUMIF(Portfolio!$BR$9:$BR$60, 'Concentration Limits'!E138, Portfolio!$V$9:$V$60)</f>
        <v>0</v>
      </c>
      <c r="G138" s="25">
        <f t="shared" si="6"/>
        <v>0</v>
      </c>
      <c r="H138" s="23" t="str">
        <f t="shared" si="7"/>
        <v/>
      </c>
    </row>
    <row r="139" spans="2:8" x14ac:dyDescent="0.4">
      <c r="B139" s="12"/>
      <c r="D139" s="44">
        <f t="shared" si="8"/>
        <v>59</v>
      </c>
      <c r="E139" s="2" t="s">
        <v>372</v>
      </c>
      <c r="F139" s="46">
        <f>SUMIF(Portfolio!$BR$9:$BR$60, 'Concentration Limits'!E139, Portfolio!$V$9:$V$60)</f>
        <v>0</v>
      </c>
      <c r="G139" s="25">
        <f t="shared" si="6"/>
        <v>0</v>
      </c>
      <c r="H139" s="23" t="str">
        <f t="shared" si="7"/>
        <v/>
      </c>
    </row>
    <row r="140" spans="2:8" x14ac:dyDescent="0.4">
      <c r="B140" s="12"/>
      <c r="D140" s="44">
        <f t="shared" si="8"/>
        <v>60</v>
      </c>
      <c r="E140" s="2" t="s">
        <v>373</v>
      </c>
      <c r="F140" s="46">
        <f>SUMIF(Portfolio!$BR$9:$BR$60, 'Concentration Limits'!E140, Portfolio!$V$9:$V$60)</f>
        <v>0</v>
      </c>
      <c r="G140" s="25">
        <f t="shared" si="6"/>
        <v>0</v>
      </c>
      <c r="H140" s="23" t="str">
        <f t="shared" si="7"/>
        <v/>
      </c>
    </row>
    <row r="141" spans="2:8" x14ac:dyDescent="0.4">
      <c r="B141" s="12"/>
      <c r="D141" s="44">
        <f t="shared" si="8"/>
        <v>61</v>
      </c>
      <c r="E141" s="2" t="s">
        <v>374</v>
      </c>
      <c r="F141" s="46">
        <f>SUMIF(Portfolio!$BR$9:$BR$60, 'Concentration Limits'!E141, Portfolio!$V$9:$V$60)</f>
        <v>0</v>
      </c>
      <c r="G141" s="25">
        <f t="shared" si="6"/>
        <v>0</v>
      </c>
      <c r="H141" s="23" t="str">
        <f t="shared" si="7"/>
        <v/>
      </c>
    </row>
    <row r="142" spans="2:8" x14ac:dyDescent="0.4">
      <c r="B142" s="12"/>
      <c r="D142" s="44">
        <f t="shared" si="8"/>
        <v>62</v>
      </c>
      <c r="E142" s="2" t="s">
        <v>375</v>
      </c>
      <c r="F142" s="46">
        <f>SUMIF(Portfolio!$BR$9:$BR$60, 'Concentration Limits'!E142, Portfolio!$V$9:$V$60)</f>
        <v>0</v>
      </c>
      <c r="G142" s="25">
        <f t="shared" si="6"/>
        <v>0</v>
      </c>
      <c r="H142" s="23" t="str">
        <f t="shared" si="7"/>
        <v/>
      </c>
    </row>
    <row r="143" spans="2:8" x14ac:dyDescent="0.4">
      <c r="B143" s="12"/>
      <c r="D143" s="44">
        <f t="shared" si="8"/>
        <v>63</v>
      </c>
      <c r="E143" s="2" t="s">
        <v>376</v>
      </c>
      <c r="F143" s="46">
        <f>SUMIF(Portfolio!$BR$9:$BR$60, 'Concentration Limits'!E143, Portfolio!$V$9:$V$60)</f>
        <v>0</v>
      </c>
      <c r="G143" s="25">
        <f t="shared" si="6"/>
        <v>0</v>
      </c>
      <c r="H143" s="23" t="str">
        <f t="shared" si="7"/>
        <v/>
      </c>
    </row>
    <row r="144" spans="2:8" x14ac:dyDescent="0.4">
      <c r="B144" s="12"/>
      <c r="D144" s="44">
        <f t="shared" si="8"/>
        <v>64</v>
      </c>
      <c r="E144" s="2" t="s">
        <v>377</v>
      </c>
      <c r="F144" s="46">
        <f>SUMIF(Portfolio!$BR$9:$BR$60, 'Concentration Limits'!E144, Portfolio!$V$9:$V$60)</f>
        <v>0</v>
      </c>
      <c r="G144" s="25">
        <f t="shared" si="6"/>
        <v>0</v>
      </c>
      <c r="H144" s="23" t="str">
        <f t="shared" si="7"/>
        <v/>
      </c>
    </row>
    <row r="145" spans="2:13" x14ac:dyDescent="0.4">
      <c r="B145" s="12"/>
      <c r="D145" s="44">
        <f t="shared" si="8"/>
        <v>65</v>
      </c>
      <c r="E145" s="2" t="s">
        <v>378</v>
      </c>
      <c r="F145" s="46">
        <f>SUMIF(Portfolio!$BR$9:$BR$60, 'Concentration Limits'!E145, Portfolio!$V$9:$V$60)</f>
        <v>0</v>
      </c>
      <c r="G145" s="25">
        <f t="shared" ref="G145:G153" si="9">F145/$F$157</f>
        <v>0</v>
      </c>
      <c r="H145" s="23" t="str">
        <f t="shared" ref="H145:H153" si="10">IF(F145=0, "", RANK(F145, $F$81:$F$153))</f>
        <v/>
      </c>
    </row>
    <row r="146" spans="2:13" x14ac:dyDescent="0.4">
      <c r="B146" s="12"/>
      <c r="D146" s="44">
        <f t="shared" ref="D146:D153" si="11">D145+1</f>
        <v>66</v>
      </c>
      <c r="E146" s="2" t="s">
        <v>379</v>
      </c>
      <c r="F146" s="46">
        <f>SUMIF(Portfolio!$BR$9:$BR$60, 'Concentration Limits'!E146, Portfolio!$V$9:$V$60)</f>
        <v>10331560.995420478</v>
      </c>
      <c r="G146" s="25">
        <f t="shared" si="9"/>
        <v>3.9536101363572843E-2</v>
      </c>
      <c r="H146" s="23">
        <f t="shared" si="10"/>
        <v>12</v>
      </c>
    </row>
    <row r="147" spans="2:13" x14ac:dyDescent="0.4">
      <c r="B147" s="12"/>
      <c r="D147" s="44">
        <f t="shared" si="11"/>
        <v>67</v>
      </c>
      <c r="E147" s="2" t="s">
        <v>380</v>
      </c>
      <c r="F147" s="46">
        <f>SUMIF(Portfolio!$BR$9:$BR$60, 'Concentration Limits'!E147, Portfolio!$V$9:$V$60)</f>
        <v>7992480.5747497557</v>
      </c>
      <c r="G147" s="25">
        <f t="shared" si="9"/>
        <v>3.0585070570628994E-2</v>
      </c>
      <c r="H147" s="23">
        <f t="shared" si="10"/>
        <v>14</v>
      </c>
    </row>
    <row r="148" spans="2:13" x14ac:dyDescent="0.4">
      <c r="B148" s="12"/>
      <c r="D148" s="44">
        <f t="shared" si="11"/>
        <v>68</v>
      </c>
      <c r="E148" s="2" t="s">
        <v>381</v>
      </c>
      <c r="F148" s="46">
        <f>SUMIF(Portfolio!$BR$9:$BR$60, 'Concentration Limits'!E148, Portfolio!$V$9:$V$60)</f>
        <v>0</v>
      </c>
      <c r="G148" s="25">
        <f t="shared" si="9"/>
        <v>0</v>
      </c>
      <c r="H148" s="23" t="str">
        <f t="shared" si="10"/>
        <v/>
      </c>
    </row>
    <row r="149" spans="2:13" x14ac:dyDescent="0.4">
      <c r="B149" s="12"/>
      <c r="D149" s="44">
        <f t="shared" si="11"/>
        <v>69</v>
      </c>
      <c r="E149" s="2" t="s">
        <v>382</v>
      </c>
      <c r="F149" s="46">
        <f>SUMIF(Portfolio!$BR$9:$BR$60, 'Concentration Limits'!E149, Portfolio!$V$9:$V$60)</f>
        <v>0</v>
      </c>
      <c r="G149" s="25">
        <f t="shared" si="9"/>
        <v>0</v>
      </c>
      <c r="H149" s="23" t="str">
        <f t="shared" si="10"/>
        <v/>
      </c>
    </row>
    <row r="150" spans="2:13" x14ac:dyDescent="0.4">
      <c r="B150" s="12"/>
      <c r="D150" s="44">
        <f t="shared" si="11"/>
        <v>70</v>
      </c>
      <c r="E150" s="2" t="s">
        <v>383</v>
      </c>
      <c r="F150" s="46">
        <f>SUMIF(Portfolio!$BR$9:$BR$60, 'Concentration Limits'!E150, Portfolio!$V$9:$V$60)</f>
        <v>22404509.370220263</v>
      </c>
      <c r="G150" s="25">
        <f t="shared" si="9"/>
        <v>8.5736023225800623E-2</v>
      </c>
      <c r="H150" s="23">
        <f t="shared" si="10"/>
        <v>4</v>
      </c>
    </row>
    <row r="151" spans="2:13" x14ac:dyDescent="0.4">
      <c r="B151" s="12"/>
      <c r="D151" s="44">
        <f t="shared" si="11"/>
        <v>71</v>
      </c>
      <c r="E151" s="2" t="s">
        <v>325</v>
      </c>
      <c r="F151" s="46">
        <f>SUMIF(Portfolio!$BR$9:$BR$60, 'Concentration Limits'!E151, Portfolio!$V$9:$V$60)</f>
        <v>13322967.211468514</v>
      </c>
      <c r="G151" s="25">
        <f t="shared" si="9"/>
        <v>5.0983407286629409E-2</v>
      </c>
      <c r="H151" s="23">
        <f t="shared" si="10"/>
        <v>8</v>
      </c>
    </row>
    <row r="152" spans="2:13" x14ac:dyDescent="0.4">
      <c r="B152" s="12"/>
      <c r="D152" s="44">
        <f t="shared" si="11"/>
        <v>72</v>
      </c>
      <c r="E152" s="2" t="s">
        <v>384</v>
      </c>
      <c r="F152" s="46">
        <f>SUMIF(Portfolio!$BR$9:$BR$60, 'Concentration Limits'!E152, Portfolio!$V$9:$V$60)</f>
        <v>0</v>
      </c>
      <c r="G152" s="25">
        <f t="shared" si="9"/>
        <v>0</v>
      </c>
      <c r="H152" s="23" t="str">
        <f t="shared" si="10"/>
        <v/>
      </c>
    </row>
    <row r="153" spans="2:13" x14ac:dyDescent="0.4">
      <c r="B153" s="12"/>
      <c r="D153" s="44">
        <f t="shared" si="11"/>
        <v>73</v>
      </c>
      <c r="E153" s="2" t="s">
        <v>385</v>
      </c>
      <c r="F153" s="46">
        <f>SUMIF(Portfolio!$BR$9:$BR$60, 'Concentration Limits'!E153, Portfolio!$V$9:$V$60)</f>
        <v>0</v>
      </c>
      <c r="G153" s="25">
        <f t="shared" si="9"/>
        <v>0</v>
      </c>
      <c r="H153" s="23" t="str">
        <f t="shared" si="10"/>
        <v/>
      </c>
    </row>
    <row r="154" spans="2:13" x14ac:dyDescent="0.4">
      <c r="B154" s="12"/>
      <c r="D154" s="44"/>
      <c r="F154" s="46"/>
      <c r="G154" s="25"/>
      <c r="H154" s="23"/>
    </row>
    <row r="155" spans="2:13" x14ac:dyDescent="0.4">
      <c r="B155" s="12"/>
      <c r="D155" s="44"/>
      <c r="F155" s="46"/>
      <c r="G155" s="25"/>
      <c r="H155" s="23"/>
    </row>
    <row r="156" spans="2:13" x14ac:dyDescent="0.4">
      <c r="B156" s="12"/>
      <c r="D156" s="44"/>
      <c r="F156" s="46"/>
      <c r="G156" s="25"/>
      <c r="H156" s="23"/>
    </row>
    <row r="157" spans="2:13" x14ac:dyDescent="0.4">
      <c r="D157" s="44"/>
      <c r="E157" s="862" t="s">
        <v>42</v>
      </c>
      <c r="F157" s="863">
        <f>SUM(F81:F153)</f>
        <v>261319670.86010182</v>
      </c>
      <c r="G157" s="860">
        <f>SUM(G81:G153)</f>
        <v>1</v>
      </c>
      <c r="H157" s="863"/>
    </row>
    <row r="160" spans="2:13" x14ac:dyDescent="0.4">
      <c r="C160" s="525" t="s">
        <v>386</v>
      </c>
      <c r="D160" s="525"/>
      <c r="E160" s="525"/>
      <c r="F160" s="525"/>
      <c r="G160" s="525"/>
      <c r="H160" s="525"/>
      <c r="I160" s="525"/>
      <c r="J160" s="525"/>
      <c r="K160" s="525"/>
      <c r="L160" s="525"/>
      <c r="M160" s="525"/>
    </row>
    <row r="162" spans="3:13" x14ac:dyDescent="0.4">
      <c r="D162" s="47" t="s">
        <v>94</v>
      </c>
      <c r="E162" s="19" t="s">
        <v>387</v>
      </c>
      <c r="F162" s="19" t="s">
        <v>388</v>
      </c>
      <c r="G162" s="19" t="s">
        <v>122</v>
      </c>
    </row>
    <row r="163" spans="3:13" x14ac:dyDescent="0.4">
      <c r="D163" s="2" t="s">
        <v>389</v>
      </c>
      <c r="E163" s="189">
        <f>AGENT!B49</f>
        <v>3.25</v>
      </c>
      <c r="F163" s="189">
        <f>AGENT!C49</f>
        <v>3.75</v>
      </c>
      <c r="G163" s="40">
        <f>AGENT!D49</f>
        <v>1</v>
      </c>
    </row>
    <row r="164" spans="3:13" x14ac:dyDescent="0.4">
      <c r="D164" s="2" t="s">
        <v>390</v>
      </c>
      <c r="E164" s="189">
        <f>AGENT!B50</f>
        <v>4</v>
      </c>
      <c r="F164" s="189">
        <f>AGENT!C50</f>
        <v>4.25</v>
      </c>
      <c r="G164" s="40">
        <f>AGENT!D50</f>
        <v>0.92500000000000004</v>
      </c>
    </row>
    <row r="165" spans="3:13" x14ac:dyDescent="0.4">
      <c r="D165" s="2" t="s">
        <v>391</v>
      </c>
      <c r="E165" s="189">
        <f>AGENT!B51</f>
        <v>5</v>
      </c>
      <c r="F165" s="189">
        <f>AGENT!C51</f>
        <v>5</v>
      </c>
      <c r="G165" s="40">
        <f>AGENT!D51</f>
        <v>0.85</v>
      </c>
    </row>
    <row r="166" spans="3:13" x14ac:dyDescent="0.4">
      <c r="G166" s="143"/>
    </row>
    <row r="172" spans="3:13" hidden="1" outlineLevel="1" x14ac:dyDescent="0.4">
      <c r="C172" s="57"/>
      <c r="D172" s="57"/>
      <c r="E172" s="57"/>
      <c r="F172" s="57"/>
      <c r="G172" s="57"/>
      <c r="H172" s="57"/>
      <c r="I172" s="57"/>
      <c r="J172" s="57"/>
      <c r="K172" s="57"/>
      <c r="L172" s="57"/>
      <c r="M172" s="57"/>
    </row>
    <row r="173" spans="3:13" hidden="1" outlineLevel="1" x14ac:dyDescent="0.4">
      <c r="C173" s="57"/>
      <c r="D173" s="57"/>
      <c r="E173" s="57"/>
      <c r="F173" s="57"/>
      <c r="G173" s="58">
        <f>IF(SUMIF(Portfolio!$BU$9:$BU$60,"Yes",Portfolio!$AB$9:$AB$60)=0,0,SUMPRODUCT(--(Portfolio!$BU$9:$BU$60="Yes"),Portfolio!$AB$9:$AB$60,Portfolio!$U$9:$U$60)/SUMIF(Portfolio!$BU$9:$BU$60,"Yes",Portfolio!$AB$9:$AB$60))</f>
        <v>0</v>
      </c>
      <c r="H173" s="57"/>
      <c r="I173" s="57"/>
      <c r="J173" s="57"/>
      <c r="K173" s="57"/>
      <c r="L173" s="57"/>
      <c r="M173" s="57"/>
    </row>
    <row r="174" spans="3:13" hidden="1" outlineLevel="1" x14ac:dyDescent="0.4">
      <c r="C174" s="57"/>
      <c r="D174" s="57"/>
      <c r="E174" s="57"/>
      <c r="F174" s="57"/>
      <c r="G174" s="59" t="str">
        <f>IF(AND(G34&lt;11,G38&gt;G35),"Yes","No")</f>
        <v>No</v>
      </c>
      <c r="H174" s="57"/>
      <c r="I174" s="57"/>
      <c r="J174" s="57"/>
      <c r="K174" s="57"/>
      <c r="L174" s="57"/>
      <c r="M174" s="57"/>
    </row>
    <row r="175" spans="3:13" hidden="1" outlineLevel="1" x14ac:dyDescent="0.4">
      <c r="C175" s="57"/>
      <c r="D175" s="57"/>
      <c r="E175" s="57"/>
      <c r="F175" s="57"/>
      <c r="G175" s="60">
        <f>IF(AND(G174="Yes",G173&gt;0.5),G35,G173)</f>
        <v>0</v>
      </c>
      <c r="H175" s="57"/>
      <c r="I175" s="57"/>
      <c r="J175" s="57"/>
      <c r="K175" s="57"/>
      <c r="L175" s="57"/>
      <c r="M175" s="57"/>
    </row>
    <row r="176" spans="3:13" hidden="1" outlineLevel="1" x14ac:dyDescent="0.4">
      <c r="C176" s="57"/>
      <c r="D176" s="57"/>
      <c r="E176" s="57"/>
      <c r="F176" s="57"/>
      <c r="G176" s="60"/>
      <c r="H176" s="57"/>
      <c r="I176" s="57"/>
      <c r="J176" s="57"/>
      <c r="K176" s="57"/>
      <c r="L176" s="57"/>
      <c r="M176" s="57"/>
    </row>
    <row r="177" spans="3:13" hidden="1" outlineLevel="1" x14ac:dyDescent="0.4">
      <c r="C177" s="57"/>
      <c r="D177" s="57"/>
      <c r="E177" s="57"/>
      <c r="F177" s="57"/>
      <c r="G177" s="58">
        <f>IF(SUMIF(Portfolio!$BU$9:$BU$60,"Yes",Portfolio!$AB$9:$AB$60)=0,0,SUMPRODUCT(--(Portfolio!$BU$9:$BU$60="Yes"),Portfolio!$AB$9:$AB$60,Portfolio!$AL$9:$AL$60)/SUMIF(Portfolio!$BU$9:$BU$60,"Yes",Portfolio!$AB$9:$AB$60))</f>
        <v>0</v>
      </c>
      <c r="H177" s="57"/>
      <c r="I177" s="57"/>
      <c r="J177" s="57"/>
      <c r="K177" s="57"/>
      <c r="L177" s="57"/>
      <c r="M177" s="57"/>
    </row>
    <row r="178" spans="3:13" hidden="1" outlineLevel="1" x14ac:dyDescent="0.4">
      <c r="C178" s="57"/>
      <c r="D178" s="57"/>
      <c r="E178" s="57"/>
      <c r="F178" s="57"/>
      <c r="G178" s="57"/>
      <c r="H178" s="57"/>
      <c r="I178" s="57"/>
      <c r="J178" s="57"/>
      <c r="K178" s="57"/>
      <c r="L178" s="57"/>
      <c r="M178" s="57"/>
    </row>
    <row r="179" spans="3:13" hidden="1" outlineLevel="1" x14ac:dyDescent="0.4">
      <c r="C179" s="57"/>
      <c r="D179" s="57"/>
      <c r="E179" s="57"/>
      <c r="F179" s="57"/>
      <c r="G179" s="57"/>
      <c r="H179" s="57"/>
      <c r="I179" s="57"/>
      <c r="J179" s="57"/>
      <c r="K179" s="57"/>
      <c r="L179" s="57"/>
      <c r="M179" s="57"/>
    </row>
    <row r="180" spans="3:13" hidden="1" outlineLevel="1" x14ac:dyDescent="0.4">
      <c r="C180" s="57"/>
      <c r="D180" s="57"/>
      <c r="E180" s="57"/>
      <c r="F180" s="57"/>
      <c r="G180" s="57"/>
      <c r="H180" s="57"/>
      <c r="I180" s="57"/>
      <c r="J180" s="57"/>
      <c r="K180" s="57"/>
      <c r="L180" s="57"/>
      <c r="M180" s="57"/>
    </row>
    <row r="181" spans="3:13" hidden="1" outlineLevel="1" x14ac:dyDescent="0.4">
      <c r="C181" s="4" t="s">
        <v>392</v>
      </c>
      <c r="D181" s="4"/>
      <c r="E181" s="4"/>
      <c r="F181" s="4"/>
      <c r="G181" s="4"/>
      <c r="H181" s="4"/>
      <c r="I181" s="4"/>
      <c r="J181" s="4"/>
      <c r="K181" s="4"/>
      <c r="L181" s="4"/>
      <c r="M181" s="4"/>
    </row>
    <row r="182" spans="3:13" hidden="1" outlineLevel="1" x14ac:dyDescent="0.4">
      <c r="C182" s="2" t="s">
        <v>393</v>
      </c>
    </row>
    <row r="183" spans="3:13" collapsed="1" x14ac:dyDescent="0.4"/>
  </sheetData>
  <sheetProtection algorithmName="SHA-512" hashValue="vaPoZmKWtNq07lQtv4Xnw3x0KlnLGuyR274AR2KSlZI8yvTE9D94ZStoGJslPOTZa7a+blEglSyP6YYuU2ptyQ==" saltValue="+/T6STuiI2nJiZUfSioXGg==" spinCount="100000" sheet="1" objects="1" scenarios="1"/>
  <conditionalFormatting sqref="M71:M75">
    <cfRule type="dataBar" priority="3">
      <dataBar>
        <cfvo type="min"/>
        <cfvo type="max"/>
        <color rgb="FF638EC6"/>
      </dataBar>
    </cfRule>
  </conditionalFormatting>
  <dataValidations count="1">
    <dataValidation type="list" allowBlank="1" showInputMessage="1" showErrorMessage="1" sqref="E83:E84 E89 E109" xr:uid="{00000000-0002-0000-0200-000000000000}">
      <formula1>#REF!</formula1>
    </dataValidation>
  </dataValidations>
  <pageMargins left="0.45" right="0.7" top="0.5" bottom="0.5" header="0.3" footer="0.5"/>
  <pageSetup scale="46" orientation="portrait" verticalDpi="1200"/>
  <headerFooter>
    <oddFooter>&amp;R&amp;"Times New Roman,Regular"&amp;10 Page &amp;P of &amp;N</oddFooter>
  </headerFooter>
  <rowBreaks count="2" manualBreakCount="2">
    <brk id="40" min="1" max="15" man="1"/>
    <brk id="77" min="1"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36"/>
  <sheetViews>
    <sheetView workbookViewId="0"/>
  </sheetViews>
  <sheetFormatPr defaultColWidth="9.265625" defaultRowHeight="14.25" x14ac:dyDescent="0.45"/>
  <cols>
    <col min="2" max="2" width="1.265625" customWidth="1"/>
    <col min="3" max="3" width="16.265625" bestFit="1" customWidth="1"/>
    <col min="4" max="4" width="35.59765625" customWidth="1"/>
    <col min="5" max="5" width="11.59765625" bestFit="1" customWidth="1"/>
    <col min="6" max="6" width="12.265625" bestFit="1" customWidth="1"/>
    <col min="7" max="7" width="79.265625" bestFit="1" customWidth="1"/>
    <col min="8" max="8" width="24.59765625" bestFit="1" customWidth="1"/>
    <col min="9" max="9" width="16.265625" bestFit="1" customWidth="1"/>
    <col min="10" max="10" width="13.59765625" customWidth="1"/>
    <col min="11" max="11" width="15.59765625" bestFit="1" customWidth="1"/>
    <col min="12" max="12" width="14.265625" bestFit="1" customWidth="1"/>
    <col min="13" max="13" width="14.265625" customWidth="1"/>
    <col min="14" max="14" width="14.265625" bestFit="1" customWidth="1"/>
    <col min="15" max="15" width="12.59765625" bestFit="1" customWidth="1"/>
    <col min="16" max="16" width="14.265625" bestFit="1" customWidth="1"/>
    <col min="17" max="17" width="9.265625" bestFit="1" customWidth="1"/>
    <col min="18" max="19" width="8.265625" bestFit="1" customWidth="1"/>
    <col min="20" max="20" width="7.265625" bestFit="1" customWidth="1"/>
    <col min="21" max="21" width="8.265625" bestFit="1" customWidth="1"/>
    <col min="22" max="22" width="16.265625" bestFit="1" customWidth="1"/>
    <col min="23" max="23" width="11.59765625" bestFit="1" customWidth="1"/>
    <col min="24" max="24" width="9.59765625" bestFit="1" customWidth="1"/>
    <col min="25" max="26" width="12.265625" bestFit="1" customWidth="1"/>
    <col min="27" max="27" width="10" bestFit="1" customWidth="1"/>
    <col min="28" max="28" width="9.59765625" bestFit="1" customWidth="1" collapsed="1"/>
    <col min="29" max="29" width="12.59765625" bestFit="1" customWidth="1"/>
    <col min="30" max="30" width="13.59765625" bestFit="1" customWidth="1"/>
    <col min="31" max="31" width="16.265625" customWidth="1"/>
    <col min="32" max="32" width="11.265625" customWidth="1"/>
    <col min="33" max="33" width="13.265625" bestFit="1" customWidth="1"/>
    <col min="34" max="34" width="19.265625" bestFit="1" customWidth="1"/>
    <col min="35" max="35" width="22.59765625" bestFit="1" customWidth="1"/>
    <col min="36" max="36" width="16.59765625" bestFit="1" customWidth="1"/>
  </cols>
  <sheetData>
    <row r="1" spans="2:36" ht="23.25" customHeight="1" x14ac:dyDescent="0.7">
      <c r="B1" s="65" t="s">
        <v>394</v>
      </c>
      <c r="C1" s="66"/>
      <c r="D1" s="66"/>
      <c r="E1" s="66"/>
    </row>
    <row r="3" spans="2:36" x14ac:dyDescent="0.45">
      <c r="B3" s="67" t="s">
        <v>395</v>
      </c>
      <c r="C3" s="68"/>
      <c r="D3" s="68"/>
      <c r="E3" s="68"/>
    </row>
    <row r="4" spans="2:36" ht="21" customHeight="1" x14ac:dyDescent="0.85">
      <c r="B4" s="69" t="s">
        <v>396</v>
      </c>
      <c r="C4" s="70"/>
      <c r="D4" s="70"/>
      <c r="E4" s="70"/>
      <c r="F4" s="71"/>
      <c r="G4" s="71"/>
      <c r="H4" s="71"/>
      <c r="I4" s="72"/>
      <c r="K4" s="71"/>
      <c r="L4" s="71"/>
      <c r="M4" s="71"/>
      <c r="N4" s="71"/>
      <c r="O4" s="71"/>
      <c r="P4" s="71"/>
      <c r="Q4" s="71"/>
      <c r="R4" s="71"/>
      <c r="S4" s="71"/>
      <c r="T4" s="71"/>
      <c r="U4" s="71"/>
      <c r="V4" s="71"/>
      <c r="W4" s="71"/>
      <c r="X4" s="71"/>
      <c r="Y4" s="71"/>
      <c r="Z4" s="71"/>
      <c r="AA4" s="71"/>
      <c r="AB4" s="71"/>
      <c r="AC4" s="71"/>
      <c r="AD4" s="71"/>
      <c r="AE4" s="71"/>
      <c r="AF4" s="71"/>
      <c r="AG4" s="71"/>
      <c r="AH4" s="71"/>
      <c r="AI4" s="71"/>
      <c r="AJ4" s="71"/>
    </row>
    <row r="5" spans="2:36" s="73" customFormat="1" ht="26.25" customHeight="1" x14ac:dyDescent="0.85">
      <c r="B5" s="864"/>
      <c r="C5" s="865"/>
      <c r="D5" s="865"/>
      <c r="E5" s="865"/>
      <c r="F5" s="865"/>
      <c r="G5" s="865"/>
      <c r="H5" s="865"/>
      <c r="I5" s="866"/>
      <c r="J5" s="867"/>
      <c r="K5" s="867"/>
      <c r="L5" s="865"/>
      <c r="M5" s="865"/>
      <c r="N5" s="868" t="s">
        <v>397</v>
      </c>
      <c r="O5" s="869"/>
      <c r="P5" s="868"/>
      <c r="Q5" s="868" t="s">
        <v>398</v>
      </c>
      <c r="R5" s="867"/>
      <c r="S5" s="867"/>
      <c r="T5" s="867"/>
      <c r="U5" s="867"/>
      <c r="V5" s="867"/>
      <c r="W5" s="867"/>
      <c r="X5" s="867" t="s">
        <v>399</v>
      </c>
      <c r="Y5" s="867"/>
      <c r="Z5" s="867"/>
      <c r="AA5" s="867"/>
      <c r="AB5" s="867" t="s">
        <v>400</v>
      </c>
      <c r="AC5" s="867"/>
      <c r="AD5" s="867"/>
      <c r="AE5" s="867"/>
      <c r="AF5" s="867"/>
      <c r="AG5" s="867" t="s">
        <v>401</v>
      </c>
      <c r="AH5" s="867"/>
      <c r="AI5" s="867"/>
      <c r="AJ5" s="867"/>
    </row>
    <row r="6" spans="2:36" s="73" customFormat="1" ht="39.75" customHeight="1" x14ac:dyDescent="0.85">
      <c r="B6" s="74"/>
      <c r="C6" s="75"/>
      <c r="D6" s="75"/>
      <c r="E6" s="75"/>
      <c r="F6" s="76" t="s">
        <v>402</v>
      </c>
      <c r="G6" s="75"/>
      <c r="H6" s="77" t="s">
        <v>403</v>
      </c>
      <c r="I6" s="78" t="s">
        <v>403</v>
      </c>
      <c r="J6" s="77"/>
      <c r="K6" s="77" t="s">
        <v>404</v>
      </c>
      <c r="L6" s="79" t="s">
        <v>405</v>
      </c>
      <c r="M6" s="80" t="s">
        <v>406</v>
      </c>
      <c r="N6" s="81"/>
      <c r="O6" s="82"/>
      <c r="P6" s="83"/>
      <c r="Q6" s="77" t="s">
        <v>407</v>
      </c>
      <c r="R6" s="77" t="s">
        <v>408</v>
      </c>
      <c r="S6" s="84" t="s">
        <v>409</v>
      </c>
      <c r="T6" s="84" t="s">
        <v>410</v>
      </c>
      <c r="U6" s="84" t="s">
        <v>42</v>
      </c>
      <c r="V6" s="84" t="s">
        <v>411</v>
      </c>
      <c r="W6" s="76"/>
      <c r="X6" s="77" t="s">
        <v>412</v>
      </c>
      <c r="Y6" s="77"/>
      <c r="Z6" s="77"/>
      <c r="AA6" s="84" t="s">
        <v>413</v>
      </c>
      <c r="AB6" s="77" t="s">
        <v>412</v>
      </c>
      <c r="AC6" s="85" t="s">
        <v>414</v>
      </c>
      <c r="AD6" s="77"/>
      <c r="AE6" s="77"/>
      <c r="AF6" s="84" t="s">
        <v>413</v>
      </c>
      <c r="AG6" s="86"/>
      <c r="AH6" s="84" t="s">
        <v>415</v>
      </c>
      <c r="AI6" s="84" t="s">
        <v>416</v>
      </c>
      <c r="AJ6" s="84" t="s">
        <v>417</v>
      </c>
    </row>
    <row r="7" spans="2:36" s="73" customFormat="1" ht="42" customHeight="1" x14ac:dyDescent="0.85">
      <c r="B7" s="87" t="s">
        <v>418</v>
      </c>
      <c r="C7" s="87"/>
      <c r="D7" s="87"/>
      <c r="E7" s="87" t="s">
        <v>419</v>
      </c>
      <c r="F7" s="75" t="s">
        <v>420</v>
      </c>
      <c r="G7" s="75" t="s">
        <v>421</v>
      </c>
      <c r="H7" s="75" t="s">
        <v>422</v>
      </c>
      <c r="I7" s="88" t="s">
        <v>423</v>
      </c>
      <c r="J7" s="75" t="s">
        <v>424</v>
      </c>
      <c r="K7" s="75" t="s">
        <v>425</v>
      </c>
      <c r="L7" s="89" t="s">
        <v>426</v>
      </c>
      <c r="M7" s="90" t="s">
        <v>427</v>
      </c>
      <c r="N7" s="90" t="s">
        <v>428</v>
      </c>
      <c r="O7" s="90" t="s">
        <v>429</v>
      </c>
      <c r="P7" s="90" t="s">
        <v>430</v>
      </c>
      <c r="Q7" s="75" t="s">
        <v>431</v>
      </c>
      <c r="R7" s="75" t="s">
        <v>432</v>
      </c>
      <c r="S7" s="75" t="s">
        <v>257</v>
      </c>
      <c r="T7" s="75" t="s">
        <v>257</v>
      </c>
      <c r="U7" s="75" t="s">
        <v>257</v>
      </c>
      <c r="V7" s="75" t="s">
        <v>433</v>
      </c>
      <c r="W7" s="75" t="s">
        <v>434</v>
      </c>
      <c r="X7" s="75" t="s">
        <v>435</v>
      </c>
      <c r="Y7" s="75" t="s">
        <v>436</v>
      </c>
      <c r="Z7" s="75" t="s">
        <v>437</v>
      </c>
      <c r="AA7" s="75" t="s">
        <v>437</v>
      </c>
      <c r="AB7" s="75" t="s">
        <v>435</v>
      </c>
      <c r="AC7" s="75" t="s">
        <v>435</v>
      </c>
      <c r="AD7" s="75" t="s">
        <v>436</v>
      </c>
      <c r="AE7" s="75" t="s">
        <v>437</v>
      </c>
      <c r="AF7" s="75" t="s">
        <v>438</v>
      </c>
      <c r="AG7" s="75" t="s">
        <v>439</v>
      </c>
      <c r="AH7" s="75" t="s">
        <v>440</v>
      </c>
      <c r="AI7" s="75" t="s">
        <v>441</v>
      </c>
      <c r="AJ7" s="75" t="s">
        <v>442</v>
      </c>
    </row>
    <row r="8" spans="2:36" s="103" customFormat="1" ht="53.25" customHeight="1" x14ac:dyDescent="0.5">
      <c r="B8" s="91"/>
      <c r="C8" s="92">
        <v>1</v>
      </c>
      <c r="D8" s="93" t="s">
        <v>443</v>
      </c>
      <c r="E8" s="94" t="s">
        <v>444</v>
      </c>
      <c r="F8" s="95">
        <f t="shared" ref="F8:F23" si="0">+P8/150</f>
        <v>3.7647311533333269E-2</v>
      </c>
      <c r="G8" s="96" t="s">
        <v>445</v>
      </c>
      <c r="H8" s="96" t="s">
        <v>334</v>
      </c>
      <c r="I8" s="97">
        <v>501010</v>
      </c>
      <c r="J8" s="97" t="s">
        <v>446</v>
      </c>
      <c r="K8" s="98">
        <v>36</v>
      </c>
      <c r="L8" s="99">
        <v>43727</v>
      </c>
      <c r="M8" s="99">
        <v>45558</v>
      </c>
      <c r="N8" s="100">
        <v>3.94400406539682</v>
      </c>
      <c r="O8" s="100">
        <v>1.7030926646031701</v>
      </c>
      <c r="P8" s="100">
        <f t="shared" ref="P8:P23" si="1">+N8+O8</f>
        <v>5.6470967299999906</v>
      </c>
      <c r="Q8" s="95">
        <v>1.7500000000000002E-2</v>
      </c>
      <c r="R8" s="95">
        <v>0.02</v>
      </c>
      <c r="S8" s="95">
        <v>0.11749999999999999</v>
      </c>
      <c r="T8" s="95">
        <v>0.01</v>
      </c>
      <c r="U8" s="95">
        <f t="shared" ref="U8:U23" si="2">+S8+T8</f>
        <v>0.1275</v>
      </c>
      <c r="V8" s="95" t="s">
        <v>447</v>
      </c>
      <c r="W8" s="95" t="s">
        <v>243</v>
      </c>
      <c r="X8" s="95">
        <v>0.48568319999999998</v>
      </c>
      <c r="Y8" s="100">
        <v>110.334</v>
      </c>
      <c r="Z8" s="100">
        <v>10</v>
      </c>
      <c r="AA8" s="101">
        <v>3.03552</v>
      </c>
      <c r="AB8" s="95">
        <f t="shared" ref="AB8:AB23" si="3">(AE8*AF8)/AC8</f>
        <v>0.27214095730237459</v>
      </c>
      <c r="AC8" s="100">
        <v>108.273</v>
      </c>
      <c r="AD8" s="100">
        <v>107.82882895</v>
      </c>
      <c r="AE8" s="100">
        <v>12.965913</v>
      </c>
      <c r="AF8" s="101">
        <v>2.2725370646864591</v>
      </c>
      <c r="AG8" s="96" t="s">
        <v>448</v>
      </c>
      <c r="AH8" s="96" t="s">
        <v>243</v>
      </c>
      <c r="AI8" s="96" t="s">
        <v>449</v>
      </c>
      <c r="AJ8" s="102">
        <v>4</v>
      </c>
    </row>
    <row r="9" spans="2:36" s="103" customFormat="1" ht="53.25" customHeight="1" x14ac:dyDescent="0.5">
      <c r="B9" s="91"/>
      <c r="C9" s="92">
        <f t="shared" ref="C9:C23" si="4">+C8+1</f>
        <v>2</v>
      </c>
      <c r="D9" s="93" t="s">
        <v>450</v>
      </c>
      <c r="E9" s="94" t="s">
        <v>444</v>
      </c>
      <c r="F9" s="95">
        <f t="shared" si="0"/>
        <v>2.7878952000000002E-2</v>
      </c>
      <c r="G9" s="96" t="s">
        <v>451</v>
      </c>
      <c r="H9" s="96" t="s">
        <v>359</v>
      </c>
      <c r="I9" s="97">
        <v>201060</v>
      </c>
      <c r="J9" s="97" t="s">
        <v>452</v>
      </c>
      <c r="K9" s="98">
        <v>15</v>
      </c>
      <c r="L9" s="99">
        <v>43845</v>
      </c>
      <c r="M9" s="99">
        <v>45688</v>
      </c>
      <c r="N9" s="100">
        <v>4.0393573700000003</v>
      </c>
      <c r="O9" s="100">
        <v>0.14248543</v>
      </c>
      <c r="P9" s="100">
        <f t="shared" si="1"/>
        <v>4.1818428000000001</v>
      </c>
      <c r="Q9" s="95">
        <v>3.0941176470588239E-2</v>
      </c>
      <c r="R9" s="95">
        <v>0.02</v>
      </c>
      <c r="S9" s="95">
        <v>0.1056719284899201</v>
      </c>
      <c r="T9" s="95">
        <v>0</v>
      </c>
      <c r="U9" s="95">
        <f t="shared" si="2"/>
        <v>0.1056719284899201</v>
      </c>
      <c r="V9" s="95" t="s">
        <v>447</v>
      </c>
      <c r="W9" s="95" t="s">
        <v>243</v>
      </c>
      <c r="X9" s="95">
        <v>0.36718911649079239</v>
      </c>
      <c r="Y9" s="100">
        <v>35.284999999999997</v>
      </c>
      <c r="Z9" s="100">
        <v>6.444</v>
      </c>
      <c r="AA9" s="101">
        <v>2.2031346989447549</v>
      </c>
      <c r="AB9" s="95">
        <f t="shared" si="3"/>
        <v>0.54001681578780369</v>
      </c>
      <c r="AC9" s="100">
        <v>94.554000000000002</v>
      </c>
      <c r="AD9" s="100">
        <v>62.5460833111756</v>
      </c>
      <c r="AE9" s="100">
        <v>15.048999999999999</v>
      </c>
      <c r="AF9" s="101">
        <v>3.3929663100538239</v>
      </c>
      <c r="AG9" s="96" t="s">
        <v>448</v>
      </c>
      <c r="AH9" s="96" t="s">
        <v>243</v>
      </c>
      <c r="AI9" s="96" t="s">
        <v>453</v>
      </c>
      <c r="AJ9" s="102">
        <v>5</v>
      </c>
    </row>
    <row r="10" spans="2:36" s="103" customFormat="1" ht="53.25" customHeight="1" x14ac:dyDescent="0.5">
      <c r="B10" s="91"/>
      <c r="C10" s="92">
        <f t="shared" si="4"/>
        <v>3</v>
      </c>
      <c r="D10" s="93" t="s">
        <v>454</v>
      </c>
      <c r="E10" s="94" t="s">
        <v>444</v>
      </c>
      <c r="F10" s="95">
        <f t="shared" si="0"/>
        <v>2.3333333333333334E-2</v>
      </c>
      <c r="G10" s="96" t="s">
        <v>455</v>
      </c>
      <c r="H10" s="96" t="s">
        <v>370</v>
      </c>
      <c r="I10" s="97">
        <v>202020</v>
      </c>
      <c r="J10" s="97" t="s">
        <v>456</v>
      </c>
      <c r="K10" s="98">
        <v>21</v>
      </c>
      <c r="L10" s="99">
        <v>43581</v>
      </c>
      <c r="M10" s="99">
        <v>45408</v>
      </c>
      <c r="N10" s="100">
        <v>3.2287382500000001</v>
      </c>
      <c r="O10" s="100">
        <v>0.27126175000000002</v>
      </c>
      <c r="P10" s="100">
        <f t="shared" si="1"/>
        <v>3.5</v>
      </c>
      <c r="Q10" s="95">
        <v>2.4E-2</v>
      </c>
      <c r="R10" s="95">
        <v>2.2499999999999999E-2</v>
      </c>
      <c r="S10" s="95">
        <v>9.4884219650990559E-2</v>
      </c>
      <c r="T10" s="95">
        <v>0</v>
      </c>
      <c r="U10" s="95">
        <f t="shared" si="2"/>
        <v>9.4884219650990559E-2</v>
      </c>
      <c r="V10" s="95" t="s">
        <v>447</v>
      </c>
      <c r="W10" s="95" t="s">
        <v>244</v>
      </c>
      <c r="X10" s="95">
        <v>0.46032575342036391</v>
      </c>
      <c r="Y10" s="100">
        <v>141.643</v>
      </c>
      <c r="Z10" s="100">
        <v>11.367000000000001</v>
      </c>
      <c r="AA10" s="101">
        <v>2.5840526084279052</v>
      </c>
      <c r="AB10" s="95">
        <f t="shared" si="3"/>
        <v>0.6899151867003569</v>
      </c>
      <c r="AC10" s="100">
        <v>74.799000000000007</v>
      </c>
      <c r="AD10" s="100">
        <v>180.50399999999999</v>
      </c>
      <c r="AE10" s="100">
        <v>9.2194183969658496</v>
      </c>
      <c r="AF10" s="101">
        <v>5.5974209899166114</v>
      </c>
      <c r="AG10" s="96" t="s">
        <v>448</v>
      </c>
      <c r="AH10" s="96" t="s">
        <v>243</v>
      </c>
      <c r="AI10" s="96" t="s">
        <v>457</v>
      </c>
      <c r="AJ10" s="102">
        <v>5</v>
      </c>
    </row>
    <row r="11" spans="2:36" s="103" customFormat="1" ht="53.25" customHeight="1" x14ac:dyDescent="0.5">
      <c r="B11" s="91"/>
      <c r="C11" s="92">
        <f t="shared" si="4"/>
        <v>4</v>
      </c>
      <c r="D11" s="93" t="s">
        <v>458</v>
      </c>
      <c r="E11" s="94" t="s">
        <v>444</v>
      </c>
      <c r="F11" s="95">
        <f t="shared" si="0"/>
        <v>1.9199150933333332E-2</v>
      </c>
      <c r="G11" s="96" t="s">
        <v>459</v>
      </c>
      <c r="H11" s="96" t="s">
        <v>460</v>
      </c>
      <c r="I11" s="97">
        <v>452020</v>
      </c>
      <c r="J11" s="97" t="s">
        <v>461</v>
      </c>
      <c r="K11" s="98">
        <v>8</v>
      </c>
      <c r="L11" s="99">
        <v>43812</v>
      </c>
      <c r="M11" s="99">
        <v>45639</v>
      </c>
      <c r="N11" s="100">
        <v>2.8798726399999999</v>
      </c>
      <c r="O11" s="100">
        <v>0</v>
      </c>
      <c r="P11" s="100">
        <f t="shared" si="1"/>
        <v>2.8798726399999999</v>
      </c>
      <c r="Q11" s="95">
        <v>0.02</v>
      </c>
      <c r="R11" s="95">
        <v>0.02</v>
      </c>
      <c r="S11" s="95">
        <v>0.13</v>
      </c>
      <c r="T11" s="95">
        <v>0</v>
      </c>
      <c r="U11" s="95">
        <f t="shared" si="2"/>
        <v>0.13</v>
      </c>
      <c r="V11" s="95" t="s">
        <v>447</v>
      </c>
      <c r="W11" s="95" t="s">
        <v>243</v>
      </c>
      <c r="X11" s="95">
        <v>0.29138676421682741</v>
      </c>
      <c r="Y11" s="100">
        <v>71.206000000000003</v>
      </c>
      <c r="Z11" s="100">
        <v>9.0210000000000008</v>
      </c>
      <c r="AA11" s="101">
        <v>2.9138676421682739</v>
      </c>
      <c r="AB11" s="95">
        <f t="shared" si="3"/>
        <v>0.53284561792284479</v>
      </c>
      <c r="AC11" s="100">
        <v>92.462999999999994</v>
      </c>
      <c r="AD11" s="100">
        <v>52.45415586</v>
      </c>
      <c r="AE11" s="100">
        <v>12.98243933</v>
      </c>
      <c r="AF11" s="101">
        <v>3.7950113316647398</v>
      </c>
      <c r="AG11" s="96" t="s">
        <v>448</v>
      </c>
      <c r="AH11" s="96" t="s">
        <v>243</v>
      </c>
      <c r="AI11" s="96" t="s">
        <v>462</v>
      </c>
      <c r="AJ11" s="102">
        <v>4</v>
      </c>
    </row>
    <row r="12" spans="2:36" s="103" customFormat="1" ht="53.25" customHeight="1" x14ac:dyDescent="0.5">
      <c r="B12" s="91"/>
      <c r="C12" s="92">
        <f t="shared" si="4"/>
        <v>5</v>
      </c>
      <c r="D12" s="93" t="s">
        <v>463</v>
      </c>
      <c r="E12" s="94" t="s">
        <v>444</v>
      </c>
      <c r="F12" s="95">
        <f t="shared" si="0"/>
        <v>1.9034424346292999E-2</v>
      </c>
      <c r="G12" s="96" t="s">
        <v>464</v>
      </c>
      <c r="H12" s="96" t="s">
        <v>332</v>
      </c>
      <c r="I12" s="97">
        <v>253020</v>
      </c>
      <c r="J12" s="97" t="s">
        <v>465</v>
      </c>
      <c r="K12" s="98">
        <v>13</v>
      </c>
      <c r="L12" s="99">
        <v>43749</v>
      </c>
      <c r="M12" s="99">
        <v>45576</v>
      </c>
      <c r="N12" s="100">
        <v>2.8551636519439501</v>
      </c>
      <c r="O12" s="100">
        <v>0</v>
      </c>
      <c r="P12" s="100">
        <f t="shared" si="1"/>
        <v>2.8551636519439501</v>
      </c>
      <c r="Q12" s="95">
        <v>0.02</v>
      </c>
      <c r="R12" s="95">
        <v>2.5000000000000001E-2</v>
      </c>
      <c r="S12" s="95">
        <v>0.115</v>
      </c>
      <c r="T12" s="95">
        <v>0</v>
      </c>
      <c r="U12" s="95">
        <f t="shared" si="2"/>
        <v>0.115</v>
      </c>
      <c r="V12" s="95" t="s">
        <v>447</v>
      </c>
      <c r="W12" s="95" t="s">
        <v>243</v>
      </c>
      <c r="X12" s="95">
        <v>8.8811379704013649E-2</v>
      </c>
      <c r="Y12" s="100">
        <v>23.201000000000001</v>
      </c>
      <c r="Z12" s="100">
        <v>3.2410000000000001</v>
      </c>
      <c r="AA12" s="101">
        <v>2.479481641468682</v>
      </c>
      <c r="AB12" s="95">
        <f t="shared" si="3"/>
        <v>0.27488640215014581</v>
      </c>
      <c r="AC12" s="100">
        <v>76.831999999999994</v>
      </c>
      <c r="AD12" s="100">
        <v>35.779000000000003</v>
      </c>
      <c r="AE12" s="100">
        <v>5.4180000000000001</v>
      </c>
      <c r="AF12" s="101">
        <v>3.8981306847545221</v>
      </c>
      <c r="AG12" s="96" t="s">
        <v>448</v>
      </c>
      <c r="AH12" s="96" t="s">
        <v>243</v>
      </c>
      <c r="AI12" s="96" t="s">
        <v>466</v>
      </c>
      <c r="AJ12" s="102">
        <v>3</v>
      </c>
    </row>
    <row r="13" spans="2:36" s="103" customFormat="1" ht="53.25" customHeight="1" x14ac:dyDescent="0.5">
      <c r="B13" s="91"/>
      <c r="C13" s="92">
        <f t="shared" si="4"/>
        <v>6</v>
      </c>
      <c r="D13" s="93" t="s">
        <v>467</v>
      </c>
      <c r="E13" s="94" t="s">
        <v>444</v>
      </c>
      <c r="F13" s="95">
        <f t="shared" si="0"/>
        <v>1.8518518533333334E-2</v>
      </c>
      <c r="G13" s="96" t="s">
        <v>468</v>
      </c>
      <c r="H13" s="96" t="s">
        <v>384</v>
      </c>
      <c r="I13" s="97">
        <v>452030</v>
      </c>
      <c r="J13" s="97" t="s">
        <v>469</v>
      </c>
      <c r="K13" s="98">
        <v>18</v>
      </c>
      <c r="L13" s="99">
        <v>44057</v>
      </c>
      <c r="M13" s="99">
        <v>45883</v>
      </c>
      <c r="N13" s="100">
        <v>2.7777777800000001</v>
      </c>
      <c r="O13" s="100">
        <v>0</v>
      </c>
      <c r="P13" s="100">
        <f t="shared" si="1"/>
        <v>2.7777777800000001</v>
      </c>
      <c r="Q13" s="95">
        <v>1.4999999999999999E-2</v>
      </c>
      <c r="R13" s="95">
        <v>7.4999999999999997E-3</v>
      </c>
      <c r="S13" s="95">
        <v>9.9389999985360272E-2</v>
      </c>
      <c r="T13" s="95">
        <v>0</v>
      </c>
      <c r="U13" s="95">
        <f t="shared" si="2"/>
        <v>9.9389999985360272E-2</v>
      </c>
      <c r="V13" s="95" t="s">
        <v>447</v>
      </c>
      <c r="W13" s="95" t="s">
        <v>244</v>
      </c>
      <c r="X13" s="95">
        <v>0.35124419449622452</v>
      </c>
      <c r="Y13" s="100">
        <v>85.013000000000005</v>
      </c>
      <c r="Z13" s="100">
        <v>10.218</v>
      </c>
      <c r="AA13" s="101">
        <v>2.176009003718927</v>
      </c>
      <c r="AB13" s="95">
        <f t="shared" si="3"/>
        <v>0.33350078585744991</v>
      </c>
      <c r="AC13" s="100">
        <v>69.350999999999999</v>
      </c>
      <c r="AD13" s="100">
        <v>85.659544999999994</v>
      </c>
      <c r="AE13" s="100">
        <v>13.738751000000001</v>
      </c>
      <c r="AF13" s="101">
        <v>1.6834581979104219</v>
      </c>
      <c r="AG13" s="96" t="s">
        <v>448</v>
      </c>
      <c r="AH13" s="96" t="s">
        <v>243</v>
      </c>
      <c r="AI13" s="96" t="s">
        <v>470</v>
      </c>
      <c r="AJ13" s="102">
        <v>4</v>
      </c>
    </row>
    <row r="14" spans="2:36" s="103" customFormat="1" ht="53.25" customHeight="1" x14ac:dyDescent="0.5">
      <c r="B14" s="91"/>
      <c r="C14" s="92">
        <f t="shared" si="4"/>
        <v>7</v>
      </c>
      <c r="D14" s="93" t="s">
        <v>471</v>
      </c>
      <c r="E14" s="94" t="s">
        <v>444</v>
      </c>
      <c r="F14" s="95">
        <f t="shared" si="0"/>
        <v>1.6687558066666667E-2</v>
      </c>
      <c r="G14" s="96" t="s">
        <v>472</v>
      </c>
      <c r="H14" s="96" t="s">
        <v>333</v>
      </c>
      <c r="I14" s="97">
        <v>402010</v>
      </c>
      <c r="J14" s="97" t="s">
        <v>452</v>
      </c>
      <c r="K14" s="98">
        <v>10</v>
      </c>
      <c r="L14" s="99">
        <v>43553</v>
      </c>
      <c r="M14" s="99">
        <v>45107</v>
      </c>
      <c r="N14" s="100">
        <v>2.5031337100000002</v>
      </c>
      <c r="O14" s="100">
        <v>0</v>
      </c>
      <c r="P14" s="100">
        <f t="shared" si="1"/>
        <v>2.5031337100000002</v>
      </c>
      <c r="Q14" s="95">
        <v>0.02</v>
      </c>
      <c r="R14" s="95">
        <v>0.02</v>
      </c>
      <c r="S14" s="95">
        <v>0.14749999999999999</v>
      </c>
      <c r="T14" s="95">
        <v>0</v>
      </c>
      <c r="U14" s="95">
        <f t="shared" si="2"/>
        <v>0.14749999999999999</v>
      </c>
      <c r="V14" s="95" t="s">
        <v>447</v>
      </c>
      <c r="W14" s="95" t="s">
        <v>243</v>
      </c>
      <c r="X14" s="95">
        <v>0.36982589788711462</v>
      </c>
      <c r="Y14" s="100">
        <v>18.39295379999999</v>
      </c>
      <c r="Z14" s="100">
        <v>3.8180000000000001</v>
      </c>
      <c r="AA14" s="101">
        <v>8.1465341775798841</v>
      </c>
      <c r="AB14" s="95">
        <f t="shared" si="3"/>
        <v>0.26872360735856887</v>
      </c>
      <c r="AC14" s="100">
        <v>130.13399999999999</v>
      </c>
      <c r="AD14" s="100">
        <v>26.921368910000002</v>
      </c>
      <c r="AE14" s="100">
        <v>10.850353</v>
      </c>
      <c r="AF14" s="101">
        <v>3.2229437991556589</v>
      </c>
      <c r="AG14" s="96" t="s">
        <v>448</v>
      </c>
      <c r="AH14" s="96" t="s">
        <v>243</v>
      </c>
      <c r="AI14" s="96" t="s">
        <v>473</v>
      </c>
      <c r="AJ14" s="102">
        <v>8</v>
      </c>
    </row>
    <row r="15" spans="2:36" s="103" customFormat="1" ht="53.25" customHeight="1" collapsed="1" x14ac:dyDescent="0.5">
      <c r="B15" s="91"/>
      <c r="C15" s="92">
        <f t="shared" si="4"/>
        <v>8</v>
      </c>
      <c r="D15" s="93" t="s">
        <v>474</v>
      </c>
      <c r="E15" s="94" t="s">
        <v>444</v>
      </c>
      <c r="F15" s="95">
        <f t="shared" si="0"/>
        <v>1.40291262E-2</v>
      </c>
      <c r="G15" s="96" t="s">
        <v>475</v>
      </c>
      <c r="H15" s="96" t="s">
        <v>370</v>
      </c>
      <c r="I15" s="97">
        <v>202020</v>
      </c>
      <c r="J15" s="97" t="s">
        <v>452</v>
      </c>
      <c r="K15" s="98">
        <v>21</v>
      </c>
      <c r="L15" s="99">
        <v>44225</v>
      </c>
      <c r="M15" s="99">
        <v>46051</v>
      </c>
      <c r="N15" s="100">
        <v>2.1043689300000001</v>
      </c>
      <c r="O15" s="100">
        <v>0</v>
      </c>
      <c r="P15" s="100">
        <f t="shared" si="1"/>
        <v>2.1043689300000001</v>
      </c>
      <c r="Q15" s="95">
        <v>0.02</v>
      </c>
      <c r="R15" s="95">
        <v>0.01</v>
      </c>
      <c r="S15" s="95">
        <v>0.115</v>
      </c>
      <c r="T15" s="95">
        <v>0</v>
      </c>
      <c r="U15" s="95">
        <f t="shared" si="2"/>
        <v>0.115</v>
      </c>
      <c r="V15" s="95" t="s">
        <v>447</v>
      </c>
      <c r="W15" s="95" t="s">
        <v>244</v>
      </c>
      <c r="X15" s="95">
        <v>0.44593652462111061</v>
      </c>
      <c r="Y15" s="100">
        <v>128.6</v>
      </c>
      <c r="Z15" s="100">
        <v>12.247</v>
      </c>
      <c r="AA15" s="101">
        <v>3.394790560953703</v>
      </c>
      <c r="AB15" s="95">
        <f t="shared" si="3"/>
        <v>0.44593652462111044</v>
      </c>
      <c r="AC15" s="100">
        <v>93.233000000000004</v>
      </c>
      <c r="AD15" s="100">
        <v>148.88300000000001</v>
      </c>
      <c r="AE15" s="100">
        <v>12.622999999999999</v>
      </c>
      <c r="AF15" s="101">
        <v>3.2936702844014891</v>
      </c>
      <c r="AG15" s="96" t="s">
        <v>448</v>
      </c>
      <c r="AH15" s="96" t="s">
        <v>243</v>
      </c>
      <c r="AI15" s="96" t="s">
        <v>453</v>
      </c>
      <c r="AJ15" s="102">
        <v>4</v>
      </c>
    </row>
    <row r="16" spans="2:36" s="103" customFormat="1" ht="53.25" customHeight="1" x14ac:dyDescent="0.5">
      <c r="B16" s="91"/>
      <c r="C16" s="92">
        <f t="shared" si="4"/>
        <v>9</v>
      </c>
      <c r="D16" s="93" t="s">
        <v>476</v>
      </c>
      <c r="E16" s="94" t="s">
        <v>444</v>
      </c>
      <c r="F16" s="95">
        <f t="shared" si="0"/>
        <v>1.3333333333333334E-2</v>
      </c>
      <c r="G16" s="96" t="s">
        <v>477</v>
      </c>
      <c r="H16" s="96" t="s">
        <v>357</v>
      </c>
      <c r="I16" s="97">
        <v>252020</v>
      </c>
      <c r="J16" s="97" t="s">
        <v>461</v>
      </c>
      <c r="K16" s="98">
        <v>22</v>
      </c>
      <c r="L16" s="99">
        <v>44196</v>
      </c>
      <c r="M16" s="99">
        <v>46022</v>
      </c>
      <c r="N16" s="100">
        <v>1.9565217399999999</v>
      </c>
      <c r="O16" s="100">
        <v>4.3478259999999998E-2</v>
      </c>
      <c r="P16" s="100">
        <f t="shared" si="1"/>
        <v>2</v>
      </c>
      <c r="Q16" s="95">
        <v>0.02</v>
      </c>
      <c r="R16" s="95">
        <v>0.01</v>
      </c>
      <c r="S16" s="95">
        <v>0.11888888888888891</v>
      </c>
      <c r="T16" s="95">
        <v>1.2500000000000001E-2</v>
      </c>
      <c r="U16" s="95">
        <f t="shared" si="2"/>
        <v>0.13138888888888892</v>
      </c>
      <c r="V16" s="95" t="s">
        <v>447</v>
      </c>
      <c r="W16" s="95" t="s">
        <v>243</v>
      </c>
      <c r="X16" s="95">
        <v>0.47180290377969852</v>
      </c>
      <c r="Y16" s="100">
        <v>61.6</v>
      </c>
      <c r="Z16" s="100">
        <v>18.437000000000001</v>
      </c>
      <c r="AA16" s="101">
        <v>3.4441611975917992</v>
      </c>
      <c r="AB16" s="95">
        <f t="shared" si="3"/>
        <v>0.29537833763404586</v>
      </c>
      <c r="AC16" s="100">
        <v>134.59010000000001</v>
      </c>
      <c r="AD16" s="100">
        <v>62.958104519999999</v>
      </c>
      <c r="AE16" s="100">
        <v>18.728999999999999</v>
      </c>
      <c r="AF16" s="101">
        <v>2.1226440279780019</v>
      </c>
      <c r="AG16" s="96" t="s">
        <v>448</v>
      </c>
      <c r="AH16" s="96" t="s">
        <v>243</v>
      </c>
      <c r="AI16" s="96" t="s">
        <v>478</v>
      </c>
      <c r="AJ16" s="102">
        <v>3</v>
      </c>
    </row>
    <row r="17" spans="1:36" s="103" customFormat="1" ht="53.25" customHeight="1" x14ac:dyDescent="0.5">
      <c r="B17" s="91"/>
      <c r="C17" s="92">
        <f t="shared" si="4"/>
        <v>10</v>
      </c>
      <c r="D17" s="93" t="s">
        <v>479</v>
      </c>
      <c r="E17" s="94" t="s">
        <v>444</v>
      </c>
      <c r="F17" s="95">
        <f t="shared" si="0"/>
        <v>1.3333333333333334E-2</v>
      </c>
      <c r="G17" s="96" t="s">
        <v>480</v>
      </c>
      <c r="H17" s="96" t="s">
        <v>333</v>
      </c>
      <c r="I17" s="97">
        <v>402010</v>
      </c>
      <c r="J17" s="97" t="s">
        <v>446</v>
      </c>
      <c r="K17" s="98">
        <v>8</v>
      </c>
      <c r="L17" s="99">
        <v>44189</v>
      </c>
      <c r="M17" s="99">
        <v>46015</v>
      </c>
      <c r="N17" s="100">
        <v>1.3333333300000001</v>
      </c>
      <c r="O17" s="100">
        <v>0.66666666999999991</v>
      </c>
      <c r="P17" s="100">
        <f t="shared" si="1"/>
        <v>2</v>
      </c>
      <c r="Q17" s="95">
        <v>0.02</v>
      </c>
      <c r="R17" s="95">
        <v>0.01</v>
      </c>
      <c r="S17" s="95">
        <v>0.1</v>
      </c>
      <c r="T17" s="95">
        <v>0</v>
      </c>
      <c r="U17" s="95">
        <f t="shared" si="2"/>
        <v>0.1</v>
      </c>
      <c r="V17" s="95" t="s">
        <v>447</v>
      </c>
      <c r="W17" s="95" t="s">
        <v>244</v>
      </c>
      <c r="X17" s="95">
        <v>0.38524830369017832</v>
      </c>
      <c r="Y17" s="100">
        <v>14.023999999999999</v>
      </c>
      <c r="Z17" s="100">
        <v>9.2769999999999992</v>
      </c>
      <c r="AA17" s="101">
        <v>3.684380726527972</v>
      </c>
      <c r="AB17" s="95">
        <f t="shared" si="3"/>
        <v>0.38044879511282431</v>
      </c>
      <c r="AC17" s="100">
        <v>88.721999999999994</v>
      </c>
      <c r="AD17" s="100">
        <v>14.105524000000001</v>
      </c>
      <c r="AE17" s="100">
        <v>9.3111870000000003</v>
      </c>
      <c r="AF17" s="101">
        <v>3.6251208358289868</v>
      </c>
      <c r="AG17" s="96" t="s">
        <v>448</v>
      </c>
      <c r="AH17" s="96" t="s">
        <v>243</v>
      </c>
      <c r="AI17" s="96" t="s">
        <v>481</v>
      </c>
      <c r="AJ17" s="102">
        <v>3</v>
      </c>
    </row>
    <row r="18" spans="1:36" s="103" customFormat="1" ht="53.25" customHeight="1" x14ac:dyDescent="0.5">
      <c r="B18" s="91"/>
      <c r="C18" s="92">
        <f t="shared" si="4"/>
        <v>11</v>
      </c>
      <c r="D18" s="93" t="s">
        <v>482</v>
      </c>
      <c r="E18" s="94" t="s">
        <v>444</v>
      </c>
      <c r="F18" s="95">
        <f t="shared" si="0"/>
        <v>1.2205882333333333E-2</v>
      </c>
      <c r="G18" s="96" t="s">
        <v>483</v>
      </c>
      <c r="H18" s="96" t="s">
        <v>327</v>
      </c>
      <c r="I18" s="97">
        <v>201030</v>
      </c>
      <c r="J18" s="97" t="s">
        <v>452</v>
      </c>
      <c r="K18" s="98">
        <v>53</v>
      </c>
      <c r="L18" s="99">
        <v>44167</v>
      </c>
      <c r="M18" s="99">
        <v>45628</v>
      </c>
      <c r="N18" s="100">
        <v>1.83088235</v>
      </c>
      <c r="O18" s="100">
        <v>0</v>
      </c>
      <c r="P18" s="100">
        <f t="shared" si="1"/>
        <v>1.83088235</v>
      </c>
      <c r="Q18" s="95">
        <v>0.02</v>
      </c>
      <c r="R18" s="95">
        <v>0.01</v>
      </c>
      <c r="S18" s="95">
        <v>0.1</v>
      </c>
      <c r="T18" s="95">
        <v>0</v>
      </c>
      <c r="U18" s="95">
        <f t="shared" si="2"/>
        <v>0.1</v>
      </c>
      <c r="V18" s="95" t="s">
        <v>447</v>
      </c>
      <c r="W18" s="95" t="s">
        <v>243</v>
      </c>
      <c r="X18" s="95">
        <v>0.52094220110847189</v>
      </c>
      <c r="Y18" s="100">
        <v>61.1</v>
      </c>
      <c r="Z18" s="100">
        <v>12.63</v>
      </c>
      <c r="AA18" s="101">
        <v>3.1256532066508309</v>
      </c>
      <c r="AB18" s="95">
        <f t="shared" si="3"/>
        <v>0.53077766508313529</v>
      </c>
      <c r="AC18" s="100">
        <v>75.78</v>
      </c>
      <c r="AD18" s="100">
        <v>65.587100428961904</v>
      </c>
      <c r="AE18" s="100">
        <v>13.553794529999999</v>
      </c>
      <c r="AF18" s="101">
        <v>2.9676067001732829</v>
      </c>
      <c r="AG18" s="96" t="s">
        <v>448</v>
      </c>
      <c r="AH18" s="96" t="s">
        <v>243</v>
      </c>
      <c r="AI18" s="96" t="s">
        <v>449</v>
      </c>
      <c r="AJ18" s="102">
        <v>4</v>
      </c>
    </row>
    <row r="19" spans="1:36" s="103" customFormat="1" ht="53.25" customHeight="1" x14ac:dyDescent="0.5">
      <c r="B19" s="91"/>
      <c r="C19" s="92">
        <f t="shared" si="4"/>
        <v>12</v>
      </c>
      <c r="D19" s="93" t="s">
        <v>484</v>
      </c>
      <c r="E19" s="94" t="s">
        <v>444</v>
      </c>
      <c r="F19" s="95">
        <f t="shared" si="0"/>
        <v>1.1532687066666667E-2</v>
      </c>
      <c r="G19" s="96" t="s">
        <v>485</v>
      </c>
      <c r="H19" s="96" t="s">
        <v>332</v>
      </c>
      <c r="I19" s="97">
        <v>253020</v>
      </c>
      <c r="J19" s="97" t="s">
        <v>486</v>
      </c>
      <c r="K19" s="98">
        <v>20</v>
      </c>
      <c r="L19" s="99">
        <v>43791</v>
      </c>
      <c r="M19" s="99">
        <v>45618</v>
      </c>
      <c r="N19" s="100">
        <v>1.6388555300000001</v>
      </c>
      <c r="O19" s="100">
        <v>9.1047530000000002E-2</v>
      </c>
      <c r="P19" s="100">
        <f t="shared" si="1"/>
        <v>1.72990306</v>
      </c>
      <c r="Q19" s="95">
        <v>0.02</v>
      </c>
      <c r="R19" s="95">
        <v>0.02</v>
      </c>
      <c r="S19" s="95">
        <v>0.105</v>
      </c>
      <c r="T19" s="95">
        <v>0</v>
      </c>
      <c r="U19" s="95">
        <f t="shared" si="2"/>
        <v>0.105</v>
      </c>
      <c r="V19" s="95" t="s">
        <v>447</v>
      </c>
      <c r="W19" s="95" t="s">
        <v>244</v>
      </c>
      <c r="X19" s="95">
        <v>0.55681818181818177</v>
      </c>
      <c r="Y19" s="100">
        <v>10.907736264819791</v>
      </c>
      <c r="Z19" s="100">
        <v>4.4340000000000002</v>
      </c>
      <c r="AA19" s="101">
        <v>2.7627424447451512</v>
      </c>
      <c r="AB19" s="95">
        <f t="shared" si="3"/>
        <v>0.29559667828583153</v>
      </c>
      <c r="AC19" s="100">
        <v>19.507999999999999</v>
      </c>
      <c r="AD19" s="100">
        <v>9.9269999999999996</v>
      </c>
      <c r="AE19" s="100">
        <v>4.3760000000000003</v>
      </c>
      <c r="AF19" s="101">
        <v>1.317755941499086</v>
      </c>
      <c r="AG19" s="96" t="s">
        <v>448</v>
      </c>
      <c r="AH19" s="96" t="s">
        <v>243</v>
      </c>
      <c r="AI19" s="96" t="s">
        <v>449</v>
      </c>
      <c r="AJ19" s="102">
        <v>4</v>
      </c>
    </row>
    <row r="20" spans="1:36" s="103" customFormat="1" ht="53.25" customHeight="1" x14ac:dyDescent="0.5">
      <c r="B20" s="91"/>
      <c r="C20" s="92">
        <f t="shared" si="4"/>
        <v>13</v>
      </c>
      <c r="D20" s="93" t="s">
        <v>487</v>
      </c>
      <c r="E20" s="94" t="s">
        <v>444</v>
      </c>
      <c r="F20" s="95">
        <f t="shared" si="0"/>
        <v>1.0297267666666667E-2</v>
      </c>
      <c r="G20" s="96" t="s">
        <v>488</v>
      </c>
      <c r="H20" s="96" t="s">
        <v>345</v>
      </c>
      <c r="I20" s="97">
        <v>351020</v>
      </c>
      <c r="J20" s="97" t="s">
        <v>486</v>
      </c>
      <c r="K20" s="98">
        <f>2021-1996</f>
        <v>25</v>
      </c>
      <c r="L20" s="99">
        <v>44274</v>
      </c>
      <c r="M20" s="99">
        <v>46100</v>
      </c>
      <c r="N20" s="100">
        <v>0.97350993000000008</v>
      </c>
      <c r="O20" s="100">
        <v>0.57108022000000003</v>
      </c>
      <c r="P20" s="100">
        <f t="shared" si="1"/>
        <v>1.5445901500000001</v>
      </c>
      <c r="Q20" s="95">
        <v>0.02</v>
      </c>
      <c r="R20" s="95">
        <v>0.02</v>
      </c>
      <c r="S20" s="95">
        <v>0.105</v>
      </c>
      <c r="T20" s="95">
        <v>0</v>
      </c>
      <c r="U20" s="95">
        <f t="shared" si="2"/>
        <v>0.105</v>
      </c>
      <c r="V20" s="95" t="s">
        <v>447</v>
      </c>
      <c r="W20" s="95" t="s">
        <v>244</v>
      </c>
      <c r="X20" s="95">
        <v>0.6636431882483167</v>
      </c>
      <c r="Y20" s="100">
        <v>82.131</v>
      </c>
      <c r="Z20" s="100">
        <v>10.016</v>
      </c>
      <c r="AA20" s="101">
        <v>3.6315514681212049</v>
      </c>
      <c r="AB20" s="95">
        <f t="shared" si="3"/>
        <v>0.66364318824831658</v>
      </c>
      <c r="AC20" s="100">
        <v>54.808999999999997</v>
      </c>
      <c r="AD20" s="100">
        <v>82.131</v>
      </c>
      <c r="AE20" s="100">
        <v>10.016</v>
      </c>
      <c r="AF20" s="101">
        <v>3.6315514681212049</v>
      </c>
      <c r="AG20" s="96" t="s">
        <v>448</v>
      </c>
      <c r="AH20" s="96" t="s">
        <v>243</v>
      </c>
      <c r="AI20" s="96" t="s">
        <v>489</v>
      </c>
      <c r="AJ20" s="102">
        <v>3</v>
      </c>
    </row>
    <row r="21" spans="1:36" s="103" customFormat="1" ht="53.25" customHeight="1" x14ac:dyDescent="0.5">
      <c r="B21" s="91"/>
      <c r="C21" s="92">
        <f t="shared" si="4"/>
        <v>14</v>
      </c>
      <c r="D21" s="93" t="s">
        <v>490</v>
      </c>
      <c r="E21" s="94" t="s">
        <v>444</v>
      </c>
      <c r="F21" s="95">
        <f t="shared" si="0"/>
        <v>0.01</v>
      </c>
      <c r="G21" s="96" t="s">
        <v>491</v>
      </c>
      <c r="H21" s="96" t="s">
        <v>361</v>
      </c>
      <c r="I21" s="97">
        <v>502010</v>
      </c>
      <c r="J21" s="97" t="s">
        <v>452</v>
      </c>
      <c r="K21" s="98">
        <v>14</v>
      </c>
      <c r="L21" s="99">
        <v>43573</v>
      </c>
      <c r="M21" s="99">
        <v>45399</v>
      </c>
      <c r="N21" s="100">
        <v>1.3</v>
      </c>
      <c r="O21" s="100">
        <v>0.2</v>
      </c>
      <c r="P21" s="100">
        <f t="shared" si="1"/>
        <v>1.5</v>
      </c>
      <c r="Q21" s="95">
        <v>2.2499999999999999E-2</v>
      </c>
      <c r="R21" s="95">
        <v>1.4999999999999999E-2</v>
      </c>
      <c r="S21" s="95">
        <v>9.8984615384615365E-2</v>
      </c>
      <c r="T21" s="95">
        <v>0</v>
      </c>
      <c r="U21" s="95">
        <f t="shared" si="2"/>
        <v>9.8984615384615365E-2</v>
      </c>
      <c r="V21" s="95" t="s">
        <v>447</v>
      </c>
      <c r="W21" s="95" t="s">
        <v>244</v>
      </c>
      <c r="X21" s="95">
        <v>0.329225841499934</v>
      </c>
      <c r="Y21" s="100">
        <v>61.014190450000001</v>
      </c>
      <c r="Z21" s="100">
        <v>7.5940000000000003</v>
      </c>
      <c r="AA21" s="101">
        <v>2.3044508822754808</v>
      </c>
      <c r="AB21" s="95">
        <f t="shared" si="3"/>
        <v>0.28976501485442663</v>
      </c>
      <c r="AC21" s="100">
        <v>42.075000000000003</v>
      </c>
      <c r="AD21" s="100">
        <v>65.372</v>
      </c>
      <c r="AE21" s="100">
        <v>4.6840000000000002</v>
      </c>
      <c r="AF21" s="101">
        <v>2.6028742527754059</v>
      </c>
      <c r="AG21" s="96" t="s">
        <v>448</v>
      </c>
      <c r="AH21" s="96" t="s">
        <v>243</v>
      </c>
      <c r="AI21" s="96" t="s">
        <v>492</v>
      </c>
      <c r="AJ21" s="102">
        <v>2</v>
      </c>
    </row>
    <row r="22" spans="1:36" s="103" customFormat="1" ht="53.25" customHeight="1" x14ac:dyDescent="0.5">
      <c r="B22" s="91"/>
      <c r="C22" s="92">
        <f t="shared" si="4"/>
        <v>15</v>
      </c>
      <c r="D22" s="93" t="s">
        <v>493</v>
      </c>
      <c r="E22" s="94" t="s">
        <v>444</v>
      </c>
      <c r="F22" s="95">
        <f t="shared" si="0"/>
        <v>7.0628675333333328E-3</v>
      </c>
      <c r="G22" s="96" t="s">
        <v>494</v>
      </c>
      <c r="H22" s="96" t="s">
        <v>370</v>
      </c>
      <c r="I22" s="97">
        <v>202020</v>
      </c>
      <c r="J22" s="97" t="s">
        <v>452</v>
      </c>
      <c r="K22" s="98">
        <v>22</v>
      </c>
      <c r="L22" s="99">
        <v>43903</v>
      </c>
      <c r="M22" s="99">
        <v>45323</v>
      </c>
      <c r="N22" s="100">
        <v>1.05943013</v>
      </c>
      <c r="O22" s="100">
        <v>0</v>
      </c>
      <c r="P22" s="100">
        <f t="shared" si="1"/>
        <v>1.05943013</v>
      </c>
      <c r="Q22" s="95">
        <v>0.02</v>
      </c>
      <c r="R22" s="95">
        <v>0.04</v>
      </c>
      <c r="S22" s="95">
        <v>0.13</v>
      </c>
      <c r="T22" s="95">
        <v>0</v>
      </c>
      <c r="U22" s="95">
        <f t="shared" si="2"/>
        <v>0.13</v>
      </c>
      <c r="V22" s="95" t="s">
        <v>447</v>
      </c>
      <c r="W22" s="95" t="s">
        <v>244</v>
      </c>
      <c r="X22" s="95">
        <v>0.52237372767428458</v>
      </c>
      <c r="Y22" s="100">
        <v>200.84800000000001</v>
      </c>
      <c r="Z22" s="100">
        <v>10.414</v>
      </c>
      <c r="AA22" s="101">
        <v>2.6118686383714231</v>
      </c>
      <c r="AB22" s="95">
        <f t="shared" si="3"/>
        <v>0.52158135152076757</v>
      </c>
      <c r="AC22" s="100">
        <v>110.07599999999999</v>
      </c>
      <c r="AD22" s="100">
        <v>269.40941972000002</v>
      </c>
      <c r="AE22" s="100">
        <v>12.562089</v>
      </c>
      <c r="AF22" s="101">
        <v>4.5703854549987666</v>
      </c>
      <c r="AG22" s="96" t="s">
        <v>495</v>
      </c>
      <c r="AH22" s="96" t="s">
        <v>243</v>
      </c>
      <c r="AI22" s="96" t="s">
        <v>449</v>
      </c>
      <c r="AJ22" s="102">
        <v>4</v>
      </c>
    </row>
    <row r="23" spans="1:36" s="103" customFormat="1" ht="53.25" customHeight="1" x14ac:dyDescent="0.5">
      <c r="B23" s="91"/>
      <c r="C23" s="92">
        <f t="shared" si="4"/>
        <v>16</v>
      </c>
      <c r="D23" s="93" t="s">
        <v>496</v>
      </c>
      <c r="E23" s="94" t="s">
        <v>444</v>
      </c>
      <c r="F23" s="95">
        <f t="shared" si="0"/>
        <v>6.3795853333333341E-3</v>
      </c>
      <c r="G23" s="96" t="s">
        <v>497</v>
      </c>
      <c r="H23" s="96" t="s">
        <v>385</v>
      </c>
      <c r="I23" s="97">
        <v>203040</v>
      </c>
      <c r="J23" s="97" t="s">
        <v>452</v>
      </c>
      <c r="K23" s="98">
        <v>31</v>
      </c>
      <c r="L23" s="99">
        <v>44096</v>
      </c>
      <c r="M23" s="99">
        <v>45922</v>
      </c>
      <c r="N23" s="100">
        <v>0.95693780000000006</v>
      </c>
      <c r="O23" s="100">
        <v>0</v>
      </c>
      <c r="P23" s="100">
        <f t="shared" si="1"/>
        <v>0.95693780000000006</v>
      </c>
      <c r="Q23" s="95">
        <v>2.5000000000000001E-2</v>
      </c>
      <c r="R23" s="95">
        <v>0.02</v>
      </c>
      <c r="S23" s="95">
        <v>0.10863250000000001</v>
      </c>
      <c r="T23" s="95">
        <v>0</v>
      </c>
      <c r="U23" s="95">
        <f t="shared" si="2"/>
        <v>0.10863250000000001</v>
      </c>
      <c r="V23" s="95" t="s">
        <v>447</v>
      </c>
      <c r="W23" s="95" t="s">
        <v>243</v>
      </c>
      <c r="X23" s="95">
        <v>0.47122852457013198</v>
      </c>
      <c r="Y23" s="100">
        <v>50.003999999999998</v>
      </c>
      <c r="Z23" s="100">
        <v>5.4379999999999997</v>
      </c>
      <c r="AA23" s="101">
        <v>2.893343140860611</v>
      </c>
      <c r="AB23" s="95">
        <f t="shared" si="3"/>
        <v>0.40311708645336963</v>
      </c>
      <c r="AC23" s="100">
        <v>33.786999999999999</v>
      </c>
      <c r="AD23" s="100">
        <v>54.667705000000012</v>
      </c>
      <c r="AE23" s="100">
        <v>6.3</v>
      </c>
      <c r="AF23" s="101">
        <v>2.1619233333333332</v>
      </c>
      <c r="AG23" s="96" t="s">
        <v>448</v>
      </c>
      <c r="AH23" s="96" t="s">
        <v>243</v>
      </c>
      <c r="AI23" s="96" t="s">
        <v>453</v>
      </c>
      <c r="AJ23" s="102">
        <v>5</v>
      </c>
    </row>
    <row r="24" spans="1:36" s="104" customFormat="1" ht="18.75" customHeight="1" x14ac:dyDescent="0.55000000000000004">
      <c r="B24" s="105" t="s">
        <v>498</v>
      </c>
      <c r="C24" s="106"/>
      <c r="D24" s="106"/>
      <c r="E24" s="106"/>
      <c r="F24" s="107">
        <f>SUM(F8:F23)</f>
        <v>0.26047333154629293</v>
      </c>
      <c r="G24" s="106"/>
      <c r="H24" s="106"/>
      <c r="I24" s="108"/>
      <c r="J24" s="109"/>
      <c r="K24" s="110">
        <f>+SUMPRODUCT(K8:K23,$P$8:$P$23)/SUMPRODUCT($P$8:$P$23)</f>
        <v>21.067401329695056</v>
      </c>
      <c r="L24" s="106"/>
      <c r="M24" s="106"/>
      <c r="N24" s="111">
        <f>SUM(N8:N23)</f>
        <v>35.381887207340768</v>
      </c>
      <c r="O24" s="111">
        <f>SUM(O8:O23)</f>
        <v>3.6891125246031704</v>
      </c>
      <c r="P24" s="111">
        <f>SUM(P8:P23)</f>
        <v>39.070999731943942</v>
      </c>
      <c r="Q24" s="107">
        <f>+SUMPRODUCT(Q8:Q23,$P$8:$P$23)/SUMPRODUCT($P$8:$P$23)</f>
        <v>2.1031003521753366E-2</v>
      </c>
      <c r="R24" s="107">
        <f>+SUMPRODUCT(R8:R23,$P$8:$P$23)/SUMPRODUCT($P$8:$P$23)</f>
        <v>1.8020006789664214E-2</v>
      </c>
      <c r="S24" s="107">
        <f>+SUMPRODUCT(S8:S23,$P$8:$P$23)/SUMPRODUCT($P$8:$P$23)</f>
        <v>0.11216509659755254</v>
      </c>
      <c r="T24" s="107">
        <f>+SUMPRODUCT(T8:T23,$P$8:$P$23)/SUMPRODUCT($P$8:$P$23)</f>
        <v>2.0852030370082978E-3</v>
      </c>
      <c r="U24" s="107">
        <f>+T24+S24</f>
        <v>0.11425029963456083</v>
      </c>
      <c r="V24" s="112"/>
      <c r="W24" s="112"/>
      <c r="X24" s="107">
        <f t="shared" ref="X24:AF24" si="5">+SUMPRODUCT(X8:X23,$P$8:$P$23)/SUMPRODUCT($P$8:$P$23)</f>
        <v>0.40890405394721596</v>
      </c>
      <c r="Y24" s="111">
        <f t="shared" si="5"/>
        <v>72.982236535215577</v>
      </c>
      <c r="Z24" s="111">
        <f t="shared" si="5"/>
        <v>8.9956609163733141</v>
      </c>
      <c r="AA24" s="113">
        <f t="shared" si="5"/>
        <v>3.1688767266531634</v>
      </c>
      <c r="AB24" s="107">
        <f t="shared" si="5"/>
        <v>0.41717503780253778</v>
      </c>
      <c r="AC24" s="111">
        <f t="shared" si="5"/>
        <v>86.629482993382396</v>
      </c>
      <c r="AD24" s="111">
        <f t="shared" si="5"/>
        <v>82.622065093839538</v>
      </c>
      <c r="AE24" s="111">
        <f t="shared" si="5"/>
        <v>11.35020028608537</v>
      </c>
      <c r="AF24" s="113">
        <f t="shared" si="5"/>
        <v>3.1731898643747627</v>
      </c>
      <c r="AG24" s="114"/>
      <c r="AH24" s="115">
        <v>1</v>
      </c>
      <c r="AI24" s="114"/>
      <c r="AJ24" s="116">
        <f>+SUMPRODUCT(AJ8:AJ23,$P$8:$P$23)/SUMPRODUCT($P$8:$P$23)</f>
        <v>4.1855995927364837</v>
      </c>
    </row>
    <row r="25" spans="1:36" ht="20.25" customHeight="1" x14ac:dyDescent="0.45"/>
    <row r="26" spans="1:36" s="103" customFormat="1" ht="53.25" customHeight="1" x14ac:dyDescent="0.5">
      <c r="A26" s="117"/>
      <c r="B26" s="91"/>
      <c r="C26" s="92">
        <f>+C23+1</f>
        <v>17</v>
      </c>
      <c r="D26" s="93" t="s">
        <v>499</v>
      </c>
      <c r="E26" s="94" t="s">
        <v>500</v>
      </c>
      <c r="F26" s="95">
        <f>+P26/150</f>
        <v>1.3333333333333334E-2</v>
      </c>
      <c r="G26" s="96" t="s">
        <v>501</v>
      </c>
      <c r="H26" s="96" t="s">
        <v>361</v>
      </c>
      <c r="I26" s="97">
        <v>502010</v>
      </c>
      <c r="J26" s="97" t="s">
        <v>461</v>
      </c>
      <c r="K26" s="98">
        <v>7</v>
      </c>
      <c r="L26" s="99">
        <v>44070</v>
      </c>
      <c r="M26" s="99">
        <v>45896</v>
      </c>
      <c r="N26" s="100">
        <v>0</v>
      </c>
      <c r="O26" s="100">
        <v>2</v>
      </c>
      <c r="P26" s="100">
        <f>+N26+O26</f>
        <v>2</v>
      </c>
      <c r="Q26" s="95">
        <v>0</v>
      </c>
      <c r="R26" s="95" t="s">
        <v>7</v>
      </c>
      <c r="S26" s="95">
        <v>0.05</v>
      </c>
      <c r="T26" s="95">
        <v>0.05</v>
      </c>
      <c r="U26" s="95">
        <f>+S26+T26</f>
        <v>0.1</v>
      </c>
      <c r="V26" s="95" t="s">
        <v>502</v>
      </c>
      <c r="W26" s="95" t="s">
        <v>244</v>
      </c>
      <c r="X26" s="95" t="s">
        <v>7</v>
      </c>
      <c r="Y26" s="100">
        <v>71.772930000000002</v>
      </c>
      <c r="Z26" s="100">
        <v>6.6832700000000003</v>
      </c>
      <c r="AA26" s="101" t="s">
        <v>7</v>
      </c>
      <c r="AB26" s="95" t="s">
        <v>7</v>
      </c>
      <c r="AC26" s="100">
        <v>77.796999999999997</v>
      </c>
      <c r="AD26" s="100">
        <v>109.421752</v>
      </c>
      <c r="AE26" s="100">
        <v>11.465252</v>
      </c>
      <c r="AF26" s="101" t="s">
        <v>7</v>
      </c>
      <c r="AG26" s="96" t="s">
        <v>503</v>
      </c>
      <c r="AH26" s="96" t="s">
        <v>243</v>
      </c>
      <c r="AI26" s="96" t="s">
        <v>7</v>
      </c>
      <c r="AJ26" s="102">
        <v>0</v>
      </c>
    </row>
    <row r="27" spans="1:36" s="104" customFormat="1" ht="18.75" customHeight="1" x14ac:dyDescent="0.55000000000000004">
      <c r="B27" s="105" t="s">
        <v>504</v>
      </c>
      <c r="C27" s="106"/>
      <c r="D27" s="106"/>
      <c r="E27" s="106"/>
      <c r="F27" s="107">
        <f>SUM(F26:F26)</f>
        <v>1.3333333333333334E-2</v>
      </c>
      <c r="G27" s="106"/>
      <c r="H27" s="106"/>
      <c r="I27" s="108"/>
      <c r="J27" s="109"/>
      <c r="K27" s="110">
        <f>+SUMPRODUCT(K25:K26,$P$25:$P$26)/SUMPRODUCT($P$25:$P$26)</f>
        <v>7</v>
      </c>
      <c r="L27" s="106"/>
      <c r="M27" s="106"/>
      <c r="N27" s="111">
        <f>SUM(N26:N26)</f>
        <v>0</v>
      </c>
      <c r="O27" s="111">
        <f>SUM(O26:O26)</f>
        <v>2</v>
      </c>
      <c r="P27" s="111">
        <f>SUM(P26:P26)</f>
        <v>2</v>
      </c>
      <c r="Q27" s="107">
        <f>+SUMPRODUCT(Q25:Q26,$P$25:$P$26)/SUMPRODUCT($P$25:$P$26)</f>
        <v>0</v>
      </c>
      <c r="R27" s="107">
        <f>+SUMPRODUCT(R25:R26,$P$25:$P$26)/SUMPRODUCT($P$25:$P$26)</f>
        <v>0</v>
      </c>
      <c r="S27" s="107">
        <f>+SUMPRODUCT(S25:S26,$P$25:$P$26)/SUMPRODUCT($P$25:$P$26)</f>
        <v>0.05</v>
      </c>
      <c r="T27" s="107">
        <f>+SUMPRODUCT(T25:T26,$P$25:$P$26)/SUMPRODUCT($P$25:$P$26)</f>
        <v>0.05</v>
      </c>
      <c r="U27" s="107">
        <f>+S27+T27</f>
        <v>0.1</v>
      </c>
      <c r="V27" s="112"/>
      <c r="W27" s="112"/>
      <c r="X27" s="107">
        <f t="shared" ref="X27:AF27" si="6">+SUMPRODUCT(X25:X26,$P$25:$P$26)/SUMPRODUCT($P$25:$P$26)</f>
        <v>0</v>
      </c>
      <c r="Y27" s="111">
        <f t="shared" si="6"/>
        <v>71.772930000000002</v>
      </c>
      <c r="Z27" s="111">
        <f t="shared" si="6"/>
        <v>6.6832700000000003</v>
      </c>
      <c r="AA27" s="113">
        <f t="shared" si="6"/>
        <v>0</v>
      </c>
      <c r="AB27" s="107">
        <f t="shared" si="6"/>
        <v>0</v>
      </c>
      <c r="AC27" s="111">
        <f t="shared" si="6"/>
        <v>77.796999999999997</v>
      </c>
      <c r="AD27" s="111">
        <f t="shared" si="6"/>
        <v>109.421752</v>
      </c>
      <c r="AE27" s="111">
        <f t="shared" si="6"/>
        <v>11.465252</v>
      </c>
      <c r="AF27" s="113">
        <f t="shared" si="6"/>
        <v>0</v>
      </c>
      <c r="AG27" s="114"/>
      <c r="AH27" s="115">
        <v>1</v>
      </c>
      <c r="AI27" s="114"/>
      <c r="AJ27" s="116">
        <f>+SUMPRODUCT(AJ25:AJ26,$P$25:$P$26)/SUMPRODUCT($P$25:$P$26)</f>
        <v>0</v>
      </c>
    </row>
    <row r="28" spans="1:36" ht="20.25" customHeight="1" x14ac:dyDescent="0.45"/>
    <row r="29" spans="1:36" s="104" customFormat="1" ht="39" customHeight="1" x14ac:dyDescent="0.55000000000000004">
      <c r="B29" s="118" t="s">
        <v>505</v>
      </c>
      <c r="C29" s="119"/>
      <c r="D29" s="119"/>
      <c r="E29" s="119"/>
      <c r="F29" s="120">
        <f>+F27+F24</f>
        <v>0.27380666487962624</v>
      </c>
      <c r="G29" s="119"/>
      <c r="H29" s="119"/>
      <c r="I29" s="121"/>
      <c r="J29" s="122"/>
      <c r="K29" s="123">
        <f>((K27*$P27)+(K24*$P24))/$P$29</f>
        <v>20.382372894959691</v>
      </c>
      <c r="L29" s="119"/>
      <c r="M29" s="119"/>
      <c r="N29" s="124">
        <f>+N27+N24</f>
        <v>35.381887207340768</v>
      </c>
      <c r="O29" s="124">
        <f>+O27+O24</f>
        <v>5.6891125246031704</v>
      </c>
      <c r="P29" s="124">
        <f>+P27+P24</f>
        <v>41.070999731943942</v>
      </c>
      <c r="Q29" s="120">
        <f>((Q27*$P27)+(Q24*$P24))/$P$29</f>
        <v>2.0006874396140871E-2</v>
      </c>
      <c r="R29" s="120">
        <f>((R27*$P27)+(R24*$P24))/$P$29</f>
        <v>1.7142501644560638E-2</v>
      </c>
      <c r="S29" s="120">
        <f>((S27*$P27)+(S24*$P24))/$P$29</f>
        <v>0.10913789506833325</v>
      </c>
      <c r="T29" s="120">
        <f>((T27*$P27)+(T24*$P24))/$P$29</f>
        <v>4.4184696862603163E-3</v>
      </c>
      <c r="U29" s="120">
        <f>+T29+S29</f>
        <v>0.11355636475459358</v>
      </c>
      <c r="V29" s="125"/>
      <c r="W29" s="125"/>
      <c r="X29" s="120">
        <f t="shared" ref="X29:AF29" si="7">((X27*$P27)+(X24*$P24))/$P$29</f>
        <v>0.3889919964557505</v>
      </c>
      <c r="Y29" s="124">
        <f t="shared" si="7"/>
        <v>72.923347949931156</v>
      </c>
      <c r="Z29" s="124">
        <f t="shared" si="7"/>
        <v>8.883056356880461</v>
      </c>
      <c r="AA29" s="126">
        <f t="shared" si="7"/>
        <v>3.0145645965693908</v>
      </c>
      <c r="AB29" s="120">
        <f t="shared" si="7"/>
        <v>0.39686021515272191</v>
      </c>
      <c r="AC29" s="124">
        <f t="shared" si="7"/>
        <v>86.199374982813922</v>
      </c>
      <c r="AD29" s="124">
        <f t="shared" si="7"/>
        <v>83.927106952137251</v>
      </c>
      <c r="AE29" s="124">
        <f t="shared" si="7"/>
        <v>11.355802862826405</v>
      </c>
      <c r="AF29" s="126">
        <f t="shared" si="7"/>
        <v>3.0186677010436989</v>
      </c>
      <c r="AG29" s="127"/>
      <c r="AH29" s="128">
        <v>1</v>
      </c>
      <c r="AI29" s="127"/>
      <c r="AJ29" s="129">
        <f>((AJ27*$P27)+(AJ24*$P24))/$P$29</f>
        <v>3.9817769626542154</v>
      </c>
    </row>
    <row r="30" spans="1:36" ht="20.25" customHeight="1" x14ac:dyDescent="0.45"/>
    <row r="31" spans="1:36" x14ac:dyDescent="0.45">
      <c r="B31" s="130" t="s">
        <v>506</v>
      </c>
      <c r="C31" s="131"/>
      <c r="D31" s="131"/>
      <c r="E31" s="131"/>
      <c r="G31" s="68"/>
      <c r="H31" s="68"/>
      <c r="I31" s="132"/>
      <c r="K31" s="68"/>
      <c r="L31" s="68"/>
      <c r="M31" s="68"/>
      <c r="N31" s="68"/>
      <c r="O31" s="68"/>
      <c r="R31" s="133"/>
      <c r="S31" s="68"/>
      <c r="T31" s="68"/>
      <c r="U31" s="68"/>
      <c r="V31" s="68"/>
      <c r="W31" s="68"/>
      <c r="X31" s="68"/>
      <c r="Y31" s="68"/>
      <c r="Z31" s="68"/>
      <c r="AA31" s="134"/>
      <c r="AB31" s="134"/>
      <c r="AC31" s="134"/>
      <c r="AD31" s="68"/>
      <c r="AE31" s="68"/>
      <c r="AF31" s="68"/>
      <c r="AG31" s="68"/>
      <c r="AH31" s="68"/>
      <c r="AI31" s="68"/>
      <c r="AJ31" s="68"/>
    </row>
    <row r="32" spans="1:36" ht="15.75" customHeight="1" x14ac:dyDescent="0.45">
      <c r="B32" s="135" t="s">
        <v>507</v>
      </c>
      <c r="C32" s="135"/>
      <c r="D32" s="135"/>
      <c r="E32" s="135"/>
      <c r="F32" s="68"/>
      <c r="G32" s="68"/>
      <c r="H32" s="68"/>
      <c r="I32" s="132"/>
      <c r="K32" s="68"/>
      <c r="L32" s="68"/>
      <c r="M32" s="68"/>
      <c r="N32" s="68"/>
      <c r="O32" s="68"/>
      <c r="P32" s="68"/>
      <c r="Q32" s="136"/>
      <c r="R32" s="136"/>
      <c r="S32" s="68"/>
      <c r="T32" s="68"/>
      <c r="U32" s="137"/>
      <c r="V32" s="137"/>
      <c r="W32" s="68"/>
      <c r="X32" s="68"/>
      <c r="Y32" s="68"/>
      <c r="Z32" s="68"/>
      <c r="AA32" s="68"/>
      <c r="AB32" s="68"/>
      <c r="AC32" s="68"/>
      <c r="AD32" s="68"/>
      <c r="AE32" s="68"/>
      <c r="AF32" s="68"/>
      <c r="AG32" s="68"/>
      <c r="AH32" s="68"/>
      <c r="AI32" s="68"/>
      <c r="AJ32" s="68"/>
    </row>
    <row r="33" spans="2:36" x14ac:dyDescent="0.45">
      <c r="B33" s="138" t="s">
        <v>508</v>
      </c>
      <c r="C33" s="138"/>
      <c r="D33" s="138"/>
      <c r="E33" s="138"/>
      <c r="F33" s="139"/>
      <c r="G33" s="139"/>
      <c r="H33" s="139"/>
      <c r="I33" s="140"/>
      <c r="K33" s="139"/>
      <c r="L33" s="139"/>
      <c r="M33" s="139"/>
      <c r="N33" s="139"/>
      <c r="O33" s="139"/>
      <c r="P33" s="139"/>
      <c r="Q33" s="139"/>
      <c r="R33" s="139"/>
      <c r="S33" s="139"/>
      <c r="T33" s="139"/>
      <c r="U33" s="139"/>
      <c r="V33" s="139"/>
      <c r="W33" s="139"/>
      <c r="X33" s="68"/>
      <c r="Y33" s="68"/>
      <c r="Z33" s="68"/>
      <c r="AA33" s="139"/>
      <c r="AB33" s="139"/>
      <c r="AC33" s="139"/>
      <c r="AD33" s="68"/>
      <c r="AE33" s="68"/>
      <c r="AF33" s="139"/>
      <c r="AG33" s="139"/>
      <c r="AH33" s="139"/>
      <c r="AI33" s="139"/>
      <c r="AJ33" s="139"/>
    </row>
    <row r="34" spans="2:36" x14ac:dyDescent="0.45">
      <c r="B34" s="138" t="s">
        <v>509</v>
      </c>
      <c r="C34" s="138"/>
      <c r="D34" s="138"/>
      <c r="E34" s="138"/>
      <c r="F34" s="139"/>
      <c r="G34" s="139"/>
      <c r="H34" s="139"/>
      <c r="I34" s="140"/>
      <c r="K34" s="139"/>
      <c r="L34" s="139"/>
      <c r="M34" s="139"/>
      <c r="N34" s="139"/>
      <c r="O34" s="139"/>
      <c r="P34" s="139"/>
      <c r="Q34" s="139"/>
      <c r="R34" s="139"/>
      <c r="S34" s="139"/>
      <c r="T34" s="139"/>
      <c r="U34" s="139"/>
      <c r="V34" s="139"/>
      <c r="W34" s="139"/>
      <c r="X34" s="68"/>
      <c r="Y34" s="68"/>
      <c r="Z34" s="68"/>
      <c r="AA34" s="139"/>
      <c r="AB34" s="139"/>
      <c r="AC34" s="139"/>
      <c r="AD34" s="68"/>
      <c r="AE34" s="68"/>
      <c r="AF34" s="139"/>
      <c r="AG34" s="139"/>
      <c r="AH34" s="139"/>
      <c r="AI34" s="139"/>
      <c r="AJ34" s="139"/>
    </row>
    <row r="35" spans="2:36" x14ac:dyDescent="0.45">
      <c r="B35" s="138" t="s">
        <v>510</v>
      </c>
    </row>
    <row r="36" spans="2:36" x14ac:dyDescent="0.45">
      <c r="B36" s="138" t="s">
        <v>511</v>
      </c>
    </row>
  </sheetData>
  <conditionalFormatting sqref="B9:B12">
    <cfRule type="expression" dxfId="21" priority="13">
      <formula>MOD(ROW(),2)=0</formula>
    </cfRule>
  </conditionalFormatting>
  <conditionalFormatting sqref="B20">
    <cfRule type="expression" dxfId="20" priority="15">
      <formula>MOD(ROW(),2)=0</formula>
    </cfRule>
  </conditionalFormatting>
  <conditionalFormatting sqref="B8:K8">
    <cfRule type="expression" dxfId="19" priority="11">
      <formula>MOD(ROW(),2)=0</formula>
    </cfRule>
  </conditionalFormatting>
  <conditionalFormatting sqref="B26:AJ26">
    <cfRule type="expression" dxfId="18" priority="1">
      <formula>MOD(ROW(),2)=0</formula>
    </cfRule>
  </conditionalFormatting>
  <conditionalFormatting sqref="C9:D9 E9:K23 B10:D23">
    <cfRule type="expression" dxfId="17" priority="16">
      <formula>MOD(ROW(),2)=0</formula>
    </cfRule>
  </conditionalFormatting>
  <conditionalFormatting sqref="D9:D13">
    <cfRule type="expression" dxfId="16" priority="12">
      <formula>MOD(ROW(),2)=0</formula>
    </cfRule>
  </conditionalFormatting>
  <conditionalFormatting sqref="D20">
    <cfRule type="expression" dxfId="15" priority="14">
      <formula>MOD(ROW(),2)=0</formula>
    </cfRule>
  </conditionalFormatting>
  <conditionalFormatting sqref="L8:AJ23">
    <cfRule type="expression" dxfId="14" priority="2">
      <formula>MOD(ROW(),2)=0</formula>
    </cfRule>
  </conditionalFormatting>
  <pageMargins left="0.7" right="0.7" top="0.75" bottom="0.75" header="0.3" footer="0.3"/>
  <pageSetup scale="22" orientation="landscape"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79"/>
  <sheetViews>
    <sheetView workbookViewId="0">
      <selection activeCell="A4" sqref="A4:A8"/>
    </sheetView>
  </sheetViews>
  <sheetFormatPr defaultRowHeight="14.25" x14ac:dyDescent="0.45"/>
  <cols>
    <col min="1" max="1" width="36.265625" bestFit="1" customWidth="1"/>
    <col min="2" max="2" width="71.265625" bestFit="1" customWidth="1"/>
    <col min="3" max="3" width="25.265625" customWidth="1"/>
    <col min="4" max="4" width="14.59765625" bestFit="1" customWidth="1"/>
    <col min="5" max="5" width="22.59765625" bestFit="1" customWidth="1"/>
    <col min="6" max="6" width="14.265625" customWidth="1"/>
    <col min="7" max="7" width="14" customWidth="1"/>
    <col min="8" max="8" width="35.265625" bestFit="1" customWidth="1"/>
    <col min="9" max="9" width="17.59765625" customWidth="1"/>
    <col min="10" max="10" width="11.59765625" customWidth="1"/>
    <col min="11" max="11" width="22.59765625" bestFit="1" customWidth="1"/>
  </cols>
  <sheetData>
    <row r="1" spans="1:10" s="343" customFormat="1" ht="15.75" customHeight="1" thickBot="1" x14ac:dyDescent="0.45">
      <c r="A1" s="555" t="s">
        <v>512</v>
      </c>
      <c r="B1" s="556"/>
      <c r="C1" s="556"/>
      <c r="D1" s="556"/>
      <c r="E1" s="556"/>
      <c r="F1" s="556"/>
      <c r="G1" s="556"/>
      <c r="H1" s="557"/>
    </row>
    <row r="2" spans="1:10" s="343" customFormat="1" ht="14.25" customHeight="1" x14ac:dyDescent="0.35"/>
    <row r="3" spans="1:10" s="559" customFormat="1" ht="57" customHeight="1" x14ac:dyDescent="0.35">
      <c r="A3" s="558" t="s">
        <v>513</v>
      </c>
      <c r="B3" s="558" t="s">
        <v>514</v>
      </c>
      <c r="C3" s="558" t="s">
        <v>515</v>
      </c>
      <c r="D3" s="558" t="s">
        <v>516</v>
      </c>
      <c r="E3" s="558" t="s">
        <v>517</v>
      </c>
      <c r="F3" s="558" t="s">
        <v>518</v>
      </c>
      <c r="G3" s="558" t="s">
        <v>103</v>
      </c>
      <c r="H3" s="558" t="s">
        <v>519</v>
      </c>
    </row>
    <row r="4" spans="1:10" s="343" customFormat="1" ht="14.25" customHeight="1" x14ac:dyDescent="0.35">
      <c r="A4" s="560" t="s">
        <v>239</v>
      </c>
      <c r="B4" s="561">
        <v>10</v>
      </c>
      <c r="C4" s="562" t="s">
        <v>520</v>
      </c>
      <c r="D4" s="562">
        <v>6.5</v>
      </c>
      <c r="E4" s="563">
        <v>0.9</v>
      </c>
      <c r="F4" s="562">
        <v>7</v>
      </c>
      <c r="G4" s="564" t="s">
        <v>393</v>
      </c>
      <c r="H4" s="560" t="s">
        <v>521</v>
      </c>
      <c r="I4" s="565"/>
      <c r="J4" s="565"/>
    </row>
    <row r="5" spans="1:10" s="343" customFormat="1" ht="14.25" customHeight="1" x14ac:dyDescent="0.35">
      <c r="A5" s="566" t="s">
        <v>240</v>
      </c>
      <c r="H5" s="566" t="s">
        <v>522</v>
      </c>
    </row>
    <row r="6" spans="1:10" s="343" customFormat="1" ht="14.25" customHeight="1" x14ac:dyDescent="0.35">
      <c r="A6" s="566" t="s">
        <v>523</v>
      </c>
      <c r="H6" s="566" t="s">
        <v>524</v>
      </c>
    </row>
    <row r="7" spans="1:10" s="343" customFormat="1" ht="14.25" customHeight="1" x14ac:dyDescent="0.35">
      <c r="A7" s="566" t="s">
        <v>525</v>
      </c>
      <c r="H7" s="566" t="s">
        <v>526</v>
      </c>
    </row>
    <row r="8" spans="1:10" s="343" customFormat="1" ht="14.25" customHeight="1" x14ac:dyDescent="0.35">
      <c r="A8" s="566" t="s">
        <v>241</v>
      </c>
      <c r="H8" s="566" t="s">
        <v>527</v>
      </c>
    </row>
    <row r="9" spans="1:10" s="343" customFormat="1" ht="14.25" customHeight="1" x14ac:dyDescent="0.35">
      <c r="A9" s="566"/>
      <c r="H9" s="566" t="s">
        <v>410</v>
      </c>
    </row>
    <row r="10" spans="1:10" s="343" customFormat="1" ht="14.25" customHeight="1" x14ac:dyDescent="0.35">
      <c r="A10" s="566"/>
      <c r="H10" s="566" t="s">
        <v>528</v>
      </c>
    </row>
    <row r="11" spans="1:10" s="343" customFormat="1" ht="14.25" customHeight="1" x14ac:dyDescent="0.35">
      <c r="H11" s="566" t="s">
        <v>529</v>
      </c>
    </row>
    <row r="12" spans="1:10" s="343" customFormat="1" ht="14.25" customHeight="1" x14ac:dyDescent="0.35">
      <c r="H12" s="566" t="s">
        <v>530</v>
      </c>
    </row>
    <row r="13" spans="1:10" s="343" customFormat="1" ht="14.25" customHeight="1" x14ac:dyDescent="0.35">
      <c r="H13" s="566" t="s">
        <v>531</v>
      </c>
    </row>
    <row r="14" spans="1:10" s="343" customFormat="1" ht="14.25" customHeight="1" x14ac:dyDescent="0.35">
      <c r="H14" s="566" t="s">
        <v>532</v>
      </c>
    </row>
    <row r="15" spans="1:10" s="343" customFormat="1" ht="14.25" customHeight="1" x14ac:dyDescent="0.35">
      <c r="H15" s="566" t="s">
        <v>533</v>
      </c>
    </row>
    <row r="16" spans="1:10" s="343" customFormat="1" ht="14.25" customHeight="1" x14ac:dyDescent="0.35">
      <c r="H16" s="566" t="s">
        <v>534</v>
      </c>
    </row>
    <row r="17" spans="1:8" s="343" customFormat="1" ht="14.25" customHeight="1" x14ac:dyDescent="0.35">
      <c r="H17" s="566" t="s">
        <v>535</v>
      </c>
    </row>
    <row r="18" spans="1:8" s="343" customFormat="1" ht="14.25" customHeight="1" x14ac:dyDescent="0.35"/>
    <row r="19" spans="1:8" s="343" customFormat="1" ht="14.25" customHeight="1" x14ac:dyDescent="0.35"/>
    <row r="20" spans="1:8" s="343" customFormat="1" ht="13.9" thickBot="1" x14ac:dyDescent="0.4"/>
    <row r="21" spans="1:8" s="343" customFormat="1" ht="15.75" customHeight="1" thickBot="1" x14ac:dyDescent="0.45">
      <c r="A21" s="555" t="s">
        <v>112</v>
      </c>
      <c r="B21" s="567"/>
      <c r="C21" s="567"/>
      <c r="D21" s="568"/>
    </row>
    <row r="22" spans="1:8" s="343" customFormat="1" ht="14.25" customHeight="1" x14ac:dyDescent="0.35">
      <c r="A22" s="569" t="s">
        <v>536</v>
      </c>
      <c r="B22" s="570" t="s">
        <v>537</v>
      </c>
      <c r="C22" s="570" t="s">
        <v>538</v>
      </c>
    </row>
    <row r="23" spans="1:8" s="343" customFormat="1" ht="14.25" customHeight="1" x14ac:dyDescent="0.35">
      <c r="A23" s="571" t="s">
        <v>539</v>
      </c>
      <c r="B23" s="572">
        <v>20</v>
      </c>
      <c r="C23" s="573"/>
      <c r="D23" s="574">
        <v>0.67500000000000004</v>
      </c>
    </row>
    <row r="24" spans="1:8" s="343" customFormat="1" ht="14.25" customHeight="1" x14ac:dyDescent="0.35">
      <c r="A24" s="571" t="s">
        <v>540</v>
      </c>
      <c r="B24" s="572">
        <v>10</v>
      </c>
      <c r="C24" s="572">
        <v>20</v>
      </c>
      <c r="D24" s="575">
        <v>0.65</v>
      </c>
    </row>
    <row r="25" spans="1:8" s="343" customFormat="1" ht="14.25" customHeight="1" x14ac:dyDescent="0.35">
      <c r="A25" s="571" t="s">
        <v>540</v>
      </c>
      <c r="B25" s="572"/>
      <c r="C25" s="572">
        <v>10</v>
      </c>
      <c r="D25" s="574">
        <v>0.625</v>
      </c>
    </row>
    <row r="26" spans="1:8" s="343" customFormat="1" ht="14.25" customHeight="1" x14ac:dyDescent="0.35">
      <c r="A26" s="569" t="s">
        <v>541</v>
      </c>
      <c r="B26" s="576"/>
      <c r="C26" s="576"/>
    </row>
    <row r="27" spans="1:8" s="343" customFormat="1" ht="14.25" customHeight="1" x14ac:dyDescent="0.35">
      <c r="A27" s="571" t="s">
        <v>542</v>
      </c>
      <c r="B27" s="573"/>
      <c r="C27" s="573">
        <v>0.75</v>
      </c>
      <c r="D27" s="577">
        <v>0.625</v>
      </c>
    </row>
    <row r="28" spans="1:8" s="343" customFormat="1" ht="14.25" customHeight="1" x14ac:dyDescent="0.35">
      <c r="A28" s="571" t="s">
        <v>542</v>
      </c>
      <c r="B28" s="573">
        <v>0.75</v>
      </c>
      <c r="C28" s="573">
        <v>1.25</v>
      </c>
      <c r="D28" s="577">
        <v>0.57499999999999996</v>
      </c>
    </row>
    <row r="29" spans="1:8" s="343" customFormat="1" ht="14.25" customHeight="1" x14ac:dyDescent="0.35">
      <c r="A29" s="571" t="s">
        <v>542</v>
      </c>
      <c r="B29" s="573">
        <v>1.25</v>
      </c>
      <c r="C29" s="573"/>
      <c r="D29" s="577">
        <v>0.45</v>
      </c>
    </row>
    <row r="30" spans="1:8" s="343" customFormat="1" ht="14.25" customHeight="1" x14ac:dyDescent="0.35">
      <c r="D30" s="578"/>
    </row>
    <row r="31" spans="1:8" s="343" customFormat="1" ht="14.25" customHeight="1" x14ac:dyDescent="0.35">
      <c r="A31" s="571" t="s">
        <v>543</v>
      </c>
      <c r="B31" s="573" t="s">
        <v>544</v>
      </c>
      <c r="C31" s="573" t="s">
        <v>544</v>
      </c>
      <c r="D31" s="577">
        <v>0.45</v>
      </c>
    </row>
    <row r="32" spans="1:8" s="343" customFormat="1" ht="14.25" customHeight="1" x14ac:dyDescent="0.35"/>
    <row r="33" spans="1:4" s="581" customFormat="1" ht="14.25" hidden="1" customHeight="1" x14ac:dyDescent="0.35">
      <c r="A33" s="579" t="s">
        <v>545</v>
      </c>
      <c r="B33" s="580"/>
      <c r="C33" s="870"/>
      <c r="D33" s="871"/>
    </row>
    <row r="34" spans="1:4" s="581" customFormat="1" ht="14.25" hidden="1" customHeight="1" x14ac:dyDescent="0.35">
      <c r="A34" s="582" t="s">
        <v>546</v>
      </c>
      <c r="B34" s="583"/>
      <c r="D34" s="584"/>
    </row>
    <row r="35" spans="1:4" s="581" customFormat="1" ht="14.25" hidden="1" customHeight="1" x14ac:dyDescent="0.35">
      <c r="A35" s="582" t="s">
        <v>547</v>
      </c>
      <c r="B35" s="583"/>
      <c r="C35" s="581" t="s">
        <v>548</v>
      </c>
      <c r="D35" s="584"/>
    </row>
    <row r="36" spans="1:4" s="581" customFormat="1" ht="14.25" hidden="1" customHeight="1" x14ac:dyDescent="0.35">
      <c r="A36" s="585" t="s">
        <v>549</v>
      </c>
      <c r="B36" s="586"/>
      <c r="C36" s="587"/>
      <c r="D36" s="588"/>
    </row>
    <row r="37" spans="1:4" s="343" customFormat="1" ht="14.25" customHeight="1" x14ac:dyDescent="0.35">
      <c r="A37" s="589"/>
    </row>
    <row r="38" spans="1:4" s="343" customFormat="1" ht="13.9" thickBot="1" x14ac:dyDescent="0.4"/>
    <row r="39" spans="1:4" s="343" customFormat="1" ht="15.75" customHeight="1" thickBot="1" x14ac:dyDescent="0.45">
      <c r="A39" s="555" t="s">
        <v>550</v>
      </c>
      <c r="B39" s="567"/>
      <c r="C39" s="567"/>
      <c r="D39" s="568"/>
    </row>
    <row r="40" spans="1:4" s="343" customFormat="1" ht="14.25" customHeight="1" x14ac:dyDescent="0.35">
      <c r="B40" s="590" t="s">
        <v>551</v>
      </c>
      <c r="C40" s="590" t="s">
        <v>552</v>
      </c>
    </row>
    <row r="41" spans="1:4" s="343" customFormat="1" ht="14.25" customHeight="1" x14ac:dyDescent="0.35">
      <c r="A41" s="591" t="s">
        <v>553</v>
      </c>
      <c r="B41" s="592">
        <v>20</v>
      </c>
      <c r="C41" s="592"/>
      <c r="D41" s="593">
        <v>0.65</v>
      </c>
    </row>
    <row r="42" spans="1:4" s="343" customFormat="1" ht="14.25" customHeight="1" x14ac:dyDescent="0.35">
      <c r="A42" s="591" t="s">
        <v>553</v>
      </c>
      <c r="B42" s="592">
        <v>12</v>
      </c>
      <c r="C42" s="592">
        <v>20</v>
      </c>
      <c r="D42" s="593">
        <v>0.625</v>
      </c>
    </row>
    <row r="43" spans="1:4" s="343" customFormat="1" ht="14.25" customHeight="1" x14ac:dyDescent="0.35">
      <c r="A43" s="591" t="s">
        <v>553</v>
      </c>
      <c r="B43" s="592"/>
      <c r="C43" s="592">
        <v>12</v>
      </c>
      <c r="D43" s="593">
        <v>0.55000000000000004</v>
      </c>
    </row>
    <row r="44" spans="1:4" s="343" customFormat="1" ht="14.25" customHeight="1" x14ac:dyDescent="0.35"/>
    <row r="45" spans="1:4" s="343" customFormat="1" ht="13.9" thickBot="1" x14ac:dyDescent="0.4"/>
    <row r="46" spans="1:4" s="343" customFormat="1" ht="15.75" customHeight="1" thickBot="1" x14ac:dyDescent="0.45">
      <c r="A46" s="555" t="s">
        <v>554</v>
      </c>
      <c r="B46" s="567"/>
      <c r="C46" s="567"/>
      <c r="D46" s="568"/>
    </row>
    <row r="47" spans="1:4" s="343" customFormat="1" ht="14.25" customHeight="1" x14ac:dyDescent="0.35"/>
    <row r="48" spans="1:4" s="559" customFormat="1" ht="38.25" customHeight="1" x14ac:dyDescent="0.4">
      <c r="A48" s="494" t="s">
        <v>94</v>
      </c>
      <c r="B48" s="493" t="s">
        <v>555</v>
      </c>
      <c r="C48" s="493" t="s">
        <v>556</v>
      </c>
      <c r="D48" s="493" t="s">
        <v>122</v>
      </c>
    </row>
    <row r="49" spans="1:9" s="343" customFormat="1" ht="14.25" customHeight="1" x14ac:dyDescent="0.35">
      <c r="A49" s="594" t="s">
        <v>389</v>
      </c>
      <c r="B49" s="595">
        <v>3.25</v>
      </c>
      <c r="C49" s="595">
        <v>3.75</v>
      </c>
      <c r="D49" s="596">
        <v>1</v>
      </c>
    </row>
    <row r="50" spans="1:9" s="343" customFormat="1" ht="14.25" customHeight="1" x14ac:dyDescent="0.35">
      <c r="A50" s="594" t="s">
        <v>390</v>
      </c>
      <c r="B50" s="595">
        <v>4</v>
      </c>
      <c r="C50" s="595">
        <v>4.25</v>
      </c>
      <c r="D50" s="596">
        <v>0.92500000000000004</v>
      </c>
    </row>
    <row r="51" spans="1:9" s="343" customFormat="1" ht="13.9" thickBot="1" x14ac:dyDescent="0.4">
      <c r="A51" s="597" t="s">
        <v>391</v>
      </c>
      <c r="B51" s="598">
        <v>5</v>
      </c>
      <c r="C51" s="598">
        <v>5</v>
      </c>
      <c r="D51" s="599">
        <v>0.85</v>
      </c>
    </row>
    <row r="52" spans="1:9" s="343" customFormat="1" ht="13.9" thickBot="1" x14ac:dyDescent="0.4">
      <c r="A52" s="600" t="s">
        <v>557</v>
      </c>
      <c r="B52" s="601" t="s">
        <v>551</v>
      </c>
      <c r="C52" s="602">
        <v>5</v>
      </c>
      <c r="D52" s="603">
        <v>0</v>
      </c>
    </row>
    <row r="53" spans="1:9" s="343" customFormat="1" ht="14.25" customHeight="1" x14ac:dyDescent="0.35">
      <c r="A53" s="295" t="s">
        <v>558</v>
      </c>
      <c r="B53" s="569" t="s">
        <v>537</v>
      </c>
      <c r="C53" s="604">
        <v>6.5</v>
      </c>
      <c r="D53" s="605">
        <v>0</v>
      </c>
    </row>
    <row r="54" spans="1:9" s="343" customFormat="1" ht="13.9" thickBot="1" x14ac:dyDescent="0.4">
      <c r="I54" s="606"/>
    </row>
    <row r="55" spans="1:9" s="343" customFormat="1" ht="15.75" customHeight="1" thickBot="1" x14ac:dyDescent="0.45">
      <c r="A55" s="555" t="s">
        <v>559</v>
      </c>
      <c r="B55" s="567"/>
      <c r="C55" s="567"/>
      <c r="D55" s="568"/>
    </row>
    <row r="56" spans="1:9" s="343" customFormat="1" ht="14.25" customHeight="1" x14ac:dyDescent="0.35"/>
    <row r="57" spans="1:9" s="343" customFormat="1" ht="14.25" customHeight="1" x14ac:dyDescent="0.35">
      <c r="A57" s="527" t="s">
        <v>560</v>
      </c>
      <c r="B57" s="343" t="s">
        <v>282</v>
      </c>
      <c r="C57" s="607">
        <v>1.5</v>
      </c>
      <c r="D57" s="608">
        <v>0.2</v>
      </c>
    </row>
    <row r="58" spans="1:9" s="343" customFormat="1" ht="14.25" customHeight="1" x14ac:dyDescent="0.35">
      <c r="A58" s="527" t="s">
        <v>561</v>
      </c>
      <c r="B58" s="343" t="s">
        <v>284</v>
      </c>
      <c r="D58" s="608">
        <v>0.1</v>
      </c>
    </row>
    <row r="59" spans="1:9" s="343" customFormat="1" ht="14.25" customHeight="1" x14ac:dyDescent="0.35">
      <c r="A59" s="527">
        <v>2</v>
      </c>
      <c r="B59" s="343" t="s">
        <v>562</v>
      </c>
      <c r="C59" s="607">
        <v>1</v>
      </c>
      <c r="D59" s="608">
        <v>0.3</v>
      </c>
    </row>
    <row r="60" spans="1:9" s="343" customFormat="1" ht="14.25" customHeight="1" x14ac:dyDescent="0.35">
      <c r="A60" s="527">
        <v>3</v>
      </c>
      <c r="B60" s="343" t="s">
        <v>563</v>
      </c>
      <c r="C60" s="609">
        <v>5</v>
      </c>
      <c r="D60" s="608">
        <v>0.15</v>
      </c>
      <c r="I60" s="606"/>
    </row>
    <row r="61" spans="1:9" s="343" customFormat="1" ht="14.25" customHeight="1" x14ac:dyDescent="0.35">
      <c r="A61" s="527">
        <v>4</v>
      </c>
      <c r="B61" s="343" t="s">
        <v>292</v>
      </c>
      <c r="D61" s="608">
        <v>7.4999999999999997E-2</v>
      </c>
    </row>
    <row r="62" spans="1:9" s="343" customFormat="1" ht="14.25" customHeight="1" x14ac:dyDescent="0.35">
      <c r="A62" s="527" t="s">
        <v>564</v>
      </c>
      <c r="B62" s="343" t="s">
        <v>294</v>
      </c>
      <c r="D62" s="608">
        <v>0.2</v>
      </c>
    </row>
    <row r="63" spans="1:9" s="343" customFormat="1" ht="14.25" customHeight="1" x14ac:dyDescent="0.35">
      <c r="A63" s="527" t="s">
        <v>565</v>
      </c>
      <c r="B63" s="343" t="s">
        <v>296</v>
      </c>
      <c r="D63" s="608">
        <v>0.15</v>
      </c>
    </row>
    <row r="64" spans="1:9" s="343" customFormat="1" ht="14.25" customHeight="1" x14ac:dyDescent="0.35">
      <c r="A64" s="527" t="s">
        <v>566</v>
      </c>
      <c r="B64" s="343" t="s">
        <v>298</v>
      </c>
      <c r="D64" s="608">
        <v>0.1</v>
      </c>
    </row>
    <row r="65" spans="1:4" s="343" customFormat="1" ht="14.25" customHeight="1" x14ac:dyDescent="0.35">
      <c r="A65" s="527">
        <v>6</v>
      </c>
      <c r="B65" s="343" t="s">
        <v>567</v>
      </c>
      <c r="D65" s="608">
        <v>0.1</v>
      </c>
    </row>
    <row r="66" spans="1:4" s="343" customFormat="1" ht="14.25" customHeight="1" x14ac:dyDescent="0.35">
      <c r="A66" s="527">
        <v>7</v>
      </c>
      <c r="B66" s="343" t="s">
        <v>303</v>
      </c>
      <c r="D66" s="608">
        <v>0.1</v>
      </c>
    </row>
    <row r="67" spans="1:4" s="343" customFormat="1" ht="14.25" customHeight="1" x14ac:dyDescent="0.35">
      <c r="A67" s="527">
        <v>8</v>
      </c>
      <c r="B67" s="343" t="s">
        <v>305</v>
      </c>
      <c r="D67" s="608">
        <v>0.15</v>
      </c>
    </row>
    <row r="68" spans="1:4" s="343" customFormat="1" ht="14.25" customHeight="1" x14ac:dyDescent="0.35">
      <c r="A68" s="527" t="s">
        <v>568</v>
      </c>
      <c r="B68" s="343" t="s">
        <v>307</v>
      </c>
      <c r="D68" s="608">
        <v>0.15</v>
      </c>
    </row>
    <row r="69" spans="1:4" s="343" customFormat="1" ht="14.25" customHeight="1" x14ac:dyDescent="0.35">
      <c r="A69" s="527" t="s">
        <v>569</v>
      </c>
      <c r="B69" s="343" t="s">
        <v>309</v>
      </c>
      <c r="D69" s="608">
        <v>0.1</v>
      </c>
    </row>
    <row r="70" spans="1:4" s="343" customFormat="1" ht="14.25" customHeight="1" x14ac:dyDescent="0.35">
      <c r="A70" s="527"/>
      <c r="D70" s="610"/>
    </row>
    <row r="71" spans="1:4" s="343" customFormat="1" ht="14.25" customHeight="1" x14ac:dyDescent="0.35">
      <c r="A71" s="528" t="s">
        <v>570</v>
      </c>
      <c r="D71" s="610"/>
    </row>
    <row r="72" spans="1:4" s="343" customFormat="1" ht="14.25" customHeight="1" x14ac:dyDescent="0.35">
      <c r="A72" s="576" t="s">
        <v>571</v>
      </c>
      <c r="D72" s="610"/>
    </row>
    <row r="73" spans="1:4" s="343" customFormat="1" ht="14.25" customHeight="1" x14ac:dyDescent="0.35">
      <c r="A73" s="573" t="s">
        <v>572</v>
      </c>
      <c r="D73" s="610"/>
    </row>
    <row r="74" spans="1:4" s="343" customFormat="1" ht="14.25" customHeight="1" x14ac:dyDescent="0.35">
      <c r="A74" s="573" t="s">
        <v>573</v>
      </c>
      <c r="D74" s="610"/>
    </row>
    <row r="75" spans="1:4" s="343" customFormat="1" ht="14.25" customHeight="1" x14ac:dyDescent="0.35">
      <c r="A75" s="573" t="s">
        <v>574</v>
      </c>
      <c r="D75" s="610"/>
    </row>
    <row r="76" spans="1:4" s="343" customFormat="1" ht="14.25" customHeight="1" x14ac:dyDescent="0.35">
      <c r="A76" s="573" t="s">
        <v>575</v>
      </c>
      <c r="D76" s="610"/>
    </row>
    <row r="77" spans="1:4" s="343" customFormat="1" ht="14.25" customHeight="1" x14ac:dyDescent="0.35">
      <c r="A77" s="527"/>
      <c r="D77" s="610"/>
    </row>
    <row r="78" spans="1:4" s="343" customFormat="1" ht="14.25" customHeight="1" x14ac:dyDescent="0.35"/>
    <row r="79" spans="1:4" s="343" customFormat="1" ht="14.25" customHeight="1" x14ac:dyDescent="0.35"/>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Q118"/>
  <sheetViews>
    <sheetView topLeftCell="B1" zoomScale="89" zoomScaleNormal="89" workbookViewId="0">
      <selection activeCell="Q34" sqref="Q34:Q3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7.265625" style="10" customWidth="1"/>
    <col min="9" max="9" width="14.265625" style="10" customWidth="1"/>
    <col min="10" max="10" width="15" style="10" bestFit="1" customWidth="1"/>
    <col min="11" max="12" width="16.86328125" bestFit="1" customWidth="1"/>
    <col min="13" max="13" width="10.265625" style="10" customWidth="1"/>
    <col min="14" max="14" width="13" style="10" customWidth="1"/>
    <col min="15" max="15" width="20.265625" style="61" customWidth="1"/>
    <col min="16" max="16" width="18.59765625" bestFit="1" customWidth="1"/>
    <col min="17" max="17" width="44.59765625" style="617" bestFit="1" customWidth="1"/>
  </cols>
  <sheetData>
    <row r="1" spans="3:17" s="295" customFormat="1" ht="12.75" customHeight="1" x14ac:dyDescent="0.35">
      <c r="H1" s="342"/>
      <c r="I1" s="342"/>
      <c r="J1" s="342"/>
      <c r="K1" s="342"/>
      <c r="L1" s="342"/>
      <c r="M1" s="342"/>
      <c r="N1" s="342"/>
      <c r="O1" s="529"/>
      <c r="Q1" s="613"/>
    </row>
    <row r="2" spans="3:17" s="295" customFormat="1" ht="38.25" customHeight="1" x14ac:dyDescent="0.45">
      <c r="F2" s="530"/>
      <c r="H2" s="915" t="s">
        <v>576</v>
      </c>
      <c r="I2" s="884"/>
      <c r="J2" s="885"/>
      <c r="K2" s="915" t="s">
        <v>577</v>
      </c>
      <c r="L2" s="884"/>
      <c r="M2" s="884"/>
      <c r="N2" s="885"/>
      <c r="O2" s="524" t="s">
        <v>578</v>
      </c>
      <c r="P2" s="342"/>
      <c r="Q2" s="614"/>
    </row>
    <row r="3" spans="3:17" s="295" customFormat="1" ht="12.75" customHeight="1" x14ac:dyDescent="0.4">
      <c r="E3" s="531"/>
      <c r="F3" s="531"/>
      <c r="H3" s="542"/>
      <c r="I3" s="542"/>
      <c r="J3" s="542"/>
      <c r="K3" s="542"/>
      <c r="L3" s="542"/>
      <c r="M3" s="542"/>
      <c r="N3" s="542"/>
      <c r="O3" s="543"/>
      <c r="P3" s="344"/>
      <c r="Q3" s="615"/>
    </row>
    <row r="4" spans="3:17" s="295" customFormat="1" ht="36.75" customHeight="1" x14ac:dyDescent="0.35">
      <c r="C4" s="524" t="s">
        <v>579</v>
      </c>
      <c r="D4" s="524" t="s">
        <v>124</v>
      </c>
      <c r="E4" s="524" t="s">
        <v>580</v>
      </c>
      <c r="F4" s="524" t="s">
        <v>125</v>
      </c>
      <c r="G4" s="524" t="s">
        <v>581</v>
      </c>
      <c r="H4" s="524" t="s">
        <v>582</v>
      </c>
      <c r="I4" s="524" t="s">
        <v>583</v>
      </c>
      <c r="J4" s="524" t="s">
        <v>584</v>
      </c>
      <c r="K4" s="524" t="s">
        <v>585</v>
      </c>
      <c r="L4" s="524" t="s">
        <v>586</v>
      </c>
      <c r="M4" s="524" t="s">
        <v>587</v>
      </c>
      <c r="N4" s="524" t="s">
        <v>588</v>
      </c>
      <c r="O4" s="524" t="s">
        <v>66</v>
      </c>
      <c r="P4" s="524" t="s">
        <v>127</v>
      </c>
      <c r="Q4" s="524" t="s">
        <v>589</v>
      </c>
    </row>
    <row r="5" spans="3:17" s="295" customFormat="1" ht="12.75" customHeight="1" x14ac:dyDescent="0.35">
      <c r="C5" s="692" t="s">
        <v>590</v>
      </c>
      <c r="D5" s="693" t="s">
        <v>591</v>
      </c>
      <c r="E5" s="693" t="s">
        <v>592</v>
      </c>
      <c r="F5" s="693" t="s">
        <v>520</v>
      </c>
      <c r="G5" s="694">
        <v>45016</v>
      </c>
      <c r="H5" s="695">
        <v>38549875.031078599</v>
      </c>
      <c r="I5" s="535"/>
      <c r="J5" s="536">
        <f t="shared" ref="J5:J29" si="0">IFERROR(H5-I5,"-")</f>
        <v>38549875.031078599</v>
      </c>
      <c r="K5" s="697">
        <v>203358691.75</v>
      </c>
      <c r="L5" s="697">
        <v>203358691.75</v>
      </c>
      <c r="M5" s="545">
        <f t="shared" ref="M5:M12" si="1">IFERROR(K5/J5,"-")</f>
        <v>5.2752101423429743</v>
      </c>
      <c r="N5" s="545">
        <f t="shared" ref="N5:N12" si="2">IFERROR(L5/J5,"-")</f>
        <v>5.2752101423429743</v>
      </c>
      <c r="O5" s="698" t="s">
        <v>7</v>
      </c>
      <c r="P5" s="672">
        <v>0</v>
      </c>
      <c r="Q5" s="673"/>
    </row>
    <row r="6" spans="3:17" s="295" customFormat="1" ht="12.75" customHeight="1" x14ac:dyDescent="0.35">
      <c r="C6" s="692" t="s">
        <v>450</v>
      </c>
      <c r="D6" s="693" t="s">
        <v>591</v>
      </c>
      <c r="E6" s="693" t="s">
        <v>592</v>
      </c>
      <c r="F6" s="693" t="s">
        <v>520</v>
      </c>
      <c r="G6" s="694">
        <v>45107</v>
      </c>
      <c r="H6" s="695">
        <v>10658991</v>
      </c>
      <c r="I6" s="535"/>
      <c r="J6" s="536">
        <f t="shared" si="0"/>
        <v>10658991</v>
      </c>
      <c r="K6" s="697">
        <f>50426000-232471</f>
        <v>50193529</v>
      </c>
      <c r="L6" s="697">
        <f t="shared" ref="L6:L12" si="3">K6</f>
        <v>50193529</v>
      </c>
      <c r="M6" s="545">
        <f t="shared" si="1"/>
        <v>4.7090319336980393</v>
      </c>
      <c r="N6" s="545">
        <f t="shared" si="2"/>
        <v>4.7090319336980393</v>
      </c>
      <c r="O6" s="698">
        <v>4.05</v>
      </c>
      <c r="P6" s="672">
        <v>0</v>
      </c>
      <c r="Q6" s="673"/>
    </row>
    <row r="7" spans="3:17" s="295" customFormat="1" ht="12.75" customHeight="1" x14ac:dyDescent="0.35">
      <c r="C7" s="692" t="s">
        <v>593</v>
      </c>
      <c r="D7" s="693" t="s">
        <v>591</v>
      </c>
      <c r="E7" s="693" t="s">
        <v>592</v>
      </c>
      <c r="F7" s="693" t="s">
        <v>520</v>
      </c>
      <c r="G7" s="694">
        <v>45107</v>
      </c>
      <c r="H7" s="695">
        <v>8205983</v>
      </c>
      <c r="I7" s="534"/>
      <c r="J7" s="536">
        <f t="shared" si="0"/>
        <v>8205983</v>
      </c>
      <c r="K7" s="697">
        <f>40825498-1192999</f>
        <v>39632499</v>
      </c>
      <c r="L7" s="697">
        <f t="shared" si="3"/>
        <v>39632499</v>
      </c>
      <c r="M7" s="545">
        <f t="shared" si="1"/>
        <v>4.8297076657360858</v>
      </c>
      <c r="N7" s="545">
        <f t="shared" si="2"/>
        <v>4.8297076657360858</v>
      </c>
      <c r="O7" s="698">
        <v>3.3</v>
      </c>
      <c r="P7" s="672">
        <v>0</v>
      </c>
      <c r="Q7" s="674" t="s">
        <v>594</v>
      </c>
    </row>
    <row r="8" spans="3:17" s="295" customFormat="1" ht="12.75" customHeight="1" x14ac:dyDescent="0.35">
      <c r="C8" s="692" t="s">
        <v>595</v>
      </c>
      <c r="D8" s="693" t="s">
        <v>591</v>
      </c>
      <c r="E8" s="693" t="s">
        <v>592</v>
      </c>
      <c r="F8" s="693" t="s">
        <v>520</v>
      </c>
      <c r="G8" s="694">
        <v>45107</v>
      </c>
      <c r="H8" s="695">
        <v>4923528</v>
      </c>
      <c r="I8" s="534"/>
      <c r="J8" s="536">
        <f t="shared" si="0"/>
        <v>4923528</v>
      </c>
      <c r="K8" s="697">
        <f>24397895-587108</f>
        <v>23810787</v>
      </c>
      <c r="L8" s="697">
        <f t="shared" si="3"/>
        <v>23810787</v>
      </c>
      <c r="M8" s="545">
        <f t="shared" si="1"/>
        <v>4.8361229996051609</v>
      </c>
      <c r="N8" s="545">
        <f t="shared" si="2"/>
        <v>4.8361229996051609</v>
      </c>
      <c r="O8" s="698">
        <v>3.3</v>
      </c>
      <c r="P8" s="672">
        <v>0</v>
      </c>
      <c r="Q8" s="673"/>
    </row>
    <row r="9" spans="3:17" s="295" customFormat="1" ht="12.75" customHeight="1" x14ac:dyDescent="0.35">
      <c r="C9" s="692" t="s">
        <v>596</v>
      </c>
      <c r="D9" s="693" t="s">
        <v>591</v>
      </c>
      <c r="E9" s="693" t="s">
        <v>592</v>
      </c>
      <c r="F9" s="693" t="s">
        <v>520</v>
      </c>
      <c r="G9" s="694">
        <v>45107</v>
      </c>
      <c r="H9" s="695">
        <v>7668847</v>
      </c>
      <c r="I9" s="534"/>
      <c r="J9" s="536">
        <f t="shared" si="0"/>
        <v>7668847</v>
      </c>
      <c r="K9" s="697">
        <f>33468000-2250422</f>
        <v>31217578</v>
      </c>
      <c r="L9" s="697">
        <f t="shared" si="3"/>
        <v>31217578</v>
      </c>
      <c r="M9" s="545">
        <f t="shared" si="1"/>
        <v>4.0707003282240475</v>
      </c>
      <c r="N9" s="545">
        <f t="shared" si="2"/>
        <v>4.0707003282240475</v>
      </c>
      <c r="O9" s="698">
        <v>2.62</v>
      </c>
      <c r="P9" s="672">
        <v>0</v>
      </c>
      <c r="Q9" s="673"/>
    </row>
    <row r="10" spans="3:17" s="295" customFormat="1" ht="12.75" customHeight="1" x14ac:dyDescent="0.35">
      <c r="C10" s="692" t="s">
        <v>597</v>
      </c>
      <c r="D10" s="693" t="s">
        <v>591</v>
      </c>
      <c r="E10" s="693" t="s">
        <v>592</v>
      </c>
      <c r="F10" s="693" t="s">
        <v>520</v>
      </c>
      <c r="G10" s="694">
        <v>45107</v>
      </c>
      <c r="H10" s="695">
        <v>284956000</v>
      </c>
      <c r="I10" s="535"/>
      <c r="J10" s="536">
        <f t="shared" si="0"/>
        <v>284956000</v>
      </c>
      <c r="K10" s="697">
        <f>1726506000-14723000</f>
        <v>1711783000</v>
      </c>
      <c r="L10" s="697">
        <f t="shared" si="3"/>
        <v>1711783000</v>
      </c>
      <c r="M10" s="545">
        <f t="shared" si="1"/>
        <v>6.0071835651819931</v>
      </c>
      <c r="N10" s="545">
        <f t="shared" si="2"/>
        <v>6.0071835651819931</v>
      </c>
      <c r="O10" s="698" t="s">
        <v>7</v>
      </c>
      <c r="P10" s="672">
        <v>0</v>
      </c>
      <c r="Q10" s="673"/>
    </row>
    <row r="11" spans="3:17" s="295" customFormat="1" ht="12.75" customHeight="1" x14ac:dyDescent="0.35">
      <c r="C11" s="692" t="s">
        <v>598</v>
      </c>
      <c r="D11" s="693" t="s">
        <v>591</v>
      </c>
      <c r="E11" s="693" t="s">
        <v>592</v>
      </c>
      <c r="F11" s="693" t="s">
        <v>520</v>
      </c>
      <c r="G11" s="694">
        <v>45199</v>
      </c>
      <c r="H11" s="696">
        <v>8403793</v>
      </c>
      <c r="I11" s="535"/>
      <c r="J11" s="536">
        <f t="shared" si="0"/>
        <v>8403793</v>
      </c>
      <c r="K11" s="697">
        <f>40000000-972687</f>
        <v>39027313</v>
      </c>
      <c r="L11" s="697">
        <f t="shared" si="3"/>
        <v>39027313</v>
      </c>
      <c r="M11" s="545">
        <f t="shared" si="1"/>
        <v>4.6440116980511066</v>
      </c>
      <c r="N11" s="545">
        <f t="shared" si="2"/>
        <v>4.6440116980511066</v>
      </c>
      <c r="O11" s="698">
        <v>1.71</v>
      </c>
      <c r="P11" s="672">
        <v>0</v>
      </c>
      <c r="Q11" s="673"/>
    </row>
    <row r="12" spans="3:17" s="295" customFormat="1" ht="12.75" customHeight="1" x14ac:dyDescent="0.35">
      <c r="C12" s="692" t="s">
        <v>599</v>
      </c>
      <c r="D12" s="693" t="s">
        <v>591</v>
      </c>
      <c r="E12" s="693" t="s">
        <v>592</v>
      </c>
      <c r="F12" s="693" t="s">
        <v>520</v>
      </c>
      <c r="G12" s="694">
        <v>45199</v>
      </c>
      <c r="H12" s="696">
        <v>9646806</v>
      </c>
      <c r="I12" s="535"/>
      <c r="J12" s="536">
        <f t="shared" si="0"/>
        <v>9646806</v>
      </c>
      <c r="K12" s="697">
        <f>52262500-621438</f>
        <v>51641062</v>
      </c>
      <c r="L12" s="697">
        <f t="shared" si="3"/>
        <v>51641062</v>
      </c>
      <c r="M12" s="545">
        <f t="shared" si="1"/>
        <v>5.35317720704656</v>
      </c>
      <c r="N12" s="545">
        <f t="shared" si="2"/>
        <v>5.35317720704656</v>
      </c>
      <c r="O12" s="698">
        <v>1.45</v>
      </c>
      <c r="P12" s="672">
        <v>0</v>
      </c>
      <c r="Q12" s="673"/>
    </row>
    <row r="13" spans="3:17" s="295" customFormat="1" ht="12.75" customHeight="1" x14ac:dyDescent="0.35">
      <c r="C13" s="692" t="s">
        <v>600</v>
      </c>
      <c r="D13" s="693" t="s">
        <v>591</v>
      </c>
      <c r="E13" s="693" t="s">
        <v>592</v>
      </c>
      <c r="F13" s="693" t="s">
        <v>520</v>
      </c>
      <c r="G13" s="694">
        <v>45199</v>
      </c>
      <c r="H13" s="696">
        <v>2088928</v>
      </c>
      <c r="I13" s="535"/>
      <c r="J13" s="536">
        <f t="shared" si="0"/>
        <v>2088928</v>
      </c>
      <c r="K13" s="697">
        <v>13920100</v>
      </c>
      <c r="L13" s="697">
        <v>13920100</v>
      </c>
      <c r="M13" s="545">
        <v>6.66</v>
      </c>
      <c r="N13" s="545">
        <v>6.66</v>
      </c>
      <c r="O13" s="698">
        <v>1.1000000000000001</v>
      </c>
      <c r="P13" s="672">
        <v>0.85</v>
      </c>
      <c r="Q13" s="673" t="s">
        <v>601</v>
      </c>
    </row>
    <row r="14" spans="3:17" s="295" customFormat="1" ht="12.75" customHeight="1" x14ac:dyDescent="0.35">
      <c r="C14" s="692" t="s">
        <v>602</v>
      </c>
      <c r="D14" s="693" t="s">
        <v>591</v>
      </c>
      <c r="E14" s="693" t="s">
        <v>592</v>
      </c>
      <c r="F14" s="693" t="s">
        <v>520</v>
      </c>
      <c r="G14" s="694">
        <v>45382</v>
      </c>
      <c r="H14" s="696">
        <v>13629846</v>
      </c>
      <c r="I14" s="535"/>
      <c r="J14" s="536">
        <f t="shared" si="0"/>
        <v>13629846</v>
      </c>
      <c r="K14" s="697">
        <f>75593886-4943321</f>
        <v>70650565</v>
      </c>
      <c r="L14" s="697">
        <f>K14</f>
        <v>70650565</v>
      </c>
      <c r="M14" s="545">
        <f>IFERROR(K14/J14,"-")</f>
        <v>5.183518948049743</v>
      </c>
      <c r="N14" s="545">
        <f>IFERROR(L14/J14,"-")</f>
        <v>5.183518948049743</v>
      </c>
      <c r="O14" s="698">
        <v>1.66</v>
      </c>
      <c r="P14" s="672">
        <v>0.9</v>
      </c>
      <c r="Q14" s="673"/>
    </row>
    <row r="15" spans="3:17" s="295" customFormat="1" ht="25.5" customHeight="1" x14ac:dyDescent="0.35">
      <c r="C15" s="692" t="s">
        <v>603</v>
      </c>
      <c r="D15" s="693" t="s">
        <v>591</v>
      </c>
      <c r="E15" s="693" t="s">
        <v>592</v>
      </c>
      <c r="F15" s="693" t="s">
        <v>520</v>
      </c>
      <c r="G15" s="694">
        <v>45382</v>
      </c>
      <c r="H15" s="696">
        <v>22687383.98833333</v>
      </c>
      <c r="I15" s="535"/>
      <c r="J15" s="536">
        <f t="shared" si="0"/>
        <v>22687383.98833333</v>
      </c>
      <c r="K15" s="697">
        <f>98722202-2934000</f>
        <v>95788202</v>
      </c>
      <c r="L15" s="697">
        <f>K15</f>
        <v>95788202</v>
      </c>
      <c r="M15" s="545">
        <f>IFERROR(K15/J15,"-")</f>
        <v>4.2220910991438121</v>
      </c>
      <c r="N15" s="545">
        <f>IFERROR(L15/J15,"-")</f>
        <v>4.2220910991438121</v>
      </c>
      <c r="O15" s="698">
        <v>2.23</v>
      </c>
      <c r="P15" s="675">
        <f>MIN(INDEX(Portfolio!$AF$9:$AF$46,MATCH(VAE!C15,Portfolio!$B$9:$B$46,0)),INDEX(Portfolio!$AE$9:$AE$46,MATCH(VAE!C15,Portfolio!$B$9:$B$46,0)))</f>
        <v>0.80047964736470312</v>
      </c>
      <c r="Q15" s="673" t="s">
        <v>604</v>
      </c>
    </row>
    <row r="16" spans="3:17" s="295" customFormat="1" ht="25.5" customHeight="1" x14ac:dyDescent="0.35">
      <c r="C16" s="692" t="s">
        <v>605</v>
      </c>
      <c r="D16" s="693" t="s">
        <v>591</v>
      </c>
      <c r="E16" s="693" t="s">
        <v>592</v>
      </c>
      <c r="F16" s="693" t="s">
        <v>520</v>
      </c>
      <c r="G16" s="694">
        <v>45382</v>
      </c>
      <c r="H16" s="696">
        <v>18795842</v>
      </c>
      <c r="I16" s="535"/>
      <c r="J16" s="536">
        <f t="shared" si="0"/>
        <v>18795842</v>
      </c>
      <c r="K16" s="697">
        <v>83559582</v>
      </c>
      <c r="L16" s="697">
        <v>83559582</v>
      </c>
      <c r="M16" s="545">
        <v>4.45</v>
      </c>
      <c r="N16" s="545">
        <v>4.45</v>
      </c>
      <c r="O16" s="698">
        <v>1.66</v>
      </c>
      <c r="P16" s="675">
        <v>0.97230000000000005</v>
      </c>
      <c r="Q16" s="673" t="s">
        <v>604</v>
      </c>
    </row>
    <row r="17" spans="3:17" s="295" customFormat="1" ht="25.5" customHeight="1" x14ac:dyDescent="0.35">
      <c r="C17" s="692" t="s">
        <v>606</v>
      </c>
      <c r="D17" s="693" t="s">
        <v>591</v>
      </c>
      <c r="E17" s="693" t="s">
        <v>592</v>
      </c>
      <c r="F17" s="693" t="s">
        <v>520</v>
      </c>
      <c r="G17" s="694">
        <v>45382</v>
      </c>
      <c r="H17" s="696">
        <v>7059136.5717176488</v>
      </c>
      <c r="I17" s="535"/>
      <c r="J17" s="536">
        <f t="shared" si="0"/>
        <v>7059136.5717176488</v>
      </c>
      <c r="K17" s="697">
        <v>35152982</v>
      </c>
      <c r="L17" s="697">
        <f t="shared" ref="L17:L24" si="4">K17</f>
        <v>35152982</v>
      </c>
      <c r="M17" s="545">
        <f t="shared" ref="M17:M27" si="5">IFERROR(K17/J17,"-")</f>
        <v>4.9797849415238726</v>
      </c>
      <c r="N17" s="545">
        <f t="shared" ref="N17:N48" si="6">IFERROR(L17/J17,"-")</f>
        <v>4.9797849415238726</v>
      </c>
      <c r="O17" s="698">
        <v>1.74</v>
      </c>
      <c r="P17" s="675">
        <f>MIN(INDEX(Portfolio!$AF$9:$AF$46,MATCH(VAE!C17,Portfolio!$B$9:$B$46,0)),INDEX(Portfolio!$AE$9:$AE$46,MATCH(VAE!C17,Portfolio!$B$9:$B$46,0)))</f>
        <v>0.98684514361819742</v>
      </c>
      <c r="Q17" s="673" t="s">
        <v>604</v>
      </c>
    </row>
    <row r="18" spans="3:17" s="295" customFormat="1" ht="12.75" customHeight="1" x14ac:dyDescent="0.35">
      <c r="C18" s="692" t="s">
        <v>607</v>
      </c>
      <c r="D18" s="693" t="s">
        <v>608</v>
      </c>
      <c r="E18" s="693" t="s">
        <v>609</v>
      </c>
      <c r="F18" s="693" t="s">
        <v>520</v>
      </c>
      <c r="G18" s="694">
        <v>45473</v>
      </c>
      <c r="H18" s="696">
        <v>0</v>
      </c>
      <c r="I18" s="535"/>
      <c r="J18" s="536">
        <f t="shared" si="0"/>
        <v>0</v>
      </c>
      <c r="K18" s="697">
        <v>0</v>
      </c>
      <c r="L18" s="697">
        <f t="shared" si="4"/>
        <v>0</v>
      </c>
      <c r="M18" s="545" t="str">
        <f t="shared" si="5"/>
        <v>-</v>
      </c>
      <c r="N18" s="545" t="str">
        <f t="shared" si="6"/>
        <v>-</v>
      </c>
      <c r="O18" s="698">
        <v>0</v>
      </c>
      <c r="P18" s="672">
        <v>0</v>
      </c>
      <c r="Q18" s="674" t="s">
        <v>610</v>
      </c>
    </row>
    <row r="19" spans="3:17" s="295" customFormat="1" ht="25.5" customHeight="1" x14ac:dyDescent="0.35">
      <c r="C19" s="692" t="s">
        <v>454</v>
      </c>
      <c r="D19" s="693" t="s">
        <v>591</v>
      </c>
      <c r="E19" s="693" t="s">
        <v>592</v>
      </c>
      <c r="F19" s="693" t="s">
        <v>609</v>
      </c>
      <c r="G19" s="694">
        <v>45473</v>
      </c>
      <c r="H19" s="696">
        <v>16988825.479837421</v>
      </c>
      <c r="I19" s="535"/>
      <c r="J19" s="536">
        <f t="shared" si="0"/>
        <v>16988825.479837421</v>
      </c>
      <c r="K19" s="697">
        <f>76025160-1705006</f>
        <v>74320154</v>
      </c>
      <c r="L19" s="697">
        <f t="shared" si="4"/>
        <v>74320154</v>
      </c>
      <c r="M19" s="545">
        <f t="shared" si="5"/>
        <v>4.3746493298317892</v>
      </c>
      <c r="N19" s="545">
        <f t="shared" si="6"/>
        <v>4.3746493298317892</v>
      </c>
      <c r="O19" s="698">
        <v>2.14</v>
      </c>
      <c r="P19" s="675" t="e">
        <f>MIN(INDEX(Portfolio!$AF$9:$AF$46,MATCH(VAE!C19,Portfolio!$B$9:$B$46,0)),INDEX(Portfolio!$AE$9:$AE$46,MATCH(VAE!C19,Portfolio!$B$9:$B$46,0)))</f>
        <v>#N/A</v>
      </c>
      <c r="Q19" s="673" t="s">
        <v>604</v>
      </c>
    </row>
    <row r="20" spans="3:17" s="295" customFormat="1" ht="12.75" customHeight="1" x14ac:dyDescent="0.35">
      <c r="C20" s="692" t="s">
        <v>611</v>
      </c>
      <c r="D20" s="693" t="s">
        <v>612</v>
      </c>
      <c r="E20" s="693" t="s">
        <v>592</v>
      </c>
      <c r="F20" s="693" t="s">
        <v>613</v>
      </c>
      <c r="G20" s="694">
        <v>45473</v>
      </c>
      <c r="H20" s="696">
        <v>11405000</v>
      </c>
      <c r="I20" s="535"/>
      <c r="J20" s="536">
        <f t="shared" si="0"/>
        <v>11405000</v>
      </c>
      <c r="K20" s="697">
        <f>51192221-2717847</f>
        <v>48474374</v>
      </c>
      <c r="L20" s="697">
        <f t="shared" si="4"/>
        <v>48474374</v>
      </c>
      <c r="M20" s="545">
        <f t="shared" si="5"/>
        <v>4.2502739149495836</v>
      </c>
      <c r="N20" s="545">
        <f t="shared" si="6"/>
        <v>4.2502739149495836</v>
      </c>
      <c r="O20" s="698">
        <v>2.56</v>
      </c>
      <c r="P20" s="672">
        <v>0.9</v>
      </c>
      <c r="Q20" s="673" t="s">
        <v>614</v>
      </c>
    </row>
    <row r="21" spans="3:17" s="295" customFormat="1" ht="12.75" customHeight="1" x14ac:dyDescent="0.35">
      <c r="C21" s="692" t="s">
        <v>471</v>
      </c>
      <c r="D21" s="693" t="s">
        <v>615</v>
      </c>
      <c r="E21" s="693" t="s">
        <v>609</v>
      </c>
      <c r="F21" s="693" t="s">
        <v>520</v>
      </c>
      <c r="G21" s="694">
        <v>45473</v>
      </c>
      <c r="H21" s="696">
        <v>0</v>
      </c>
      <c r="I21" s="535"/>
      <c r="J21" s="536">
        <f t="shared" si="0"/>
        <v>0</v>
      </c>
      <c r="K21" s="697">
        <v>0</v>
      </c>
      <c r="L21" s="697">
        <f t="shared" si="4"/>
        <v>0</v>
      </c>
      <c r="M21" s="545" t="str">
        <f t="shared" si="5"/>
        <v>-</v>
      </c>
      <c r="N21" s="545" t="str">
        <f t="shared" si="6"/>
        <v>-</v>
      </c>
      <c r="O21" s="698">
        <v>0</v>
      </c>
      <c r="P21" s="672">
        <v>0</v>
      </c>
      <c r="Q21" s="674" t="s">
        <v>610</v>
      </c>
    </row>
    <row r="22" spans="3:17" s="295" customFormat="1" ht="12.75" customHeight="1" x14ac:dyDescent="0.35">
      <c r="C22" s="692" t="s">
        <v>605</v>
      </c>
      <c r="D22" s="693" t="s">
        <v>612</v>
      </c>
      <c r="E22" s="693" t="s">
        <v>592</v>
      </c>
      <c r="F22" s="693" t="s">
        <v>613</v>
      </c>
      <c r="G22" s="694">
        <v>45473</v>
      </c>
      <c r="H22" s="696">
        <v>18795842</v>
      </c>
      <c r="I22" s="535"/>
      <c r="J22" s="536">
        <f t="shared" si="0"/>
        <v>18795842</v>
      </c>
      <c r="K22" s="697">
        <v>83559582</v>
      </c>
      <c r="L22" s="697">
        <f t="shared" si="4"/>
        <v>83559582</v>
      </c>
      <c r="M22" s="545">
        <f t="shared" si="5"/>
        <v>4.4456418605774619</v>
      </c>
      <c r="N22" s="545">
        <f t="shared" si="6"/>
        <v>4.4456418605774619</v>
      </c>
      <c r="O22" s="698">
        <v>1.66</v>
      </c>
      <c r="P22" s="672">
        <v>0.9</v>
      </c>
      <c r="Q22" s="674"/>
    </row>
    <row r="23" spans="3:17" s="295" customFormat="1" ht="12.75" customHeight="1" x14ac:dyDescent="0.35">
      <c r="C23" s="692" t="s">
        <v>600</v>
      </c>
      <c r="D23" s="693" t="s">
        <v>591</v>
      </c>
      <c r="E23" s="693" t="s">
        <v>592</v>
      </c>
      <c r="F23" s="693" t="s">
        <v>520</v>
      </c>
      <c r="G23" s="694">
        <v>45473</v>
      </c>
      <c r="H23" s="696">
        <v>4393220</v>
      </c>
      <c r="I23" s="535"/>
      <c r="J23" s="536">
        <f t="shared" si="0"/>
        <v>4393220</v>
      </c>
      <c r="K23" s="697">
        <f>14775000-3000000</f>
        <v>11775000</v>
      </c>
      <c r="L23" s="697">
        <f t="shared" si="4"/>
        <v>11775000</v>
      </c>
      <c r="M23" s="545">
        <f t="shared" si="5"/>
        <v>2.6802664105143834</v>
      </c>
      <c r="N23" s="545">
        <f t="shared" si="6"/>
        <v>2.6802664105143834</v>
      </c>
      <c r="O23" s="698">
        <v>2.99</v>
      </c>
      <c r="P23" s="672">
        <v>0.9</v>
      </c>
      <c r="Q23" s="674"/>
    </row>
    <row r="24" spans="3:17" s="295" customFormat="1" ht="12.75" customHeight="1" x14ac:dyDescent="0.35">
      <c r="C24" s="692" t="s">
        <v>616</v>
      </c>
      <c r="D24" s="693" t="s">
        <v>615</v>
      </c>
      <c r="E24" s="693" t="s">
        <v>609</v>
      </c>
      <c r="F24" s="693" t="s">
        <v>520</v>
      </c>
      <c r="G24" s="694">
        <v>45504</v>
      </c>
      <c r="H24" s="696">
        <v>0</v>
      </c>
      <c r="I24" s="535"/>
      <c r="J24" s="536">
        <f t="shared" si="0"/>
        <v>0</v>
      </c>
      <c r="K24" s="697">
        <v>0</v>
      </c>
      <c r="L24" s="697">
        <f t="shared" si="4"/>
        <v>0</v>
      </c>
      <c r="M24" s="545" t="str">
        <f t="shared" si="5"/>
        <v>-</v>
      </c>
      <c r="N24" s="545" t="str">
        <f t="shared" si="6"/>
        <v>-</v>
      </c>
      <c r="O24" s="698">
        <v>0</v>
      </c>
      <c r="P24" s="672">
        <v>0</v>
      </c>
      <c r="Q24" s="674" t="s">
        <v>610</v>
      </c>
    </row>
    <row r="25" spans="3:17" s="295" customFormat="1" ht="25.5" customHeight="1" x14ac:dyDescent="0.35">
      <c r="C25" s="692" t="s">
        <v>617</v>
      </c>
      <c r="D25" s="693" t="s">
        <v>591</v>
      </c>
      <c r="E25" s="693" t="s">
        <v>592</v>
      </c>
      <c r="F25" s="693" t="s">
        <v>609</v>
      </c>
      <c r="G25" s="694">
        <v>45657</v>
      </c>
      <c r="H25" s="696">
        <v>11986225.82</v>
      </c>
      <c r="I25" s="535"/>
      <c r="J25" s="536">
        <f t="shared" si="0"/>
        <v>11986225.82</v>
      </c>
      <c r="K25" s="696">
        <f>3000000+3600000+46800000-45291</f>
        <v>53354709</v>
      </c>
      <c r="L25" s="696">
        <f>3000000+3600000+46800000-45291</f>
        <v>53354709</v>
      </c>
      <c r="M25" s="545">
        <f t="shared" si="5"/>
        <v>4.4513352076992652</v>
      </c>
      <c r="N25" s="545">
        <f t="shared" si="6"/>
        <v>4.4513352076992652</v>
      </c>
      <c r="O25" s="698">
        <v>1.63</v>
      </c>
      <c r="P25" s="675">
        <f>MIN(INDEX(Portfolio!$AF$9:$AF$46,MATCH(VAE!C25,Portfolio!$B$9:$B$46,0)),INDEX(Portfolio!$AE$9:$AE$46,MATCH(VAE!C25,Portfolio!$B$9:$B$46,0)))</f>
        <v>0.76035779398359171</v>
      </c>
      <c r="Q25" s="673" t="s">
        <v>604</v>
      </c>
    </row>
    <row r="26" spans="3:17" s="295" customFormat="1" ht="38.25" customHeight="1" x14ac:dyDescent="0.35">
      <c r="C26" s="692" t="s">
        <v>605</v>
      </c>
      <c r="D26" s="693"/>
      <c r="E26" s="693"/>
      <c r="F26" s="693"/>
      <c r="G26" s="694">
        <v>45657</v>
      </c>
      <c r="H26" s="696">
        <v>21528213</v>
      </c>
      <c r="I26" s="535"/>
      <c r="J26" s="536">
        <f t="shared" si="0"/>
        <v>21528213</v>
      </c>
      <c r="K26" s="696">
        <v>74196729</v>
      </c>
      <c r="L26" s="696">
        <v>74196729</v>
      </c>
      <c r="M26" s="545">
        <f t="shared" si="5"/>
        <v>3.4464880573227328</v>
      </c>
      <c r="N26" s="545">
        <f t="shared" si="6"/>
        <v>3.4464880573227328</v>
      </c>
      <c r="O26" s="698">
        <v>1.76</v>
      </c>
      <c r="P26" s="675">
        <v>0.96440000000000003</v>
      </c>
      <c r="Q26" s="673" t="s">
        <v>618</v>
      </c>
    </row>
    <row r="27" spans="3:17" s="295" customFormat="1" ht="38.25" customHeight="1" x14ac:dyDescent="0.35">
      <c r="C27" s="692" t="s">
        <v>600</v>
      </c>
      <c r="D27" s="693"/>
      <c r="E27" s="693"/>
      <c r="F27" s="693"/>
      <c r="G27" s="694">
        <v>45657</v>
      </c>
      <c r="H27" s="696">
        <v>4510238</v>
      </c>
      <c r="I27" s="535"/>
      <c r="J27" s="536">
        <f t="shared" si="0"/>
        <v>4510238</v>
      </c>
      <c r="K27" s="696">
        <v>11854233</v>
      </c>
      <c r="L27" s="696">
        <v>11854233</v>
      </c>
      <c r="M27" s="545">
        <f t="shared" si="5"/>
        <v>2.6282943383475552</v>
      </c>
      <c r="N27" s="545">
        <f t="shared" si="6"/>
        <v>2.6282943383475552</v>
      </c>
      <c r="O27" s="696"/>
      <c r="P27" s="675">
        <v>1</v>
      </c>
      <c r="Q27" s="673" t="s">
        <v>618</v>
      </c>
    </row>
    <row r="28" spans="3:17" s="295" customFormat="1" ht="36.75" customHeight="1" x14ac:dyDescent="0.35">
      <c r="C28" s="692" t="s">
        <v>619</v>
      </c>
      <c r="D28" s="693" t="s">
        <v>591</v>
      </c>
      <c r="E28" s="693" t="s">
        <v>592</v>
      </c>
      <c r="F28" s="693" t="s">
        <v>609</v>
      </c>
      <c r="G28" s="694">
        <v>45747</v>
      </c>
      <c r="H28" s="696">
        <v>11238587.550000001</v>
      </c>
      <c r="I28" s="535"/>
      <c r="J28" s="538">
        <f t="shared" si="0"/>
        <v>11238587.550000001</v>
      </c>
      <c r="K28" s="696">
        <v>62640000</v>
      </c>
      <c r="L28" s="696">
        <v>62640000</v>
      </c>
      <c r="M28" s="546">
        <v>5.57</v>
      </c>
      <c r="N28" s="546">
        <f t="shared" si="6"/>
        <v>5.5736541377034516</v>
      </c>
      <c r="O28" s="698">
        <v>1.22</v>
      </c>
      <c r="P28" s="676">
        <v>0.75109999999999999</v>
      </c>
      <c r="Q28" s="673" t="s">
        <v>604</v>
      </c>
    </row>
    <row r="29" spans="3:17" s="295" customFormat="1" ht="63.75" customHeight="1" x14ac:dyDescent="0.35">
      <c r="C29" s="692" t="s">
        <v>493</v>
      </c>
      <c r="D29" s="693" t="s">
        <v>620</v>
      </c>
      <c r="E29" s="693" t="s">
        <v>609</v>
      </c>
      <c r="F29" s="693" t="s">
        <v>621</v>
      </c>
      <c r="G29" s="694">
        <v>45785</v>
      </c>
      <c r="H29" s="696">
        <v>14329819.449999999</v>
      </c>
      <c r="I29" s="535"/>
      <c r="J29" s="538">
        <f t="shared" si="0"/>
        <v>14329819.449999999</v>
      </c>
      <c r="K29" s="696">
        <v>66737599.460000001</v>
      </c>
      <c r="L29" s="696">
        <v>66737599.460000001</v>
      </c>
      <c r="M29" s="546">
        <f>IFERROR(K29/J29,"-")</f>
        <v>4.6572533375499026</v>
      </c>
      <c r="N29" s="546">
        <f t="shared" si="6"/>
        <v>4.6572533375499026</v>
      </c>
      <c r="O29" s="698">
        <v>2.79</v>
      </c>
      <c r="P29" s="676">
        <v>0.85</v>
      </c>
      <c r="Q29" s="673" t="s">
        <v>622</v>
      </c>
    </row>
    <row r="30" spans="3:17" s="295" customFormat="1" ht="35.25" customHeight="1" x14ac:dyDescent="0.35">
      <c r="C30" s="692" t="s">
        <v>623</v>
      </c>
      <c r="D30" s="693" t="s">
        <v>591</v>
      </c>
      <c r="E30" s="693" t="s">
        <v>592</v>
      </c>
      <c r="F30" s="693" t="s">
        <v>609</v>
      </c>
      <c r="G30" s="694">
        <v>45846</v>
      </c>
      <c r="H30" s="696">
        <v>21935120.59</v>
      </c>
      <c r="I30" s="535"/>
      <c r="J30" s="538">
        <v>92923897.659999996</v>
      </c>
      <c r="K30" s="696">
        <f>'SM Support'!K34+'SM Support'!I34+'SM Support'!H34-'SM Support'!L34</f>
        <v>89718642.33954078</v>
      </c>
      <c r="L30" s="696">
        <f>'SM Support'!L34+'SM Support'!J34+'SM Support'!I34-'SM Support'!M34</f>
        <v>27173880.40203793</v>
      </c>
      <c r="M30" s="546">
        <v>4.24</v>
      </c>
      <c r="N30" s="546">
        <f t="shared" si="6"/>
        <v>0.2924315605170229</v>
      </c>
      <c r="O30" s="698">
        <f>'SM Support'!O34</f>
        <v>1.2963882218680001</v>
      </c>
      <c r="P30" s="676">
        <v>0.94569999999999999</v>
      </c>
      <c r="Q30" s="673" t="s">
        <v>604</v>
      </c>
    </row>
    <row r="31" spans="3:17" s="295" customFormat="1" ht="12.75" customHeight="1" x14ac:dyDescent="0.35">
      <c r="C31" s="692" t="s">
        <v>624</v>
      </c>
      <c r="D31" s="693" t="s">
        <v>615</v>
      </c>
      <c r="E31" s="693" t="s">
        <v>609</v>
      </c>
      <c r="F31" s="693" t="s">
        <v>609</v>
      </c>
      <c r="G31" s="694">
        <v>45859</v>
      </c>
      <c r="H31" s="696">
        <v>4590010.09</v>
      </c>
      <c r="I31" s="535"/>
      <c r="J31" s="538">
        <f t="shared" ref="J31:J62" si="7">IFERROR(H31-I31,"-")</f>
        <v>4590010.09</v>
      </c>
      <c r="K31" s="696">
        <v>13226560.32</v>
      </c>
      <c r="L31" s="696">
        <v>13226560.32</v>
      </c>
      <c r="M31" s="546">
        <v>2.88</v>
      </c>
      <c r="N31" s="546">
        <f t="shared" si="6"/>
        <v>2.881597221064061</v>
      </c>
      <c r="O31" s="698">
        <v>1.71</v>
      </c>
      <c r="P31" s="676">
        <v>0</v>
      </c>
      <c r="Q31" s="673" t="s">
        <v>625</v>
      </c>
    </row>
    <row r="32" spans="3:17" s="295" customFormat="1" ht="12.75" customHeight="1" x14ac:dyDescent="0.35">
      <c r="C32" s="692" t="s">
        <v>611</v>
      </c>
      <c r="D32" s="693" t="s">
        <v>615</v>
      </c>
      <c r="E32" s="693" t="s">
        <v>609</v>
      </c>
      <c r="F32" s="693" t="s">
        <v>609</v>
      </c>
      <c r="G32" s="694">
        <v>45898</v>
      </c>
      <c r="H32" s="696">
        <v>11167470.48</v>
      </c>
      <c r="I32" s="535"/>
      <c r="J32" s="538">
        <f t="shared" si="7"/>
        <v>11167470.48</v>
      </c>
      <c r="K32" s="696">
        <v>56285319.140000001</v>
      </c>
      <c r="L32" s="696">
        <v>56285319.140000001</v>
      </c>
      <c r="M32" s="546">
        <v>5.04</v>
      </c>
      <c r="N32" s="546">
        <f t="shared" si="6"/>
        <v>5.0401135369735046</v>
      </c>
      <c r="O32" s="698">
        <v>1.85</v>
      </c>
      <c r="P32" s="676">
        <v>0</v>
      </c>
      <c r="Q32" s="673" t="s">
        <v>625</v>
      </c>
    </row>
    <row r="33" spans="3:17" s="295" customFormat="1" ht="25.5" customHeight="1" x14ac:dyDescent="0.35">
      <c r="C33" s="692" t="s">
        <v>626</v>
      </c>
      <c r="D33" s="693" t="s">
        <v>591</v>
      </c>
      <c r="E33" s="693" t="s">
        <v>609</v>
      </c>
      <c r="F33" s="693" t="s">
        <v>609</v>
      </c>
      <c r="G33" s="694">
        <v>45944</v>
      </c>
      <c r="H33" s="696">
        <v>10548166</v>
      </c>
      <c r="I33" s="535"/>
      <c r="J33" s="538">
        <f t="shared" si="7"/>
        <v>10548166</v>
      </c>
      <c r="K33" s="696">
        <v>47510735</v>
      </c>
      <c r="L33" s="696">
        <v>47510735</v>
      </c>
      <c r="M33" s="546">
        <f t="shared" ref="M33:M64" si="8">IFERROR(K33/J33,"-")</f>
        <v>4.5041702036164395</v>
      </c>
      <c r="N33" s="546">
        <f t="shared" si="6"/>
        <v>4.5041702036164395</v>
      </c>
      <c r="O33" s="696" t="s">
        <v>627</v>
      </c>
      <c r="P33" s="676">
        <v>0.97430000000000005</v>
      </c>
      <c r="Q33" s="673" t="s">
        <v>604</v>
      </c>
    </row>
    <row r="34" spans="3:17" s="295" customFormat="1" ht="25.5" customHeight="1" x14ac:dyDescent="0.35">
      <c r="C34" s="692" t="s">
        <v>605</v>
      </c>
      <c r="D34" s="693" t="s">
        <v>591</v>
      </c>
      <c r="E34" s="693" t="s">
        <v>609</v>
      </c>
      <c r="F34" s="693" t="s">
        <v>609</v>
      </c>
      <c r="G34" s="694">
        <v>45944</v>
      </c>
      <c r="H34" s="696">
        <v>29422622</v>
      </c>
      <c r="I34" s="535"/>
      <c r="J34" s="538">
        <f t="shared" si="7"/>
        <v>29422622</v>
      </c>
      <c r="K34" s="696">
        <v>130797282</v>
      </c>
      <c r="L34" s="696">
        <v>130797282</v>
      </c>
      <c r="M34" s="546">
        <f t="shared" si="8"/>
        <v>4.4454665529129249</v>
      </c>
      <c r="N34" s="546">
        <f t="shared" si="6"/>
        <v>4.4454665529129249</v>
      </c>
      <c r="O34" s="696" t="s">
        <v>628</v>
      </c>
      <c r="P34" s="676">
        <v>0.92090000000000005</v>
      </c>
      <c r="Q34" s="673" t="s">
        <v>604</v>
      </c>
    </row>
    <row r="35" spans="3:17" s="295" customFormat="1" ht="25.5" customHeight="1" x14ac:dyDescent="0.35">
      <c r="C35" s="692" t="s">
        <v>629</v>
      </c>
      <c r="D35" s="693" t="s">
        <v>591</v>
      </c>
      <c r="E35" s="693" t="s">
        <v>592</v>
      </c>
      <c r="F35" s="693" t="s">
        <v>609</v>
      </c>
      <c r="G35" s="694">
        <v>46037</v>
      </c>
      <c r="H35" s="696">
        <v>5411890</v>
      </c>
      <c r="I35" s="535"/>
      <c r="J35" s="538">
        <f t="shared" si="7"/>
        <v>5411890</v>
      </c>
      <c r="K35" s="696">
        <v>30209948</v>
      </c>
      <c r="L35" s="696">
        <v>30209948</v>
      </c>
      <c r="M35" s="546">
        <f t="shared" si="8"/>
        <v>5.5821437612368321</v>
      </c>
      <c r="N35" s="546">
        <f t="shared" si="6"/>
        <v>5.5821437612368321</v>
      </c>
      <c r="O35" s="698">
        <v>1.28</v>
      </c>
      <c r="P35" s="676">
        <v>0.86880000000000002</v>
      </c>
      <c r="Q35" s="673" t="s">
        <v>604</v>
      </c>
    </row>
    <row r="36" spans="3:17" s="295" customFormat="1" ht="12.75" customHeight="1" x14ac:dyDescent="0.35">
      <c r="C36" s="692"/>
      <c r="D36" s="693"/>
      <c r="E36" s="693"/>
      <c r="F36" s="693"/>
      <c r="G36" s="694"/>
      <c r="H36" s="696"/>
      <c r="I36" s="535"/>
      <c r="J36" s="538">
        <f t="shared" si="7"/>
        <v>0</v>
      </c>
      <c r="K36" s="696"/>
      <c r="L36" s="696"/>
      <c r="M36" s="546" t="str">
        <f t="shared" si="8"/>
        <v>-</v>
      </c>
      <c r="N36" s="546" t="str">
        <f t="shared" si="6"/>
        <v>-</v>
      </c>
      <c r="O36" s="696"/>
      <c r="P36" s="676"/>
      <c r="Q36" s="673"/>
    </row>
    <row r="37" spans="3:17" s="295" customFormat="1" ht="12.75" customHeight="1" x14ac:dyDescent="0.35">
      <c r="C37" s="692"/>
      <c r="D37" s="693"/>
      <c r="E37" s="693"/>
      <c r="F37" s="693"/>
      <c r="G37" s="694"/>
      <c r="H37" s="696"/>
      <c r="I37" s="535"/>
      <c r="J37" s="538">
        <f t="shared" si="7"/>
        <v>0</v>
      </c>
      <c r="K37" s="696"/>
      <c r="L37" s="696"/>
      <c r="M37" s="546" t="str">
        <f t="shared" si="8"/>
        <v>-</v>
      </c>
      <c r="N37" s="546" t="str">
        <f t="shared" si="6"/>
        <v>-</v>
      </c>
      <c r="O37" s="696"/>
      <c r="P37" s="676"/>
      <c r="Q37" s="673"/>
    </row>
    <row r="38" spans="3:17" s="295" customFormat="1" ht="12.75" customHeight="1" x14ac:dyDescent="0.35">
      <c r="C38" s="692"/>
      <c r="D38" s="693"/>
      <c r="E38" s="693"/>
      <c r="F38" s="693"/>
      <c r="G38" s="694"/>
      <c r="H38" s="696"/>
      <c r="I38" s="535"/>
      <c r="J38" s="538">
        <f t="shared" si="7"/>
        <v>0</v>
      </c>
      <c r="K38" s="696"/>
      <c r="L38" s="696"/>
      <c r="M38" s="546" t="str">
        <f t="shared" si="8"/>
        <v>-</v>
      </c>
      <c r="N38" s="546" t="str">
        <f t="shared" si="6"/>
        <v>-</v>
      </c>
      <c r="O38" s="696"/>
      <c r="P38" s="676"/>
      <c r="Q38" s="673"/>
    </row>
    <row r="39" spans="3:17" s="295" customFormat="1" ht="12.75" customHeight="1" x14ac:dyDescent="0.35">
      <c r="C39" s="692"/>
      <c r="D39" s="693"/>
      <c r="E39" s="693"/>
      <c r="F39" s="693"/>
      <c r="G39" s="694"/>
      <c r="H39" s="696"/>
      <c r="I39" s="535"/>
      <c r="J39" s="538">
        <f t="shared" si="7"/>
        <v>0</v>
      </c>
      <c r="K39" s="696"/>
      <c r="L39" s="696"/>
      <c r="M39" s="546" t="str">
        <f t="shared" si="8"/>
        <v>-</v>
      </c>
      <c r="N39" s="546" t="str">
        <f t="shared" si="6"/>
        <v>-</v>
      </c>
      <c r="O39" s="696"/>
      <c r="P39" s="676"/>
      <c r="Q39" s="673"/>
    </row>
    <row r="40" spans="3:17" s="295" customFormat="1" ht="12.75" customHeight="1" x14ac:dyDescent="0.35">
      <c r="C40" s="692"/>
      <c r="D40" s="693"/>
      <c r="E40" s="693"/>
      <c r="F40" s="693"/>
      <c r="G40" s="694"/>
      <c r="H40" s="696"/>
      <c r="I40" s="535"/>
      <c r="J40" s="538">
        <f t="shared" si="7"/>
        <v>0</v>
      </c>
      <c r="K40" s="696"/>
      <c r="L40" s="696"/>
      <c r="M40" s="546" t="str">
        <f t="shared" si="8"/>
        <v>-</v>
      </c>
      <c r="N40" s="546" t="str">
        <f t="shared" si="6"/>
        <v>-</v>
      </c>
      <c r="O40" s="696"/>
      <c r="P40" s="676"/>
      <c r="Q40" s="673"/>
    </row>
    <row r="41" spans="3:17" s="295" customFormat="1" ht="12.75" customHeight="1" x14ac:dyDescent="0.35">
      <c r="C41" s="692"/>
      <c r="D41" s="693"/>
      <c r="E41" s="693"/>
      <c r="F41" s="693"/>
      <c r="G41" s="694"/>
      <c r="H41" s="696"/>
      <c r="I41" s="535"/>
      <c r="J41" s="538">
        <f t="shared" si="7"/>
        <v>0</v>
      </c>
      <c r="K41" s="696"/>
      <c r="L41" s="696"/>
      <c r="M41" s="546" t="str">
        <f t="shared" si="8"/>
        <v>-</v>
      </c>
      <c r="N41" s="546" t="str">
        <f t="shared" si="6"/>
        <v>-</v>
      </c>
      <c r="O41" s="696"/>
      <c r="P41" s="676"/>
      <c r="Q41" s="673"/>
    </row>
    <row r="42" spans="3:17" s="295" customFormat="1" ht="12.75" customHeight="1" x14ac:dyDescent="0.35">
      <c r="C42" s="692"/>
      <c r="D42" s="693"/>
      <c r="E42" s="693"/>
      <c r="F42" s="693"/>
      <c r="G42" s="694"/>
      <c r="H42" s="696"/>
      <c r="I42" s="535"/>
      <c r="J42" s="538">
        <f t="shared" si="7"/>
        <v>0</v>
      </c>
      <c r="K42" s="696"/>
      <c r="L42" s="696"/>
      <c r="M42" s="546" t="str">
        <f t="shared" si="8"/>
        <v>-</v>
      </c>
      <c r="N42" s="546" t="str">
        <f t="shared" si="6"/>
        <v>-</v>
      </c>
      <c r="O42" s="696"/>
      <c r="P42" s="676"/>
      <c r="Q42" s="673"/>
    </row>
    <row r="43" spans="3:17" s="295" customFormat="1" ht="12.75" customHeight="1" x14ac:dyDescent="0.35">
      <c r="C43" s="692"/>
      <c r="D43" s="693"/>
      <c r="E43" s="693"/>
      <c r="F43" s="693"/>
      <c r="G43" s="694"/>
      <c r="H43" s="696"/>
      <c r="I43" s="535"/>
      <c r="J43" s="538">
        <f t="shared" si="7"/>
        <v>0</v>
      </c>
      <c r="K43" s="696"/>
      <c r="L43" s="696"/>
      <c r="M43" s="546" t="str">
        <f t="shared" si="8"/>
        <v>-</v>
      </c>
      <c r="N43" s="546" t="str">
        <f t="shared" si="6"/>
        <v>-</v>
      </c>
      <c r="O43" s="696"/>
      <c r="P43" s="676"/>
      <c r="Q43" s="673"/>
    </row>
    <row r="44" spans="3:17" s="295" customFormat="1" ht="12.75" customHeight="1" x14ac:dyDescent="0.35">
      <c r="C44" s="692"/>
      <c r="D44" s="693"/>
      <c r="E44" s="693"/>
      <c r="F44" s="693"/>
      <c r="G44" s="694"/>
      <c r="H44" s="696"/>
      <c r="I44" s="535"/>
      <c r="J44" s="538">
        <f t="shared" si="7"/>
        <v>0</v>
      </c>
      <c r="K44" s="696"/>
      <c r="L44" s="696"/>
      <c r="M44" s="546" t="str">
        <f t="shared" si="8"/>
        <v>-</v>
      </c>
      <c r="N44" s="546" t="str">
        <f t="shared" si="6"/>
        <v>-</v>
      </c>
      <c r="O44" s="696"/>
      <c r="P44" s="676"/>
      <c r="Q44" s="673"/>
    </row>
    <row r="45" spans="3:17" s="295" customFormat="1" ht="12.75" customHeight="1" x14ac:dyDescent="0.35">
      <c r="C45" s="692"/>
      <c r="D45" s="693"/>
      <c r="E45" s="693"/>
      <c r="F45" s="693"/>
      <c r="G45" s="694"/>
      <c r="H45" s="696"/>
      <c r="I45" s="535"/>
      <c r="J45" s="538">
        <f t="shared" si="7"/>
        <v>0</v>
      </c>
      <c r="K45" s="696"/>
      <c r="L45" s="696"/>
      <c r="M45" s="546" t="str">
        <f t="shared" si="8"/>
        <v>-</v>
      </c>
      <c r="N45" s="546" t="str">
        <f t="shared" si="6"/>
        <v>-</v>
      </c>
      <c r="O45" s="696"/>
      <c r="P45" s="676"/>
      <c r="Q45" s="673"/>
    </row>
    <row r="46" spans="3:17" s="295" customFormat="1" ht="12.75" customHeight="1" x14ac:dyDescent="0.35">
      <c r="C46" s="692"/>
      <c r="D46" s="693"/>
      <c r="E46" s="693"/>
      <c r="F46" s="693"/>
      <c r="G46" s="694"/>
      <c r="H46" s="696"/>
      <c r="I46" s="535"/>
      <c r="J46" s="538">
        <f t="shared" si="7"/>
        <v>0</v>
      </c>
      <c r="K46" s="696"/>
      <c r="L46" s="696"/>
      <c r="M46" s="546" t="str">
        <f t="shared" si="8"/>
        <v>-</v>
      </c>
      <c r="N46" s="546" t="str">
        <f t="shared" si="6"/>
        <v>-</v>
      </c>
      <c r="O46" s="696"/>
      <c r="P46" s="676"/>
      <c r="Q46" s="673"/>
    </row>
    <row r="47" spans="3:17" s="295" customFormat="1" ht="12.75" customHeight="1" x14ac:dyDescent="0.35">
      <c r="C47" s="692"/>
      <c r="D47" s="693"/>
      <c r="E47" s="693"/>
      <c r="F47" s="693"/>
      <c r="G47" s="694"/>
      <c r="H47" s="696"/>
      <c r="I47" s="535"/>
      <c r="J47" s="538">
        <f t="shared" si="7"/>
        <v>0</v>
      </c>
      <c r="K47" s="696"/>
      <c r="L47" s="696"/>
      <c r="M47" s="546" t="str">
        <f t="shared" si="8"/>
        <v>-</v>
      </c>
      <c r="N47" s="546" t="str">
        <f t="shared" si="6"/>
        <v>-</v>
      </c>
      <c r="O47" s="696"/>
      <c r="P47" s="676"/>
      <c r="Q47" s="673"/>
    </row>
    <row r="48" spans="3:17" s="295" customFormat="1" ht="12.75" customHeight="1" x14ac:dyDescent="0.35">
      <c r="C48" s="692"/>
      <c r="D48" s="693"/>
      <c r="E48" s="693"/>
      <c r="F48" s="693"/>
      <c r="G48" s="694"/>
      <c r="H48" s="696"/>
      <c r="I48" s="535"/>
      <c r="J48" s="538">
        <f t="shared" si="7"/>
        <v>0</v>
      </c>
      <c r="K48" s="696"/>
      <c r="L48" s="696"/>
      <c r="M48" s="546" t="str">
        <f t="shared" si="8"/>
        <v>-</v>
      </c>
      <c r="N48" s="546" t="str">
        <f t="shared" si="6"/>
        <v>-</v>
      </c>
      <c r="O48" s="696"/>
      <c r="P48" s="676"/>
      <c r="Q48" s="673"/>
    </row>
    <row r="49" spans="3:17" s="295" customFormat="1" ht="12.75" customHeight="1" x14ac:dyDescent="0.35">
      <c r="C49" s="692"/>
      <c r="D49" s="693"/>
      <c r="E49" s="693"/>
      <c r="F49" s="693"/>
      <c r="G49" s="694"/>
      <c r="H49" s="696"/>
      <c r="I49" s="535"/>
      <c r="J49" s="538">
        <f t="shared" si="7"/>
        <v>0</v>
      </c>
      <c r="K49" s="696"/>
      <c r="L49" s="696"/>
      <c r="M49" s="546" t="str">
        <f t="shared" si="8"/>
        <v>-</v>
      </c>
      <c r="N49" s="546" t="str">
        <f t="shared" ref="N49:N80" si="9">IFERROR(L49/J49,"-")</f>
        <v>-</v>
      </c>
      <c r="O49" s="696"/>
      <c r="P49" s="676"/>
      <c r="Q49" s="673"/>
    </row>
    <row r="50" spans="3:17" s="295" customFormat="1" ht="12.75" customHeight="1" x14ac:dyDescent="0.35">
      <c r="C50" s="692"/>
      <c r="D50" s="693"/>
      <c r="E50" s="693"/>
      <c r="F50" s="693"/>
      <c r="G50" s="694"/>
      <c r="H50" s="696"/>
      <c r="I50" s="535"/>
      <c r="J50" s="538">
        <f t="shared" si="7"/>
        <v>0</v>
      </c>
      <c r="K50" s="696"/>
      <c r="L50" s="696"/>
      <c r="M50" s="546" t="str">
        <f t="shared" si="8"/>
        <v>-</v>
      </c>
      <c r="N50" s="546" t="str">
        <f t="shared" si="9"/>
        <v>-</v>
      </c>
      <c r="O50" s="696"/>
      <c r="P50" s="676"/>
      <c r="Q50" s="673"/>
    </row>
    <row r="51" spans="3:17" s="295" customFormat="1" ht="12.75" customHeight="1" x14ac:dyDescent="0.35">
      <c r="C51" s="692"/>
      <c r="D51" s="693"/>
      <c r="E51" s="693"/>
      <c r="F51" s="693"/>
      <c r="G51" s="694"/>
      <c r="H51" s="696"/>
      <c r="I51" s="535"/>
      <c r="J51" s="538">
        <f t="shared" si="7"/>
        <v>0</v>
      </c>
      <c r="K51" s="696"/>
      <c r="L51" s="696"/>
      <c r="M51" s="546" t="str">
        <f t="shared" si="8"/>
        <v>-</v>
      </c>
      <c r="N51" s="546" t="str">
        <f t="shared" si="9"/>
        <v>-</v>
      </c>
      <c r="O51" s="696"/>
      <c r="P51" s="676"/>
      <c r="Q51" s="673"/>
    </row>
    <row r="52" spans="3:17" s="295" customFormat="1" ht="12.75" customHeight="1" x14ac:dyDescent="0.35">
      <c r="C52" s="692"/>
      <c r="D52" s="693"/>
      <c r="E52" s="693"/>
      <c r="F52" s="693"/>
      <c r="G52" s="694"/>
      <c r="H52" s="696"/>
      <c r="I52" s="535"/>
      <c r="J52" s="538">
        <f t="shared" si="7"/>
        <v>0</v>
      </c>
      <c r="K52" s="696"/>
      <c r="L52" s="696"/>
      <c r="M52" s="546" t="str">
        <f t="shared" si="8"/>
        <v>-</v>
      </c>
      <c r="N52" s="546" t="str">
        <f t="shared" si="9"/>
        <v>-</v>
      </c>
      <c r="O52" s="696"/>
      <c r="P52" s="676"/>
      <c r="Q52" s="673"/>
    </row>
    <row r="53" spans="3:17" s="295" customFormat="1" ht="12.75" customHeight="1" x14ac:dyDescent="0.35">
      <c r="C53" s="692"/>
      <c r="D53" s="693"/>
      <c r="E53" s="693"/>
      <c r="F53" s="693"/>
      <c r="G53" s="694"/>
      <c r="H53" s="696"/>
      <c r="I53" s="535"/>
      <c r="J53" s="538">
        <f t="shared" si="7"/>
        <v>0</v>
      </c>
      <c r="K53" s="696"/>
      <c r="L53" s="696"/>
      <c r="M53" s="546" t="str">
        <f t="shared" si="8"/>
        <v>-</v>
      </c>
      <c r="N53" s="546" t="str">
        <f t="shared" si="9"/>
        <v>-</v>
      </c>
      <c r="O53" s="696"/>
      <c r="P53" s="676"/>
      <c r="Q53" s="673"/>
    </row>
    <row r="54" spans="3:17" s="295" customFormat="1" ht="12.75" customHeight="1" x14ac:dyDescent="0.35">
      <c r="C54" s="692"/>
      <c r="D54" s="693"/>
      <c r="E54" s="693"/>
      <c r="F54" s="693"/>
      <c r="G54" s="694"/>
      <c r="H54" s="696"/>
      <c r="I54" s="535"/>
      <c r="J54" s="538">
        <f t="shared" si="7"/>
        <v>0</v>
      </c>
      <c r="K54" s="696"/>
      <c r="L54" s="696"/>
      <c r="M54" s="546" t="str">
        <f t="shared" si="8"/>
        <v>-</v>
      </c>
      <c r="N54" s="546" t="str">
        <f t="shared" si="9"/>
        <v>-</v>
      </c>
      <c r="O54" s="696"/>
      <c r="P54" s="676"/>
      <c r="Q54" s="673"/>
    </row>
    <row r="55" spans="3:17" s="295" customFormat="1" ht="12.75" customHeight="1" x14ac:dyDescent="0.35">
      <c r="C55" s="692"/>
      <c r="D55" s="693"/>
      <c r="E55" s="693"/>
      <c r="F55" s="693"/>
      <c r="G55" s="694"/>
      <c r="H55" s="696"/>
      <c r="I55" s="535"/>
      <c r="J55" s="538">
        <f t="shared" si="7"/>
        <v>0</v>
      </c>
      <c r="K55" s="696"/>
      <c r="L55" s="696"/>
      <c r="M55" s="546" t="str">
        <f t="shared" si="8"/>
        <v>-</v>
      </c>
      <c r="N55" s="546" t="str">
        <f t="shared" si="9"/>
        <v>-</v>
      </c>
      <c r="O55" s="696"/>
      <c r="P55" s="676"/>
      <c r="Q55" s="673"/>
    </row>
    <row r="56" spans="3:17" s="295" customFormat="1" ht="12.75" customHeight="1" x14ac:dyDescent="0.35">
      <c r="C56" s="692"/>
      <c r="D56" s="693"/>
      <c r="E56" s="693"/>
      <c r="F56" s="693"/>
      <c r="G56" s="694"/>
      <c r="H56" s="696"/>
      <c r="I56" s="535"/>
      <c r="J56" s="538">
        <f t="shared" si="7"/>
        <v>0</v>
      </c>
      <c r="K56" s="696"/>
      <c r="L56" s="696"/>
      <c r="M56" s="546" t="str">
        <f t="shared" si="8"/>
        <v>-</v>
      </c>
      <c r="N56" s="546" t="str">
        <f t="shared" si="9"/>
        <v>-</v>
      </c>
      <c r="O56" s="696"/>
      <c r="P56" s="676"/>
      <c r="Q56" s="673"/>
    </row>
    <row r="57" spans="3:17" s="295" customFormat="1" ht="12.75" customHeight="1" x14ac:dyDescent="0.35">
      <c r="C57" s="692"/>
      <c r="D57" s="693"/>
      <c r="E57" s="693"/>
      <c r="F57" s="693"/>
      <c r="G57" s="694"/>
      <c r="H57" s="696"/>
      <c r="I57" s="535"/>
      <c r="J57" s="538">
        <f t="shared" si="7"/>
        <v>0</v>
      </c>
      <c r="K57" s="696"/>
      <c r="L57" s="696"/>
      <c r="M57" s="546" t="str">
        <f t="shared" si="8"/>
        <v>-</v>
      </c>
      <c r="N57" s="546" t="str">
        <f t="shared" si="9"/>
        <v>-</v>
      </c>
      <c r="O57" s="696"/>
      <c r="P57" s="676"/>
      <c r="Q57" s="673"/>
    </row>
    <row r="58" spans="3:17" s="295" customFormat="1" ht="12.75" customHeight="1" x14ac:dyDescent="0.35">
      <c r="C58" s="692"/>
      <c r="D58" s="693"/>
      <c r="E58" s="693"/>
      <c r="F58" s="693"/>
      <c r="G58" s="694"/>
      <c r="H58" s="696"/>
      <c r="I58" s="535"/>
      <c r="J58" s="538">
        <f t="shared" si="7"/>
        <v>0</v>
      </c>
      <c r="K58" s="696"/>
      <c r="L58" s="696"/>
      <c r="M58" s="546" t="str">
        <f t="shared" si="8"/>
        <v>-</v>
      </c>
      <c r="N58" s="546" t="str">
        <f t="shared" si="9"/>
        <v>-</v>
      </c>
      <c r="O58" s="696"/>
      <c r="P58" s="676"/>
      <c r="Q58" s="673"/>
    </row>
    <row r="59" spans="3:17" s="295" customFormat="1" ht="12.75" customHeight="1" x14ac:dyDescent="0.35">
      <c r="C59" s="692"/>
      <c r="D59" s="693"/>
      <c r="E59" s="693"/>
      <c r="F59" s="693"/>
      <c r="G59" s="694"/>
      <c r="H59" s="696"/>
      <c r="I59" s="535"/>
      <c r="J59" s="538">
        <f t="shared" si="7"/>
        <v>0</v>
      </c>
      <c r="K59" s="696"/>
      <c r="L59" s="696"/>
      <c r="M59" s="546" t="str">
        <f t="shared" si="8"/>
        <v>-</v>
      </c>
      <c r="N59" s="546" t="str">
        <f t="shared" si="9"/>
        <v>-</v>
      </c>
      <c r="O59" s="696"/>
      <c r="P59" s="676"/>
      <c r="Q59" s="673"/>
    </row>
    <row r="60" spans="3:17" s="295" customFormat="1" ht="12.75" customHeight="1" x14ac:dyDescent="0.35">
      <c r="C60" s="692"/>
      <c r="D60" s="693"/>
      <c r="E60" s="693"/>
      <c r="F60" s="693"/>
      <c r="G60" s="694"/>
      <c r="H60" s="696"/>
      <c r="I60" s="535"/>
      <c r="J60" s="538">
        <f t="shared" si="7"/>
        <v>0</v>
      </c>
      <c r="K60" s="696"/>
      <c r="L60" s="696"/>
      <c r="M60" s="546" t="str">
        <f t="shared" si="8"/>
        <v>-</v>
      </c>
      <c r="N60" s="546" t="str">
        <f t="shared" si="9"/>
        <v>-</v>
      </c>
      <c r="O60" s="696"/>
      <c r="P60" s="676"/>
      <c r="Q60" s="673"/>
    </row>
    <row r="61" spans="3:17" s="295" customFormat="1" ht="12.75" customHeight="1" x14ac:dyDescent="0.35">
      <c r="C61" s="692"/>
      <c r="D61" s="693"/>
      <c r="E61" s="693"/>
      <c r="F61" s="693"/>
      <c r="G61" s="694"/>
      <c r="H61" s="696"/>
      <c r="I61" s="535"/>
      <c r="J61" s="538">
        <f t="shared" si="7"/>
        <v>0</v>
      </c>
      <c r="K61" s="696"/>
      <c r="L61" s="696"/>
      <c r="M61" s="546" t="str">
        <f t="shared" si="8"/>
        <v>-</v>
      </c>
      <c r="N61" s="546" t="str">
        <f t="shared" si="9"/>
        <v>-</v>
      </c>
      <c r="O61" s="696"/>
      <c r="P61" s="676"/>
      <c r="Q61" s="673"/>
    </row>
    <row r="62" spans="3:17" s="295" customFormat="1" ht="12.75" customHeight="1" x14ac:dyDescent="0.35">
      <c r="C62" s="692"/>
      <c r="D62" s="693"/>
      <c r="E62" s="693"/>
      <c r="F62" s="693"/>
      <c r="G62" s="694"/>
      <c r="H62" s="696"/>
      <c r="I62" s="535"/>
      <c r="J62" s="538">
        <f t="shared" si="7"/>
        <v>0</v>
      </c>
      <c r="K62" s="696"/>
      <c r="L62" s="696"/>
      <c r="M62" s="546" t="str">
        <f t="shared" si="8"/>
        <v>-</v>
      </c>
      <c r="N62" s="546" t="str">
        <f t="shared" si="9"/>
        <v>-</v>
      </c>
      <c r="O62" s="696"/>
      <c r="P62" s="676"/>
      <c r="Q62" s="673"/>
    </row>
    <row r="63" spans="3:17" s="295" customFormat="1" ht="12.75" customHeight="1" x14ac:dyDescent="0.35">
      <c r="C63" s="692"/>
      <c r="D63" s="693"/>
      <c r="E63" s="693"/>
      <c r="F63" s="693"/>
      <c r="G63" s="694"/>
      <c r="H63" s="696"/>
      <c r="I63" s="535"/>
      <c r="J63" s="538">
        <f t="shared" ref="J63:J94" si="10">IFERROR(H63-I63,"-")</f>
        <v>0</v>
      </c>
      <c r="K63" s="696"/>
      <c r="L63" s="696"/>
      <c r="M63" s="546" t="str">
        <f t="shared" si="8"/>
        <v>-</v>
      </c>
      <c r="N63" s="546" t="str">
        <f t="shared" si="9"/>
        <v>-</v>
      </c>
      <c r="O63" s="696"/>
      <c r="P63" s="676"/>
      <c r="Q63" s="673"/>
    </row>
    <row r="64" spans="3:17" s="295" customFormat="1" ht="12.75" customHeight="1" x14ac:dyDescent="0.35">
      <c r="C64" s="692"/>
      <c r="D64" s="693"/>
      <c r="E64" s="693"/>
      <c r="F64" s="693"/>
      <c r="G64" s="694"/>
      <c r="H64" s="696"/>
      <c r="I64" s="535"/>
      <c r="J64" s="538">
        <f t="shared" si="10"/>
        <v>0</v>
      </c>
      <c r="K64" s="696"/>
      <c r="L64" s="696"/>
      <c r="M64" s="546" t="str">
        <f t="shared" si="8"/>
        <v>-</v>
      </c>
      <c r="N64" s="546" t="str">
        <f t="shared" si="9"/>
        <v>-</v>
      </c>
      <c r="O64" s="696"/>
      <c r="P64" s="676"/>
      <c r="Q64" s="673"/>
    </row>
    <row r="65" spans="3:17" s="295" customFormat="1" ht="12.75" customHeight="1" x14ac:dyDescent="0.35">
      <c r="C65" s="692"/>
      <c r="D65" s="693"/>
      <c r="E65" s="693"/>
      <c r="F65" s="693"/>
      <c r="G65" s="694"/>
      <c r="H65" s="696"/>
      <c r="I65" s="535"/>
      <c r="J65" s="538">
        <f t="shared" si="10"/>
        <v>0</v>
      </c>
      <c r="K65" s="696"/>
      <c r="L65" s="696"/>
      <c r="M65" s="546" t="str">
        <f t="shared" ref="M65:M96" si="11">IFERROR(K65/J65,"-")</f>
        <v>-</v>
      </c>
      <c r="N65" s="546" t="str">
        <f t="shared" si="9"/>
        <v>-</v>
      </c>
      <c r="O65" s="696"/>
      <c r="P65" s="676"/>
      <c r="Q65" s="673"/>
    </row>
    <row r="66" spans="3:17" s="295" customFormat="1" ht="12.75" customHeight="1" x14ac:dyDescent="0.35">
      <c r="C66" s="692"/>
      <c r="D66" s="693"/>
      <c r="E66" s="693"/>
      <c r="F66" s="693"/>
      <c r="G66" s="694"/>
      <c r="H66" s="696"/>
      <c r="I66" s="535"/>
      <c r="J66" s="538">
        <f t="shared" si="10"/>
        <v>0</v>
      </c>
      <c r="K66" s="696"/>
      <c r="L66" s="696"/>
      <c r="M66" s="546" t="str">
        <f t="shared" si="11"/>
        <v>-</v>
      </c>
      <c r="N66" s="546" t="str">
        <f t="shared" si="9"/>
        <v>-</v>
      </c>
      <c r="O66" s="696"/>
      <c r="P66" s="676"/>
      <c r="Q66" s="673"/>
    </row>
    <row r="67" spans="3:17" s="295" customFormat="1" ht="12.75" customHeight="1" x14ac:dyDescent="0.35">
      <c r="C67" s="692"/>
      <c r="D67" s="693"/>
      <c r="E67" s="693"/>
      <c r="F67" s="693"/>
      <c r="G67" s="694"/>
      <c r="H67" s="696"/>
      <c r="I67" s="535"/>
      <c r="J67" s="538">
        <f t="shared" si="10"/>
        <v>0</v>
      </c>
      <c r="K67" s="696"/>
      <c r="L67" s="696"/>
      <c r="M67" s="546" t="str">
        <f t="shared" si="11"/>
        <v>-</v>
      </c>
      <c r="N67" s="546" t="str">
        <f t="shared" si="9"/>
        <v>-</v>
      </c>
      <c r="O67" s="696"/>
      <c r="P67" s="676"/>
      <c r="Q67" s="673"/>
    </row>
    <row r="68" spans="3:17" s="295" customFormat="1" ht="12.75" customHeight="1" x14ac:dyDescent="0.35">
      <c r="C68" s="692"/>
      <c r="D68" s="693"/>
      <c r="E68" s="693"/>
      <c r="F68" s="693"/>
      <c r="G68" s="694"/>
      <c r="H68" s="696"/>
      <c r="I68" s="535"/>
      <c r="J68" s="538">
        <f t="shared" si="10"/>
        <v>0</v>
      </c>
      <c r="K68" s="696"/>
      <c r="L68" s="696"/>
      <c r="M68" s="546" t="str">
        <f t="shared" si="11"/>
        <v>-</v>
      </c>
      <c r="N68" s="546" t="str">
        <f t="shared" si="9"/>
        <v>-</v>
      </c>
      <c r="O68" s="696"/>
      <c r="P68" s="676"/>
      <c r="Q68" s="673"/>
    </row>
    <row r="69" spans="3:17" s="295" customFormat="1" ht="12.75" customHeight="1" x14ac:dyDescent="0.35">
      <c r="C69" s="692"/>
      <c r="D69" s="693"/>
      <c r="E69" s="693"/>
      <c r="F69" s="693"/>
      <c r="G69" s="694"/>
      <c r="H69" s="696"/>
      <c r="I69" s="535"/>
      <c r="J69" s="538">
        <f t="shared" si="10"/>
        <v>0</v>
      </c>
      <c r="K69" s="696"/>
      <c r="L69" s="696"/>
      <c r="M69" s="546" t="str">
        <f t="shared" si="11"/>
        <v>-</v>
      </c>
      <c r="N69" s="546" t="str">
        <f t="shared" si="9"/>
        <v>-</v>
      </c>
      <c r="O69" s="696"/>
      <c r="P69" s="676"/>
      <c r="Q69" s="673"/>
    </row>
    <row r="70" spans="3:17" s="295" customFormat="1" ht="12.75" customHeight="1" x14ac:dyDescent="0.35">
      <c r="C70" s="692"/>
      <c r="D70" s="693"/>
      <c r="E70" s="693"/>
      <c r="F70" s="693"/>
      <c r="G70" s="694"/>
      <c r="H70" s="696"/>
      <c r="I70" s="535"/>
      <c r="J70" s="538">
        <f t="shared" si="10"/>
        <v>0</v>
      </c>
      <c r="K70" s="696"/>
      <c r="L70" s="696"/>
      <c r="M70" s="546" t="str">
        <f t="shared" si="11"/>
        <v>-</v>
      </c>
      <c r="N70" s="546" t="str">
        <f t="shared" si="9"/>
        <v>-</v>
      </c>
      <c r="O70" s="696"/>
      <c r="P70" s="676"/>
      <c r="Q70" s="673"/>
    </row>
    <row r="71" spans="3:17" s="295" customFormat="1" ht="12.75" customHeight="1" x14ac:dyDescent="0.35">
      <c r="C71" s="692"/>
      <c r="D71" s="693"/>
      <c r="E71" s="693"/>
      <c r="F71" s="693"/>
      <c r="G71" s="694"/>
      <c r="H71" s="696"/>
      <c r="I71" s="535"/>
      <c r="J71" s="538">
        <f t="shared" si="10"/>
        <v>0</v>
      </c>
      <c r="K71" s="696"/>
      <c r="L71" s="696"/>
      <c r="M71" s="546" t="str">
        <f t="shared" si="11"/>
        <v>-</v>
      </c>
      <c r="N71" s="546" t="str">
        <f t="shared" si="9"/>
        <v>-</v>
      </c>
      <c r="O71" s="696"/>
      <c r="P71" s="676"/>
      <c r="Q71" s="673"/>
    </row>
    <row r="72" spans="3:17" s="295" customFormat="1" ht="12.75" customHeight="1" x14ac:dyDescent="0.35">
      <c r="C72" s="692"/>
      <c r="D72" s="693"/>
      <c r="E72" s="693"/>
      <c r="F72" s="693"/>
      <c r="G72" s="694"/>
      <c r="H72" s="696"/>
      <c r="I72" s="535"/>
      <c r="J72" s="538">
        <f t="shared" si="10"/>
        <v>0</v>
      </c>
      <c r="K72" s="696"/>
      <c r="L72" s="696"/>
      <c r="M72" s="546" t="str">
        <f t="shared" si="11"/>
        <v>-</v>
      </c>
      <c r="N72" s="546" t="str">
        <f t="shared" si="9"/>
        <v>-</v>
      </c>
      <c r="O72" s="696"/>
      <c r="P72" s="676"/>
      <c r="Q72" s="673"/>
    </row>
    <row r="73" spans="3:17" s="295" customFormat="1" ht="12.75" customHeight="1" x14ac:dyDescent="0.35">
      <c r="C73" s="692"/>
      <c r="D73" s="693"/>
      <c r="E73" s="693"/>
      <c r="F73" s="693"/>
      <c r="G73" s="694"/>
      <c r="H73" s="696"/>
      <c r="I73" s="535"/>
      <c r="J73" s="538">
        <f t="shared" si="10"/>
        <v>0</v>
      </c>
      <c r="K73" s="696"/>
      <c r="L73" s="696"/>
      <c r="M73" s="546" t="str">
        <f t="shared" si="11"/>
        <v>-</v>
      </c>
      <c r="N73" s="546" t="str">
        <f t="shared" si="9"/>
        <v>-</v>
      </c>
      <c r="O73" s="696"/>
      <c r="P73" s="676"/>
      <c r="Q73" s="673"/>
    </row>
    <row r="74" spans="3:17" s="295" customFormat="1" ht="12.75" customHeight="1" x14ac:dyDescent="0.35">
      <c r="C74" s="692"/>
      <c r="D74" s="693"/>
      <c r="E74" s="693"/>
      <c r="F74" s="693"/>
      <c r="G74" s="694"/>
      <c r="H74" s="696"/>
      <c r="I74" s="535"/>
      <c r="J74" s="538">
        <f t="shared" si="10"/>
        <v>0</v>
      </c>
      <c r="K74" s="696"/>
      <c r="L74" s="696"/>
      <c r="M74" s="546" t="str">
        <f t="shared" si="11"/>
        <v>-</v>
      </c>
      <c r="N74" s="546" t="str">
        <f t="shared" si="9"/>
        <v>-</v>
      </c>
      <c r="O74" s="696"/>
      <c r="P74" s="676"/>
      <c r="Q74" s="673"/>
    </row>
    <row r="75" spans="3:17" s="295" customFormat="1" ht="12.75" customHeight="1" x14ac:dyDescent="0.35">
      <c r="C75" s="692"/>
      <c r="D75" s="693"/>
      <c r="E75" s="693"/>
      <c r="F75" s="693"/>
      <c r="G75" s="694"/>
      <c r="H75" s="696"/>
      <c r="I75" s="535"/>
      <c r="J75" s="538">
        <f t="shared" si="10"/>
        <v>0</v>
      </c>
      <c r="K75" s="696"/>
      <c r="L75" s="696"/>
      <c r="M75" s="546" t="str">
        <f t="shared" si="11"/>
        <v>-</v>
      </c>
      <c r="N75" s="546" t="str">
        <f t="shared" si="9"/>
        <v>-</v>
      </c>
      <c r="O75" s="696"/>
      <c r="P75" s="676"/>
      <c r="Q75" s="673"/>
    </row>
    <row r="76" spans="3:17" s="295" customFormat="1" ht="12.75" customHeight="1" x14ac:dyDescent="0.35">
      <c r="C76" s="692"/>
      <c r="D76" s="693"/>
      <c r="E76" s="693"/>
      <c r="F76" s="693"/>
      <c r="G76" s="694"/>
      <c r="H76" s="696"/>
      <c r="I76" s="535"/>
      <c r="J76" s="538">
        <f t="shared" si="10"/>
        <v>0</v>
      </c>
      <c r="K76" s="696"/>
      <c r="L76" s="696"/>
      <c r="M76" s="546" t="str">
        <f t="shared" si="11"/>
        <v>-</v>
      </c>
      <c r="N76" s="546" t="str">
        <f t="shared" si="9"/>
        <v>-</v>
      </c>
      <c r="O76" s="696"/>
      <c r="P76" s="676"/>
      <c r="Q76" s="673"/>
    </row>
    <row r="77" spans="3:17" s="295" customFormat="1" ht="12.75" customHeight="1" x14ac:dyDescent="0.35">
      <c r="C77" s="692"/>
      <c r="D77" s="693"/>
      <c r="E77" s="693"/>
      <c r="F77" s="693"/>
      <c r="G77" s="694"/>
      <c r="H77" s="696"/>
      <c r="I77" s="535"/>
      <c r="J77" s="538">
        <f t="shared" si="10"/>
        <v>0</v>
      </c>
      <c r="K77" s="696"/>
      <c r="L77" s="696"/>
      <c r="M77" s="546" t="str">
        <f t="shared" si="11"/>
        <v>-</v>
      </c>
      <c r="N77" s="546" t="str">
        <f t="shared" si="9"/>
        <v>-</v>
      </c>
      <c r="O77" s="696"/>
      <c r="P77" s="676"/>
      <c r="Q77" s="673"/>
    </row>
    <row r="78" spans="3:17" s="295" customFormat="1" ht="12.75" customHeight="1" x14ac:dyDescent="0.35">
      <c r="C78" s="692"/>
      <c r="D78" s="693"/>
      <c r="E78" s="693"/>
      <c r="F78" s="693"/>
      <c r="G78" s="694"/>
      <c r="H78" s="696"/>
      <c r="I78" s="535"/>
      <c r="J78" s="538">
        <f t="shared" si="10"/>
        <v>0</v>
      </c>
      <c r="K78" s="696"/>
      <c r="L78" s="696"/>
      <c r="M78" s="546" t="str">
        <f t="shared" si="11"/>
        <v>-</v>
      </c>
      <c r="N78" s="546" t="str">
        <f t="shared" si="9"/>
        <v>-</v>
      </c>
      <c r="O78" s="696"/>
      <c r="P78" s="676"/>
      <c r="Q78" s="673"/>
    </row>
    <row r="79" spans="3:17" s="295" customFormat="1" ht="12.75" customHeight="1" x14ac:dyDescent="0.35">
      <c r="C79" s="692"/>
      <c r="D79" s="693"/>
      <c r="E79" s="693"/>
      <c r="F79" s="693"/>
      <c r="G79" s="694"/>
      <c r="H79" s="696"/>
      <c r="I79" s="535"/>
      <c r="J79" s="538">
        <f t="shared" si="10"/>
        <v>0</v>
      </c>
      <c r="K79" s="696"/>
      <c r="L79" s="696"/>
      <c r="M79" s="546" t="str">
        <f t="shared" si="11"/>
        <v>-</v>
      </c>
      <c r="N79" s="546" t="str">
        <f t="shared" si="9"/>
        <v>-</v>
      </c>
      <c r="O79" s="696"/>
      <c r="P79" s="676"/>
      <c r="Q79" s="673"/>
    </row>
    <row r="80" spans="3:17" s="295" customFormat="1" ht="12.75" customHeight="1" x14ac:dyDescent="0.35">
      <c r="C80" s="692"/>
      <c r="D80" s="693"/>
      <c r="E80" s="693"/>
      <c r="F80" s="693"/>
      <c r="G80" s="694"/>
      <c r="H80" s="696"/>
      <c r="I80" s="535"/>
      <c r="J80" s="538">
        <f t="shared" si="10"/>
        <v>0</v>
      </c>
      <c r="K80" s="696"/>
      <c r="L80" s="696"/>
      <c r="M80" s="546" t="str">
        <f t="shared" si="11"/>
        <v>-</v>
      </c>
      <c r="N80" s="546" t="str">
        <f t="shared" si="9"/>
        <v>-</v>
      </c>
      <c r="O80" s="696"/>
      <c r="P80" s="676"/>
      <c r="Q80" s="673"/>
    </row>
    <row r="81" spans="3:17" s="295" customFormat="1" ht="12.75" customHeight="1" x14ac:dyDescent="0.35">
      <c r="C81" s="692"/>
      <c r="D81" s="693"/>
      <c r="E81" s="693"/>
      <c r="F81" s="693"/>
      <c r="G81" s="694"/>
      <c r="H81" s="696"/>
      <c r="I81" s="535"/>
      <c r="J81" s="538">
        <f t="shared" si="10"/>
        <v>0</v>
      </c>
      <c r="K81" s="696"/>
      <c r="L81" s="696"/>
      <c r="M81" s="546" t="str">
        <f t="shared" si="11"/>
        <v>-</v>
      </c>
      <c r="N81" s="546" t="str">
        <f t="shared" ref="N81:N96" si="12">IFERROR(L81/J81,"-")</f>
        <v>-</v>
      </c>
      <c r="O81" s="696"/>
      <c r="P81" s="676"/>
      <c r="Q81" s="673"/>
    </row>
    <row r="82" spans="3:17" s="295" customFormat="1" ht="12.75" customHeight="1" x14ac:dyDescent="0.35">
      <c r="C82" s="692"/>
      <c r="D82" s="693"/>
      <c r="E82" s="693"/>
      <c r="F82" s="693"/>
      <c r="G82" s="694"/>
      <c r="H82" s="696"/>
      <c r="I82" s="535"/>
      <c r="J82" s="538">
        <f t="shared" si="10"/>
        <v>0</v>
      </c>
      <c r="K82" s="696"/>
      <c r="L82" s="696"/>
      <c r="M82" s="546" t="str">
        <f t="shared" si="11"/>
        <v>-</v>
      </c>
      <c r="N82" s="546" t="str">
        <f t="shared" si="12"/>
        <v>-</v>
      </c>
      <c r="O82" s="696"/>
      <c r="P82" s="676"/>
      <c r="Q82" s="673"/>
    </row>
    <row r="83" spans="3:17" s="295" customFormat="1" ht="12.75" customHeight="1" x14ac:dyDescent="0.35">
      <c r="C83" s="692"/>
      <c r="D83" s="693"/>
      <c r="E83" s="693"/>
      <c r="F83" s="693"/>
      <c r="G83" s="694"/>
      <c r="H83" s="696"/>
      <c r="I83" s="535"/>
      <c r="J83" s="538">
        <f t="shared" si="10"/>
        <v>0</v>
      </c>
      <c r="K83" s="696"/>
      <c r="L83" s="696"/>
      <c r="M83" s="546" t="str">
        <f t="shared" si="11"/>
        <v>-</v>
      </c>
      <c r="N83" s="546" t="str">
        <f t="shared" si="12"/>
        <v>-</v>
      </c>
      <c r="O83" s="696"/>
      <c r="P83" s="676"/>
      <c r="Q83" s="673"/>
    </row>
    <row r="84" spans="3:17" s="295" customFormat="1" ht="12.75" customHeight="1" x14ac:dyDescent="0.35">
      <c r="C84" s="692"/>
      <c r="D84" s="693"/>
      <c r="E84" s="693"/>
      <c r="F84" s="693"/>
      <c r="G84" s="694"/>
      <c r="H84" s="696"/>
      <c r="I84" s="535"/>
      <c r="J84" s="538">
        <f t="shared" si="10"/>
        <v>0</v>
      </c>
      <c r="K84" s="696"/>
      <c r="L84" s="696"/>
      <c r="M84" s="546" t="str">
        <f t="shared" si="11"/>
        <v>-</v>
      </c>
      <c r="N84" s="546" t="str">
        <f t="shared" si="12"/>
        <v>-</v>
      </c>
      <c r="O84" s="696"/>
      <c r="P84" s="676"/>
      <c r="Q84" s="673"/>
    </row>
    <row r="85" spans="3:17" s="295" customFormat="1" ht="12.75" customHeight="1" x14ac:dyDescent="0.35">
      <c r="C85" s="692"/>
      <c r="D85" s="693"/>
      <c r="E85" s="693"/>
      <c r="F85" s="693"/>
      <c r="G85" s="694"/>
      <c r="H85" s="696"/>
      <c r="I85" s="535"/>
      <c r="J85" s="538">
        <f t="shared" si="10"/>
        <v>0</v>
      </c>
      <c r="K85" s="696"/>
      <c r="L85" s="696"/>
      <c r="M85" s="546" t="str">
        <f t="shared" si="11"/>
        <v>-</v>
      </c>
      <c r="N85" s="546" t="str">
        <f t="shared" si="12"/>
        <v>-</v>
      </c>
      <c r="O85" s="696"/>
      <c r="P85" s="676"/>
      <c r="Q85" s="673"/>
    </row>
    <row r="86" spans="3:17" s="295" customFormat="1" ht="12.75" customHeight="1" x14ac:dyDescent="0.35">
      <c r="C86" s="692"/>
      <c r="D86" s="693"/>
      <c r="E86" s="693"/>
      <c r="F86" s="693"/>
      <c r="G86" s="694"/>
      <c r="H86" s="696"/>
      <c r="I86" s="535"/>
      <c r="J86" s="538">
        <f t="shared" si="10"/>
        <v>0</v>
      </c>
      <c r="K86" s="696"/>
      <c r="L86" s="696"/>
      <c r="M86" s="546" t="str">
        <f t="shared" si="11"/>
        <v>-</v>
      </c>
      <c r="N86" s="546" t="str">
        <f t="shared" si="12"/>
        <v>-</v>
      </c>
      <c r="O86" s="696"/>
      <c r="P86" s="676"/>
      <c r="Q86" s="673"/>
    </row>
    <row r="87" spans="3:17" s="295" customFormat="1" ht="12.75" customHeight="1" x14ac:dyDescent="0.35">
      <c r="C87" s="692"/>
      <c r="D87" s="693"/>
      <c r="E87" s="693"/>
      <c r="F87" s="693"/>
      <c r="G87" s="694"/>
      <c r="H87" s="696"/>
      <c r="I87" s="535"/>
      <c r="J87" s="538">
        <f t="shared" si="10"/>
        <v>0</v>
      </c>
      <c r="K87" s="696"/>
      <c r="L87" s="696"/>
      <c r="M87" s="546" t="str">
        <f t="shared" si="11"/>
        <v>-</v>
      </c>
      <c r="N87" s="546" t="str">
        <f t="shared" si="12"/>
        <v>-</v>
      </c>
      <c r="O87" s="696"/>
      <c r="P87" s="676"/>
      <c r="Q87" s="673"/>
    </row>
    <row r="88" spans="3:17" s="295" customFormat="1" ht="12.75" customHeight="1" x14ac:dyDescent="0.35">
      <c r="C88" s="692"/>
      <c r="D88" s="693"/>
      <c r="E88" s="693"/>
      <c r="F88" s="693"/>
      <c r="G88" s="694"/>
      <c r="H88" s="696"/>
      <c r="I88" s="535"/>
      <c r="J88" s="538">
        <f t="shared" si="10"/>
        <v>0</v>
      </c>
      <c r="K88" s="696"/>
      <c r="L88" s="696"/>
      <c r="M88" s="546" t="str">
        <f t="shared" si="11"/>
        <v>-</v>
      </c>
      <c r="N88" s="546" t="str">
        <f t="shared" si="12"/>
        <v>-</v>
      </c>
      <c r="O88" s="696"/>
      <c r="P88" s="676"/>
      <c r="Q88" s="673"/>
    </row>
    <row r="89" spans="3:17" s="295" customFormat="1" ht="12.75" customHeight="1" x14ac:dyDescent="0.35">
      <c r="C89" s="692"/>
      <c r="D89" s="693"/>
      <c r="E89" s="693"/>
      <c r="F89" s="693"/>
      <c r="G89" s="694"/>
      <c r="H89" s="696"/>
      <c r="I89" s="535"/>
      <c r="J89" s="538">
        <f t="shared" si="10"/>
        <v>0</v>
      </c>
      <c r="K89" s="696"/>
      <c r="L89" s="696"/>
      <c r="M89" s="546" t="str">
        <f t="shared" si="11"/>
        <v>-</v>
      </c>
      <c r="N89" s="546" t="str">
        <f t="shared" si="12"/>
        <v>-</v>
      </c>
      <c r="O89" s="696"/>
      <c r="P89" s="676"/>
      <c r="Q89" s="673"/>
    </row>
    <row r="90" spans="3:17" s="295" customFormat="1" ht="12.75" customHeight="1" x14ac:dyDescent="0.35">
      <c r="C90" s="692"/>
      <c r="D90" s="693"/>
      <c r="E90" s="693"/>
      <c r="F90" s="693"/>
      <c r="G90" s="694"/>
      <c r="H90" s="696"/>
      <c r="I90" s="535"/>
      <c r="J90" s="538">
        <f t="shared" si="10"/>
        <v>0</v>
      </c>
      <c r="K90" s="696"/>
      <c r="L90" s="696"/>
      <c r="M90" s="546" t="str">
        <f t="shared" si="11"/>
        <v>-</v>
      </c>
      <c r="N90" s="546" t="str">
        <f t="shared" si="12"/>
        <v>-</v>
      </c>
      <c r="O90" s="696"/>
      <c r="P90" s="676"/>
      <c r="Q90" s="673"/>
    </row>
    <row r="91" spans="3:17" s="295" customFormat="1" ht="12.75" customHeight="1" x14ac:dyDescent="0.35">
      <c r="C91" s="692"/>
      <c r="D91" s="693"/>
      <c r="E91" s="693"/>
      <c r="F91" s="693"/>
      <c r="G91" s="694"/>
      <c r="H91" s="696"/>
      <c r="I91" s="535"/>
      <c r="J91" s="538">
        <f t="shared" si="10"/>
        <v>0</v>
      </c>
      <c r="K91" s="696"/>
      <c r="L91" s="696"/>
      <c r="M91" s="546" t="str">
        <f t="shared" si="11"/>
        <v>-</v>
      </c>
      <c r="N91" s="546" t="str">
        <f t="shared" si="12"/>
        <v>-</v>
      </c>
      <c r="O91" s="696"/>
      <c r="P91" s="676"/>
      <c r="Q91" s="673"/>
    </row>
    <row r="92" spans="3:17" s="295" customFormat="1" ht="12.75" customHeight="1" x14ac:dyDescent="0.35">
      <c r="C92" s="692"/>
      <c r="D92" s="693"/>
      <c r="E92" s="693"/>
      <c r="F92" s="693"/>
      <c r="G92" s="694"/>
      <c r="H92" s="696"/>
      <c r="I92" s="535"/>
      <c r="J92" s="538">
        <f t="shared" si="10"/>
        <v>0</v>
      </c>
      <c r="K92" s="696"/>
      <c r="L92" s="696"/>
      <c r="M92" s="546" t="str">
        <f t="shared" si="11"/>
        <v>-</v>
      </c>
      <c r="N92" s="546" t="str">
        <f t="shared" si="12"/>
        <v>-</v>
      </c>
      <c r="O92" s="696"/>
      <c r="P92" s="676"/>
      <c r="Q92" s="673"/>
    </row>
    <row r="93" spans="3:17" s="295" customFormat="1" ht="12.75" customHeight="1" x14ac:dyDescent="0.35">
      <c r="C93" s="692"/>
      <c r="D93" s="693"/>
      <c r="E93" s="693"/>
      <c r="F93" s="693"/>
      <c r="G93" s="694"/>
      <c r="H93" s="696"/>
      <c r="I93" s="535"/>
      <c r="J93" s="538">
        <f t="shared" si="10"/>
        <v>0</v>
      </c>
      <c r="K93" s="696"/>
      <c r="L93" s="696"/>
      <c r="M93" s="546" t="str">
        <f t="shared" si="11"/>
        <v>-</v>
      </c>
      <c r="N93" s="546" t="str">
        <f t="shared" si="12"/>
        <v>-</v>
      </c>
      <c r="O93" s="696"/>
      <c r="P93" s="676"/>
      <c r="Q93" s="673"/>
    </row>
    <row r="94" spans="3:17" s="295" customFormat="1" ht="12.75" customHeight="1" x14ac:dyDescent="0.35">
      <c r="C94" s="692"/>
      <c r="D94" s="693"/>
      <c r="E94" s="693"/>
      <c r="F94" s="693"/>
      <c r="G94" s="694"/>
      <c r="H94" s="696"/>
      <c r="I94" s="535"/>
      <c r="J94" s="538">
        <f t="shared" si="10"/>
        <v>0</v>
      </c>
      <c r="K94" s="696"/>
      <c r="L94" s="696"/>
      <c r="M94" s="546" t="str">
        <f t="shared" si="11"/>
        <v>-</v>
      </c>
      <c r="N94" s="546" t="str">
        <f t="shared" si="12"/>
        <v>-</v>
      </c>
      <c r="O94" s="696"/>
      <c r="P94" s="676"/>
      <c r="Q94" s="673"/>
    </row>
    <row r="95" spans="3:17" s="295" customFormat="1" ht="12.75" customHeight="1" x14ac:dyDescent="0.35">
      <c r="C95" s="692"/>
      <c r="D95" s="693"/>
      <c r="E95" s="693"/>
      <c r="F95" s="693"/>
      <c r="G95" s="694"/>
      <c r="H95" s="696"/>
      <c r="I95" s="535"/>
      <c r="J95" s="538">
        <f t="shared" ref="J95:J96" si="13">IFERROR(H95-I95,"-")</f>
        <v>0</v>
      </c>
      <c r="K95" s="696"/>
      <c r="L95" s="696"/>
      <c r="M95" s="546" t="str">
        <f t="shared" si="11"/>
        <v>-</v>
      </c>
      <c r="N95" s="546" t="str">
        <f t="shared" si="12"/>
        <v>-</v>
      </c>
      <c r="O95" s="696"/>
      <c r="P95" s="676"/>
      <c r="Q95" s="673"/>
    </row>
    <row r="96" spans="3:17" s="295" customFormat="1" ht="12.75" customHeight="1" x14ac:dyDescent="0.35">
      <c r="C96" s="692"/>
      <c r="D96" s="693"/>
      <c r="E96" s="693"/>
      <c r="F96" s="693"/>
      <c r="G96" s="694"/>
      <c r="H96" s="696"/>
      <c r="I96" s="535"/>
      <c r="J96" s="538">
        <f t="shared" si="13"/>
        <v>0</v>
      </c>
      <c r="K96" s="696"/>
      <c r="L96" s="696"/>
      <c r="M96" s="546" t="str">
        <f t="shared" si="11"/>
        <v>-</v>
      </c>
      <c r="N96" s="546" t="str">
        <f t="shared" si="12"/>
        <v>-</v>
      </c>
      <c r="O96" s="696"/>
      <c r="P96" s="676"/>
      <c r="Q96" s="673"/>
    </row>
    <row r="97" spans="3:17" s="295" customFormat="1" ht="12.75" customHeight="1" x14ac:dyDescent="0.35">
      <c r="C97" s="541"/>
      <c r="H97" s="342"/>
      <c r="I97" s="342"/>
      <c r="J97" s="342"/>
      <c r="M97" s="342"/>
      <c r="N97" s="342"/>
      <c r="O97" s="529"/>
      <c r="Q97" s="613"/>
    </row>
    <row r="98" spans="3:17" s="295" customFormat="1" ht="12.75" customHeight="1" x14ac:dyDescent="0.35">
      <c r="C98" s="541"/>
      <c r="H98" s="342"/>
      <c r="I98" s="342"/>
      <c r="J98" s="342"/>
      <c r="M98" s="342"/>
      <c r="N98" s="342"/>
      <c r="O98" s="529"/>
      <c r="Q98" s="613"/>
    </row>
    <row r="99" spans="3:17" s="295" customFormat="1" ht="12.75" customHeight="1" x14ac:dyDescent="0.35">
      <c r="C99" s="541"/>
      <c r="H99" s="342"/>
      <c r="I99" s="342"/>
      <c r="J99" s="342"/>
      <c r="M99" s="342"/>
      <c r="N99" s="342"/>
      <c r="O99" s="529"/>
      <c r="Q99" s="613"/>
    </row>
    <row r="100" spans="3:17" s="295" customFormat="1" ht="12.75" customHeight="1" x14ac:dyDescent="0.35">
      <c r="C100" s="541"/>
      <c r="H100" s="342"/>
      <c r="I100" s="342"/>
      <c r="J100" s="342"/>
      <c r="M100" s="342"/>
      <c r="N100" s="342"/>
      <c r="O100" s="529"/>
      <c r="Q100" s="613"/>
    </row>
    <row r="101" spans="3:17" s="295" customFormat="1" ht="12.75" customHeight="1" x14ac:dyDescent="0.35">
      <c r="C101" s="541"/>
      <c r="H101" s="342"/>
      <c r="I101" s="342"/>
      <c r="J101" s="342"/>
      <c r="M101" s="342"/>
      <c r="N101" s="342"/>
      <c r="O101" s="529"/>
      <c r="Q101" s="613"/>
    </row>
    <row r="102" spans="3:17" s="295" customFormat="1" ht="12.75" customHeight="1" x14ac:dyDescent="0.35">
      <c r="C102" s="541"/>
      <c r="H102" s="342"/>
      <c r="I102" s="342"/>
      <c r="J102" s="342"/>
      <c r="M102" s="342"/>
      <c r="N102" s="342"/>
      <c r="O102" s="529"/>
      <c r="Q102" s="613"/>
    </row>
    <row r="103" spans="3:17" s="295" customFormat="1" ht="12.75" customHeight="1" x14ac:dyDescent="0.35">
      <c r="C103" s="541"/>
      <c r="H103" s="342"/>
      <c r="I103" s="342"/>
      <c r="J103" s="342"/>
      <c r="M103" s="342"/>
      <c r="N103" s="342"/>
      <c r="O103" s="529"/>
      <c r="Q103" s="613"/>
    </row>
    <row r="104" spans="3:17" s="295" customFormat="1" ht="12.75" customHeight="1" x14ac:dyDescent="0.35">
      <c r="C104" s="541"/>
      <c r="H104" s="342"/>
      <c r="I104" s="342"/>
      <c r="J104" s="342"/>
      <c r="M104" s="342"/>
      <c r="N104" s="342"/>
      <c r="O104" s="529"/>
      <c r="Q104" s="613"/>
    </row>
    <row r="105" spans="3:17" s="295" customFormat="1" ht="12.75" customHeight="1" x14ac:dyDescent="0.35">
      <c r="C105" s="541"/>
      <c r="H105" s="342"/>
      <c r="I105" s="342"/>
      <c r="J105" s="342"/>
      <c r="M105" s="342"/>
      <c r="N105" s="342"/>
      <c r="O105" s="529"/>
      <c r="Q105" s="613"/>
    </row>
    <row r="106" spans="3:17" s="295" customFormat="1" ht="12.75" customHeight="1" x14ac:dyDescent="0.35">
      <c r="C106" s="541"/>
      <c r="H106" s="342"/>
      <c r="I106" s="342"/>
      <c r="J106" s="342"/>
      <c r="M106" s="342"/>
      <c r="N106" s="342"/>
      <c r="O106" s="529"/>
      <c r="Q106" s="613"/>
    </row>
    <row r="107" spans="3:17" s="295" customFormat="1" ht="12.75" customHeight="1" x14ac:dyDescent="0.35">
      <c r="C107" s="541"/>
      <c r="H107" s="342"/>
      <c r="I107" s="342"/>
      <c r="J107" s="342"/>
      <c r="M107" s="342"/>
      <c r="N107" s="342"/>
      <c r="O107" s="529"/>
      <c r="Q107" s="613"/>
    </row>
    <row r="108" spans="3:17" s="295" customFormat="1" ht="12.75" customHeight="1" x14ac:dyDescent="0.35">
      <c r="C108" s="541"/>
      <c r="H108" s="342"/>
      <c r="I108" s="342"/>
      <c r="J108" s="342"/>
      <c r="M108" s="342"/>
      <c r="N108" s="342"/>
      <c r="O108" s="529"/>
      <c r="Q108" s="613"/>
    </row>
    <row r="109" spans="3:17" s="295" customFormat="1" ht="12.75" customHeight="1" x14ac:dyDescent="0.35">
      <c r="C109" s="541"/>
      <c r="H109" s="342"/>
      <c r="I109" s="342"/>
      <c r="J109" s="342"/>
      <c r="M109" s="342"/>
      <c r="N109" s="342"/>
      <c r="O109" s="529"/>
      <c r="Q109" s="613"/>
    </row>
    <row r="110" spans="3:17" s="295" customFormat="1" ht="12.75" customHeight="1" x14ac:dyDescent="0.35">
      <c r="C110" s="541"/>
      <c r="H110" s="342"/>
      <c r="I110" s="342"/>
      <c r="J110" s="342"/>
      <c r="M110" s="342"/>
      <c r="N110" s="342"/>
      <c r="O110" s="529"/>
      <c r="Q110" s="613"/>
    </row>
    <row r="111" spans="3:17" s="295" customFormat="1" ht="12.75" customHeight="1" x14ac:dyDescent="0.35">
      <c r="C111" s="541"/>
      <c r="H111" s="342"/>
      <c r="I111" s="342"/>
      <c r="J111" s="342"/>
      <c r="M111" s="342"/>
      <c r="N111" s="342"/>
      <c r="O111" s="529"/>
      <c r="Q111" s="613"/>
    </row>
    <row r="112" spans="3:17" s="295" customFormat="1" ht="12.75" customHeight="1" x14ac:dyDescent="0.35">
      <c r="C112" s="541"/>
      <c r="H112" s="342"/>
      <c r="I112" s="342"/>
      <c r="J112" s="342"/>
      <c r="M112" s="342"/>
      <c r="N112" s="342"/>
      <c r="O112" s="529"/>
      <c r="Q112" s="613"/>
    </row>
    <row r="113" spans="3:17" s="295" customFormat="1" ht="12.75" customHeight="1" x14ac:dyDescent="0.35">
      <c r="C113" s="541"/>
      <c r="H113" s="342"/>
      <c r="I113" s="342"/>
      <c r="J113" s="342"/>
      <c r="M113" s="342"/>
      <c r="N113" s="342"/>
      <c r="O113" s="529"/>
      <c r="Q113" s="613"/>
    </row>
    <row r="114" spans="3:17" s="295" customFormat="1" ht="12.75" customHeight="1" x14ac:dyDescent="0.35">
      <c r="C114" s="541"/>
      <c r="H114" s="342"/>
      <c r="I114" s="342"/>
      <c r="J114" s="342"/>
      <c r="M114" s="342"/>
      <c r="N114" s="342"/>
      <c r="O114" s="529"/>
      <c r="Q114" s="613"/>
    </row>
    <row r="115" spans="3:17" s="295" customFormat="1" ht="12.75" customHeight="1" x14ac:dyDescent="0.35">
      <c r="C115" s="541"/>
      <c r="H115" s="342"/>
      <c r="I115" s="342"/>
      <c r="J115" s="342"/>
      <c r="M115" s="342"/>
      <c r="N115" s="342"/>
      <c r="O115" s="529"/>
      <c r="Q115" s="613"/>
    </row>
    <row r="116" spans="3:17" s="295" customFormat="1" ht="12.75" customHeight="1" x14ac:dyDescent="0.35">
      <c r="C116" s="541"/>
      <c r="H116" s="342"/>
      <c r="I116" s="342"/>
      <c r="J116" s="342"/>
      <c r="M116" s="342"/>
      <c r="N116" s="342"/>
      <c r="O116" s="529"/>
      <c r="Q116" s="613"/>
    </row>
    <row r="117" spans="3:17" s="295" customFormat="1" ht="12.75" customHeight="1" x14ac:dyDescent="0.35">
      <c r="C117" s="541"/>
      <c r="H117" s="342"/>
      <c r="I117" s="342"/>
      <c r="J117" s="342"/>
      <c r="M117" s="342"/>
      <c r="N117" s="342"/>
      <c r="O117" s="529"/>
      <c r="Q117" s="613"/>
    </row>
    <row r="118" spans="3:17" s="295" customFormat="1" ht="12.75" customHeight="1" x14ac:dyDescent="0.35">
      <c r="C118" s="541"/>
      <c r="H118" s="342"/>
      <c r="I118" s="342"/>
      <c r="J118" s="342"/>
      <c r="M118" s="342"/>
      <c r="N118" s="342"/>
      <c r="O118" s="529"/>
      <c r="Q118" s="613"/>
    </row>
  </sheetData>
  <mergeCells count="2">
    <mergeCell ref="K2:N2"/>
    <mergeCell ref="H2:J2"/>
  </mergeCells>
  <dataValidations count="7">
    <dataValidation type="list" allowBlank="1" showInputMessage="1" showErrorMessage="1" sqref="D89:D96" xr:uid="{00000000-0002-0000-0500-000000000000}">
      <formula1>"Material Mod (a),Material Mod (b),Material Mod (c),Material Mod (d),Material Mod (e),Material Mod (f),Obligor Insolvency,Obligor default,Obligor payment default,Reporting Failure"</formula1>
    </dataValidation>
    <dataValidation type="list" allowBlank="1" showInputMessage="1" showErrorMessage="1" sqref="F19:F20 F25:F96" xr:uid="{00000000-0002-0000-0500-000001000000}">
      <formula1>"-,(a) Reduces/Waives Principal,(b) Extends Maturity/Payment Date,(c) Waives Interest,(d) Subordinates Loan,(e) Releases Collateral/Lien,(f) Amends Covenants"</formula1>
    </dataValidation>
    <dataValidation type="list" allowBlank="1" showDropDown="1" showInputMessage="1" showErrorMessage="1" sqref="C53:C96" xr:uid="{00000000-0002-0000-0500-000002000000}">
      <formula1>OFFSET($A$1,0,0,COUNTA($A:$A))</formula1>
    </dataValidation>
    <dataValidation type="list" allowBlank="1" showInputMessage="1" showErrorMessage="1" sqref="D59:D88" xr:uid="{00000000-0002-0000-0500-000003000000}">
      <formula1>"Increase of Lev,Material Mod (a),Material Mod (b),Material Mod (c),Material Mod (d),Material Mod (e),Material Mod (f),Obligor Insolvency,Obligor default,Obligor payment default,Reporting Failure"</formula1>
    </dataValidation>
    <dataValidation type="list" allowBlank="1" showInputMessage="1" showErrorMessage="1" sqref="F5:F18 F21:F24" xr:uid="{00000000-0002-0000-0500-000004000000}">
      <formula1>"n/a,(a) Reduces/Waives Principal,(b) Extends Maturity/Payment Date,(c) Reduce/defer Interest,(d) Subordinates Loan,(e) Releases Collateral/Lien,(f) Amends Covenants"</formula1>
    </dataValidation>
    <dataValidation type="list" allowBlank="1" showInputMessage="1" showErrorMessage="1" sqref="E5:E96" xr:uid="{00000000-0002-0000-0500-000005000000}">
      <formula1>"-,(i) Cash Interest Coverage Ratio Test,(ii) Net Senior Leverage Ratio Test,(iii) Net Total Leverage Ratio Test"</formula1>
    </dataValidation>
    <dataValidation type="list" allowBlank="1" showInputMessage="1" showErrorMessage="1" sqref="D5:D58" xr:uid="{00000000-0002-0000-0500-000006000000}">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7"/>
  <sheetViews>
    <sheetView topLeftCell="B1" workbookViewId="0">
      <selection activeCell="Q5" sqref="Q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2" customWidth="1"/>
    <col min="9" max="9" width="15" style="10" bestFit="1" customWidth="1"/>
    <col min="10" max="10" width="14.265625" style="10" customWidth="1"/>
    <col min="11" max="11" width="15" style="10" bestFit="1" customWidth="1"/>
    <col min="12" max="13" width="16.86328125" bestFit="1" customWidth="1"/>
    <col min="14" max="14" width="10.265625" style="10" customWidth="1"/>
    <col min="15" max="15" width="13" style="10" customWidth="1"/>
    <col min="16" max="16" width="20.265625" style="61" customWidth="1"/>
    <col min="17" max="17" width="18.59765625" bestFit="1" customWidth="1"/>
    <col min="18" max="18" width="44.59765625" style="617" bestFit="1" customWidth="1"/>
  </cols>
  <sheetData>
    <row r="1" spans="3:18" s="295" customFormat="1" ht="12.75" customHeight="1" x14ac:dyDescent="0.35">
      <c r="I1" s="342"/>
      <c r="J1" s="342"/>
      <c r="K1" s="342"/>
      <c r="L1" s="342"/>
      <c r="M1" s="342"/>
      <c r="N1" s="342"/>
      <c r="O1" s="342"/>
      <c r="P1" s="529"/>
      <c r="R1" s="613"/>
    </row>
    <row r="2" spans="3:18" s="295" customFormat="1" ht="25.5" customHeight="1" x14ac:dyDescent="0.45">
      <c r="F2" s="530"/>
      <c r="I2" s="915" t="s">
        <v>630</v>
      </c>
      <c r="J2" s="884"/>
      <c r="K2" s="885"/>
      <c r="L2" s="915" t="s">
        <v>631</v>
      </c>
      <c r="M2" s="884"/>
      <c r="N2" s="884"/>
      <c r="O2" s="885"/>
      <c r="P2" s="524" t="s">
        <v>632</v>
      </c>
      <c r="Q2" s="342"/>
      <c r="R2" s="614"/>
    </row>
    <row r="3" spans="3:18" s="295" customFormat="1" ht="12.75" customHeight="1" x14ac:dyDescent="0.4">
      <c r="E3" s="531"/>
      <c r="F3" s="531"/>
      <c r="I3" s="542"/>
      <c r="J3" s="542"/>
      <c r="K3" s="542"/>
      <c r="L3" s="542"/>
      <c r="M3" s="542"/>
      <c r="N3" s="542"/>
      <c r="O3" s="542"/>
      <c r="P3" s="543"/>
      <c r="Q3" s="344"/>
      <c r="R3" s="615"/>
    </row>
    <row r="4" spans="3:18" s="295" customFormat="1" ht="36.75" customHeight="1" x14ac:dyDescent="0.35">
      <c r="C4" s="524" t="s">
        <v>579</v>
      </c>
      <c r="D4" s="524" t="s">
        <v>633</v>
      </c>
      <c r="E4" s="524" t="s">
        <v>634</v>
      </c>
      <c r="F4" s="524" t="s">
        <v>635</v>
      </c>
      <c r="G4" s="524" t="s">
        <v>581</v>
      </c>
      <c r="H4" s="524" t="s">
        <v>636</v>
      </c>
      <c r="I4" s="524" t="s">
        <v>582</v>
      </c>
      <c r="J4" s="524" t="s">
        <v>583</v>
      </c>
      <c r="K4" s="524" t="s">
        <v>584</v>
      </c>
      <c r="L4" s="524" t="s">
        <v>585</v>
      </c>
      <c r="M4" s="524" t="s">
        <v>586</v>
      </c>
      <c r="N4" s="524" t="s">
        <v>587</v>
      </c>
      <c r="O4" s="524" t="s">
        <v>588</v>
      </c>
      <c r="P4" s="524" t="s">
        <v>66</v>
      </c>
      <c r="Q4" s="524" t="s">
        <v>637</v>
      </c>
      <c r="R4" s="524" t="s">
        <v>589</v>
      </c>
    </row>
    <row r="5" spans="3:18" s="295" customFormat="1" ht="38.25" customHeight="1" x14ac:dyDescent="0.35">
      <c r="C5" s="532" t="s">
        <v>600</v>
      </c>
      <c r="D5" s="452" t="s">
        <v>591</v>
      </c>
      <c r="E5" s="452" t="s">
        <v>592</v>
      </c>
      <c r="F5" s="452" t="s">
        <v>520</v>
      </c>
      <c r="G5" s="533">
        <v>45199</v>
      </c>
      <c r="H5" s="533">
        <v>45657</v>
      </c>
      <c r="I5" s="540">
        <f>'Loan Tape - Settled'!BA28*1000000</f>
        <v>10297637.242000001</v>
      </c>
      <c r="J5" s="535"/>
      <c r="K5" s="536">
        <f t="shared" ref="K5:K36" si="0">IFERROR(I5-J5,"-")</f>
        <v>10297637.242000001</v>
      </c>
      <c r="L5" s="537">
        <f>'SM Support'!K12-'SM Support'!L12</f>
        <v>19792350.00489796</v>
      </c>
      <c r="M5" s="537">
        <f>L5</f>
        <v>19792350.00489796</v>
      </c>
      <c r="N5" s="545">
        <f t="shared" ref="N5:N36" si="1">IFERROR(L5/K5,"-")</f>
        <v>1.9220282808344396</v>
      </c>
      <c r="O5" s="545">
        <f t="shared" ref="O5:O36" si="2">IFERROR(M5/K5,"-")</f>
        <v>1.9220282808344396</v>
      </c>
      <c r="P5" s="544">
        <f>'Loan Tape - Settled'!BF28</f>
        <v>4.1516172598479999</v>
      </c>
      <c r="Q5" s="622">
        <f>Portfolio!AL33</f>
        <v>0</v>
      </c>
      <c r="R5" s="616" t="s">
        <v>638</v>
      </c>
    </row>
    <row r="6" spans="3:18" s="295" customFormat="1" ht="38.25" customHeight="1" x14ac:dyDescent="0.35">
      <c r="C6" s="532" t="s">
        <v>605</v>
      </c>
      <c r="D6" s="452" t="s">
        <v>612</v>
      </c>
      <c r="E6" s="452" t="s">
        <v>592</v>
      </c>
      <c r="F6" s="452" t="s">
        <v>613</v>
      </c>
      <c r="G6" s="533">
        <v>45382</v>
      </c>
      <c r="H6" s="533">
        <v>45657</v>
      </c>
      <c r="I6" s="540">
        <f>'Loan Tape - Settled'!AZ34*1000000</f>
        <v>23337815.853968989</v>
      </c>
      <c r="J6" s="535"/>
      <c r="K6" s="536">
        <f t="shared" si="0"/>
        <v>23337815.853968989</v>
      </c>
      <c r="L6" s="537">
        <f>'SM Support'!K14-'SM Support'!L14</f>
        <v>88722938.821444213</v>
      </c>
      <c r="M6" s="537">
        <f>L6</f>
        <v>88722938.821444213</v>
      </c>
      <c r="N6" s="545">
        <f t="shared" si="1"/>
        <v>3.8016813302756169</v>
      </c>
      <c r="O6" s="545">
        <f t="shared" si="2"/>
        <v>3.8016813302756169</v>
      </c>
      <c r="P6" s="544">
        <f>'Loan Tape - Settled'!BF34</f>
        <v>0</v>
      </c>
      <c r="Q6" s="622">
        <f>Portfolio!AL39</f>
        <v>0.75109999999999999</v>
      </c>
      <c r="R6" s="616" t="s">
        <v>638</v>
      </c>
    </row>
    <row r="7" spans="3:18" s="295" customFormat="1" ht="12.75" customHeight="1" x14ac:dyDescent="0.35">
      <c r="C7" s="532"/>
      <c r="D7" s="452"/>
      <c r="E7" s="452"/>
      <c r="F7" s="452"/>
      <c r="G7" s="533"/>
      <c r="H7" s="533"/>
      <c r="I7" s="540"/>
      <c r="J7" s="535"/>
      <c r="K7" s="538">
        <f t="shared" si="0"/>
        <v>0</v>
      </c>
      <c r="L7" s="540"/>
      <c r="M7" s="540"/>
      <c r="N7" s="546" t="str">
        <f t="shared" si="1"/>
        <v>-</v>
      </c>
      <c r="O7" s="546" t="str">
        <f t="shared" si="2"/>
        <v>-</v>
      </c>
      <c r="P7" s="540"/>
      <c r="Q7" s="539"/>
      <c r="R7" s="616"/>
    </row>
    <row r="8" spans="3:18" s="295" customFormat="1" ht="12.75" customHeight="1" x14ac:dyDescent="0.35">
      <c r="C8" s="532"/>
      <c r="D8" s="452"/>
      <c r="E8" s="452"/>
      <c r="F8" s="452"/>
      <c r="G8" s="533"/>
      <c r="H8" s="533"/>
      <c r="I8" s="540"/>
      <c r="J8" s="535"/>
      <c r="K8" s="538">
        <f t="shared" si="0"/>
        <v>0</v>
      </c>
      <c r="L8" s="540"/>
      <c r="M8" s="540"/>
      <c r="N8" s="546" t="str">
        <f t="shared" si="1"/>
        <v>-</v>
      </c>
      <c r="O8" s="546" t="str">
        <f t="shared" si="2"/>
        <v>-</v>
      </c>
      <c r="P8" s="540"/>
      <c r="Q8" s="539"/>
      <c r="R8" s="616"/>
    </row>
    <row r="9" spans="3:18" s="295" customFormat="1" ht="12.75" customHeight="1" x14ac:dyDescent="0.35">
      <c r="C9" s="532"/>
      <c r="D9" s="452"/>
      <c r="E9" s="452"/>
      <c r="F9" s="452"/>
      <c r="G9" s="533"/>
      <c r="H9" s="533"/>
      <c r="I9" s="540"/>
      <c r="J9" s="535"/>
      <c r="K9" s="538">
        <f t="shared" si="0"/>
        <v>0</v>
      </c>
      <c r="L9" s="540"/>
      <c r="M9" s="540"/>
      <c r="N9" s="546" t="str">
        <f t="shared" si="1"/>
        <v>-</v>
      </c>
      <c r="O9" s="546" t="str">
        <f t="shared" si="2"/>
        <v>-</v>
      </c>
      <c r="P9" s="540"/>
      <c r="Q9" s="539"/>
      <c r="R9" s="616"/>
    </row>
    <row r="10" spans="3:18" s="295" customFormat="1" ht="12.75" customHeight="1" x14ac:dyDescent="0.35">
      <c r="C10" s="532"/>
      <c r="D10" s="452"/>
      <c r="E10" s="452"/>
      <c r="F10" s="452"/>
      <c r="G10" s="533"/>
      <c r="H10" s="533"/>
      <c r="I10" s="540"/>
      <c r="J10" s="535"/>
      <c r="K10" s="538">
        <f t="shared" si="0"/>
        <v>0</v>
      </c>
      <c r="L10" s="540"/>
      <c r="M10" s="540"/>
      <c r="N10" s="546" t="str">
        <f t="shared" si="1"/>
        <v>-</v>
      </c>
      <c r="O10" s="546" t="str">
        <f t="shared" si="2"/>
        <v>-</v>
      </c>
      <c r="P10" s="540"/>
      <c r="Q10" s="539"/>
      <c r="R10" s="616"/>
    </row>
    <row r="11" spans="3:18" s="295" customFormat="1" ht="12.75" customHeight="1" x14ac:dyDescent="0.35">
      <c r="C11" s="532"/>
      <c r="D11" s="452"/>
      <c r="E11" s="452"/>
      <c r="F11" s="452"/>
      <c r="G11" s="533"/>
      <c r="H11" s="533"/>
      <c r="I11" s="540"/>
      <c r="J11" s="535"/>
      <c r="K11" s="538">
        <f t="shared" si="0"/>
        <v>0</v>
      </c>
      <c r="L11" s="540"/>
      <c r="M11" s="540"/>
      <c r="N11" s="546" t="str">
        <f t="shared" si="1"/>
        <v>-</v>
      </c>
      <c r="O11" s="546" t="str">
        <f t="shared" si="2"/>
        <v>-</v>
      </c>
      <c r="P11" s="540"/>
      <c r="Q11" s="539"/>
      <c r="R11" s="616"/>
    </row>
    <row r="12" spans="3:18" s="295" customFormat="1" ht="12.75" customHeight="1" x14ac:dyDescent="0.35">
      <c r="C12" s="532"/>
      <c r="D12" s="452"/>
      <c r="E12" s="452"/>
      <c r="F12" s="452"/>
      <c r="G12" s="533"/>
      <c r="H12" s="533"/>
      <c r="I12" s="540"/>
      <c r="J12" s="535"/>
      <c r="K12" s="538">
        <f t="shared" si="0"/>
        <v>0</v>
      </c>
      <c r="L12" s="540"/>
      <c r="M12" s="540"/>
      <c r="N12" s="546" t="str">
        <f t="shared" si="1"/>
        <v>-</v>
      </c>
      <c r="O12" s="546" t="str">
        <f t="shared" si="2"/>
        <v>-</v>
      </c>
      <c r="P12" s="540"/>
      <c r="Q12" s="539"/>
      <c r="R12" s="616"/>
    </row>
    <row r="13" spans="3:18" s="295" customFormat="1" ht="12.75" customHeight="1" x14ac:dyDescent="0.35">
      <c r="C13" s="532"/>
      <c r="D13" s="452"/>
      <c r="E13" s="452"/>
      <c r="F13" s="452"/>
      <c r="G13" s="533"/>
      <c r="H13" s="533"/>
      <c r="I13" s="540"/>
      <c r="J13" s="535"/>
      <c r="K13" s="538">
        <f t="shared" si="0"/>
        <v>0</v>
      </c>
      <c r="L13" s="540"/>
      <c r="M13" s="540"/>
      <c r="N13" s="546" t="str">
        <f t="shared" si="1"/>
        <v>-</v>
      </c>
      <c r="O13" s="546" t="str">
        <f t="shared" si="2"/>
        <v>-</v>
      </c>
      <c r="P13" s="540"/>
      <c r="Q13" s="539"/>
      <c r="R13" s="616"/>
    </row>
    <row r="14" spans="3:18" s="295" customFormat="1" ht="12.75" customHeight="1" x14ac:dyDescent="0.35">
      <c r="C14" s="532"/>
      <c r="D14" s="452"/>
      <c r="E14" s="452"/>
      <c r="F14" s="452"/>
      <c r="G14" s="533"/>
      <c r="H14" s="533"/>
      <c r="I14" s="540"/>
      <c r="J14" s="535"/>
      <c r="K14" s="538">
        <f t="shared" si="0"/>
        <v>0</v>
      </c>
      <c r="L14" s="540"/>
      <c r="M14" s="540"/>
      <c r="N14" s="546" t="str">
        <f t="shared" si="1"/>
        <v>-</v>
      </c>
      <c r="O14" s="546" t="str">
        <f t="shared" si="2"/>
        <v>-</v>
      </c>
      <c r="P14" s="540"/>
      <c r="Q14" s="539"/>
      <c r="R14" s="616"/>
    </row>
    <row r="15" spans="3:18" s="295" customFormat="1" ht="12.75" customHeight="1" x14ac:dyDescent="0.35">
      <c r="C15" s="532"/>
      <c r="D15" s="452"/>
      <c r="E15" s="452"/>
      <c r="F15" s="452"/>
      <c r="G15" s="533"/>
      <c r="H15" s="533"/>
      <c r="I15" s="540"/>
      <c r="J15" s="535"/>
      <c r="K15" s="538">
        <f t="shared" si="0"/>
        <v>0</v>
      </c>
      <c r="L15" s="540"/>
      <c r="M15" s="540"/>
      <c r="N15" s="546" t="str">
        <f t="shared" si="1"/>
        <v>-</v>
      </c>
      <c r="O15" s="546" t="str">
        <f t="shared" si="2"/>
        <v>-</v>
      </c>
      <c r="P15" s="540"/>
      <c r="Q15" s="539"/>
      <c r="R15" s="616"/>
    </row>
    <row r="16" spans="3:18" s="295" customFormat="1" ht="12.75" customHeight="1" x14ac:dyDescent="0.35">
      <c r="C16" s="532"/>
      <c r="D16" s="452"/>
      <c r="E16" s="452"/>
      <c r="F16" s="452"/>
      <c r="G16" s="533"/>
      <c r="H16" s="533"/>
      <c r="I16" s="540"/>
      <c r="J16" s="535"/>
      <c r="K16" s="538">
        <f t="shared" si="0"/>
        <v>0</v>
      </c>
      <c r="L16" s="540"/>
      <c r="M16" s="540"/>
      <c r="N16" s="546" t="str">
        <f t="shared" si="1"/>
        <v>-</v>
      </c>
      <c r="O16" s="546" t="str">
        <f t="shared" si="2"/>
        <v>-</v>
      </c>
      <c r="P16" s="540"/>
      <c r="Q16" s="539"/>
      <c r="R16" s="616"/>
    </row>
    <row r="17" spans="3:18" s="295" customFormat="1" ht="12.75" customHeight="1" x14ac:dyDescent="0.35">
      <c r="C17" s="532"/>
      <c r="D17" s="452"/>
      <c r="E17" s="452"/>
      <c r="F17" s="452"/>
      <c r="G17" s="533"/>
      <c r="H17" s="533"/>
      <c r="I17" s="540"/>
      <c r="J17" s="535"/>
      <c r="K17" s="538">
        <f t="shared" si="0"/>
        <v>0</v>
      </c>
      <c r="L17" s="540"/>
      <c r="M17" s="540"/>
      <c r="N17" s="546" t="str">
        <f t="shared" si="1"/>
        <v>-</v>
      </c>
      <c r="O17" s="546" t="str">
        <f t="shared" si="2"/>
        <v>-</v>
      </c>
      <c r="P17" s="540"/>
      <c r="Q17" s="539"/>
      <c r="R17" s="616"/>
    </row>
    <row r="18" spans="3:18" s="295" customFormat="1" ht="12.75" customHeight="1" x14ac:dyDescent="0.35">
      <c r="C18" s="532"/>
      <c r="D18" s="452"/>
      <c r="E18" s="452"/>
      <c r="F18" s="452"/>
      <c r="G18" s="533"/>
      <c r="H18" s="533"/>
      <c r="I18" s="540"/>
      <c r="J18" s="535"/>
      <c r="K18" s="538">
        <f t="shared" si="0"/>
        <v>0</v>
      </c>
      <c r="L18" s="540"/>
      <c r="M18" s="540"/>
      <c r="N18" s="546" t="str">
        <f t="shared" si="1"/>
        <v>-</v>
      </c>
      <c r="O18" s="546" t="str">
        <f t="shared" si="2"/>
        <v>-</v>
      </c>
      <c r="P18" s="540"/>
      <c r="Q18" s="539"/>
      <c r="R18" s="616"/>
    </row>
    <row r="19" spans="3:18" s="295" customFormat="1" ht="12.75" customHeight="1" x14ac:dyDescent="0.35">
      <c r="C19" s="532"/>
      <c r="D19" s="452"/>
      <c r="E19" s="452"/>
      <c r="F19" s="452"/>
      <c r="G19" s="533"/>
      <c r="H19" s="533"/>
      <c r="I19" s="540"/>
      <c r="J19" s="535"/>
      <c r="K19" s="538">
        <f t="shared" si="0"/>
        <v>0</v>
      </c>
      <c r="L19" s="540"/>
      <c r="M19" s="540"/>
      <c r="N19" s="546" t="str">
        <f t="shared" si="1"/>
        <v>-</v>
      </c>
      <c r="O19" s="546" t="str">
        <f t="shared" si="2"/>
        <v>-</v>
      </c>
      <c r="P19" s="540"/>
      <c r="Q19" s="539"/>
      <c r="R19" s="616"/>
    </row>
    <row r="20" spans="3:18" s="295" customFormat="1" ht="12.75" customHeight="1" x14ac:dyDescent="0.35">
      <c r="C20" s="532"/>
      <c r="D20" s="452"/>
      <c r="E20" s="452"/>
      <c r="F20" s="452"/>
      <c r="G20" s="533"/>
      <c r="H20" s="533"/>
      <c r="I20" s="540"/>
      <c r="J20" s="535"/>
      <c r="K20" s="538">
        <f t="shared" si="0"/>
        <v>0</v>
      </c>
      <c r="L20" s="540"/>
      <c r="M20" s="540"/>
      <c r="N20" s="546" t="str">
        <f t="shared" si="1"/>
        <v>-</v>
      </c>
      <c r="O20" s="546" t="str">
        <f t="shared" si="2"/>
        <v>-</v>
      </c>
      <c r="P20" s="540"/>
      <c r="Q20" s="539"/>
      <c r="R20" s="616"/>
    </row>
    <row r="21" spans="3:18" s="295" customFormat="1" ht="12.75" customHeight="1" x14ac:dyDescent="0.35">
      <c r="C21" s="532"/>
      <c r="D21" s="452"/>
      <c r="E21" s="452"/>
      <c r="F21" s="452"/>
      <c r="G21" s="533"/>
      <c r="H21" s="533"/>
      <c r="I21" s="540"/>
      <c r="J21" s="535"/>
      <c r="K21" s="538">
        <f t="shared" si="0"/>
        <v>0</v>
      </c>
      <c r="L21" s="540"/>
      <c r="M21" s="540"/>
      <c r="N21" s="546" t="str">
        <f t="shared" si="1"/>
        <v>-</v>
      </c>
      <c r="O21" s="546" t="str">
        <f t="shared" si="2"/>
        <v>-</v>
      </c>
      <c r="P21" s="540"/>
      <c r="Q21" s="539"/>
      <c r="R21" s="616"/>
    </row>
    <row r="22" spans="3:18" s="295" customFormat="1" ht="12.75" customHeight="1" x14ac:dyDescent="0.35">
      <c r="C22" s="532"/>
      <c r="D22" s="452"/>
      <c r="E22" s="452"/>
      <c r="F22" s="452"/>
      <c r="G22" s="533"/>
      <c r="H22" s="533"/>
      <c r="I22" s="540"/>
      <c r="J22" s="535"/>
      <c r="K22" s="538">
        <f t="shared" si="0"/>
        <v>0</v>
      </c>
      <c r="L22" s="540"/>
      <c r="M22" s="540"/>
      <c r="N22" s="546" t="str">
        <f t="shared" si="1"/>
        <v>-</v>
      </c>
      <c r="O22" s="546" t="str">
        <f t="shared" si="2"/>
        <v>-</v>
      </c>
      <c r="P22" s="540"/>
      <c r="Q22" s="539"/>
      <c r="R22" s="616"/>
    </row>
    <row r="23" spans="3:18" s="295" customFormat="1" ht="12.75" customHeight="1" x14ac:dyDescent="0.35">
      <c r="C23" s="532"/>
      <c r="D23" s="452"/>
      <c r="E23" s="452"/>
      <c r="F23" s="452"/>
      <c r="G23" s="533"/>
      <c r="H23" s="533"/>
      <c r="I23" s="540"/>
      <c r="J23" s="535"/>
      <c r="K23" s="538">
        <f t="shared" si="0"/>
        <v>0</v>
      </c>
      <c r="L23" s="540"/>
      <c r="M23" s="540"/>
      <c r="N23" s="546" t="str">
        <f t="shared" si="1"/>
        <v>-</v>
      </c>
      <c r="O23" s="546" t="str">
        <f t="shared" si="2"/>
        <v>-</v>
      </c>
      <c r="P23" s="540"/>
      <c r="Q23" s="539"/>
      <c r="R23" s="616"/>
    </row>
    <row r="24" spans="3:18" s="295" customFormat="1" ht="12.75" customHeight="1" x14ac:dyDescent="0.35">
      <c r="C24" s="532"/>
      <c r="D24" s="452"/>
      <c r="E24" s="452"/>
      <c r="F24" s="452"/>
      <c r="G24" s="533"/>
      <c r="H24" s="533"/>
      <c r="I24" s="540"/>
      <c r="J24" s="535"/>
      <c r="K24" s="538">
        <f t="shared" si="0"/>
        <v>0</v>
      </c>
      <c r="L24" s="540"/>
      <c r="M24" s="540"/>
      <c r="N24" s="546" t="str">
        <f t="shared" si="1"/>
        <v>-</v>
      </c>
      <c r="O24" s="546" t="str">
        <f t="shared" si="2"/>
        <v>-</v>
      </c>
      <c r="P24" s="540"/>
      <c r="Q24" s="539"/>
      <c r="R24" s="616"/>
    </row>
    <row r="25" spans="3:18" s="295" customFormat="1" ht="12.75" customHeight="1" x14ac:dyDescent="0.35">
      <c r="C25" s="532"/>
      <c r="D25" s="452"/>
      <c r="E25" s="452"/>
      <c r="F25" s="452"/>
      <c r="G25" s="533"/>
      <c r="H25" s="533"/>
      <c r="I25" s="540"/>
      <c r="J25" s="535"/>
      <c r="K25" s="538">
        <f t="shared" si="0"/>
        <v>0</v>
      </c>
      <c r="L25" s="540"/>
      <c r="M25" s="540"/>
      <c r="N25" s="546" t="str">
        <f t="shared" si="1"/>
        <v>-</v>
      </c>
      <c r="O25" s="546" t="str">
        <f t="shared" si="2"/>
        <v>-</v>
      </c>
      <c r="P25" s="540"/>
      <c r="Q25" s="539"/>
      <c r="R25" s="616"/>
    </row>
    <row r="26" spans="3:18" s="295" customFormat="1" ht="12.75" customHeight="1" x14ac:dyDescent="0.35">
      <c r="C26" s="532"/>
      <c r="D26" s="452"/>
      <c r="E26" s="452"/>
      <c r="F26" s="452"/>
      <c r="G26" s="533"/>
      <c r="H26" s="533"/>
      <c r="I26" s="540"/>
      <c r="J26" s="535"/>
      <c r="K26" s="538">
        <f t="shared" si="0"/>
        <v>0</v>
      </c>
      <c r="L26" s="540"/>
      <c r="M26" s="540"/>
      <c r="N26" s="546" t="str">
        <f t="shared" si="1"/>
        <v>-</v>
      </c>
      <c r="O26" s="546" t="str">
        <f t="shared" si="2"/>
        <v>-</v>
      </c>
      <c r="P26" s="540"/>
      <c r="Q26" s="539"/>
      <c r="R26" s="616"/>
    </row>
    <row r="27" spans="3:18" s="295" customFormat="1" ht="12.75" customHeight="1" x14ac:dyDescent="0.35">
      <c r="C27" s="532"/>
      <c r="D27" s="452"/>
      <c r="E27" s="452"/>
      <c r="F27" s="452"/>
      <c r="G27" s="533"/>
      <c r="H27" s="533"/>
      <c r="I27" s="540"/>
      <c r="J27" s="535"/>
      <c r="K27" s="538">
        <f t="shared" si="0"/>
        <v>0</v>
      </c>
      <c r="L27" s="540"/>
      <c r="M27" s="540"/>
      <c r="N27" s="546" t="str">
        <f t="shared" si="1"/>
        <v>-</v>
      </c>
      <c r="O27" s="546" t="str">
        <f t="shared" si="2"/>
        <v>-</v>
      </c>
      <c r="P27" s="540"/>
      <c r="Q27" s="539"/>
      <c r="R27" s="616"/>
    </row>
    <row r="28" spans="3:18" s="295" customFormat="1" ht="12.75" customHeight="1" x14ac:dyDescent="0.35">
      <c r="C28" s="532"/>
      <c r="D28" s="452"/>
      <c r="E28" s="452"/>
      <c r="F28" s="452"/>
      <c r="G28" s="533"/>
      <c r="H28" s="533"/>
      <c r="I28" s="540"/>
      <c r="J28" s="535"/>
      <c r="K28" s="538">
        <f t="shared" si="0"/>
        <v>0</v>
      </c>
      <c r="L28" s="540"/>
      <c r="M28" s="540"/>
      <c r="N28" s="546" t="str">
        <f t="shared" si="1"/>
        <v>-</v>
      </c>
      <c r="O28" s="546" t="str">
        <f t="shared" si="2"/>
        <v>-</v>
      </c>
      <c r="P28" s="540"/>
      <c r="Q28" s="539"/>
      <c r="R28" s="616"/>
    </row>
    <row r="29" spans="3:18" s="295" customFormat="1" ht="12.75" customHeight="1" x14ac:dyDescent="0.35">
      <c r="C29" s="532"/>
      <c r="D29" s="452"/>
      <c r="E29" s="452"/>
      <c r="F29" s="452"/>
      <c r="G29" s="533"/>
      <c r="H29" s="533"/>
      <c r="I29" s="540"/>
      <c r="J29" s="535"/>
      <c r="K29" s="538">
        <f t="shared" si="0"/>
        <v>0</v>
      </c>
      <c r="L29" s="540"/>
      <c r="M29" s="540"/>
      <c r="N29" s="546" t="str">
        <f t="shared" si="1"/>
        <v>-</v>
      </c>
      <c r="O29" s="546" t="str">
        <f t="shared" si="2"/>
        <v>-</v>
      </c>
      <c r="P29" s="540"/>
      <c r="Q29" s="539"/>
      <c r="R29" s="616"/>
    </row>
    <row r="30" spans="3:18" s="295" customFormat="1" ht="12.75" customHeight="1" x14ac:dyDescent="0.35">
      <c r="C30" s="532"/>
      <c r="D30" s="452"/>
      <c r="E30" s="452"/>
      <c r="F30" s="452"/>
      <c r="G30" s="533"/>
      <c r="H30" s="533"/>
      <c r="I30" s="540"/>
      <c r="J30" s="535"/>
      <c r="K30" s="538">
        <f t="shared" si="0"/>
        <v>0</v>
      </c>
      <c r="L30" s="540"/>
      <c r="M30" s="540"/>
      <c r="N30" s="546" t="str">
        <f t="shared" si="1"/>
        <v>-</v>
      </c>
      <c r="O30" s="546" t="str">
        <f t="shared" si="2"/>
        <v>-</v>
      </c>
      <c r="P30" s="540"/>
      <c r="Q30" s="539"/>
      <c r="R30" s="616"/>
    </row>
    <row r="31" spans="3:18" s="295" customFormat="1" ht="12.75" customHeight="1" x14ac:dyDescent="0.35">
      <c r="C31" s="532"/>
      <c r="D31" s="452"/>
      <c r="E31" s="452"/>
      <c r="F31" s="452"/>
      <c r="G31" s="533"/>
      <c r="H31" s="533"/>
      <c r="I31" s="540"/>
      <c r="J31" s="535"/>
      <c r="K31" s="538">
        <f t="shared" si="0"/>
        <v>0</v>
      </c>
      <c r="L31" s="540"/>
      <c r="M31" s="540"/>
      <c r="N31" s="546" t="str">
        <f t="shared" si="1"/>
        <v>-</v>
      </c>
      <c r="O31" s="546" t="str">
        <f t="shared" si="2"/>
        <v>-</v>
      </c>
      <c r="P31" s="540"/>
      <c r="Q31" s="539"/>
      <c r="R31" s="616"/>
    </row>
    <row r="32" spans="3:18" s="295" customFormat="1" ht="12.75" customHeight="1" x14ac:dyDescent="0.35">
      <c r="C32" s="532"/>
      <c r="D32" s="452"/>
      <c r="E32" s="452"/>
      <c r="F32" s="452"/>
      <c r="G32" s="533"/>
      <c r="H32" s="533"/>
      <c r="I32" s="540"/>
      <c r="J32" s="535"/>
      <c r="K32" s="538">
        <f t="shared" si="0"/>
        <v>0</v>
      </c>
      <c r="L32" s="540"/>
      <c r="M32" s="540"/>
      <c r="N32" s="546" t="str">
        <f t="shared" si="1"/>
        <v>-</v>
      </c>
      <c r="O32" s="546" t="str">
        <f t="shared" si="2"/>
        <v>-</v>
      </c>
      <c r="P32" s="540"/>
      <c r="Q32" s="539"/>
      <c r="R32" s="616"/>
    </row>
    <row r="33" spans="3:18" s="295" customFormat="1" ht="12.75" customHeight="1" x14ac:dyDescent="0.35">
      <c r="C33" s="532"/>
      <c r="D33" s="452"/>
      <c r="E33" s="452"/>
      <c r="F33" s="452"/>
      <c r="G33" s="533"/>
      <c r="H33" s="533"/>
      <c r="I33" s="540"/>
      <c r="J33" s="535"/>
      <c r="K33" s="538">
        <f t="shared" si="0"/>
        <v>0</v>
      </c>
      <c r="L33" s="540"/>
      <c r="M33" s="540"/>
      <c r="N33" s="546" t="str">
        <f t="shared" si="1"/>
        <v>-</v>
      </c>
      <c r="O33" s="546" t="str">
        <f t="shared" si="2"/>
        <v>-</v>
      </c>
      <c r="P33" s="540"/>
      <c r="Q33" s="539"/>
      <c r="R33" s="616"/>
    </row>
    <row r="34" spans="3:18" s="295" customFormat="1" ht="12.75" customHeight="1" x14ac:dyDescent="0.35">
      <c r="C34" s="532"/>
      <c r="D34" s="452"/>
      <c r="E34" s="452"/>
      <c r="F34" s="452"/>
      <c r="G34" s="533"/>
      <c r="H34" s="533"/>
      <c r="I34" s="540"/>
      <c r="J34" s="535"/>
      <c r="K34" s="538">
        <f t="shared" si="0"/>
        <v>0</v>
      </c>
      <c r="L34" s="540"/>
      <c r="M34" s="540"/>
      <c r="N34" s="546" t="str">
        <f t="shared" si="1"/>
        <v>-</v>
      </c>
      <c r="O34" s="546" t="str">
        <f t="shared" si="2"/>
        <v>-</v>
      </c>
      <c r="P34" s="540"/>
      <c r="Q34" s="539"/>
      <c r="R34" s="616"/>
    </row>
    <row r="35" spans="3:18" s="295" customFormat="1" ht="12.75" customHeight="1" x14ac:dyDescent="0.35">
      <c r="C35" s="532"/>
      <c r="D35" s="452"/>
      <c r="E35" s="452"/>
      <c r="F35" s="452"/>
      <c r="G35" s="533"/>
      <c r="H35" s="533"/>
      <c r="I35" s="540"/>
      <c r="J35" s="535"/>
      <c r="K35" s="538">
        <f t="shared" si="0"/>
        <v>0</v>
      </c>
      <c r="L35" s="540"/>
      <c r="M35" s="540"/>
      <c r="N35" s="546" t="str">
        <f t="shared" si="1"/>
        <v>-</v>
      </c>
      <c r="O35" s="546" t="str">
        <f t="shared" si="2"/>
        <v>-</v>
      </c>
      <c r="P35" s="540"/>
      <c r="Q35" s="539"/>
      <c r="R35" s="616"/>
    </row>
    <row r="36" spans="3:18" s="295" customFormat="1" ht="12.75" customHeight="1" x14ac:dyDescent="0.35">
      <c r="C36" s="532"/>
      <c r="D36" s="452"/>
      <c r="E36" s="452"/>
      <c r="F36" s="452"/>
      <c r="G36" s="533"/>
      <c r="H36" s="533"/>
      <c r="I36" s="540"/>
      <c r="J36" s="535"/>
      <c r="K36" s="538">
        <f t="shared" si="0"/>
        <v>0</v>
      </c>
      <c r="L36" s="540"/>
      <c r="M36" s="540"/>
      <c r="N36" s="546" t="str">
        <f t="shared" si="1"/>
        <v>-</v>
      </c>
      <c r="O36" s="546" t="str">
        <f t="shared" si="2"/>
        <v>-</v>
      </c>
      <c r="P36" s="540"/>
      <c r="Q36" s="539"/>
      <c r="R36" s="616"/>
    </row>
    <row r="37" spans="3:18" s="295" customFormat="1" ht="12.75" customHeight="1" x14ac:dyDescent="0.35">
      <c r="C37" s="532"/>
      <c r="D37" s="452"/>
      <c r="E37" s="452"/>
      <c r="F37" s="452"/>
      <c r="G37" s="533"/>
      <c r="H37" s="533"/>
      <c r="I37" s="540"/>
      <c r="J37" s="535"/>
      <c r="K37" s="538">
        <f t="shared" ref="K37:K68" si="3">IFERROR(I37-J37,"-")</f>
        <v>0</v>
      </c>
      <c r="L37" s="540"/>
      <c r="M37" s="540"/>
      <c r="N37" s="546" t="str">
        <f t="shared" ref="N37:N68" si="4">IFERROR(L37/K37,"-")</f>
        <v>-</v>
      </c>
      <c r="O37" s="546" t="str">
        <f t="shared" ref="O37:O68" si="5">IFERROR(M37/K37,"-")</f>
        <v>-</v>
      </c>
      <c r="P37" s="540"/>
      <c r="Q37" s="539"/>
      <c r="R37" s="616"/>
    </row>
    <row r="38" spans="3:18" s="295" customFormat="1" ht="12.75" customHeight="1" x14ac:dyDescent="0.35">
      <c r="C38" s="532"/>
      <c r="D38" s="452"/>
      <c r="E38" s="452"/>
      <c r="F38" s="452"/>
      <c r="G38" s="533"/>
      <c r="H38" s="533"/>
      <c r="I38" s="540"/>
      <c r="J38" s="535"/>
      <c r="K38" s="538">
        <f t="shared" si="3"/>
        <v>0</v>
      </c>
      <c r="L38" s="540"/>
      <c r="M38" s="540"/>
      <c r="N38" s="546" t="str">
        <f t="shared" si="4"/>
        <v>-</v>
      </c>
      <c r="O38" s="546" t="str">
        <f t="shared" si="5"/>
        <v>-</v>
      </c>
      <c r="P38" s="540"/>
      <c r="Q38" s="539"/>
      <c r="R38" s="616"/>
    </row>
    <row r="39" spans="3:18" s="295" customFormat="1" ht="12.75" customHeight="1" x14ac:dyDescent="0.35">
      <c r="C39" s="532"/>
      <c r="D39" s="452"/>
      <c r="E39" s="452"/>
      <c r="F39" s="452"/>
      <c r="G39" s="533"/>
      <c r="H39" s="533"/>
      <c r="I39" s="540"/>
      <c r="J39" s="535"/>
      <c r="K39" s="538">
        <f t="shared" si="3"/>
        <v>0</v>
      </c>
      <c r="L39" s="540"/>
      <c r="M39" s="540"/>
      <c r="N39" s="546" t="str">
        <f t="shared" si="4"/>
        <v>-</v>
      </c>
      <c r="O39" s="546" t="str">
        <f t="shared" si="5"/>
        <v>-</v>
      </c>
      <c r="P39" s="540"/>
      <c r="Q39" s="539"/>
      <c r="R39" s="616"/>
    </row>
    <row r="40" spans="3:18" s="295" customFormat="1" ht="12.75" customHeight="1" x14ac:dyDescent="0.35">
      <c r="C40" s="532"/>
      <c r="D40" s="452"/>
      <c r="E40" s="452"/>
      <c r="F40" s="452"/>
      <c r="G40" s="533"/>
      <c r="H40" s="533"/>
      <c r="I40" s="540"/>
      <c r="J40" s="535"/>
      <c r="K40" s="538">
        <f t="shared" si="3"/>
        <v>0</v>
      </c>
      <c r="L40" s="540"/>
      <c r="M40" s="540"/>
      <c r="N40" s="546" t="str">
        <f t="shared" si="4"/>
        <v>-</v>
      </c>
      <c r="O40" s="546" t="str">
        <f t="shared" si="5"/>
        <v>-</v>
      </c>
      <c r="P40" s="540"/>
      <c r="Q40" s="539"/>
      <c r="R40" s="616"/>
    </row>
    <row r="41" spans="3:18" s="295" customFormat="1" ht="12.75" customHeight="1" x14ac:dyDescent="0.35">
      <c r="C41" s="532"/>
      <c r="D41" s="452"/>
      <c r="E41" s="452"/>
      <c r="F41" s="452"/>
      <c r="G41" s="533"/>
      <c r="H41" s="533"/>
      <c r="I41" s="540"/>
      <c r="J41" s="535"/>
      <c r="K41" s="538">
        <f t="shared" si="3"/>
        <v>0</v>
      </c>
      <c r="L41" s="540"/>
      <c r="M41" s="540"/>
      <c r="N41" s="546" t="str">
        <f t="shared" si="4"/>
        <v>-</v>
      </c>
      <c r="O41" s="546" t="str">
        <f t="shared" si="5"/>
        <v>-</v>
      </c>
      <c r="P41" s="540"/>
      <c r="Q41" s="539"/>
      <c r="R41" s="616"/>
    </row>
    <row r="42" spans="3:18" s="295" customFormat="1" ht="12.75" customHeight="1" x14ac:dyDescent="0.35">
      <c r="C42" s="532"/>
      <c r="D42" s="452"/>
      <c r="E42" s="452"/>
      <c r="F42" s="452"/>
      <c r="G42" s="533"/>
      <c r="H42" s="533"/>
      <c r="I42" s="540"/>
      <c r="J42" s="535"/>
      <c r="K42" s="538">
        <f t="shared" si="3"/>
        <v>0</v>
      </c>
      <c r="L42" s="540"/>
      <c r="M42" s="540"/>
      <c r="N42" s="546" t="str">
        <f t="shared" si="4"/>
        <v>-</v>
      </c>
      <c r="O42" s="546" t="str">
        <f t="shared" si="5"/>
        <v>-</v>
      </c>
      <c r="P42" s="540"/>
      <c r="Q42" s="539"/>
      <c r="R42" s="616"/>
    </row>
    <row r="43" spans="3:18" s="295" customFormat="1" ht="12.75" customHeight="1" x14ac:dyDescent="0.35">
      <c r="C43" s="532"/>
      <c r="D43" s="452"/>
      <c r="E43" s="452"/>
      <c r="F43" s="452"/>
      <c r="G43" s="533"/>
      <c r="H43" s="533"/>
      <c r="I43" s="540"/>
      <c r="J43" s="535"/>
      <c r="K43" s="538">
        <f t="shared" si="3"/>
        <v>0</v>
      </c>
      <c r="L43" s="540"/>
      <c r="M43" s="540"/>
      <c r="N43" s="546" t="str">
        <f t="shared" si="4"/>
        <v>-</v>
      </c>
      <c r="O43" s="546" t="str">
        <f t="shared" si="5"/>
        <v>-</v>
      </c>
      <c r="P43" s="540"/>
      <c r="Q43" s="539"/>
      <c r="R43" s="616"/>
    </row>
    <row r="44" spans="3:18" s="295" customFormat="1" ht="12.75" customHeight="1" x14ac:dyDescent="0.35">
      <c r="C44" s="532"/>
      <c r="D44" s="452"/>
      <c r="E44" s="452"/>
      <c r="F44" s="452"/>
      <c r="G44" s="533"/>
      <c r="H44" s="533"/>
      <c r="I44" s="540"/>
      <c r="J44" s="535"/>
      <c r="K44" s="538">
        <f t="shared" si="3"/>
        <v>0</v>
      </c>
      <c r="L44" s="540"/>
      <c r="M44" s="540"/>
      <c r="N44" s="546" t="str">
        <f t="shared" si="4"/>
        <v>-</v>
      </c>
      <c r="O44" s="546" t="str">
        <f t="shared" si="5"/>
        <v>-</v>
      </c>
      <c r="P44" s="540"/>
      <c r="Q44" s="539"/>
      <c r="R44" s="616"/>
    </row>
    <row r="45" spans="3:18" s="295" customFormat="1" ht="12.75" customHeight="1" x14ac:dyDescent="0.35">
      <c r="C45" s="532"/>
      <c r="D45" s="452"/>
      <c r="E45" s="452"/>
      <c r="F45" s="452"/>
      <c r="G45" s="533"/>
      <c r="H45" s="533"/>
      <c r="I45" s="540"/>
      <c r="J45" s="535"/>
      <c r="K45" s="538">
        <f t="shared" si="3"/>
        <v>0</v>
      </c>
      <c r="L45" s="540"/>
      <c r="M45" s="540"/>
      <c r="N45" s="546" t="str">
        <f t="shared" si="4"/>
        <v>-</v>
      </c>
      <c r="O45" s="546" t="str">
        <f t="shared" si="5"/>
        <v>-</v>
      </c>
      <c r="P45" s="540"/>
      <c r="Q45" s="539"/>
      <c r="R45" s="616"/>
    </row>
    <row r="46" spans="3:18" s="295" customFormat="1" ht="12.75" customHeight="1" x14ac:dyDescent="0.35">
      <c r="C46" s="532"/>
      <c r="D46" s="452"/>
      <c r="E46" s="452"/>
      <c r="F46" s="452"/>
      <c r="G46" s="533"/>
      <c r="H46" s="533"/>
      <c r="I46" s="540"/>
      <c r="J46" s="535"/>
      <c r="K46" s="538">
        <f t="shared" si="3"/>
        <v>0</v>
      </c>
      <c r="L46" s="540"/>
      <c r="M46" s="540"/>
      <c r="N46" s="546" t="str">
        <f t="shared" si="4"/>
        <v>-</v>
      </c>
      <c r="O46" s="546" t="str">
        <f t="shared" si="5"/>
        <v>-</v>
      </c>
      <c r="P46" s="540"/>
      <c r="Q46" s="539"/>
      <c r="R46" s="616"/>
    </row>
    <row r="47" spans="3:18" s="295" customFormat="1" ht="12.75" customHeight="1" x14ac:dyDescent="0.35">
      <c r="C47" s="532"/>
      <c r="D47" s="452"/>
      <c r="E47" s="452"/>
      <c r="F47" s="452"/>
      <c r="G47" s="533"/>
      <c r="H47" s="533"/>
      <c r="I47" s="540"/>
      <c r="J47" s="535"/>
      <c r="K47" s="538">
        <f t="shared" si="3"/>
        <v>0</v>
      </c>
      <c r="L47" s="540"/>
      <c r="M47" s="540"/>
      <c r="N47" s="546" t="str">
        <f t="shared" si="4"/>
        <v>-</v>
      </c>
      <c r="O47" s="546" t="str">
        <f t="shared" si="5"/>
        <v>-</v>
      </c>
      <c r="P47" s="540"/>
      <c r="Q47" s="539"/>
      <c r="R47" s="616"/>
    </row>
    <row r="48" spans="3:18" s="295" customFormat="1" ht="12.75" customHeight="1" x14ac:dyDescent="0.35">
      <c r="C48" s="532"/>
      <c r="D48" s="452"/>
      <c r="E48" s="452"/>
      <c r="F48" s="452"/>
      <c r="G48" s="533"/>
      <c r="H48" s="533"/>
      <c r="I48" s="540"/>
      <c r="J48" s="535"/>
      <c r="K48" s="538">
        <f t="shared" si="3"/>
        <v>0</v>
      </c>
      <c r="L48" s="540"/>
      <c r="M48" s="540"/>
      <c r="N48" s="546" t="str">
        <f t="shared" si="4"/>
        <v>-</v>
      </c>
      <c r="O48" s="546" t="str">
        <f t="shared" si="5"/>
        <v>-</v>
      </c>
      <c r="P48" s="540"/>
      <c r="Q48" s="539"/>
      <c r="R48" s="616"/>
    </row>
    <row r="49" spans="3:18" s="295" customFormat="1" ht="12.75" customHeight="1" x14ac:dyDescent="0.35">
      <c r="C49" s="532"/>
      <c r="D49" s="452"/>
      <c r="E49" s="452"/>
      <c r="F49" s="452"/>
      <c r="G49" s="533"/>
      <c r="H49" s="533"/>
      <c r="I49" s="540"/>
      <c r="J49" s="535"/>
      <c r="K49" s="538">
        <f t="shared" si="3"/>
        <v>0</v>
      </c>
      <c r="L49" s="540"/>
      <c r="M49" s="540"/>
      <c r="N49" s="546" t="str">
        <f t="shared" si="4"/>
        <v>-</v>
      </c>
      <c r="O49" s="546" t="str">
        <f t="shared" si="5"/>
        <v>-</v>
      </c>
      <c r="P49" s="540"/>
      <c r="Q49" s="539"/>
      <c r="R49" s="616"/>
    </row>
    <row r="50" spans="3:18" s="295" customFormat="1" ht="12.75" customHeight="1" x14ac:dyDescent="0.35">
      <c r="C50" s="532"/>
      <c r="D50" s="452"/>
      <c r="E50" s="452"/>
      <c r="F50" s="452"/>
      <c r="G50" s="533"/>
      <c r="H50" s="533"/>
      <c r="I50" s="540"/>
      <c r="J50" s="535"/>
      <c r="K50" s="538">
        <f t="shared" si="3"/>
        <v>0</v>
      </c>
      <c r="L50" s="540"/>
      <c r="M50" s="540"/>
      <c r="N50" s="546" t="str">
        <f t="shared" si="4"/>
        <v>-</v>
      </c>
      <c r="O50" s="546" t="str">
        <f t="shared" si="5"/>
        <v>-</v>
      </c>
      <c r="P50" s="540"/>
      <c r="Q50" s="539"/>
      <c r="R50" s="616"/>
    </row>
    <row r="51" spans="3:18" s="295" customFormat="1" ht="12.75" customHeight="1" x14ac:dyDescent="0.35">
      <c r="C51" s="532"/>
      <c r="D51" s="452"/>
      <c r="E51" s="452"/>
      <c r="F51" s="452"/>
      <c r="G51" s="533"/>
      <c r="H51" s="533"/>
      <c r="I51" s="540"/>
      <c r="J51" s="535"/>
      <c r="K51" s="538">
        <f t="shared" si="3"/>
        <v>0</v>
      </c>
      <c r="L51" s="540"/>
      <c r="M51" s="540"/>
      <c r="N51" s="546" t="str">
        <f t="shared" si="4"/>
        <v>-</v>
      </c>
      <c r="O51" s="546" t="str">
        <f t="shared" si="5"/>
        <v>-</v>
      </c>
      <c r="P51" s="540"/>
      <c r="Q51" s="539"/>
      <c r="R51" s="616"/>
    </row>
    <row r="52" spans="3:18" s="295" customFormat="1" ht="12.75" customHeight="1" x14ac:dyDescent="0.35">
      <c r="C52" s="532"/>
      <c r="D52" s="452"/>
      <c r="E52" s="452"/>
      <c r="F52" s="452"/>
      <c r="G52" s="533"/>
      <c r="H52" s="533"/>
      <c r="I52" s="540"/>
      <c r="J52" s="535"/>
      <c r="K52" s="538">
        <f t="shared" si="3"/>
        <v>0</v>
      </c>
      <c r="L52" s="540"/>
      <c r="M52" s="540"/>
      <c r="N52" s="546" t="str">
        <f t="shared" si="4"/>
        <v>-</v>
      </c>
      <c r="O52" s="546" t="str">
        <f t="shared" si="5"/>
        <v>-</v>
      </c>
      <c r="P52" s="540"/>
      <c r="Q52" s="539"/>
      <c r="R52" s="616"/>
    </row>
    <row r="53" spans="3:18" s="295" customFormat="1" ht="12.75" customHeight="1" x14ac:dyDescent="0.35">
      <c r="C53" s="532"/>
      <c r="D53" s="452"/>
      <c r="E53" s="452"/>
      <c r="F53" s="452"/>
      <c r="G53" s="533"/>
      <c r="H53" s="533"/>
      <c r="I53" s="540"/>
      <c r="J53" s="535"/>
      <c r="K53" s="538">
        <f t="shared" si="3"/>
        <v>0</v>
      </c>
      <c r="L53" s="540"/>
      <c r="M53" s="540"/>
      <c r="N53" s="546" t="str">
        <f t="shared" si="4"/>
        <v>-</v>
      </c>
      <c r="O53" s="546" t="str">
        <f t="shared" si="5"/>
        <v>-</v>
      </c>
      <c r="P53" s="540"/>
      <c r="Q53" s="539"/>
      <c r="R53" s="616"/>
    </row>
    <row r="54" spans="3:18" s="295" customFormat="1" ht="12.75" customHeight="1" x14ac:dyDescent="0.35">
      <c r="C54" s="532"/>
      <c r="D54" s="452"/>
      <c r="E54" s="452"/>
      <c r="F54" s="452"/>
      <c r="G54" s="533"/>
      <c r="H54" s="533"/>
      <c r="I54" s="540"/>
      <c r="J54" s="535"/>
      <c r="K54" s="538">
        <f t="shared" si="3"/>
        <v>0</v>
      </c>
      <c r="L54" s="540"/>
      <c r="M54" s="540"/>
      <c r="N54" s="546" t="str">
        <f t="shared" si="4"/>
        <v>-</v>
      </c>
      <c r="O54" s="546" t="str">
        <f t="shared" si="5"/>
        <v>-</v>
      </c>
      <c r="P54" s="540"/>
      <c r="Q54" s="539"/>
      <c r="R54" s="616"/>
    </row>
    <row r="55" spans="3:18" s="295" customFormat="1" ht="12.75" customHeight="1" x14ac:dyDescent="0.35">
      <c r="C55" s="532"/>
      <c r="D55" s="452"/>
      <c r="E55" s="452"/>
      <c r="F55" s="452"/>
      <c r="G55" s="533"/>
      <c r="H55" s="533"/>
      <c r="I55" s="540"/>
      <c r="J55" s="535"/>
      <c r="K55" s="538">
        <f t="shared" si="3"/>
        <v>0</v>
      </c>
      <c r="L55" s="540"/>
      <c r="M55" s="540"/>
      <c r="N55" s="546" t="str">
        <f t="shared" si="4"/>
        <v>-</v>
      </c>
      <c r="O55" s="546" t="str">
        <f t="shared" si="5"/>
        <v>-</v>
      </c>
      <c r="P55" s="540"/>
      <c r="Q55" s="539"/>
      <c r="R55" s="616"/>
    </row>
    <row r="56" spans="3:18" s="295" customFormat="1" ht="12.75" customHeight="1" x14ac:dyDescent="0.35">
      <c r="C56" s="532"/>
      <c r="D56" s="452"/>
      <c r="E56" s="452"/>
      <c r="F56" s="452"/>
      <c r="G56" s="533"/>
      <c r="H56" s="533"/>
      <c r="I56" s="540"/>
      <c r="J56" s="535"/>
      <c r="K56" s="538">
        <f t="shared" si="3"/>
        <v>0</v>
      </c>
      <c r="L56" s="540"/>
      <c r="M56" s="540"/>
      <c r="N56" s="546" t="str">
        <f t="shared" si="4"/>
        <v>-</v>
      </c>
      <c r="O56" s="546" t="str">
        <f t="shared" si="5"/>
        <v>-</v>
      </c>
      <c r="P56" s="540"/>
      <c r="Q56" s="539"/>
      <c r="R56" s="616"/>
    </row>
    <row r="57" spans="3:18" s="295" customFormat="1" ht="12.75" customHeight="1" x14ac:dyDescent="0.35">
      <c r="C57" s="532"/>
      <c r="D57" s="452"/>
      <c r="E57" s="452"/>
      <c r="F57" s="452"/>
      <c r="G57" s="533"/>
      <c r="H57" s="533"/>
      <c r="I57" s="540"/>
      <c r="J57" s="535"/>
      <c r="K57" s="538">
        <f t="shared" si="3"/>
        <v>0</v>
      </c>
      <c r="L57" s="540"/>
      <c r="M57" s="540"/>
      <c r="N57" s="546" t="str">
        <f t="shared" si="4"/>
        <v>-</v>
      </c>
      <c r="O57" s="546" t="str">
        <f t="shared" si="5"/>
        <v>-</v>
      </c>
      <c r="P57" s="540"/>
      <c r="Q57" s="539"/>
      <c r="R57" s="616"/>
    </row>
    <row r="58" spans="3:18" s="295" customFormat="1" ht="12.75" customHeight="1" x14ac:dyDescent="0.35">
      <c r="C58" s="532"/>
      <c r="D58" s="452"/>
      <c r="E58" s="452"/>
      <c r="F58" s="452"/>
      <c r="G58" s="533"/>
      <c r="H58" s="533"/>
      <c r="I58" s="540"/>
      <c r="J58" s="535"/>
      <c r="K58" s="538">
        <f t="shared" si="3"/>
        <v>0</v>
      </c>
      <c r="L58" s="540"/>
      <c r="M58" s="540"/>
      <c r="N58" s="546" t="str">
        <f t="shared" si="4"/>
        <v>-</v>
      </c>
      <c r="O58" s="546" t="str">
        <f t="shared" si="5"/>
        <v>-</v>
      </c>
      <c r="P58" s="540"/>
      <c r="Q58" s="539"/>
      <c r="R58" s="616"/>
    </row>
    <row r="59" spans="3:18" s="295" customFormat="1" ht="12.75" customHeight="1" x14ac:dyDescent="0.35">
      <c r="C59" s="532"/>
      <c r="D59" s="452"/>
      <c r="E59" s="452"/>
      <c r="F59" s="452"/>
      <c r="G59" s="533"/>
      <c r="H59" s="533"/>
      <c r="I59" s="540"/>
      <c r="J59" s="535"/>
      <c r="K59" s="538">
        <f t="shared" si="3"/>
        <v>0</v>
      </c>
      <c r="L59" s="540"/>
      <c r="M59" s="540"/>
      <c r="N59" s="546" t="str">
        <f t="shared" si="4"/>
        <v>-</v>
      </c>
      <c r="O59" s="546" t="str">
        <f t="shared" si="5"/>
        <v>-</v>
      </c>
      <c r="P59" s="540"/>
      <c r="Q59" s="539"/>
      <c r="R59" s="616"/>
    </row>
    <row r="60" spans="3:18" s="295" customFormat="1" ht="12.75" customHeight="1" x14ac:dyDescent="0.35">
      <c r="C60" s="532"/>
      <c r="D60" s="452"/>
      <c r="E60" s="452"/>
      <c r="F60" s="452"/>
      <c r="G60" s="533"/>
      <c r="H60" s="533"/>
      <c r="I60" s="540"/>
      <c r="J60" s="535"/>
      <c r="K60" s="538">
        <f t="shared" si="3"/>
        <v>0</v>
      </c>
      <c r="L60" s="540"/>
      <c r="M60" s="540"/>
      <c r="N60" s="546" t="str">
        <f t="shared" si="4"/>
        <v>-</v>
      </c>
      <c r="O60" s="546" t="str">
        <f t="shared" si="5"/>
        <v>-</v>
      </c>
      <c r="P60" s="540"/>
      <c r="Q60" s="539"/>
      <c r="R60" s="616"/>
    </row>
    <row r="61" spans="3:18" s="295" customFormat="1" ht="12.75" customHeight="1" x14ac:dyDescent="0.35">
      <c r="C61" s="532"/>
      <c r="D61" s="452"/>
      <c r="E61" s="452"/>
      <c r="F61" s="452"/>
      <c r="G61" s="533"/>
      <c r="H61" s="533"/>
      <c r="I61" s="540"/>
      <c r="J61" s="535"/>
      <c r="K61" s="538">
        <f t="shared" si="3"/>
        <v>0</v>
      </c>
      <c r="L61" s="540"/>
      <c r="M61" s="540"/>
      <c r="N61" s="546" t="str">
        <f t="shared" si="4"/>
        <v>-</v>
      </c>
      <c r="O61" s="546" t="str">
        <f t="shared" si="5"/>
        <v>-</v>
      </c>
      <c r="P61" s="540"/>
      <c r="Q61" s="539"/>
      <c r="R61" s="616"/>
    </row>
    <row r="62" spans="3:18" s="295" customFormat="1" ht="12.75" customHeight="1" x14ac:dyDescent="0.35">
      <c r="C62" s="532"/>
      <c r="D62" s="452"/>
      <c r="E62" s="452"/>
      <c r="F62" s="452"/>
      <c r="G62" s="533"/>
      <c r="H62" s="533"/>
      <c r="I62" s="540"/>
      <c r="J62" s="535"/>
      <c r="K62" s="538">
        <f t="shared" si="3"/>
        <v>0</v>
      </c>
      <c r="L62" s="540"/>
      <c r="M62" s="540"/>
      <c r="N62" s="546" t="str">
        <f t="shared" si="4"/>
        <v>-</v>
      </c>
      <c r="O62" s="546" t="str">
        <f t="shared" si="5"/>
        <v>-</v>
      </c>
      <c r="P62" s="540"/>
      <c r="Q62" s="539"/>
      <c r="R62" s="616"/>
    </row>
    <row r="63" spans="3:18" s="295" customFormat="1" ht="12.75" customHeight="1" x14ac:dyDescent="0.35">
      <c r="C63" s="532"/>
      <c r="D63" s="452"/>
      <c r="E63" s="452"/>
      <c r="F63" s="452"/>
      <c r="G63" s="533"/>
      <c r="H63" s="533"/>
      <c r="I63" s="540"/>
      <c r="J63" s="535"/>
      <c r="K63" s="538">
        <f t="shared" si="3"/>
        <v>0</v>
      </c>
      <c r="L63" s="540"/>
      <c r="M63" s="540"/>
      <c r="N63" s="546" t="str">
        <f t="shared" si="4"/>
        <v>-</v>
      </c>
      <c r="O63" s="546" t="str">
        <f t="shared" si="5"/>
        <v>-</v>
      </c>
      <c r="P63" s="540"/>
      <c r="Q63" s="539"/>
      <c r="R63" s="616"/>
    </row>
    <row r="64" spans="3:18" s="295" customFormat="1" ht="12.75" customHeight="1" x14ac:dyDescent="0.35">
      <c r="C64" s="532"/>
      <c r="D64" s="452"/>
      <c r="E64" s="452"/>
      <c r="F64" s="452"/>
      <c r="G64" s="533"/>
      <c r="H64" s="533"/>
      <c r="I64" s="540"/>
      <c r="J64" s="535"/>
      <c r="K64" s="538">
        <f t="shared" si="3"/>
        <v>0</v>
      </c>
      <c r="L64" s="540"/>
      <c r="M64" s="540"/>
      <c r="N64" s="546" t="str">
        <f t="shared" si="4"/>
        <v>-</v>
      </c>
      <c r="O64" s="546" t="str">
        <f t="shared" si="5"/>
        <v>-</v>
      </c>
      <c r="P64" s="540"/>
      <c r="Q64" s="539"/>
      <c r="R64" s="616"/>
    </row>
    <row r="65" spans="3:18" s="295" customFormat="1" ht="12.75" customHeight="1" x14ac:dyDescent="0.35">
      <c r="C65" s="532"/>
      <c r="D65" s="452"/>
      <c r="E65" s="452"/>
      <c r="F65" s="452"/>
      <c r="G65" s="533"/>
      <c r="H65" s="533"/>
      <c r="I65" s="540"/>
      <c r="J65" s="535"/>
      <c r="K65" s="538">
        <f t="shared" si="3"/>
        <v>0</v>
      </c>
      <c r="L65" s="540"/>
      <c r="M65" s="540"/>
      <c r="N65" s="546" t="str">
        <f t="shared" si="4"/>
        <v>-</v>
      </c>
      <c r="O65" s="546" t="str">
        <f t="shared" si="5"/>
        <v>-</v>
      </c>
      <c r="P65" s="540"/>
      <c r="Q65" s="539"/>
      <c r="R65" s="616"/>
    </row>
    <row r="66" spans="3:18" s="295" customFormat="1" ht="12.75" customHeight="1" x14ac:dyDescent="0.35">
      <c r="C66" s="532"/>
      <c r="D66" s="452"/>
      <c r="E66" s="452"/>
      <c r="F66" s="452"/>
      <c r="G66" s="533"/>
      <c r="H66" s="533"/>
      <c r="I66" s="540"/>
      <c r="J66" s="535"/>
      <c r="K66" s="538">
        <f t="shared" si="3"/>
        <v>0</v>
      </c>
      <c r="L66" s="540"/>
      <c r="M66" s="540"/>
      <c r="N66" s="546" t="str">
        <f t="shared" si="4"/>
        <v>-</v>
      </c>
      <c r="O66" s="546" t="str">
        <f t="shared" si="5"/>
        <v>-</v>
      </c>
      <c r="P66" s="540"/>
      <c r="Q66" s="539"/>
      <c r="R66" s="616"/>
    </row>
    <row r="67" spans="3:18" s="295" customFormat="1" ht="12.75" customHeight="1" x14ac:dyDescent="0.35">
      <c r="C67" s="532"/>
      <c r="D67" s="452"/>
      <c r="E67" s="452"/>
      <c r="F67" s="452"/>
      <c r="G67" s="533"/>
      <c r="H67" s="533"/>
      <c r="I67" s="540"/>
      <c r="J67" s="535"/>
      <c r="K67" s="538">
        <f t="shared" si="3"/>
        <v>0</v>
      </c>
      <c r="L67" s="540"/>
      <c r="M67" s="540"/>
      <c r="N67" s="546" t="str">
        <f t="shared" si="4"/>
        <v>-</v>
      </c>
      <c r="O67" s="546" t="str">
        <f t="shared" si="5"/>
        <v>-</v>
      </c>
      <c r="P67" s="540"/>
      <c r="Q67" s="539"/>
      <c r="R67" s="616"/>
    </row>
    <row r="68" spans="3:18" s="295" customFormat="1" ht="12.75" customHeight="1" x14ac:dyDescent="0.35">
      <c r="C68" s="532"/>
      <c r="D68" s="452"/>
      <c r="E68" s="452"/>
      <c r="F68" s="452"/>
      <c r="G68" s="533"/>
      <c r="H68" s="533"/>
      <c r="I68" s="540"/>
      <c r="J68" s="535"/>
      <c r="K68" s="538">
        <f t="shared" si="3"/>
        <v>0</v>
      </c>
      <c r="L68" s="540"/>
      <c r="M68" s="540"/>
      <c r="N68" s="546" t="str">
        <f t="shared" si="4"/>
        <v>-</v>
      </c>
      <c r="O68" s="546" t="str">
        <f t="shared" si="5"/>
        <v>-</v>
      </c>
      <c r="P68" s="540"/>
      <c r="Q68" s="539"/>
      <c r="R68" s="616"/>
    </row>
    <row r="69" spans="3:18" s="295" customFormat="1" ht="12.75" customHeight="1" x14ac:dyDescent="0.35">
      <c r="C69" s="532"/>
      <c r="D69" s="452"/>
      <c r="E69" s="452"/>
      <c r="F69" s="452"/>
      <c r="G69" s="533"/>
      <c r="H69" s="533"/>
      <c r="I69" s="540"/>
      <c r="J69" s="535"/>
      <c r="K69" s="538">
        <f t="shared" ref="K69:K75" si="6">IFERROR(I69-J69,"-")</f>
        <v>0</v>
      </c>
      <c r="L69" s="540"/>
      <c r="M69" s="540"/>
      <c r="N69" s="546" t="str">
        <f t="shared" ref="N69:N75" si="7">IFERROR(L69/K69,"-")</f>
        <v>-</v>
      </c>
      <c r="O69" s="546" t="str">
        <f t="shared" ref="O69:O75" si="8">IFERROR(M69/K69,"-")</f>
        <v>-</v>
      </c>
      <c r="P69" s="540"/>
      <c r="Q69" s="539"/>
      <c r="R69" s="616"/>
    </row>
    <row r="70" spans="3:18" s="295" customFormat="1" ht="12.75" customHeight="1" x14ac:dyDescent="0.35">
      <c r="C70" s="532"/>
      <c r="D70" s="452"/>
      <c r="E70" s="452"/>
      <c r="F70" s="452"/>
      <c r="G70" s="533"/>
      <c r="H70" s="533"/>
      <c r="I70" s="540"/>
      <c r="J70" s="535"/>
      <c r="K70" s="538">
        <f t="shared" si="6"/>
        <v>0</v>
      </c>
      <c r="L70" s="540"/>
      <c r="M70" s="540"/>
      <c r="N70" s="546" t="str">
        <f t="shared" si="7"/>
        <v>-</v>
      </c>
      <c r="O70" s="546" t="str">
        <f t="shared" si="8"/>
        <v>-</v>
      </c>
      <c r="P70" s="540"/>
      <c r="Q70" s="539"/>
      <c r="R70" s="616"/>
    </row>
    <row r="71" spans="3:18" s="295" customFormat="1" ht="12.75" customHeight="1" x14ac:dyDescent="0.35">
      <c r="C71" s="532"/>
      <c r="D71" s="452"/>
      <c r="E71" s="452"/>
      <c r="F71" s="452"/>
      <c r="G71" s="533"/>
      <c r="H71" s="533"/>
      <c r="I71" s="540"/>
      <c r="J71" s="535"/>
      <c r="K71" s="538">
        <f t="shared" si="6"/>
        <v>0</v>
      </c>
      <c r="L71" s="540"/>
      <c r="M71" s="540"/>
      <c r="N71" s="546" t="str">
        <f t="shared" si="7"/>
        <v>-</v>
      </c>
      <c r="O71" s="546" t="str">
        <f t="shared" si="8"/>
        <v>-</v>
      </c>
      <c r="P71" s="540"/>
      <c r="Q71" s="539"/>
      <c r="R71" s="616"/>
    </row>
    <row r="72" spans="3:18" s="295" customFormat="1" ht="12.75" customHeight="1" x14ac:dyDescent="0.35">
      <c r="C72" s="532"/>
      <c r="D72" s="452"/>
      <c r="E72" s="452"/>
      <c r="F72" s="452"/>
      <c r="G72" s="533"/>
      <c r="H72" s="533"/>
      <c r="I72" s="540"/>
      <c r="J72" s="535"/>
      <c r="K72" s="538">
        <f t="shared" si="6"/>
        <v>0</v>
      </c>
      <c r="L72" s="540"/>
      <c r="M72" s="540"/>
      <c r="N72" s="546" t="str">
        <f t="shared" si="7"/>
        <v>-</v>
      </c>
      <c r="O72" s="546" t="str">
        <f t="shared" si="8"/>
        <v>-</v>
      </c>
      <c r="P72" s="540"/>
      <c r="Q72" s="539"/>
      <c r="R72" s="616"/>
    </row>
    <row r="73" spans="3:18" s="295" customFormat="1" ht="12.75" customHeight="1" x14ac:dyDescent="0.35">
      <c r="C73" s="532"/>
      <c r="D73" s="452"/>
      <c r="E73" s="452"/>
      <c r="F73" s="452"/>
      <c r="G73" s="533"/>
      <c r="H73" s="533"/>
      <c r="I73" s="540"/>
      <c r="J73" s="535"/>
      <c r="K73" s="538">
        <f t="shared" si="6"/>
        <v>0</v>
      </c>
      <c r="L73" s="540"/>
      <c r="M73" s="540"/>
      <c r="N73" s="546" t="str">
        <f t="shared" si="7"/>
        <v>-</v>
      </c>
      <c r="O73" s="546" t="str">
        <f t="shared" si="8"/>
        <v>-</v>
      </c>
      <c r="P73" s="540"/>
      <c r="Q73" s="539"/>
      <c r="R73" s="616"/>
    </row>
    <row r="74" spans="3:18" s="295" customFormat="1" ht="12.75" customHeight="1" x14ac:dyDescent="0.35">
      <c r="C74" s="532"/>
      <c r="D74" s="452"/>
      <c r="E74" s="452"/>
      <c r="F74" s="452"/>
      <c r="G74" s="533"/>
      <c r="H74" s="533"/>
      <c r="I74" s="540"/>
      <c r="J74" s="535"/>
      <c r="K74" s="538">
        <f t="shared" si="6"/>
        <v>0</v>
      </c>
      <c r="L74" s="540"/>
      <c r="M74" s="540"/>
      <c r="N74" s="546" t="str">
        <f t="shared" si="7"/>
        <v>-</v>
      </c>
      <c r="O74" s="546" t="str">
        <f t="shared" si="8"/>
        <v>-</v>
      </c>
      <c r="P74" s="540"/>
      <c r="Q74" s="539"/>
      <c r="R74" s="616"/>
    </row>
    <row r="75" spans="3:18" s="295" customFormat="1" ht="12.75" customHeight="1" x14ac:dyDescent="0.35">
      <c r="C75" s="532"/>
      <c r="D75" s="452"/>
      <c r="E75" s="452"/>
      <c r="F75" s="452"/>
      <c r="G75" s="533"/>
      <c r="H75" s="533"/>
      <c r="I75" s="540"/>
      <c r="J75" s="535"/>
      <c r="K75" s="538">
        <f t="shared" si="6"/>
        <v>0</v>
      </c>
      <c r="L75" s="540"/>
      <c r="M75" s="540"/>
      <c r="N75" s="546" t="str">
        <f t="shared" si="7"/>
        <v>-</v>
      </c>
      <c r="O75" s="546" t="str">
        <f t="shared" si="8"/>
        <v>-</v>
      </c>
      <c r="P75" s="540"/>
      <c r="Q75" s="539"/>
      <c r="R75" s="616"/>
    </row>
    <row r="76" spans="3:18" s="295" customFormat="1" ht="12.75" customHeight="1" x14ac:dyDescent="0.35">
      <c r="C76" s="541"/>
      <c r="I76" s="342"/>
      <c r="J76" s="342"/>
      <c r="K76" s="342"/>
      <c r="N76" s="342"/>
      <c r="O76" s="342"/>
      <c r="P76" s="529"/>
      <c r="R76" s="613"/>
    </row>
    <row r="77" spans="3:18" s="295" customFormat="1" ht="12.75" customHeight="1" x14ac:dyDescent="0.35">
      <c r="C77" s="541"/>
      <c r="I77" s="342"/>
      <c r="J77" s="342"/>
      <c r="K77" s="342"/>
      <c r="N77" s="342"/>
      <c r="O77" s="342"/>
      <c r="P77" s="529"/>
      <c r="R77" s="613"/>
    </row>
    <row r="78" spans="3:18" s="295" customFormat="1" ht="12.75" customHeight="1" x14ac:dyDescent="0.35">
      <c r="C78" s="541"/>
      <c r="I78" s="342"/>
      <c r="J78" s="342"/>
      <c r="K78" s="342"/>
      <c r="N78" s="342"/>
      <c r="O78" s="342"/>
      <c r="P78" s="529"/>
      <c r="R78" s="613"/>
    </row>
    <row r="79" spans="3:18" s="295" customFormat="1" ht="12.75" customHeight="1" x14ac:dyDescent="0.35">
      <c r="C79" s="541"/>
      <c r="I79" s="342"/>
      <c r="J79" s="342"/>
      <c r="K79" s="342"/>
      <c r="N79" s="342"/>
      <c r="O79" s="342"/>
      <c r="P79" s="529"/>
      <c r="R79" s="613"/>
    </row>
    <row r="80" spans="3:18" s="295" customFormat="1" ht="12.75" customHeight="1" x14ac:dyDescent="0.35">
      <c r="C80" s="541"/>
      <c r="I80" s="342"/>
      <c r="J80" s="342"/>
      <c r="K80" s="342"/>
      <c r="N80" s="342"/>
      <c r="O80" s="342"/>
      <c r="P80" s="529"/>
      <c r="R80" s="613"/>
    </row>
    <row r="81" spans="3:18" s="295" customFormat="1" ht="12.75" customHeight="1" x14ac:dyDescent="0.35">
      <c r="C81" s="541"/>
      <c r="I81" s="342"/>
      <c r="J81" s="342"/>
      <c r="K81" s="342"/>
      <c r="N81" s="342"/>
      <c r="O81" s="342"/>
      <c r="P81" s="529"/>
      <c r="R81" s="613"/>
    </row>
    <row r="82" spans="3:18" s="295" customFormat="1" ht="12.75" customHeight="1" x14ac:dyDescent="0.35">
      <c r="C82" s="541"/>
      <c r="I82" s="342"/>
      <c r="J82" s="342"/>
      <c r="K82" s="342"/>
      <c r="N82" s="342"/>
      <c r="O82" s="342"/>
      <c r="P82" s="529"/>
      <c r="R82" s="613"/>
    </row>
    <row r="83" spans="3:18" s="295" customFormat="1" ht="12.75" customHeight="1" x14ac:dyDescent="0.35">
      <c r="C83" s="541"/>
      <c r="I83" s="342"/>
      <c r="J83" s="342"/>
      <c r="K83" s="342"/>
      <c r="N83" s="342"/>
      <c r="O83" s="342"/>
      <c r="P83" s="529"/>
      <c r="R83" s="613"/>
    </row>
    <row r="84" spans="3:18" s="295" customFormat="1" ht="12.75" customHeight="1" x14ac:dyDescent="0.35">
      <c r="C84" s="541"/>
      <c r="I84" s="342"/>
      <c r="J84" s="342"/>
      <c r="K84" s="342"/>
      <c r="N84" s="342"/>
      <c r="O84" s="342"/>
      <c r="P84" s="529"/>
      <c r="R84" s="613"/>
    </row>
    <row r="85" spans="3:18" s="295" customFormat="1" ht="12.75" customHeight="1" x14ac:dyDescent="0.35">
      <c r="C85" s="541"/>
      <c r="I85" s="342"/>
      <c r="J85" s="342"/>
      <c r="K85" s="342"/>
      <c r="N85" s="342"/>
      <c r="O85" s="342"/>
      <c r="P85" s="529"/>
      <c r="R85" s="613"/>
    </row>
    <row r="86" spans="3:18" s="295" customFormat="1" ht="12.75" customHeight="1" x14ac:dyDescent="0.35">
      <c r="C86" s="541"/>
      <c r="I86" s="342"/>
      <c r="J86" s="342"/>
      <c r="K86" s="342"/>
      <c r="N86" s="342"/>
      <c r="O86" s="342"/>
      <c r="P86" s="529"/>
      <c r="R86" s="613"/>
    </row>
    <row r="87" spans="3:18" s="295" customFormat="1" ht="12.75" customHeight="1" x14ac:dyDescent="0.35">
      <c r="C87" s="541"/>
      <c r="I87" s="342"/>
      <c r="J87" s="342"/>
      <c r="K87" s="342"/>
      <c r="N87" s="342"/>
      <c r="O87" s="342"/>
      <c r="P87" s="529"/>
      <c r="R87" s="613"/>
    </row>
    <row r="88" spans="3:18" s="295" customFormat="1" ht="12.75" customHeight="1" x14ac:dyDescent="0.35">
      <c r="C88" s="541"/>
      <c r="I88" s="342"/>
      <c r="J88" s="342"/>
      <c r="K88" s="342"/>
      <c r="N88" s="342"/>
      <c r="O88" s="342"/>
      <c r="P88" s="529"/>
      <c r="R88" s="613"/>
    </row>
    <row r="89" spans="3:18" s="295" customFormat="1" ht="12.75" customHeight="1" x14ac:dyDescent="0.35">
      <c r="C89" s="541"/>
      <c r="I89" s="342"/>
      <c r="J89" s="342"/>
      <c r="K89" s="342"/>
      <c r="N89" s="342"/>
      <c r="O89" s="342"/>
      <c r="P89" s="529"/>
      <c r="R89" s="613"/>
    </row>
    <row r="90" spans="3:18" s="295" customFormat="1" ht="12.75" customHeight="1" x14ac:dyDescent="0.35">
      <c r="C90" s="541"/>
      <c r="I90" s="342"/>
      <c r="J90" s="342"/>
      <c r="K90" s="342"/>
      <c r="N90" s="342"/>
      <c r="O90" s="342"/>
      <c r="P90" s="529"/>
      <c r="R90" s="613"/>
    </row>
    <row r="91" spans="3:18" s="295" customFormat="1" ht="12.75" customHeight="1" x14ac:dyDescent="0.35">
      <c r="C91" s="541"/>
      <c r="I91" s="342"/>
      <c r="J91" s="342"/>
      <c r="K91" s="342"/>
      <c r="N91" s="342"/>
      <c r="O91" s="342"/>
      <c r="P91" s="529"/>
      <c r="R91" s="613"/>
    </row>
    <row r="92" spans="3:18" s="295" customFormat="1" ht="12.75" customHeight="1" x14ac:dyDescent="0.35">
      <c r="C92" s="541"/>
      <c r="I92" s="342"/>
      <c r="J92" s="342"/>
      <c r="K92" s="342"/>
      <c r="N92" s="342"/>
      <c r="O92" s="342"/>
      <c r="P92" s="529"/>
      <c r="R92" s="613"/>
    </row>
    <row r="93" spans="3:18" s="295" customFormat="1" ht="12.75" customHeight="1" x14ac:dyDescent="0.35">
      <c r="C93" s="541"/>
      <c r="I93" s="342"/>
      <c r="J93" s="342"/>
      <c r="K93" s="342"/>
      <c r="N93" s="342"/>
      <c r="O93" s="342"/>
      <c r="P93" s="529"/>
      <c r="R93" s="613"/>
    </row>
    <row r="94" spans="3:18" s="295" customFormat="1" ht="12.75" customHeight="1" x14ac:dyDescent="0.35">
      <c r="C94" s="541"/>
      <c r="I94" s="342"/>
      <c r="J94" s="342"/>
      <c r="K94" s="342"/>
      <c r="N94" s="342"/>
      <c r="O94" s="342"/>
      <c r="P94" s="529"/>
      <c r="R94" s="613"/>
    </row>
    <row r="95" spans="3:18" s="295" customFormat="1" ht="12.75" customHeight="1" x14ac:dyDescent="0.35">
      <c r="C95" s="541"/>
      <c r="I95" s="342"/>
      <c r="J95" s="342"/>
      <c r="K95" s="342"/>
      <c r="N95" s="342"/>
      <c r="O95" s="342"/>
      <c r="P95" s="529"/>
      <c r="R95" s="613"/>
    </row>
    <row r="96" spans="3:18" s="295" customFormat="1" ht="12.75" customHeight="1" x14ac:dyDescent="0.35">
      <c r="C96" s="541"/>
      <c r="I96" s="342"/>
      <c r="J96" s="342"/>
      <c r="K96" s="342"/>
      <c r="N96" s="342"/>
      <c r="O96" s="342"/>
      <c r="P96" s="529"/>
      <c r="R96" s="613"/>
    </row>
    <row r="97" spans="3:18" s="295" customFormat="1" ht="12.75" customHeight="1" x14ac:dyDescent="0.35">
      <c r="C97" s="541"/>
      <c r="I97" s="342"/>
      <c r="J97" s="342"/>
      <c r="K97" s="342"/>
      <c r="N97" s="342"/>
      <c r="O97" s="342"/>
      <c r="P97" s="529"/>
      <c r="R97" s="613"/>
    </row>
  </sheetData>
  <sheetProtection algorithmName="SHA-512" hashValue="JZX+5dw6UCInnh6q9XYhfhtUv8ipIG3H2AmCYCml7IrgTlc2ye/71zYOkMot8VR119mK3ntwZpQVD8GnatHaDg==" saltValue="fviPF9idSPmqBNkK57AE1Q==" spinCount="100000" sheet="1" objects="1" scenarios="1"/>
  <mergeCells count="2">
    <mergeCell ref="L2:O2"/>
    <mergeCell ref="I2:K2"/>
  </mergeCells>
  <dataValidations count="7">
    <dataValidation type="list" allowBlank="1" showInputMessage="1" showErrorMessage="1" sqref="F5:F6" xr:uid="{00000000-0002-0000-0600-000000000000}">
      <formula1>"n/a,(a) Reduces/Waives Principal,(b) Extends Maturity/Payment Date,(c) Reduce/defer Interest,(d) Subordinates Loan,(e) Releases Collateral/Lien,(f) Amends Covenants"</formula1>
    </dataValidation>
    <dataValidation type="list" allowBlank="1" showInputMessage="1" showErrorMessage="1" sqref="D38:D67" xr:uid="{00000000-0002-0000-0600-000001000000}">
      <formula1>"Increase of Lev,Material Mod (a),Material Mod (b),Material Mod (c),Material Mod (d),Material Mod (e),Material Mod (f),Obligor Insolvency,Obligor default,Obligor payment default,Reporting Failure"</formula1>
    </dataValidation>
    <dataValidation type="list" allowBlank="1" showDropDown="1" showInputMessage="1" showErrorMessage="1" sqref="C32:C75" xr:uid="{00000000-0002-0000-0600-000002000000}">
      <formula1>OFFSET($A$1,0,0,COUNTA($A:$A))</formula1>
    </dataValidation>
    <dataValidation type="list" allowBlank="1" showInputMessage="1" showErrorMessage="1" sqref="D68:D75" xr:uid="{00000000-0002-0000-0600-000003000000}">
      <formula1>"Material Mod (a),Material Mod (b),Material Mod (c),Material Mod (d),Material Mod (e),Material Mod (f),Obligor Insolvency,Obligor default,Obligor payment default,Reporting Failure"</formula1>
    </dataValidation>
    <dataValidation type="list" allowBlank="1" showInputMessage="1" showErrorMessage="1" sqref="F7:F75" xr:uid="{00000000-0002-0000-0600-000004000000}">
      <formula1>"-,(a) Reduces/Waives Principal,(b) Extends Maturity/Payment Date,(c) Waives Interest,(d) Subordinates Loan,(e) Releases Collateral/Lien,(f) Amends Covenants"</formula1>
    </dataValidation>
    <dataValidation type="list" allowBlank="1" showInputMessage="1" showErrorMessage="1" sqref="D5:D37" xr:uid="{00000000-0002-0000-0600-000005000000}">
      <formula1>"Increase in Lev,Material Mod (a),Material Mod (b),Material Mod (c),Material Mod (d),Material Mod (e),Material Mod (f),Obligor Insolvency,Obligor default,Obligor payment default,Reporting Failure"</formula1>
    </dataValidation>
    <dataValidation type="list" allowBlank="1" showInputMessage="1" showErrorMessage="1" sqref="E5:E75" xr:uid="{00000000-0002-0000-0600-000006000000}">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defaultColWidth="8.86328125" defaultRowHeight="14.25" x14ac:dyDescent="0.45"/>
  <cols>
    <col min="1" max="1" width="11.59765625" bestFit="1" customWidth="1"/>
    <col min="2" max="2" width="10.59765625" customWidth="1"/>
    <col min="3" max="3" width="5.59765625" customWidth="1"/>
    <col min="4" max="4" width="46.265625" customWidth="1"/>
    <col min="5" max="5" width="7.59765625" bestFit="1" customWidth="1"/>
    <col min="6" max="6" width="9.59765625" bestFit="1" customWidth="1"/>
    <col min="7" max="7" width="42.59765625" bestFit="1" customWidth="1"/>
    <col min="8" max="8" width="9" bestFit="1" customWidth="1"/>
    <col min="9" max="9" width="9.265625" hidden="1" customWidth="1"/>
    <col min="10" max="10" width="12.265625" bestFit="1" customWidth="1"/>
    <col min="11" max="11" width="12.59765625" bestFit="1" customWidth="1"/>
    <col min="12" max="12" width="13.265625" bestFit="1" customWidth="1"/>
    <col min="13" max="13" width="14.59765625" bestFit="1" customWidth="1"/>
    <col min="14" max="14" width="11.59765625" bestFit="1" customWidth="1"/>
    <col min="15" max="15" width="11.265625" hidden="1" customWidth="1"/>
    <col min="16" max="16" width="11" hidden="1" customWidth="1"/>
    <col min="17" max="17" width="8.86328125" bestFit="1" customWidth="1"/>
    <col min="18" max="18" width="4.265625" hidden="1" customWidth="1"/>
    <col min="19" max="19" width="5.59765625" bestFit="1" customWidth="1"/>
    <col min="20" max="20" width="14" bestFit="1" customWidth="1"/>
    <col min="21" max="22" width="11.265625" bestFit="1" customWidth="1"/>
    <col min="23" max="23" width="9.59765625" bestFit="1" customWidth="1"/>
    <col min="24" max="24" width="40.265625" bestFit="1" customWidth="1"/>
    <col min="25" max="25" width="10.265625" bestFit="1" customWidth="1"/>
    <col min="26" max="26" width="8.265625" customWidth="1"/>
    <col min="27" max="27" width="21" hidden="1" customWidth="1"/>
    <col min="28" max="28" width="15.265625" hidden="1" customWidth="1"/>
    <col min="29" max="29" width="9.59765625" hidden="1" customWidth="1"/>
    <col min="30" max="30" width="8.86328125" bestFit="1" customWidth="1"/>
    <col min="31" max="31" width="11" bestFit="1" customWidth="1"/>
    <col min="32" max="32" width="12.59765625" bestFit="1" customWidth="1"/>
    <col min="33" max="33" width="8.265625" hidden="1" customWidth="1"/>
    <col min="34" max="34" width="6" hidden="1" customWidth="1"/>
    <col min="35" max="35" width="5.59765625" hidden="1" customWidth="1"/>
    <col min="36" max="36" width="8.265625" hidden="1" customWidth="1"/>
    <col min="37" max="37" width="14.59765625" hidden="1" customWidth="1"/>
    <col min="38" max="38" width="11.265625" hidden="1" customWidth="1"/>
    <col min="39" max="39" width="14" hidden="1" customWidth="1"/>
    <col min="40" max="41" width="11.59765625" style="203" customWidth="1"/>
    <col min="42" max="42" width="6" customWidth="1"/>
    <col min="43" max="44" width="46" customWidth="1"/>
    <col min="45" max="45" width="8.86328125" customWidth="1"/>
    <col min="46" max="46" width="12.265625" customWidth="1"/>
    <col min="47" max="47" width="29" customWidth="1"/>
    <col min="48" max="48" width="12.59765625" customWidth="1"/>
    <col min="49" max="49" width="14.59765625" customWidth="1"/>
    <col min="50" max="50" width="12.59765625" customWidth="1"/>
    <col min="51" max="51" width="11" customWidth="1"/>
    <col min="52" max="52" width="12.59765625" customWidth="1"/>
    <col min="53" max="53" width="13" customWidth="1"/>
    <col min="54" max="54" width="10.59765625" customWidth="1"/>
    <col min="55" max="55" width="14" customWidth="1"/>
    <col min="56" max="56" width="9.265625" customWidth="1"/>
    <col min="57" max="58" width="9.59765625" customWidth="1"/>
    <col min="59" max="60" width="8.86328125" customWidth="1"/>
    <col min="61" max="61" width="12.265625" customWidth="1"/>
    <col min="62" max="62" width="11.59765625" customWidth="1"/>
    <col min="63" max="63" width="8.86328125" customWidth="1"/>
  </cols>
  <sheetData>
    <row r="1" spans="1:62" ht="15.75" customHeight="1" thickBot="1" x14ac:dyDescent="0.5">
      <c r="A1" s="204" t="s">
        <v>639</v>
      </c>
      <c r="B1" s="918"/>
      <c r="C1" s="917"/>
      <c r="D1" s="917"/>
      <c r="E1" s="917"/>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6"/>
      <c r="AO1" s="206"/>
      <c r="AP1" s="207"/>
      <c r="AQ1" s="208">
        <f>SUM(AQ6:AQ55)</f>
        <v>344363620.89276171</v>
      </c>
      <c r="AR1" s="208">
        <f>SUM(AR6:AR55)</f>
        <v>344363620.89276171</v>
      </c>
      <c r="AS1" s="205"/>
    </row>
    <row r="2" spans="1:62" x14ac:dyDescent="0.45">
      <c r="A2" s="209">
        <f>Availability!F5</f>
        <v>46022</v>
      </c>
      <c r="B2" s="916" t="str">
        <f>"As of date " &amp; TEXT(A2, "mm/dd/yyyy")</f>
        <v>As of date 12/31/2025</v>
      </c>
      <c r="C2" s="917"/>
      <c r="D2" s="917"/>
      <c r="E2" s="917"/>
      <c r="F2" s="917"/>
      <c r="G2" s="205"/>
      <c r="H2" s="205"/>
      <c r="I2" s="205"/>
      <c r="J2" s="205"/>
      <c r="K2" s="205"/>
      <c r="L2" s="205"/>
      <c r="M2" s="210"/>
      <c r="N2" s="210"/>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c r="AO2" s="206"/>
      <c r="AP2" s="211"/>
      <c r="AQ2" s="212" t="s">
        <v>640</v>
      </c>
      <c r="AR2" s="212" t="s">
        <v>641</v>
      </c>
      <c r="AS2" s="205"/>
      <c r="AT2" s="202" t="s">
        <v>642</v>
      </c>
    </row>
    <row r="3" spans="1:62" ht="15.75" customHeight="1" thickBot="1" x14ac:dyDescent="0.5">
      <c r="A3" s="213"/>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4"/>
      <c r="AO3" s="214"/>
      <c r="AP3" s="213"/>
      <c r="AQ3" s="215" t="s">
        <v>1</v>
      </c>
      <c r="AR3" s="215" t="s">
        <v>1</v>
      </c>
      <c r="AS3" s="213"/>
    </row>
    <row r="4" spans="1:62" s="73" customFormat="1" ht="60" customHeight="1" x14ac:dyDescent="0.45">
      <c r="A4" s="216"/>
      <c r="B4" s="217" t="s">
        <v>643</v>
      </c>
      <c r="C4" s="217" t="s">
        <v>644</v>
      </c>
      <c r="D4" s="217" t="s">
        <v>645</v>
      </c>
      <c r="E4" s="217" t="s">
        <v>646</v>
      </c>
      <c r="F4" s="217" t="s">
        <v>647</v>
      </c>
      <c r="G4" s="217" t="s">
        <v>648</v>
      </c>
      <c r="H4" s="217" t="s">
        <v>95</v>
      </c>
      <c r="I4" s="217" t="s">
        <v>649</v>
      </c>
      <c r="J4" s="218" t="s">
        <v>96</v>
      </c>
      <c r="K4" s="218" t="s">
        <v>650</v>
      </c>
      <c r="L4" s="218" t="s">
        <v>651</v>
      </c>
      <c r="M4" s="218" t="s">
        <v>652</v>
      </c>
      <c r="N4" s="218" t="s">
        <v>653</v>
      </c>
      <c r="O4" s="218" t="s">
        <v>654</v>
      </c>
      <c r="P4" s="218" t="s">
        <v>653</v>
      </c>
      <c r="Q4" s="218" t="s">
        <v>655</v>
      </c>
      <c r="R4" s="218" t="s">
        <v>656</v>
      </c>
      <c r="S4" s="218" t="s">
        <v>121</v>
      </c>
      <c r="T4" s="218" t="s">
        <v>657</v>
      </c>
      <c r="U4" s="218" t="s">
        <v>658</v>
      </c>
      <c r="V4" s="218" t="s">
        <v>141</v>
      </c>
      <c r="W4" s="219" t="s">
        <v>659</v>
      </c>
      <c r="X4" s="218" t="s">
        <v>660</v>
      </c>
      <c r="Y4" s="218" t="s">
        <v>661</v>
      </c>
      <c r="Z4" s="218" t="s">
        <v>662</v>
      </c>
      <c r="AA4" s="218" t="s">
        <v>663</v>
      </c>
      <c r="AB4" s="218" t="s">
        <v>664</v>
      </c>
      <c r="AC4" s="218" t="s">
        <v>665</v>
      </c>
      <c r="AD4" s="218" t="s">
        <v>666</v>
      </c>
      <c r="AE4" s="218" t="s">
        <v>667</v>
      </c>
      <c r="AF4" s="218" t="s">
        <v>668</v>
      </c>
      <c r="AG4" s="218" t="s">
        <v>669</v>
      </c>
      <c r="AH4" s="218" t="s">
        <v>670</v>
      </c>
      <c r="AI4" s="218" t="s">
        <v>671</v>
      </c>
      <c r="AJ4" s="218" t="s">
        <v>672</v>
      </c>
      <c r="AK4" s="218" t="s">
        <v>673</v>
      </c>
      <c r="AL4" s="218" t="s">
        <v>674</v>
      </c>
      <c r="AM4" s="218" t="s">
        <v>675</v>
      </c>
      <c r="AN4" s="220" t="s">
        <v>676</v>
      </c>
      <c r="AO4" s="220" t="s">
        <v>140</v>
      </c>
      <c r="AP4" s="221" t="s">
        <v>410</v>
      </c>
      <c r="AQ4" s="222" t="s">
        <v>677</v>
      </c>
      <c r="AR4" s="223" t="s">
        <v>678</v>
      </c>
      <c r="AS4" s="216"/>
      <c r="AT4" s="224" t="s">
        <v>679</v>
      </c>
      <c r="AU4" s="224" t="s">
        <v>164</v>
      </c>
      <c r="AV4" s="224" t="s">
        <v>680</v>
      </c>
      <c r="AW4" s="224" t="s">
        <v>681</v>
      </c>
      <c r="AX4" s="224" t="s">
        <v>682</v>
      </c>
      <c r="AY4" s="224" t="s">
        <v>683</v>
      </c>
      <c r="AZ4" s="225" t="s">
        <v>684</v>
      </c>
      <c r="BA4" s="224" t="s">
        <v>685</v>
      </c>
      <c r="BB4" s="224"/>
      <c r="BC4" s="224" t="s">
        <v>686</v>
      </c>
      <c r="BD4" s="224" t="s">
        <v>687</v>
      </c>
      <c r="BE4" s="224" t="s">
        <v>194</v>
      </c>
      <c r="BF4" s="224" t="s">
        <v>196</v>
      </c>
      <c r="BI4" s="226" t="s">
        <v>688</v>
      </c>
      <c r="BJ4" s="226" t="s">
        <v>689</v>
      </c>
    </row>
    <row r="5" spans="1:62" x14ac:dyDescent="0.45">
      <c r="A5" s="227" t="str">
        <f t="shared" ref="A5:A45" si="0">CONCATENATE(C5,E5)</f>
        <v>smc1</v>
      </c>
      <c r="B5" s="228">
        <f t="shared" ref="B5:B46" si="1">$A$2</f>
        <v>46022</v>
      </c>
      <c r="C5" s="229" t="s">
        <v>60</v>
      </c>
      <c r="D5" s="230" t="s">
        <v>1</v>
      </c>
      <c r="E5" s="288">
        <v>1</v>
      </c>
      <c r="F5" s="289">
        <v>100001</v>
      </c>
      <c r="G5" s="260" t="s">
        <v>450</v>
      </c>
      <c r="H5" s="260" t="s">
        <v>448</v>
      </c>
      <c r="I5" s="262"/>
      <c r="J5" s="232" t="s">
        <v>239</v>
      </c>
      <c r="K5" s="232" t="s">
        <v>690</v>
      </c>
      <c r="L5" s="264" t="s">
        <v>102</v>
      </c>
      <c r="M5" s="233">
        <f>INDEX('SM Support'!$D$3:$D$64,MATCH('Loan Tape - Settled'!G5,'SM Support'!$B$3:$B$62,0))</f>
        <v>867570.11164605082</v>
      </c>
      <c r="N5" s="234">
        <f t="shared" ref="N5:N45" si="2">M5</f>
        <v>867570.11164605082</v>
      </c>
      <c r="O5" s="235"/>
      <c r="P5" s="235"/>
      <c r="Q5" s="236">
        <v>1</v>
      </c>
      <c r="R5" s="237"/>
      <c r="S5" s="238">
        <f>INDEX('SM Support'!$E$3:$E$64,MATCH('Loan Tape - Settled'!G5,'SM Support'!$B$3:$B$64,0))/INDEX('SM Support'!$D$3:$D$64,MATCH('Loan Tape - Settled'!G5,'SM Support'!$B$3:$B$64,0))</f>
        <v>0</v>
      </c>
      <c r="T5" s="260" t="s">
        <v>393</v>
      </c>
      <c r="U5" s="263">
        <v>43845</v>
      </c>
      <c r="V5" s="293">
        <v>46203</v>
      </c>
      <c r="W5" s="260" t="s">
        <v>691</v>
      </c>
      <c r="X5" s="271" t="s">
        <v>314</v>
      </c>
      <c r="Y5" s="260" t="s">
        <v>692</v>
      </c>
      <c r="Z5" s="264" t="s">
        <v>244</v>
      </c>
      <c r="AA5" s="265"/>
      <c r="AB5" s="265"/>
      <c r="AC5" s="266">
        <v>0</v>
      </c>
      <c r="AD5" s="290">
        <v>0.15983028214035511</v>
      </c>
      <c r="AE5" s="290">
        <v>8.3704369163780292E-3</v>
      </c>
      <c r="AF5" s="290">
        <v>0.02</v>
      </c>
      <c r="AG5" s="243"/>
      <c r="AH5" s="243"/>
      <c r="AI5" s="244"/>
      <c r="AJ5" s="245"/>
      <c r="AK5" s="245"/>
      <c r="AL5" s="245"/>
      <c r="AM5" s="245"/>
      <c r="AN5" s="246">
        <v>43845</v>
      </c>
      <c r="AO5" s="246">
        <v>44379</v>
      </c>
      <c r="AP5" s="247">
        <v>0</v>
      </c>
      <c r="AQ5" s="248">
        <f t="shared" ref="AQ5:AQ46" si="3">IF($D5=$AQ$3,$M5-$AP5,0)</f>
        <v>867570.11164605082</v>
      </c>
      <c r="AR5" s="249">
        <f t="shared" ref="AR5:AR46" si="4">IF($D5=$AR$3,$N5-$AP5,0)</f>
        <v>867570.11164605082</v>
      </c>
      <c r="AT5" s="250" t="s">
        <v>693</v>
      </c>
      <c r="AU5" s="251" t="str">
        <f>'SM Support'!$F$1</f>
        <v>9/30/2025 or Latest Financing</v>
      </c>
      <c r="AV5" s="250">
        <v>6.444</v>
      </c>
      <c r="AW5" s="252">
        <f t="shared" ref="AW5:AW45" si="5">AV5</f>
        <v>6.444</v>
      </c>
      <c r="AX5" s="253">
        <v>2.2031346989447549</v>
      </c>
      <c r="AY5" s="254">
        <f t="shared" ref="AY5:AY45" si="6">AX5</f>
        <v>2.2031346989447549</v>
      </c>
      <c r="AZ5" s="255">
        <f>INDEX('SM Support'!$G$3:$G$64,MATCH('Loan Tape - Settled'!G5,'SM Support'!$B$3:$B$64,0))/1000000</f>
        <v>0.29069220000000212</v>
      </c>
      <c r="BA5" s="252">
        <f t="shared" ref="BA5:BA45" si="7">AZ5</f>
        <v>0.29069220000000212</v>
      </c>
      <c r="BB5" s="256"/>
      <c r="BC5" s="257" t="str">
        <f>INDEX('SM Support'!$M$3:$M$64,MATCH('Loan Tape - Settled'!G5,'SM Support'!$B$3:$B$64,0))</f>
        <v>N/M</v>
      </c>
      <c r="BD5" s="280" t="str">
        <f t="shared" ref="BD5:BD45" si="8">BC5</f>
        <v>N/M</v>
      </c>
      <c r="BE5" s="286">
        <v>4.05</v>
      </c>
      <c r="BF5" s="285">
        <f>INDEX('SM Support'!O$3:O$64,MATCH('Loan Tape - Settled'!$G5,'SM Support'!$B$3:$B$64,0))</f>
        <v>0</v>
      </c>
      <c r="BG5" s="256"/>
      <c r="BH5" s="256"/>
      <c r="BI5" s="258" t="str">
        <f>INDEX('SM Support'!$M$3:$M$144,MATCH('Loan Tape - Settled'!G5,'SM Support'!$B$3:$B$144,0))</f>
        <v>N/M</v>
      </c>
      <c r="BJ5" s="258">
        <f>INDEX('SM Support'!$N$3:$N$144,MATCH('Loan Tape - Settled'!G5,'SM Support'!$B$3:$B$144,0))</f>
        <v>53.388334946723326</v>
      </c>
    </row>
    <row r="6" spans="1:62" x14ac:dyDescent="0.45">
      <c r="A6" s="227" t="str">
        <f t="shared" si="0"/>
        <v>smc2</v>
      </c>
      <c r="B6" s="228">
        <f t="shared" si="1"/>
        <v>46022</v>
      </c>
      <c r="C6" s="259" t="s">
        <v>60</v>
      </c>
      <c r="D6" s="260" t="s">
        <v>1</v>
      </c>
      <c r="E6" s="261">
        <f>E5+1</f>
        <v>2</v>
      </c>
      <c r="F6" s="287">
        <f>F5+1</f>
        <v>100002</v>
      </c>
      <c r="G6" s="260" t="s">
        <v>458</v>
      </c>
      <c r="H6" s="260" t="s">
        <v>448</v>
      </c>
      <c r="I6" s="262"/>
      <c r="J6" s="232" t="s">
        <v>239</v>
      </c>
      <c r="K6" s="232" t="s">
        <v>690</v>
      </c>
      <c r="L6" s="264" t="s">
        <v>102</v>
      </c>
      <c r="M6" s="233">
        <f>INDEX('SM Support'!$D$3:$D$64,MATCH('Loan Tape - Settled'!G6,'SM Support'!$B$3:$B$62,0))</f>
        <v>8148216.42949674</v>
      </c>
      <c r="N6" s="234">
        <f t="shared" si="2"/>
        <v>8148216.42949674</v>
      </c>
      <c r="O6" s="235"/>
      <c r="P6" s="235"/>
      <c r="Q6" s="236">
        <v>1</v>
      </c>
      <c r="R6" s="237"/>
      <c r="S6" s="238">
        <f>INDEX('SM Support'!$E$3:$E$64,MATCH('Loan Tape - Settled'!G6,'SM Support'!$B$3:$B$64,0))/INDEX('SM Support'!$D$3:$D$64,MATCH('Loan Tape - Settled'!G6,'SM Support'!$B$3:$B$64,0))</f>
        <v>0.84199999999999997</v>
      </c>
      <c r="T6" s="260" t="s">
        <v>393</v>
      </c>
      <c r="U6" s="263">
        <v>43812</v>
      </c>
      <c r="V6" s="293">
        <v>45639</v>
      </c>
      <c r="W6" s="260" t="s">
        <v>691</v>
      </c>
      <c r="X6" s="271" t="s">
        <v>348</v>
      </c>
      <c r="Y6" s="260" t="s">
        <v>692</v>
      </c>
      <c r="Z6" s="264" t="s">
        <v>244</v>
      </c>
      <c r="AA6" s="265"/>
      <c r="AB6" s="265"/>
      <c r="AC6" s="266">
        <v>0</v>
      </c>
      <c r="AD6" s="290">
        <v>0.1746047</v>
      </c>
      <c r="AE6" s="290">
        <v>0</v>
      </c>
      <c r="AF6" s="290">
        <v>0.02</v>
      </c>
      <c r="AG6" s="243"/>
      <c r="AH6" s="243"/>
      <c r="AI6" s="244"/>
      <c r="AJ6" s="245"/>
      <c r="AK6" s="245"/>
      <c r="AL6" s="245"/>
      <c r="AM6" s="245"/>
      <c r="AN6" s="246">
        <v>43812</v>
      </c>
      <c r="AO6" s="246">
        <v>44379</v>
      </c>
      <c r="AP6" s="247">
        <v>0</v>
      </c>
      <c r="AQ6" s="248">
        <f t="shared" si="3"/>
        <v>8148216.42949674</v>
      </c>
      <c r="AR6" s="249">
        <f t="shared" si="4"/>
        <v>8148216.42949674</v>
      </c>
      <c r="AT6" s="250" t="s">
        <v>693</v>
      </c>
      <c r="AU6" s="267" t="str">
        <f t="shared" ref="AU6:AU46" si="9">AU5</f>
        <v>9/30/2025 or Latest Financing</v>
      </c>
      <c r="AV6" s="250">
        <v>9.0210000000000008</v>
      </c>
      <c r="AW6" s="252">
        <f t="shared" si="5"/>
        <v>9.0210000000000008</v>
      </c>
      <c r="AX6" s="253">
        <v>2.9138676421682739</v>
      </c>
      <c r="AY6" s="254">
        <f t="shared" si="6"/>
        <v>2.9138676421682739</v>
      </c>
      <c r="AZ6" s="255">
        <f>INDEX('SM Support'!$G$3:$G$64,MATCH('Loan Tape - Settled'!G6,'SM Support'!$B$3:$B$64,0))/1000000</f>
        <v>-8.8045104300000006</v>
      </c>
      <c r="BA6" s="252">
        <f t="shared" si="7"/>
        <v>-8.8045104300000006</v>
      </c>
      <c r="BB6" s="256"/>
      <c r="BC6" s="257" t="str">
        <f>INDEX('SM Support'!$M$3:$M$64,MATCH('Loan Tape - Settled'!G6,'SM Support'!$B$3:$B$64,0))</f>
        <v>N/M</v>
      </c>
      <c r="BD6" s="280" t="str">
        <f t="shared" si="8"/>
        <v>N/M</v>
      </c>
      <c r="BE6" s="286">
        <v>2.31</v>
      </c>
      <c r="BF6" s="285">
        <f>INDEX('SM Support'!O$3:O$64,MATCH('Loan Tape - Settled'!$G6,'SM Support'!$B$3:$B$64,0))</f>
        <v>0</v>
      </c>
      <c r="BG6" s="256"/>
      <c r="BH6" s="256"/>
      <c r="BI6" s="258" t="str">
        <f>INDEX('SM Support'!$M$3:$M$144,MATCH('Loan Tape - Settled'!G6,'SM Support'!$B$3:$B$144,0))</f>
        <v>N/M</v>
      </c>
      <c r="BJ6" s="258" t="str">
        <f>INDEX('SM Support'!$N$3:$N$144,MATCH('Loan Tape - Settled'!G6,'SM Support'!$B$3:$B$144,0))</f>
        <v>N/A</v>
      </c>
    </row>
    <row r="7" spans="1:62" x14ac:dyDescent="0.45">
      <c r="A7" s="227" t="str">
        <f t="shared" si="0"/>
        <v>smc3</v>
      </c>
      <c r="B7" s="228">
        <f t="shared" si="1"/>
        <v>46022</v>
      </c>
      <c r="C7" s="259" t="s">
        <v>60</v>
      </c>
      <c r="D7" s="260" t="s">
        <v>1</v>
      </c>
      <c r="E7" s="261">
        <f t="shared" ref="E7:E46" si="10">+E6+1</f>
        <v>3</v>
      </c>
      <c r="F7" s="287">
        <f t="shared" ref="F7:F46" si="11">F6+1</f>
        <v>100003</v>
      </c>
      <c r="G7" s="260" t="s">
        <v>471</v>
      </c>
      <c r="H7" s="230" t="s">
        <v>448</v>
      </c>
      <c r="I7" s="231"/>
      <c r="J7" s="232" t="s">
        <v>239</v>
      </c>
      <c r="K7" s="232" t="s">
        <v>690</v>
      </c>
      <c r="L7" s="240" t="s">
        <v>102</v>
      </c>
      <c r="M7" s="233">
        <f>INDEX('SM Support'!$D$3:$D$64,MATCH('Loan Tape - Settled'!G7,'SM Support'!$B$3:$B$62,0))</f>
        <v>3714428.90053037</v>
      </c>
      <c r="N7" s="234">
        <f t="shared" si="2"/>
        <v>3714428.90053037</v>
      </c>
      <c r="O7" s="235"/>
      <c r="P7" s="235"/>
      <c r="Q7" s="236">
        <v>1</v>
      </c>
      <c r="R7" s="237"/>
      <c r="S7" s="238">
        <f>INDEX('SM Support'!$E$3:$E$64,MATCH('Loan Tape - Settled'!G7,'SM Support'!$B$3:$B$64,0))/INDEX('SM Support'!$D$3:$D$64,MATCH('Loan Tape - Settled'!G7,'SM Support'!$B$3:$B$64,0))</f>
        <v>1.0010999999999999</v>
      </c>
      <c r="T7" s="230" t="s">
        <v>393</v>
      </c>
      <c r="U7" s="239">
        <v>43553</v>
      </c>
      <c r="V7" s="293">
        <v>46721</v>
      </c>
      <c r="W7" s="230" t="s">
        <v>691</v>
      </c>
      <c r="X7" s="294" t="s">
        <v>329</v>
      </c>
      <c r="Y7" s="230" t="s">
        <v>692</v>
      </c>
      <c r="Z7" s="240" t="s">
        <v>244</v>
      </c>
      <c r="AA7" s="241"/>
      <c r="AB7" s="241"/>
      <c r="AC7" s="242">
        <v>0</v>
      </c>
      <c r="AD7" s="290">
        <v>0</v>
      </c>
      <c r="AE7" s="290">
        <v>0.1085</v>
      </c>
      <c r="AF7" s="290">
        <v>0.02</v>
      </c>
      <c r="AG7" s="243"/>
      <c r="AH7" s="243"/>
      <c r="AI7" s="244"/>
      <c r="AJ7" s="245"/>
      <c r="AK7" s="245"/>
      <c r="AL7" s="245"/>
      <c r="AM7" s="245"/>
      <c r="AN7" s="246">
        <v>43553</v>
      </c>
      <c r="AO7" s="246">
        <v>44379</v>
      </c>
      <c r="AP7" s="247">
        <v>0</v>
      </c>
      <c r="AQ7" s="248">
        <f t="shared" si="3"/>
        <v>3714428.90053037</v>
      </c>
      <c r="AR7" s="249">
        <f t="shared" si="4"/>
        <v>3714428.90053037</v>
      </c>
      <c r="AT7" s="250" t="s">
        <v>693</v>
      </c>
      <c r="AU7" s="267" t="str">
        <f t="shared" si="9"/>
        <v>9/30/2025 or Latest Financing</v>
      </c>
      <c r="AV7" s="250">
        <v>3.8180000000000001</v>
      </c>
      <c r="AW7" s="252">
        <f t="shared" si="5"/>
        <v>3.8180000000000001</v>
      </c>
      <c r="AX7" s="253">
        <v>4</v>
      </c>
      <c r="AY7" s="254">
        <f t="shared" si="6"/>
        <v>4</v>
      </c>
      <c r="AZ7" s="255">
        <f>INDEX('SM Support'!$G$3:$G$64,MATCH('Loan Tape - Settled'!G7,'SM Support'!$B$3:$B$64,0))/1000000</f>
        <v>27.08054286999996</v>
      </c>
      <c r="BA7" s="252">
        <f t="shared" si="7"/>
        <v>27.08054286999996</v>
      </c>
      <c r="BB7" s="256"/>
      <c r="BC7" s="257">
        <f>INDEX('SM Support'!$M$3:$M$64,MATCH('Loan Tape - Settled'!G7,'SM Support'!$B$3:$B$64,0))</f>
        <v>3.0685632725414731</v>
      </c>
      <c r="BD7" s="280">
        <f t="shared" si="8"/>
        <v>3.0685632725414731</v>
      </c>
      <c r="BE7" s="286">
        <v>2.39</v>
      </c>
      <c r="BF7" s="285">
        <f>INDEX('SM Support'!O$3:O$64,MATCH('Loan Tape - Settled'!$G7,'SM Support'!$B$3:$B$64,0))</f>
        <v>2.7739952044030001</v>
      </c>
      <c r="BG7" s="256"/>
      <c r="BH7" s="256"/>
      <c r="BI7" s="258">
        <f>INDEX('SM Support'!$M$3:$M$144,MATCH('Loan Tape - Settled'!G7,'SM Support'!$B$3:$B$144,0))</f>
        <v>3.0685632725414731</v>
      </c>
      <c r="BJ7" s="258">
        <f>INDEX('SM Support'!$N$3:$N$144,MATCH('Loan Tape - Settled'!G7,'SM Support'!$B$3:$B$144,0))</f>
        <v>2.0341468667906391</v>
      </c>
    </row>
    <row r="8" spans="1:62" ht="15" customHeight="1" x14ac:dyDescent="0.45">
      <c r="A8" s="227" t="str">
        <f t="shared" si="0"/>
        <v>smc4</v>
      </c>
      <c r="B8" s="228">
        <f t="shared" si="1"/>
        <v>46022</v>
      </c>
      <c r="C8" s="259" t="s">
        <v>60</v>
      </c>
      <c r="D8" s="260" t="s">
        <v>1</v>
      </c>
      <c r="E8" s="261">
        <f t="shared" si="10"/>
        <v>4</v>
      </c>
      <c r="F8" s="287">
        <f t="shared" si="11"/>
        <v>100004</v>
      </c>
      <c r="G8" s="230" t="s">
        <v>476</v>
      </c>
      <c r="H8" s="230" t="s">
        <v>448</v>
      </c>
      <c r="I8" s="231"/>
      <c r="J8" s="232" t="s">
        <v>239</v>
      </c>
      <c r="K8" s="232" t="s">
        <v>690</v>
      </c>
      <c r="L8" s="240" t="s">
        <v>102</v>
      </c>
      <c r="M8" s="233">
        <f>INDEX('SM Support'!$D$3:$D$64,MATCH('Loan Tape - Settled'!G8,'SM Support'!$B$3:$B$62,0))</f>
        <v>17737566.439047478</v>
      </c>
      <c r="N8" s="234">
        <f t="shared" si="2"/>
        <v>17737566.439047478</v>
      </c>
      <c r="O8" s="235"/>
      <c r="P8" s="235"/>
      <c r="Q8" s="236">
        <v>1</v>
      </c>
      <c r="R8" s="237"/>
      <c r="S8" s="238">
        <f>INDEX('SM Support'!$E$3:$E$64,MATCH('Loan Tape - Settled'!G8,'SM Support'!$B$3:$B$64,0))/INDEX('SM Support'!$D$3:$D$64,MATCH('Loan Tape - Settled'!G8,'SM Support'!$B$3:$B$64,0))</f>
        <v>1</v>
      </c>
      <c r="T8" s="230" t="s">
        <v>393</v>
      </c>
      <c r="U8" s="239">
        <v>44196</v>
      </c>
      <c r="V8" s="293">
        <v>46295</v>
      </c>
      <c r="W8" s="230" t="s">
        <v>691</v>
      </c>
      <c r="X8" s="294" t="s">
        <v>383</v>
      </c>
      <c r="Y8" s="230" t="s">
        <v>692</v>
      </c>
      <c r="Z8" s="240" t="s">
        <v>244</v>
      </c>
      <c r="AA8" s="241"/>
      <c r="AB8" s="241"/>
      <c r="AC8" s="242">
        <v>0</v>
      </c>
      <c r="AD8" s="290">
        <v>3.5389248246000003E-2</v>
      </c>
      <c r="AE8" s="290">
        <v>7.2616100000000003E-2</v>
      </c>
      <c r="AF8" s="290">
        <v>0.01</v>
      </c>
      <c r="AG8" s="243"/>
      <c r="AH8" s="243"/>
      <c r="AI8" s="244"/>
      <c r="AJ8" s="245"/>
      <c r="AK8" s="245"/>
      <c r="AL8" s="245"/>
      <c r="AM8" s="245"/>
      <c r="AN8" s="246">
        <v>44196</v>
      </c>
      <c r="AO8" s="246">
        <v>44379</v>
      </c>
      <c r="AP8" s="247">
        <v>0</v>
      </c>
      <c r="AQ8" s="248">
        <f t="shared" si="3"/>
        <v>17737566.439047478</v>
      </c>
      <c r="AR8" s="249">
        <f t="shared" si="4"/>
        <v>17737566.439047478</v>
      </c>
      <c r="AT8" s="250" t="s">
        <v>693</v>
      </c>
      <c r="AU8" s="267" t="str">
        <f t="shared" si="9"/>
        <v>9/30/2025 or Latest Financing</v>
      </c>
      <c r="AV8" s="250">
        <v>18.437000000000001</v>
      </c>
      <c r="AW8" s="252">
        <f t="shared" si="5"/>
        <v>18.437000000000001</v>
      </c>
      <c r="AX8" s="253">
        <v>3.4441611975917992</v>
      </c>
      <c r="AY8" s="254">
        <f t="shared" si="6"/>
        <v>3.4441611975917992</v>
      </c>
      <c r="AZ8" s="255">
        <f>INDEX('SM Support'!$G$3:$G$64,MATCH('Loan Tape - Settled'!G8,'SM Support'!$B$3:$B$64,0))/1000000</f>
        <v>30.94370698706663</v>
      </c>
      <c r="BA8" s="252">
        <f t="shared" si="7"/>
        <v>30.94370698706663</v>
      </c>
      <c r="BB8" s="256"/>
      <c r="BC8" s="257">
        <f>INDEX('SM Support'!$M$3:$M$64,MATCH('Loan Tape - Settled'!G8,'SM Support'!$B$3:$B$64,0))</f>
        <v>1.7791575939175777</v>
      </c>
      <c r="BD8" s="280">
        <f t="shared" si="8"/>
        <v>1.7791575939175777</v>
      </c>
      <c r="BE8" s="286">
        <v>2.0699999999999998</v>
      </c>
      <c r="BF8" s="285">
        <f>INDEX('SM Support'!O$3:O$64,MATCH('Loan Tape - Settled'!$G8,'SM Support'!$B$3:$B$64,0))</f>
        <v>2.69</v>
      </c>
      <c r="BG8" s="256"/>
      <c r="BH8" s="256"/>
      <c r="BI8" s="258">
        <f>INDEX('SM Support'!$M$3:$M$144,MATCH('Loan Tape - Settled'!G8,'SM Support'!$B$3:$B$144,0))</f>
        <v>1.7791575939175777</v>
      </c>
      <c r="BJ8" s="258">
        <f>INDEX('SM Support'!$N$3:$N$144,MATCH('Loan Tape - Settled'!G8,'SM Support'!$B$3:$B$144,0))</f>
        <v>4.7399985742271965E-2</v>
      </c>
    </row>
    <row r="9" spans="1:62" ht="15" customHeight="1" x14ac:dyDescent="0.45">
      <c r="A9" s="227" t="str">
        <f t="shared" si="0"/>
        <v>smc5</v>
      </c>
      <c r="B9" s="228">
        <f t="shared" si="1"/>
        <v>46022</v>
      </c>
      <c r="C9" s="259" t="s">
        <v>60</v>
      </c>
      <c r="D9" s="260" t="s">
        <v>1</v>
      </c>
      <c r="E9" s="261">
        <f t="shared" si="10"/>
        <v>5</v>
      </c>
      <c r="F9" s="287">
        <f t="shared" si="11"/>
        <v>100005</v>
      </c>
      <c r="G9" s="230" t="s">
        <v>482</v>
      </c>
      <c r="H9" s="230" t="s">
        <v>448</v>
      </c>
      <c r="I9" s="231"/>
      <c r="J9" s="232" t="s">
        <v>239</v>
      </c>
      <c r="K9" s="232" t="s">
        <v>690</v>
      </c>
      <c r="L9" s="240" t="s">
        <v>102</v>
      </c>
      <c r="M9" s="233">
        <f>INDEX('SM Support'!$D$3:$D$64,MATCH('Loan Tape - Settled'!G9,'SM Support'!$B$3:$B$62,0))</f>
        <v>4070486.0362509978</v>
      </c>
      <c r="N9" s="234">
        <f t="shared" si="2"/>
        <v>4070486.0362509978</v>
      </c>
      <c r="O9" s="235"/>
      <c r="P9" s="235"/>
      <c r="Q9" s="236">
        <v>1</v>
      </c>
      <c r="R9" s="237"/>
      <c r="S9" s="238">
        <f>INDEX('SM Support'!$E$3:$E$64,MATCH('Loan Tape - Settled'!G9,'SM Support'!$B$3:$B$64,0))/INDEX('SM Support'!$D$3:$D$64,MATCH('Loan Tape - Settled'!G9,'SM Support'!$B$3:$B$64,0))</f>
        <v>1</v>
      </c>
      <c r="T9" s="230" t="s">
        <v>393</v>
      </c>
      <c r="U9" s="239">
        <v>44167</v>
      </c>
      <c r="V9" s="293">
        <v>46203</v>
      </c>
      <c r="W9" s="230" t="s">
        <v>691</v>
      </c>
      <c r="X9" s="294" t="s">
        <v>327</v>
      </c>
      <c r="Y9" s="230" t="s">
        <v>692</v>
      </c>
      <c r="Z9" s="240" t="s">
        <v>244</v>
      </c>
      <c r="AA9" s="241"/>
      <c r="AB9" s="241"/>
      <c r="AC9" s="242">
        <v>0</v>
      </c>
      <c r="AD9" s="290">
        <v>0</v>
      </c>
      <c r="AE9" s="290">
        <v>9.0999999999999984E-2</v>
      </c>
      <c r="AF9" s="290">
        <v>0.01</v>
      </c>
      <c r="AG9" s="243"/>
      <c r="AH9" s="243"/>
      <c r="AI9" s="244"/>
      <c r="AJ9" s="245"/>
      <c r="AK9" s="245"/>
      <c r="AL9" s="245"/>
      <c r="AM9" s="245"/>
      <c r="AN9" s="246">
        <v>44167</v>
      </c>
      <c r="AO9" s="246">
        <v>44379</v>
      </c>
      <c r="AP9" s="247">
        <v>0</v>
      </c>
      <c r="AQ9" s="248">
        <f t="shared" si="3"/>
        <v>4070486.0362509978</v>
      </c>
      <c r="AR9" s="249">
        <f t="shared" si="4"/>
        <v>4070486.0362509978</v>
      </c>
      <c r="AT9" s="250" t="s">
        <v>693</v>
      </c>
      <c r="AU9" s="267" t="str">
        <f t="shared" si="9"/>
        <v>9/30/2025 or Latest Financing</v>
      </c>
      <c r="AV9" s="250">
        <v>12.63</v>
      </c>
      <c r="AW9" s="252">
        <f t="shared" si="5"/>
        <v>12.63</v>
      </c>
      <c r="AX9" s="253">
        <v>3.1256532066508309</v>
      </c>
      <c r="AY9" s="254">
        <f t="shared" si="6"/>
        <v>3.1256532066508309</v>
      </c>
      <c r="AZ9" s="255">
        <f>INDEX('SM Support'!$G$3:$G$64,MATCH('Loan Tape - Settled'!G9,'SM Support'!$B$3:$B$64,0))/1000000</f>
        <v>20.861130502899961</v>
      </c>
      <c r="BA9" s="252">
        <f t="shared" si="7"/>
        <v>20.861130502899961</v>
      </c>
      <c r="BB9" s="256"/>
      <c r="BC9" s="257">
        <f>INDEX('SM Support'!$M$3:$M$64,MATCH('Loan Tape - Settled'!G9,'SM Support'!$B$3:$B$64,0))</f>
        <v>3.8452376048892822</v>
      </c>
      <c r="BD9" s="280">
        <f t="shared" si="8"/>
        <v>3.8452376048892822</v>
      </c>
      <c r="BE9" s="286">
        <v>3.01</v>
      </c>
      <c r="BF9" s="285">
        <f>INDEX('SM Support'!O$3:O$64,MATCH('Loan Tape - Settled'!$G9,'SM Support'!$B$3:$B$64,0))</f>
        <v>2.1469958907310001</v>
      </c>
      <c r="BG9" s="256"/>
      <c r="BH9" s="256"/>
      <c r="BI9" s="258">
        <f>INDEX('SM Support'!$M$3:$M$144,MATCH('Loan Tape - Settled'!G9,'SM Support'!$B$3:$B$144,0))</f>
        <v>3.8452376048892822</v>
      </c>
      <c r="BJ9" s="258">
        <f>INDEX('SM Support'!$N$3:$N$144,MATCH('Loan Tape - Settled'!G9,'SM Support'!$B$3:$B$144,0))</f>
        <v>-6.6972473510281849E-2</v>
      </c>
    </row>
    <row r="10" spans="1:62" ht="15" customHeight="1" x14ac:dyDescent="0.45">
      <c r="A10" s="227" t="str">
        <f t="shared" si="0"/>
        <v>smc6</v>
      </c>
      <c r="B10" s="228">
        <f t="shared" si="1"/>
        <v>46022</v>
      </c>
      <c r="C10" s="259" t="s">
        <v>60</v>
      </c>
      <c r="D10" s="260" t="s">
        <v>1</v>
      </c>
      <c r="E10" s="261">
        <f t="shared" si="10"/>
        <v>6</v>
      </c>
      <c r="F10" s="287">
        <f t="shared" si="11"/>
        <v>100006</v>
      </c>
      <c r="G10" s="230" t="s">
        <v>593</v>
      </c>
      <c r="H10" s="230" t="s">
        <v>448</v>
      </c>
      <c r="I10" s="231"/>
      <c r="J10" s="232" t="s">
        <v>239</v>
      </c>
      <c r="K10" s="232" t="s">
        <v>690</v>
      </c>
      <c r="L10" s="240" t="s">
        <v>102</v>
      </c>
      <c r="M10" s="233">
        <f>INDEX('SM Support'!$D$3:$D$64,MATCH('Loan Tape - Settled'!G10,'SM Support'!$B$3:$B$62,0))</f>
        <v>779350.25633087603</v>
      </c>
      <c r="N10" s="234">
        <f t="shared" si="2"/>
        <v>779350.25633087603</v>
      </c>
      <c r="O10" s="235"/>
      <c r="P10" s="235"/>
      <c r="Q10" s="236">
        <v>1</v>
      </c>
      <c r="R10" s="268"/>
      <c r="S10" s="238">
        <f>INDEX('SM Support'!$E$3:$E$64,MATCH('Loan Tape - Settled'!G10,'SM Support'!$B$3:$B$64,0))/INDEX('SM Support'!$D$3:$D$64,MATCH('Loan Tape - Settled'!G10,'SM Support'!$B$3:$B$64,0))</f>
        <v>0.92765000000000009</v>
      </c>
      <c r="T10" s="230" t="s">
        <v>393</v>
      </c>
      <c r="U10" s="239">
        <v>44274</v>
      </c>
      <c r="V10" s="293">
        <v>46100</v>
      </c>
      <c r="W10" s="230" t="s">
        <v>691</v>
      </c>
      <c r="X10" s="294" t="s">
        <v>345</v>
      </c>
      <c r="Y10" s="230" t="s">
        <v>692</v>
      </c>
      <c r="Z10" s="240" t="s">
        <v>244</v>
      </c>
      <c r="AA10" s="241"/>
      <c r="AB10" s="241"/>
      <c r="AC10" s="242">
        <v>0</v>
      </c>
      <c r="AD10" s="290">
        <v>0</v>
      </c>
      <c r="AE10" s="290">
        <v>8.5000000000000006E-2</v>
      </c>
      <c r="AF10" s="290">
        <v>0.02</v>
      </c>
      <c r="AG10" s="243"/>
      <c r="AH10" s="243"/>
      <c r="AI10" s="244"/>
      <c r="AJ10" s="245"/>
      <c r="AK10" s="245"/>
      <c r="AL10" s="245"/>
      <c r="AM10" s="245"/>
      <c r="AN10" s="246">
        <v>44274</v>
      </c>
      <c r="AO10" s="246">
        <v>44379</v>
      </c>
      <c r="AP10" s="247">
        <v>0</v>
      </c>
      <c r="AQ10" s="248">
        <f t="shared" si="3"/>
        <v>779350.25633087603</v>
      </c>
      <c r="AR10" s="249">
        <f t="shared" si="4"/>
        <v>779350.25633087603</v>
      </c>
      <c r="AT10" s="250" t="s">
        <v>693</v>
      </c>
      <c r="AU10" s="267" t="str">
        <f t="shared" si="9"/>
        <v>9/30/2025 or Latest Financing</v>
      </c>
      <c r="AV10" s="250">
        <v>10.016</v>
      </c>
      <c r="AW10" s="252">
        <f t="shared" si="5"/>
        <v>10.016</v>
      </c>
      <c r="AX10" s="253">
        <v>3.6315514681212</v>
      </c>
      <c r="AY10" s="254">
        <f t="shared" si="6"/>
        <v>3.6315514681212</v>
      </c>
      <c r="AZ10" s="255">
        <f>INDEX('SM Support'!$G$3:$G$64,MATCH('Loan Tape - Settled'!G10,'SM Support'!$B$3:$B$64,0))/1000000</f>
        <v>2.191390850000027</v>
      </c>
      <c r="BA10" s="252">
        <f t="shared" si="7"/>
        <v>2.191390850000027</v>
      </c>
      <c r="BB10" s="256"/>
      <c r="BC10" s="257">
        <f>INDEX('SM Support'!$M$3:$M$64,MATCH('Loan Tape - Settled'!G10,'SM Support'!$B$3:$B$64,0))</f>
        <v>18.376046076572077</v>
      </c>
      <c r="BD10" s="280">
        <f t="shared" si="8"/>
        <v>18.376046076572077</v>
      </c>
      <c r="BE10" s="286">
        <v>3.3</v>
      </c>
      <c r="BF10" s="285">
        <f>INDEX('SM Support'!O$3:O$64,MATCH('Loan Tape - Settled'!$G10,'SM Support'!$B$3:$B$64,0))</f>
        <v>0.49349849724</v>
      </c>
      <c r="BG10" s="256"/>
      <c r="BH10" s="256"/>
      <c r="BI10" s="258">
        <f>INDEX('SM Support'!$M$3:$M$144,MATCH('Loan Tape - Settled'!G10,'SM Support'!$B$3:$B$144,0))</f>
        <v>18.376046076572077</v>
      </c>
      <c r="BJ10" s="258">
        <f>INDEX('SM Support'!$N$3:$N$144,MATCH('Loan Tape - Settled'!G10,'SM Support'!$B$3:$B$144,0))</f>
        <v>2.1392782694953398</v>
      </c>
    </row>
    <row r="11" spans="1:62" ht="15" customHeight="1" x14ac:dyDescent="0.45">
      <c r="A11" s="227" t="str">
        <f t="shared" si="0"/>
        <v>smc7</v>
      </c>
      <c r="B11" s="228">
        <f t="shared" si="1"/>
        <v>46022</v>
      </c>
      <c r="C11" s="259" t="s">
        <v>60</v>
      </c>
      <c r="D11" s="260" t="s">
        <v>1</v>
      </c>
      <c r="E11" s="261">
        <f t="shared" si="10"/>
        <v>7</v>
      </c>
      <c r="F11" s="287">
        <f t="shared" si="11"/>
        <v>100007</v>
      </c>
      <c r="G11" s="230" t="s">
        <v>493</v>
      </c>
      <c r="H11" s="230" t="s">
        <v>448</v>
      </c>
      <c r="I11" s="231"/>
      <c r="J11" s="232" t="s">
        <v>239</v>
      </c>
      <c r="K11" s="232" t="s">
        <v>690</v>
      </c>
      <c r="L11" s="240" t="s">
        <v>102</v>
      </c>
      <c r="M11" s="233">
        <f>INDEX('SM Support'!$D$3:$D$64,MATCH('Loan Tape - Settled'!G11,'SM Support'!$B$3:$B$62,0))</f>
        <v>7546562.09340801</v>
      </c>
      <c r="N11" s="234">
        <f t="shared" si="2"/>
        <v>7546562.09340801</v>
      </c>
      <c r="O11" s="235"/>
      <c r="P11" s="235"/>
      <c r="Q11" s="236">
        <v>1</v>
      </c>
      <c r="R11" s="268"/>
      <c r="S11" s="238">
        <f>INDEX('SM Support'!$E$3:$E$64,MATCH('Loan Tape - Settled'!G11,'SM Support'!$B$3:$B$64,0))/INDEX('SM Support'!$D$3:$D$64,MATCH('Loan Tape - Settled'!G11,'SM Support'!$B$3:$B$64,0))</f>
        <v>0.96974999999999989</v>
      </c>
      <c r="T11" s="230" t="s">
        <v>393</v>
      </c>
      <c r="U11" s="239">
        <v>43903</v>
      </c>
      <c r="V11" s="293">
        <v>46203</v>
      </c>
      <c r="W11" s="230" t="s">
        <v>691</v>
      </c>
      <c r="X11" s="294" t="s">
        <v>370</v>
      </c>
      <c r="Y11" s="230" t="s">
        <v>692</v>
      </c>
      <c r="Z11" s="240" t="s">
        <v>244</v>
      </c>
      <c r="AA11" s="241"/>
      <c r="AB11" s="241"/>
      <c r="AC11" s="242">
        <v>0</v>
      </c>
      <c r="AD11" s="290">
        <v>0</v>
      </c>
      <c r="AE11" s="290">
        <v>7.5999999999999998E-2</v>
      </c>
      <c r="AF11" s="290">
        <v>0.04</v>
      </c>
      <c r="AG11" s="243"/>
      <c r="AH11" s="243"/>
      <c r="AI11" s="244"/>
      <c r="AJ11" s="245"/>
      <c r="AK11" s="245"/>
      <c r="AL11" s="245"/>
      <c r="AM11" s="245"/>
      <c r="AN11" s="246">
        <v>43903</v>
      </c>
      <c r="AO11" s="246">
        <v>44379</v>
      </c>
      <c r="AP11" s="247">
        <v>0</v>
      </c>
      <c r="AQ11" s="248">
        <f t="shared" si="3"/>
        <v>7546562.09340801</v>
      </c>
      <c r="AR11" s="249">
        <f t="shared" si="4"/>
        <v>7546562.09340801</v>
      </c>
      <c r="AT11" s="250" t="s">
        <v>693</v>
      </c>
      <c r="AU11" s="267" t="str">
        <f t="shared" si="9"/>
        <v>9/30/2025 or Latest Financing</v>
      </c>
      <c r="AV11" s="250">
        <v>10.414</v>
      </c>
      <c r="AW11" s="252">
        <f t="shared" si="5"/>
        <v>10.414</v>
      </c>
      <c r="AX11" s="253">
        <v>2.6118686383714231</v>
      </c>
      <c r="AY11" s="254">
        <f t="shared" si="6"/>
        <v>2.6118686383714231</v>
      </c>
      <c r="AZ11" s="255">
        <f>INDEX('SM Support'!$G$3:$G$64,MATCH('Loan Tape - Settled'!G11,'SM Support'!$B$3:$B$64,0))/1000000</f>
        <v>10.21153709183149</v>
      </c>
      <c r="BA11" s="252">
        <f t="shared" si="7"/>
        <v>10.21153709183149</v>
      </c>
      <c r="BB11" s="256"/>
      <c r="BC11" s="257">
        <f>INDEX('SM Support'!$M$3:$M$64,MATCH('Loan Tape - Settled'!G11,'SM Support'!$B$3:$B$64,0))</f>
        <v>5.4909689716412089</v>
      </c>
      <c r="BD11" s="280">
        <f t="shared" si="8"/>
        <v>5.4909689716412089</v>
      </c>
      <c r="BE11" s="286">
        <v>10.9</v>
      </c>
      <c r="BF11" s="285">
        <f>INDEX('SM Support'!O$3:O$64,MATCH('Loan Tape - Settled'!$G11,'SM Support'!$B$3:$B$64,0))</f>
        <v>1.788553659393</v>
      </c>
      <c r="BG11" s="256"/>
      <c r="BH11" s="256"/>
      <c r="BI11" s="258">
        <f>INDEX('SM Support'!$M$3:$M$144,MATCH('Loan Tape - Settled'!G11,'SM Support'!$B$3:$B$144,0))</f>
        <v>5.4909689716412089</v>
      </c>
      <c r="BJ11" s="258">
        <f>INDEX('SM Support'!$N$3:$N$144,MATCH('Loan Tape - Settled'!G11,'SM Support'!$B$3:$B$144,0))</f>
        <v>2.6031201850379224</v>
      </c>
    </row>
    <row r="12" spans="1:62" ht="15" customHeight="1" x14ac:dyDescent="0.45">
      <c r="A12" s="227" t="str">
        <f t="shared" si="0"/>
        <v>smc8</v>
      </c>
      <c r="B12" s="228">
        <f t="shared" si="1"/>
        <v>46022</v>
      </c>
      <c r="C12" s="259" t="s">
        <v>60</v>
      </c>
      <c r="D12" s="260" t="s">
        <v>1</v>
      </c>
      <c r="E12" s="261">
        <f t="shared" si="10"/>
        <v>8</v>
      </c>
      <c r="F12" s="287">
        <f t="shared" si="11"/>
        <v>100008</v>
      </c>
      <c r="G12" s="230" t="s">
        <v>694</v>
      </c>
      <c r="H12" s="230" t="s">
        <v>240</v>
      </c>
      <c r="I12" s="231"/>
      <c r="J12" s="232" t="s">
        <v>240</v>
      </c>
      <c r="K12" s="232" t="s">
        <v>690</v>
      </c>
      <c r="L12" s="264" t="s">
        <v>102</v>
      </c>
      <c r="M12" s="233">
        <f>INDEX('SM Support'!$D$3:$D$64,MATCH('Loan Tape - Settled'!G12,'SM Support'!$B$3:$B$62,0))</f>
        <v>12656117.589817706</v>
      </c>
      <c r="N12" s="234">
        <f t="shared" si="2"/>
        <v>12656117.589817706</v>
      </c>
      <c r="O12" s="235"/>
      <c r="P12" s="235"/>
      <c r="Q12" s="236">
        <v>1</v>
      </c>
      <c r="R12" s="268"/>
      <c r="S12" s="238">
        <f>INDEX('SM Support'!$E$3:$E$64,MATCH('Loan Tape - Settled'!G12,'SM Support'!$B$3:$B$64,0))/INDEX('SM Support'!$D$3:$D$64,MATCH('Loan Tape - Settled'!G12,'SM Support'!$B$3:$B$64,0))</f>
        <v>1</v>
      </c>
      <c r="T12" s="230" t="s">
        <v>393</v>
      </c>
      <c r="U12" s="239">
        <v>44365</v>
      </c>
      <c r="V12" s="293">
        <v>46191</v>
      </c>
      <c r="W12" s="230" t="s">
        <v>691</v>
      </c>
      <c r="X12" s="294" t="s">
        <v>349</v>
      </c>
      <c r="Y12" s="230" t="s">
        <v>692</v>
      </c>
      <c r="Z12" s="240" t="s">
        <v>244</v>
      </c>
      <c r="AA12" s="241"/>
      <c r="AB12" s="241"/>
      <c r="AC12" s="242">
        <v>0</v>
      </c>
      <c r="AD12" s="290">
        <v>0</v>
      </c>
      <c r="AE12" s="290">
        <v>8.4348199999999998E-2</v>
      </c>
      <c r="AF12" s="290">
        <v>0.01</v>
      </c>
      <c r="AG12" s="243"/>
      <c r="AH12" s="243"/>
      <c r="AI12" s="244"/>
      <c r="AJ12" s="245"/>
      <c r="AK12" s="245"/>
      <c r="AL12" s="245"/>
      <c r="AM12" s="245"/>
      <c r="AN12" s="246">
        <v>44365</v>
      </c>
      <c r="AO12" s="246">
        <v>44379</v>
      </c>
      <c r="AP12" s="247">
        <v>0</v>
      </c>
      <c r="AQ12" s="248">
        <f t="shared" si="3"/>
        <v>12656117.589817706</v>
      </c>
      <c r="AR12" s="249">
        <f t="shared" si="4"/>
        <v>12656117.589817706</v>
      </c>
      <c r="AT12" s="250" t="s">
        <v>693</v>
      </c>
      <c r="AU12" s="267" t="str">
        <f t="shared" si="9"/>
        <v>9/30/2025 or Latest Financing</v>
      </c>
      <c r="AV12" s="250">
        <v>8.0510000000000002</v>
      </c>
      <c r="AW12" s="252">
        <f t="shared" si="5"/>
        <v>8.0510000000000002</v>
      </c>
      <c r="AX12" s="253">
        <v>3.4778288411377472</v>
      </c>
      <c r="AY12" s="254">
        <f t="shared" si="6"/>
        <v>3.4778288411377472</v>
      </c>
      <c r="AZ12" s="255">
        <f>INDEX('SM Support'!$G$3:$G$64,MATCH('Loan Tape - Settled'!G12,'SM Support'!$B$3:$B$64,0))/1000000</f>
        <v>16.08699131986117</v>
      </c>
      <c r="BA12" s="252">
        <f t="shared" si="7"/>
        <v>16.08699131986117</v>
      </c>
      <c r="BB12" s="256"/>
      <c r="BC12" s="257">
        <f>INDEX('SM Support'!$M$3:$M$64,MATCH('Loan Tape - Settled'!G12,'SM Support'!$B$3:$B$64,0))</f>
        <v>1.7577154534255039</v>
      </c>
      <c r="BD12" s="280">
        <f t="shared" si="8"/>
        <v>1.7577154534255039</v>
      </c>
      <c r="BE12" s="286">
        <v>3.09</v>
      </c>
      <c r="BF12" s="285">
        <f>INDEX('SM Support'!O$3:O$64,MATCH('Loan Tape - Settled'!$G12,'SM Support'!$B$3:$B$64,0))</f>
        <v>5.2773591102120001</v>
      </c>
      <c r="BG12" s="256"/>
      <c r="BH12" s="256"/>
      <c r="BI12" s="258">
        <f>INDEX('SM Support'!$M$3:$M$144,MATCH('Loan Tape - Settled'!G12,'SM Support'!$B$3:$B$144,0))</f>
        <v>1.7577154534255039</v>
      </c>
      <c r="BJ12" s="258">
        <f>INDEX('SM Support'!$N$3:$N$144,MATCH('Loan Tape - Settled'!G12,'SM Support'!$B$3:$B$144,0))</f>
        <v>0.53474876370320756</v>
      </c>
    </row>
    <row r="13" spans="1:62" ht="15" customHeight="1" x14ac:dyDescent="0.45">
      <c r="A13" s="227" t="str">
        <f t="shared" si="0"/>
        <v>smc9</v>
      </c>
      <c r="B13" s="228">
        <f t="shared" si="1"/>
        <v>46022</v>
      </c>
      <c r="C13" s="259" t="s">
        <v>60</v>
      </c>
      <c r="D13" s="260" t="s">
        <v>1</v>
      </c>
      <c r="E13" s="261">
        <f t="shared" si="10"/>
        <v>9</v>
      </c>
      <c r="F13" s="287">
        <f t="shared" si="11"/>
        <v>100009</v>
      </c>
      <c r="G13" s="230" t="s">
        <v>623</v>
      </c>
      <c r="H13" s="230" t="s">
        <v>240</v>
      </c>
      <c r="I13" s="231"/>
      <c r="J13" s="232" t="s">
        <v>240</v>
      </c>
      <c r="K13" s="232" t="s">
        <v>690</v>
      </c>
      <c r="L13" s="264" t="s">
        <v>102</v>
      </c>
      <c r="M13" s="233">
        <f>INDEX('SM Support'!$D$3:$D$64,MATCH('Loan Tape - Settled'!G13,'SM Support'!$B$3:$B$62,0))</f>
        <v>14378770.272964099</v>
      </c>
      <c r="N13" s="234">
        <f t="shared" si="2"/>
        <v>14378770.272964099</v>
      </c>
      <c r="O13" s="235"/>
      <c r="P13" s="235"/>
      <c r="Q13" s="236">
        <v>1</v>
      </c>
      <c r="R13" s="268"/>
      <c r="S13" s="238">
        <f>INDEX('SM Support'!$E$3:$E$64,MATCH('Loan Tape - Settled'!G13,'SM Support'!$B$3:$B$64,0))/INDEX('SM Support'!$D$3:$D$64,MATCH('Loan Tape - Settled'!G13,'SM Support'!$B$3:$B$64,0))</f>
        <v>0.93254999999999999</v>
      </c>
      <c r="T13" s="230" t="s">
        <v>393</v>
      </c>
      <c r="U13" s="239">
        <v>44410</v>
      </c>
      <c r="V13" s="293">
        <v>46236</v>
      </c>
      <c r="W13" s="230" t="s">
        <v>691</v>
      </c>
      <c r="X13" s="294" t="s">
        <v>361</v>
      </c>
      <c r="Y13" s="230" t="s">
        <v>692</v>
      </c>
      <c r="Z13" s="240" t="s">
        <v>244</v>
      </c>
      <c r="AA13" s="241"/>
      <c r="AB13" s="241"/>
      <c r="AC13" s="242">
        <v>0</v>
      </c>
      <c r="AD13" s="290">
        <v>1.0060028469000001E-2</v>
      </c>
      <c r="AE13" s="290">
        <v>7.3649528229000005E-2</v>
      </c>
      <c r="AF13" s="290">
        <v>0.01</v>
      </c>
      <c r="AG13" s="243"/>
      <c r="AH13" s="243"/>
      <c r="AI13" s="244"/>
      <c r="AJ13" s="245"/>
      <c r="AK13" s="245"/>
      <c r="AL13" s="245"/>
      <c r="AM13" s="245"/>
      <c r="AN13" s="246">
        <v>44410</v>
      </c>
      <c r="AO13" s="246">
        <v>44413</v>
      </c>
      <c r="AP13" s="247">
        <v>0</v>
      </c>
      <c r="AQ13" s="248">
        <f t="shared" si="3"/>
        <v>14378770.272964099</v>
      </c>
      <c r="AR13" s="249">
        <f t="shared" si="4"/>
        <v>14378770.272964099</v>
      </c>
      <c r="AT13" s="250" t="s">
        <v>693</v>
      </c>
      <c r="AU13" s="267" t="str">
        <f t="shared" si="9"/>
        <v>9/30/2025 or Latest Financing</v>
      </c>
      <c r="AV13" s="250">
        <v>9.2829999999999995</v>
      </c>
      <c r="AW13" s="252">
        <f t="shared" si="5"/>
        <v>9.2829999999999995</v>
      </c>
      <c r="AX13" s="253">
        <v>3.231713885597328</v>
      </c>
      <c r="AY13" s="254">
        <f t="shared" si="6"/>
        <v>3.231713885597328</v>
      </c>
      <c r="AZ13" s="255">
        <f>INDEX('SM Support'!$G$3:$G$64,MATCH('Loan Tape - Settled'!G13,'SM Support'!$B$3:$B$64,0))/1000000</f>
        <v>14.248469937118371</v>
      </c>
      <c r="BA13" s="252">
        <f t="shared" si="7"/>
        <v>14.248469937118371</v>
      </c>
      <c r="BB13" s="256"/>
      <c r="BC13" s="257">
        <f>INDEX('SM Support'!$M$3:$M$64,MATCH('Loan Tape - Settled'!G13,'SM Support'!$B$3:$B$64,0))</f>
        <v>6.2967211732550137</v>
      </c>
      <c r="BD13" s="280">
        <f t="shared" si="8"/>
        <v>6.2967211732550137</v>
      </c>
      <c r="BE13" s="286">
        <v>3.64</v>
      </c>
      <c r="BF13" s="285">
        <f>INDEX('SM Support'!O$3:O$64,MATCH('Loan Tape - Settled'!$G13,'SM Support'!$B$3:$B$64,0))</f>
        <v>1.2963882218680001</v>
      </c>
      <c r="BG13" s="256"/>
      <c r="BH13" s="256"/>
      <c r="BI13" s="258">
        <f>INDEX('SM Support'!$M$3:$M$144,MATCH('Loan Tape - Settled'!G13,'SM Support'!$B$3:$B$144,0))</f>
        <v>6.2967211732550137</v>
      </c>
      <c r="BJ13" s="258">
        <f>INDEX('SM Support'!$N$3:$N$144,MATCH('Loan Tape - Settled'!G13,'SM Support'!$B$3:$B$144,0))</f>
        <v>1.4502065865820297</v>
      </c>
    </row>
    <row r="14" spans="1:62" ht="15" customHeight="1" x14ac:dyDescent="0.45">
      <c r="A14" s="227" t="str">
        <f t="shared" si="0"/>
        <v>smc10</v>
      </c>
      <c r="B14" s="228">
        <f t="shared" si="1"/>
        <v>46022</v>
      </c>
      <c r="C14" s="259" t="s">
        <v>60</v>
      </c>
      <c r="D14" s="260" t="s">
        <v>1</v>
      </c>
      <c r="E14" s="261">
        <f t="shared" si="10"/>
        <v>10</v>
      </c>
      <c r="F14" s="287">
        <f t="shared" si="11"/>
        <v>100010</v>
      </c>
      <c r="G14" s="230" t="s">
        <v>695</v>
      </c>
      <c r="H14" s="230" t="s">
        <v>448</v>
      </c>
      <c r="I14" s="231"/>
      <c r="J14" s="232" t="s">
        <v>239</v>
      </c>
      <c r="K14" s="232" t="s">
        <v>690</v>
      </c>
      <c r="L14" s="264" t="s">
        <v>102</v>
      </c>
      <c r="M14" s="233">
        <f>INDEX('SM Support'!$D$3:$D$64,MATCH('Loan Tape - Settled'!G14,'SM Support'!$B$3:$B$62,0))</f>
        <v>6442460.1799999997</v>
      </c>
      <c r="N14" s="234">
        <f t="shared" si="2"/>
        <v>6442460.1799999997</v>
      </c>
      <c r="O14" s="235"/>
      <c r="P14" s="235"/>
      <c r="Q14" s="236">
        <v>1</v>
      </c>
      <c r="R14" s="268"/>
      <c r="S14" s="238">
        <f>INDEX('SM Support'!$E$3:$E$64,MATCH('Loan Tape - Settled'!G14,'SM Support'!$B$3:$B$64,0))/INDEX('SM Support'!$D$3:$D$64,MATCH('Loan Tape - Settled'!G14,'SM Support'!$B$3:$B$64,0))</f>
        <v>0.97950558316812375</v>
      </c>
      <c r="T14" s="230" t="s">
        <v>393</v>
      </c>
      <c r="U14" s="239">
        <v>46009</v>
      </c>
      <c r="V14" s="293">
        <v>48200</v>
      </c>
      <c r="W14" s="230" t="s">
        <v>691</v>
      </c>
      <c r="X14" s="294" t="s">
        <v>327</v>
      </c>
      <c r="Y14" s="230" t="s">
        <v>696</v>
      </c>
      <c r="Z14" s="240" t="s">
        <v>244</v>
      </c>
      <c r="AA14" s="241"/>
      <c r="AB14" s="241"/>
      <c r="AC14" s="242">
        <v>0</v>
      </c>
      <c r="AD14" s="290">
        <v>0</v>
      </c>
      <c r="AE14" s="290">
        <v>0.06</v>
      </c>
      <c r="AF14" s="290">
        <v>0.01</v>
      </c>
      <c r="AG14" s="243"/>
      <c r="AH14" s="243"/>
      <c r="AI14" s="244"/>
      <c r="AJ14" s="245"/>
      <c r="AK14" s="245"/>
      <c r="AL14" s="245"/>
      <c r="AM14" s="245"/>
      <c r="AN14" s="246">
        <v>46009</v>
      </c>
      <c r="AO14" s="246">
        <v>46009</v>
      </c>
      <c r="AP14" s="247">
        <v>0</v>
      </c>
      <c r="AQ14" s="248">
        <f t="shared" si="3"/>
        <v>6442460.1799999997</v>
      </c>
      <c r="AR14" s="249">
        <f t="shared" si="4"/>
        <v>6442460.1799999997</v>
      </c>
      <c r="AT14" s="250" t="s">
        <v>693</v>
      </c>
      <c r="AU14" s="267" t="str">
        <f t="shared" si="9"/>
        <v>9/30/2025 or Latest Financing</v>
      </c>
      <c r="AV14" s="250">
        <v>12.1</v>
      </c>
      <c r="AW14" s="252">
        <f t="shared" si="5"/>
        <v>12.1</v>
      </c>
      <c r="AX14" s="253">
        <v>4.7695554892561987</v>
      </c>
      <c r="AY14" s="254">
        <f t="shared" si="6"/>
        <v>4.7695554892561987</v>
      </c>
      <c r="AZ14" s="255">
        <f>INDEX('SM Support'!$G$3:$G$64,MATCH('Loan Tape - Settled'!G14,'SM Support'!$B$3:$B$64,0))/1000000</f>
        <v>12.1</v>
      </c>
      <c r="BA14" s="252">
        <f t="shared" si="7"/>
        <v>12.1</v>
      </c>
      <c r="BB14" s="256"/>
      <c r="BC14" s="257">
        <f>INDEX('SM Support'!$M$3:$M$64,MATCH('Loan Tape - Settled'!G14,'SM Support'!$B$3:$B$64,0))</f>
        <v>4.7695554892561987</v>
      </c>
      <c r="BD14" s="280">
        <f t="shared" si="8"/>
        <v>4.7695554892561987</v>
      </c>
      <c r="BE14" s="286">
        <v>1.6</v>
      </c>
      <c r="BF14" s="285">
        <f>INDEX('SM Support'!O$3:O$64,MATCH('Loan Tape - Settled'!$G14,'SM Support'!$B$3:$B$64,0))</f>
        <v>1.6</v>
      </c>
      <c r="BG14" s="256"/>
      <c r="BH14" s="256"/>
      <c r="BI14" s="258">
        <f>INDEX('SM Support'!$M$3:$M$144,MATCH('Loan Tape - Settled'!G14,'SM Support'!$B$3:$B$144,0))</f>
        <v>4.7695554892561987</v>
      </c>
      <c r="BJ14" s="258">
        <f>INDEX('SM Support'!$N$3:$N$144,MATCH('Loan Tape - Settled'!G14,'SM Support'!$B$3:$B$144,0))</f>
        <v>0.20275799669421529</v>
      </c>
    </row>
    <row r="15" spans="1:62" ht="15" customHeight="1" x14ac:dyDescent="0.45">
      <c r="A15" s="227" t="str">
        <f t="shared" si="0"/>
        <v>smc11</v>
      </c>
      <c r="B15" s="228">
        <f t="shared" si="1"/>
        <v>46022</v>
      </c>
      <c r="C15" s="259" t="s">
        <v>60</v>
      </c>
      <c r="D15" s="260" t="s">
        <v>1</v>
      </c>
      <c r="E15" s="261">
        <f t="shared" si="10"/>
        <v>11</v>
      </c>
      <c r="F15" s="287">
        <f t="shared" si="11"/>
        <v>100011</v>
      </c>
      <c r="G15" s="230" t="s">
        <v>607</v>
      </c>
      <c r="H15" s="230" t="s">
        <v>448</v>
      </c>
      <c r="I15" s="231"/>
      <c r="J15" s="232" t="s">
        <v>239</v>
      </c>
      <c r="K15" s="232" t="s">
        <v>690</v>
      </c>
      <c r="L15" s="264" t="s">
        <v>102</v>
      </c>
      <c r="M15" s="233">
        <f>INDEX('SM Support'!$D$3:$D$64,MATCH('Loan Tape - Settled'!G15,'SM Support'!$B$3:$B$62,0))</f>
        <v>7209098.1985821901</v>
      </c>
      <c r="N15" s="234">
        <f t="shared" si="2"/>
        <v>7209098.1985821901</v>
      </c>
      <c r="O15" s="235"/>
      <c r="P15" s="235"/>
      <c r="Q15" s="236">
        <v>1</v>
      </c>
      <c r="R15" s="268"/>
      <c r="S15" s="238">
        <f>INDEX('SM Support'!$E$3:$E$64,MATCH('Loan Tape - Settled'!G15,'SM Support'!$B$3:$B$64,0))/INDEX('SM Support'!$D$3:$D$64,MATCH('Loan Tape - Settled'!G15,'SM Support'!$B$3:$B$64,0))</f>
        <v>0.44006382012640605</v>
      </c>
      <c r="T15" s="230" t="s">
        <v>393</v>
      </c>
      <c r="U15" s="239">
        <v>44498</v>
      </c>
      <c r="V15" s="293">
        <v>45382</v>
      </c>
      <c r="W15" s="230" t="s">
        <v>691</v>
      </c>
      <c r="X15" s="294" t="s">
        <v>383</v>
      </c>
      <c r="Y15" s="230" t="s">
        <v>692</v>
      </c>
      <c r="Z15" s="240" t="s">
        <v>244</v>
      </c>
      <c r="AA15" s="241"/>
      <c r="AB15" s="241"/>
      <c r="AC15" s="242">
        <v>0</v>
      </c>
      <c r="AD15" s="290">
        <v>1.7418486209777179E-2</v>
      </c>
      <c r="AE15" s="290">
        <v>7.8115843083995579E-2</v>
      </c>
      <c r="AF15" s="290">
        <v>1.4999999999999999E-2</v>
      </c>
      <c r="AG15" s="243"/>
      <c r="AH15" s="243"/>
      <c r="AI15" s="244"/>
      <c r="AJ15" s="245"/>
      <c r="AK15" s="245"/>
      <c r="AL15" s="245"/>
      <c r="AM15" s="245"/>
      <c r="AN15" s="246">
        <v>44498</v>
      </c>
      <c r="AO15" s="246">
        <v>44502</v>
      </c>
      <c r="AP15" s="247">
        <v>0</v>
      </c>
      <c r="AQ15" s="248">
        <f t="shared" si="3"/>
        <v>7209098.1985821901</v>
      </c>
      <c r="AR15" s="249">
        <f t="shared" si="4"/>
        <v>7209098.1985821901</v>
      </c>
      <c r="AT15" s="250" t="s">
        <v>693</v>
      </c>
      <c r="AU15" s="267" t="str">
        <f t="shared" si="9"/>
        <v>9/30/2025 or Latest Financing</v>
      </c>
      <c r="AV15" s="250">
        <v>11.090999999999999</v>
      </c>
      <c r="AW15" s="252">
        <f t="shared" si="5"/>
        <v>11.090999999999999</v>
      </c>
      <c r="AX15" s="253">
        <v>3.1196465602740959</v>
      </c>
      <c r="AY15" s="254">
        <f t="shared" si="6"/>
        <v>3.1196465602740959</v>
      </c>
      <c r="AZ15" s="255">
        <f>INDEX('SM Support'!$G$3:$G$64,MATCH('Loan Tape - Settled'!G15,'SM Support'!$B$3:$B$64,0))/1000000</f>
        <v>0.65319611</v>
      </c>
      <c r="BA15" s="252">
        <f t="shared" si="7"/>
        <v>0.65319611</v>
      </c>
      <c r="BB15" s="256"/>
      <c r="BC15" s="257">
        <f>INDEX('SM Support'!$M$3:$M$64,MATCH('Loan Tape - Settled'!G15,'SM Support'!$B$3:$B$64,0))</f>
        <v>73.059506215470805</v>
      </c>
      <c r="BD15" s="280">
        <f t="shared" si="8"/>
        <v>73.059506215470805</v>
      </c>
      <c r="BE15" s="286">
        <v>2.35</v>
      </c>
      <c r="BF15" s="285">
        <f>INDEX('SM Support'!O$3:O$64,MATCH('Loan Tape - Settled'!$G15,'SM Support'!$B$3:$B$64,0))</f>
        <v>0</v>
      </c>
      <c r="BG15" s="256"/>
      <c r="BH15" s="256"/>
      <c r="BI15" s="258">
        <f>INDEX('SM Support'!$M$3:$M$144,MATCH('Loan Tape - Settled'!G15,'SM Support'!$B$3:$B$144,0))</f>
        <v>73.059506215470805</v>
      </c>
      <c r="BJ15" s="258">
        <f>INDEX('SM Support'!$N$3:$N$144,MATCH('Loan Tape - Settled'!G15,'SM Support'!$B$3:$B$144,0))</f>
        <v>4.7617184982929555</v>
      </c>
    </row>
    <row r="16" spans="1:62" ht="15" customHeight="1" x14ac:dyDescent="0.45">
      <c r="A16" s="227" t="str">
        <f t="shared" si="0"/>
        <v>smc12</v>
      </c>
      <c r="B16" s="228">
        <f t="shared" si="1"/>
        <v>46022</v>
      </c>
      <c r="C16" s="259" t="s">
        <v>60</v>
      </c>
      <c r="D16" s="260" t="s">
        <v>1</v>
      </c>
      <c r="E16" s="261">
        <f t="shared" si="10"/>
        <v>12</v>
      </c>
      <c r="F16" s="287">
        <f t="shared" si="11"/>
        <v>100012</v>
      </c>
      <c r="G16" s="230" t="s">
        <v>626</v>
      </c>
      <c r="H16" s="230" t="s">
        <v>240</v>
      </c>
      <c r="I16" s="231"/>
      <c r="J16" s="232" t="s">
        <v>240</v>
      </c>
      <c r="K16" s="232" t="s">
        <v>690</v>
      </c>
      <c r="L16" s="264" t="s">
        <v>102</v>
      </c>
      <c r="M16" s="233">
        <f>INDEX('SM Support'!$D$3:$D$64,MATCH('Loan Tape - Settled'!G16,'SM Support'!$B$3:$B$62,0))</f>
        <v>4230014.7960563004</v>
      </c>
      <c r="N16" s="234">
        <f t="shared" si="2"/>
        <v>4230014.7960563004</v>
      </c>
      <c r="O16" s="235"/>
      <c r="P16" s="235"/>
      <c r="Q16" s="236">
        <v>1</v>
      </c>
      <c r="R16" s="268"/>
      <c r="S16" s="238">
        <f>INDEX('SM Support'!$E$3:$E$64,MATCH('Loan Tape - Settled'!G16,'SM Support'!$B$3:$B$64,0))/INDEX('SM Support'!$D$3:$D$64,MATCH('Loan Tape - Settled'!G16,'SM Support'!$B$3:$B$64,0))</f>
        <v>0.97934999999999994</v>
      </c>
      <c r="T16" s="230" t="s">
        <v>393</v>
      </c>
      <c r="U16" s="239">
        <v>44523</v>
      </c>
      <c r="V16" s="293">
        <v>46568</v>
      </c>
      <c r="W16" s="230" t="s">
        <v>691</v>
      </c>
      <c r="X16" s="294" t="s">
        <v>368</v>
      </c>
      <c r="Y16" s="230" t="s">
        <v>692</v>
      </c>
      <c r="Z16" s="240" t="s">
        <v>244</v>
      </c>
      <c r="AA16" s="241"/>
      <c r="AB16" s="241"/>
      <c r="AC16" s="242">
        <v>0</v>
      </c>
      <c r="AD16" s="290">
        <v>6.9691604620000002E-3</v>
      </c>
      <c r="AE16" s="290">
        <v>7.7541401111513267E-2</v>
      </c>
      <c r="AF16" s="290">
        <v>0.01</v>
      </c>
      <c r="AG16" s="243"/>
      <c r="AH16" s="243"/>
      <c r="AI16" s="244"/>
      <c r="AJ16" s="245"/>
      <c r="AK16" s="245"/>
      <c r="AL16" s="245"/>
      <c r="AM16" s="245"/>
      <c r="AN16" s="246">
        <v>44523</v>
      </c>
      <c r="AO16" s="246">
        <v>44523</v>
      </c>
      <c r="AP16" s="247">
        <v>0</v>
      </c>
      <c r="AQ16" s="248">
        <f t="shared" si="3"/>
        <v>4230014.7960563004</v>
      </c>
      <c r="AR16" s="249">
        <f t="shared" si="4"/>
        <v>4230014.7960563004</v>
      </c>
      <c r="AT16" s="250" t="s">
        <v>693</v>
      </c>
      <c r="AU16" s="267" t="str">
        <f t="shared" si="9"/>
        <v>9/30/2025 or Latest Financing</v>
      </c>
      <c r="AV16" s="250">
        <v>12.552</v>
      </c>
      <c r="AW16" s="252">
        <f t="shared" si="5"/>
        <v>12.552</v>
      </c>
      <c r="AX16" s="253">
        <v>3.9181803696622048</v>
      </c>
      <c r="AY16" s="254">
        <f t="shared" si="6"/>
        <v>3.9181803696622048</v>
      </c>
      <c r="AZ16" s="255">
        <f>INDEX('SM Support'!$G$3:$G$64,MATCH('Loan Tape - Settled'!G16,'SM Support'!$B$3:$B$64,0))/1000000</f>
        <v>10.784873997114259</v>
      </c>
      <c r="BA16" s="252">
        <f t="shared" si="7"/>
        <v>10.784873997114259</v>
      </c>
      <c r="BB16" s="256"/>
      <c r="BC16" s="257">
        <f>INDEX('SM Support'!$M$3:$M$64,MATCH('Loan Tape - Settled'!G16,'SM Support'!$B$3:$B$64,0))</f>
        <v>4.5350099122279079</v>
      </c>
      <c r="BD16" s="280">
        <f t="shared" si="8"/>
        <v>4.5350099122279079</v>
      </c>
      <c r="BE16" s="286">
        <v>2.88</v>
      </c>
      <c r="BF16" s="285">
        <f>INDEX('SM Support'!O$3:O$64,MATCH('Loan Tape - Settled'!$G16,'SM Support'!$B$3:$B$64,0))</f>
        <v>1.4361480441659999</v>
      </c>
      <c r="BG16" s="256"/>
      <c r="BH16" s="256"/>
      <c r="BI16" s="258">
        <f>INDEX('SM Support'!$M$3:$M$144,MATCH('Loan Tape - Settled'!G16,'SM Support'!$B$3:$B$144,0))</f>
        <v>4.5350099122279079</v>
      </c>
      <c r="BJ16" s="258">
        <f>INDEX('SM Support'!$N$3:$N$144,MATCH('Loan Tape - Settled'!G16,'SM Support'!$B$3:$B$144,0))</f>
        <v>1.6461900241495429</v>
      </c>
    </row>
    <row r="17" spans="1:62" ht="15" customHeight="1" x14ac:dyDescent="0.45">
      <c r="A17" s="227" t="str">
        <f t="shared" si="0"/>
        <v>smc13</v>
      </c>
      <c r="B17" s="228">
        <f t="shared" si="1"/>
        <v>46022</v>
      </c>
      <c r="C17" s="259" t="s">
        <v>60</v>
      </c>
      <c r="D17" s="260" t="s">
        <v>1</v>
      </c>
      <c r="E17" s="261">
        <f t="shared" si="10"/>
        <v>13</v>
      </c>
      <c r="F17" s="287">
        <f t="shared" si="11"/>
        <v>100013</v>
      </c>
      <c r="G17" s="230" t="s">
        <v>596</v>
      </c>
      <c r="H17" s="230" t="s">
        <v>448</v>
      </c>
      <c r="I17" s="231"/>
      <c r="J17" s="232" t="s">
        <v>239</v>
      </c>
      <c r="K17" s="232" t="s">
        <v>690</v>
      </c>
      <c r="L17" s="264" t="s">
        <v>102</v>
      </c>
      <c r="M17" s="233">
        <f>INDEX('SM Support'!$D$3:$D$64,MATCH('Loan Tape - Settled'!G17,'SM Support'!$B$3:$B$62,0))</f>
        <v>1544173.0848497902</v>
      </c>
      <c r="N17" s="234">
        <f t="shared" si="2"/>
        <v>1544173.0848497902</v>
      </c>
      <c r="O17" s="235"/>
      <c r="P17" s="235"/>
      <c r="Q17" s="236">
        <v>1</v>
      </c>
      <c r="R17" s="268"/>
      <c r="S17" s="238">
        <f>INDEX('SM Support'!$E$3:$E$64,MATCH('Loan Tape - Settled'!G17,'SM Support'!$B$3:$B$64,0))/INDEX('SM Support'!$D$3:$D$64,MATCH('Loan Tape - Settled'!G17,'SM Support'!$B$3:$B$64,0))</f>
        <v>0.93969999999999998</v>
      </c>
      <c r="T17" s="230" t="s">
        <v>393</v>
      </c>
      <c r="U17" s="239">
        <v>44539</v>
      </c>
      <c r="V17" s="293">
        <v>47118</v>
      </c>
      <c r="W17" s="230" t="s">
        <v>691</v>
      </c>
      <c r="X17" s="294" t="s">
        <v>357</v>
      </c>
      <c r="Y17" s="230" t="s">
        <v>692</v>
      </c>
      <c r="Z17" s="240" t="s">
        <v>244</v>
      </c>
      <c r="AA17" s="241"/>
      <c r="AB17" s="241"/>
      <c r="AC17" s="242">
        <v>0</v>
      </c>
      <c r="AD17" s="290">
        <v>0.1355722</v>
      </c>
      <c r="AE17" s="290">
        <v>0</v>
      </c>
      <c r="AF17" s="290">
        <v>0.01</v>
      </c>
      <c r="AG17" s="243"/>
      <c r="AH17" s="243"/>
      <c r="AI17" s="244"/>
      <c r="AJ17" s="245"/>
      <c r="AK17" s="245"/>
      <c r="AL17" s="245"/>
      <c r="AM17" s="245"/>
      <c r="AN17" s="246">
        <v>44543</v>
      </c>
      <c r="AO17" s="246">
        <v>44543</v>
      </c>
      <c r="AP17" s="247">
        <v>0</v>
      </c>
      <c r="AQ17" s="248">
        <f t="shared" si="3"/>
        <v>1544173.0848497902</v>
      </c>
      <c r="AR17" s="249">
        <f t="shared" si="4"/>
        <v>1544173.0848497902</v>
      </c>
      <c r="AT17" s="250" t="s">
        <v>693</v>
      </c>
      <c r="AU17" s="267" t="str">
        <f t="shared" si="9"/>
        <v>9/30/2025 or Latest Financing</v>
      </c>
      <c r="AV17" s="250">
        <v>20.945</v>
      </c>
      <c r="AW17" s="252">
        <f t="shared" si="5"/>
        <v>20.945</v>
      </c>
      <c r="AX17" s="253">
        <v>1.5307710670804491</v>
      </c>
      <c r="AY17" s="254">
        <f t="shared" si="6"/>
        <v>1.5307710670804491</v>
      </c>
      <c r="AZ17" s="255">
        <f>INDEX('SM Support'!$G$3:$G$64,MATCH('Loan Tape - Settled'!G17,'SM Support'!$B$3:$B$64,0))/1000000</f>
        <v>0.77061508500001719</v>
      </c>
      <c r="BA17" s="252">
        <f t="shared" si="7"/>
        <v>0.77061508500001719</v>
      </c>
      <c r="BB17" s="256"/>
      <c r="BC17" s="257" t="str">
        <f>INDEX('SM Support'!$M$3:$M$64,MATCH('Loan Tape - Settled'!G17,'SM Support'!$B$3:$B$64,0))</f>
        <v>N/M</v>
      </c>
      <c r="BD17" s="280" t="str">
        <f t="shared" si="8"/>
        <v>N/M</v>
      </c>
      <c r="BE17" s="286">
        <v>2.62</v>
      </c>
      <c r="BF17" s="285">
        <f>INDEX('SM Support'!O$3:O$64,MATCH('Loan Tape - Settled'!$G17,'SM Support'!$B$3:$B$64,0))</f>
        <v>0.27293512627599997</v>
      </c>
      <c r="BG17" s="256"/>
      <c r="BH17" s="256"/>
      <c r="BI17" s="258" t="str">
        <f>INDEX('SM Support'!$M$3:$M$144,MATCH('Loan Tape - Settled'!G17,'SM Support'!$B$3:$B$144,0))</f>
        <v>N/M</v>
      </c>
      <c r="BJ17" s="258">
        <f>INDEX('SM Support'!$N$3:$N$144,MATCH('Loan Tape - Settled'!G17,'SM Support'!$B$3:$B$144,0))</f>
        <v>5.9039498298945174</v>
      </c>
    </row>
    <row r="18" spans="1:62" ht="15" customHeight="1" x14ac:dyDescent="0.45">
      <c r="A18" s="227" t="str">
        <f t="shared" si="0"/>
        <v>smc14</v>
      </c>
      <c r="B18" s="228">
        <f t="shared" si="1"/>
        <v>46022</v>
      </c>
      <c r="C18" s="259" t="s">
        <v>60</v>
      </c>
      <c r="D18" s="260" t="s">
        <v>1</v>
      </c>
      <c r="E18" s="261">
        <f t="shared" si="10"/>
        <v>14</v>
      </c>
      <c r="F18" s="287">
        <f t="shared" si="11"/>
        <v>100014</v>
      </c>
      <c r="G18" s="230" t="s">
        <v>602</v>
      </c>
      <c r="H18" s="230" t="s">
        <v>448</v>
      </c>
      <c r="I18" s="231"/>
      <c r="J18" s="232" t="s">
        <v>239</v>
      </c>
      <c r="K18" s="232" t="s">
        <v>690</v>
      </c>
      <c r="L18" s="264" t="s">
        <v>102</v>
      </c>
      <c r="M18" s="233">
        <f>INDEX('SM Support'!$D$3:$D$64,MATCH('Loan Tape - Settled'!G18,'SM Support'!$B$3:$B$62,0))</f>
        <v>3692185.7905205721</v>
      </c>
      <c r="N18" s="234">
        <f t="shared" si="2"/>
        <v>3692185.7905205721</v>
      </c>
      <c r="O18" s="235"/>
      <c r="P18" s="235"/>
      <c r="Q18" s="236">
        <v>1</v>
      </c>
      <c r="R18" s="268"/>
      <c r="S18" s="238">
        <f>INDEX('SM Support'!$E$3:$E$64,MATCH('Loan Tape - Settled'!G18,'SM Support'!$B$3:$B$64,0))/INDEX('SM Support'!$D$3:$D$64,MATCH('Loan Tape - Settled'!G18,'SM Support'!$B$3:$B$64,0))</f>
        <v>0.97410009644311812</v>
      </c>
      <c r="T18" s="230" t="s">
        <v>393</v>
      </c>
      <c r="U18" s="239">
        <v>44550</v>
      </c>
      <c r="V18" s="293">
        <v>46741</v>
      </c>
      <c r="W18" s="230" t="s">
        <v>691</v>
      </c>
      <c r="X18" s="294" t="s">
        <v>325</v>
      </c>
      <c r="Y18" s="230" t="s">
        <v>692</v>
      </c>
      <c r="Z18" s="240" t="s">
        <v>244</v>
      </c>
      <c r="AA18" s="241"/>
      <c r="AB18" s="241"/>
      <c r="AC18" s="242">
        <v>0</v>
      </c>
      <c r="AD18" s="290">
        <v>0</v>
      </c>
      <c r="AE18" s="290">
        <v>7.3032850663894061E-2</v>
      </c>
      <c r="AF18" s="290">
        <v>0.01</v>
      </c>
      <c r="AG18" s="243"/>
      <c r="AH18" s="243"/>
      <c r="AI18" s="244"/>
      <c r="AJ18" s="245"/>
      <c r="AK18" s="245"/>
      <c r="AL18" s="245"/>
      <c r="AM18" s="245"/>
      <c r="AN18" s="246">
        <v>44557</v>
      </c>
      <c r="AO18" s="246">
        <v>44557</v>
      </c>
      <c r="AP18" s="247">
        <v>0</v>
      </c>
      <c r="AQ18" s="248">
        <f t="shared" si="3"/>
        <v>3692185.7905205721</v>
      </c>
      <c r="AR18" s="249">
        <f t="shared" si="4"/>
        <v>3692185.7905205721</v>
      </c>
      <c r="AT18" s="250" t="s">
        <v>693</v>
      </c>
      <c r="AU18" s="267" t="str">
        <f t="shared" si="9"/>
        <v>9/30/2025 or Latest Financing</v>
      </c>
      <c r="AV18" s="250">
        <v>19.687999999999999</v>
      </c>
      <c r="AW18" s="252">
        <f t="shared" si="5"/>
        <v>19.687999999999999</v>
      </c>
      <c r="AX18" s="253">
        <v>3.6836619458553428</v>
      </c>
      <c r="AY18" s="254">
        <f t="shared" si="6"/>
        <v>3.6836619458553428</v>
      </c>
      <c r="AZ18" s="255">
        <f>INDEX('SM Support'!$G$3:$G$64,MATCH('Loan Tape - Settled'!G18,'SM Support'!$B$3:$B$64,0))/1000000</f>
        <v>18.618569000000001</v>
      </c>
      <c r="BA18" s="252">
        <f t="shared" si="7"/>
        <v>18.618569000000001</v>
      </c>
      <c r="BB18" s="256"/>
      <c r="BC18" s="257">
        <f>INDEX('SM Support'!$M$3:$M$64,MATCH('Loan Tape - Settled'!G18,'SM Support'!$B$3:$B$64,0))</f>
        <v>3.491346513113736</v>
      </c>
      <c r="BD18" s="280">
        <f t="shared" si="8"/>
        <v>3.491346513113736</v>
      </c>
      <c r="BE18" s="286">
        <v>3.83</v>
      </c>
      <c r="BF18" s="285">
        <f>INDEX('SM Support'!O$3:O$64,MATCH('Loan Tape - Settled'!$G18,'SM Support'!$B$3:$B$64,0))</f>
        <v>2.732253365559</v>
      </c>
      <c r="BG18" s="256"/>
      <c r="BH18" s="256"/>
      <c r="BI18" s="258">
        <f>INDEX('SM Support'!$M$3:$M$144,MATCH('Loan Tape - Settled'!G18,'SM Support'!$B$3:$B$144,0))</f>
        <v>3.491346513113736</v>
      </c>
      <c r="BJ18" s="258">
        <f>INDEX('SM Support'!$N$3:$N$144,MATCH('Loan Tape - Settled'!G18,'SM Support'!$B$3:$B$144,0))</f>
        <v>-0.47952127792420568</v>
      </c>
    </row>
    <row r="19" spans="1:62" ht="15" customHeight="1" x14ac:dyDescent="0.45">
      <c r="A19" s="227" t="str">
        <f t="shared" si="0"/>
        <v>smc15</v>
      </c>
      <c r="B19" s="228">
        <f t="shared" si="1"/>
        <v>46022</v>
      </c>
      <c r="C19" s="259" t="s">
        <v>60</v>
      </c>
      <c r="D19" s="260" t="s">
        <v>1</v>
      </c>
      <c r="E19" s="261">
        <f t="shared" si="10"/>
        <v>15</v>
      </c>
      <c r="F19" s="287">
        <f t="shared" si="11"/>
        <v>100015</v>
      </c>
      <c r="G19" s="230" t="s">
        <v>697</v>
      </c>
      <c r="H19" s="230" t="s">
        <v>448</v>
      </c>
      <c r="I19" s="231"/>
      <c r="J19" s="232" t="s">
        <v>239</v>
      </c>
      <c r="K19" s="232" t="s">
        <v>690</v>
      </c>
      <c r="L19" s="264" t="s">
        <v>102</v>
      </c>
      <c r="M19" s="233">
        <f>INDEX('SM Support'!$D$3:$D$64,MATCH('Loan Tape - Settled'!G19,'SM Support'!$B$3:$B$62,0))</f>
        <v>1832761.0209470899</v>
      </c>
      <c r="N19" s="234">
        <f t="shared" si="2"/>
        <v>1832761.0209470899</v>
      </c>
      <c r="O19" s="235"/>
      <c r="P19" s="235"/>
      <c r="Q19" s="236">
        <v>1</v>
      </c>
      <c r="R19" s="268"/>
      <c r="S19" s="238">
        <f>INDEX('SM Support'!$E$3:$E$64,MATCH('Loan Tape - Settled'!G19,'SM Support'!$B$3:$B$64,0))/INDEX('SM Support'!$D$3:$D$64,MATCH('Loan Tape - Settled'!G19,'SM Support'!$B$3:$B$64,0))</f>
        <v>0.96185000000000009</v>
      </c>
      <c r="T19" s="230" t="s">
        <v>393</v>
      </c>
      <c r="U19" s="239">
        <v>44559</v>
      </c>
      <c r="V19" s="293">
        <v>46326</v>
      </c>
      <c r="W19" s="230" t="s">
        <v>698</v>
      </c>
      <c r="X19" s="294" t="s">
        <v>334</v>
      </c>
      <c r="Y19" s="230" t="s">
        <v>692</v>
      </c>
      <c r="Z19" s="240" t="s">
        <v>244</v>
      </c>
      <c r="AA19" s="241"/>
      <c r="AB19" s="241"/>
      <c r="AC19" s="242">
        <v>0</v>
      </c>
      <c r="AD19" s="290">
        <v>6.5607799999999994E-2</v>
      </c>
      <c r="AE19" s="290">
        <v>2.442780000000001E-2</v>
      </c>
      <c r="AF19" s="290">
        <v>0.01</v>
      </c>
      <c r="AG19" s="243"/>
      <c r="AH19" s="243"/>
      <c r="AI19" s="244"/>
      <c r="AJ19" s="245"/>
      <c r="AK19" s="245"/>
      <c r="AL19" s="245"/>
      <c r="AM19" s="245"/>
      <c r="AN19" s="246">
        <v>44561</v>
      </c>
      <c r="AO19" s="246">
        <v>44561</v>
      </c>
      <c r="AP19" s="247">
        <v>0</v>
      </c>
      <c r="AQ19" s="248">
        <f t="shared" si="3"/>
        <v>1832761.0209470899</v>
      </c>
      <c r="AR19" s="249">
        <f t="shared" si="4"/>
        <v>1832761.0209470899</v>
      </c>
      <c r="AT19" s="250" t="s">
        <v>693</v>
      </c>
      <c r="AU19" s="267" t="str">
        <f t="shared" si="9"/>
        <v>9/30/2025 or Latest Financing</v>
      </c>
      <c r="AV19" s="250">
        <v>-5.3112339999999998</v>
      </c>
      <c r="AW19" s="252">
        <f t="shared" si="5"/>
        <v>-5.3112339999999998</v>
      </c>
      <c r="AX19" s="253" t="s">
        <v>7</v>
      </c>
      <c r="AY19" s="254" t="str">
        <f t="shared" si="6"/>
        <v>N/A</v>
      </c>
      <c r="AZ19" s="255">
        <f>INDEX('SM Support'!$G$3:$G$64,MATCH('Loan Tape - Settled'!G19,'SM Support'!$B$3:$B$64,0))/1000000</f>
        <v>-1.3283728600000002</v>
      </c>
      <c r="BA19" s="252">
        <f t="shared" si="7"/>
        <v>-1.3283728600000002</v>
      </c>
      <c r="BB19" s="256"/>
      <c r="BC19" s="257" t="str">
        <f>INDEX('SM Support'!$M$3:$M$64,MATCH('Loan Tape - Settled'!G19,'SM Support'!$B$3:$B$64,0))</f>
        <v>N/M</v>
      </c>
      <c r="BD19" s="280" t="str">
        <f t="shared" si="8"/>
        <v>N/M</v>
      </c>
      <c r="BE19" s="286" t="s">
        <v>7</v>
      </c>
      <c r="BF19" s="285">
        <f>INDEX('SM Support'!O$3:O$64,MATCH('Loan Tape - Settled'!$G19,'SM Support'!$B$3:$B$64,0))</f>
        <v>0</v>
      </c>
      <c r="BG19" s="256"/>
      <c r="BH19" s="256"/>
      <c r="BI19" s="258" t="str">
        <f>INDEX('SM Support'!$M$3:$M$144,MATCH('Loan Tape - Settled'!G19,'SM Support'!$B$3:$B$144,0))</f>
        <v>N/M</v>
      </c>
      <c r="BJ19" s="258" t="str">
        <f>INDEX('SM Support'!$N$3:$N$144,MATCH('Loan Tape - Settled'!G19,'SM Support'!$B$3:$B$144,0))</f>
        <v>N/A</v>
      </c>
    </row>
    <row r="20" spans="1:62" ht="15" customHeight="1" x14ac:dyDescent="0.45">
      <c r="A20" s="227" t="str">
        <f t="shared" si="0"/>
        <v>smc16</v>
      </c>
      <c r="B20" s="228">
        <f t="shared" si="1"/>
        <v>46022</v>
      </c>
      <c r="C20" s="259" t="s">
        <v>60</v>
      </c>
      <c r="D20" s="260" t="s">
        <v>1</v>
      </c>
      <c r="E20" s="261">
        <f t="shared" si="10"/>
        <v>16</v>
      </c>
      <c r="F20" s="287">
        <f t="shared" si="11"/>
        <v>100016</v>
      </c>
      <c r="G20" s="230" t="s">
        <v>699</v>
      </c>
      <c r="H20" s="230" t="s">
        <v>240</v>
      </c>
      <c r="I20" s="231"/>
      <c r="J20" s="232" t="s">
        <v>240</v>
      </c>
      <c r="K20" s="232" t="s">
        <v>690</v>
      </c>
      <c r="L20" s="264" t="s">
        <v>102</v>
      </c>
      <c r="M20" s="233">
        <f>INDEX('SM Support'!$D$3:$D$64,MATCH('Loan Tape - Settled'!G20,'SM Support'!$B$3:$B$62,0))</f>
        <v>7175785.3408561293</v>
      </c>
      <c r="N20" s="234">
        <f t="shared" si="2"/>
        <v>7175785.3408561293</v>
      </c>
      <c r="O20" s="235"/>
      <c r="P20" s="235"/>
      <c r="Q20" s="236">
        <v>1</v>
      </c>
      <c r="R20" s="268"/>
      <c r="S20" s="238">
        <f>INDEX('SM Support'!$E$3:$E$64,MATCH('Loan Tape - Settled'!G20,'SM Support'!$B$3:$B$64,0))/INDEX('SM Support'!$D$3:$D$64,MATCH('Loan Tape - Settled'!G20,'SM Support'!$B$3:$B$64,0))</f>
        <v>0.98845000000000005</v>
      </c>
      <c r="T20" s="230" t="s">
        <v>393</v>
      </c>
      <c r="U20" s="239">
        <v>44607</v>
      </c>
      <c r="V20" s="293">
        <v>46433</v>
      </c>
      <c r="W20" s="230" t="s">
        <v>691</v>
      </c>
      <c r="X20" s="294" t="s">
        <v>370</v>
      </c>
      <c r="Y20" s="230" t="s">
        <v>692</v>
      </c>
      <c r="Z20" s="240" t="s">
        <v>244</v>
      </c>
      <c r="AA20" s="241"/>
      <c r="AB20" s="241"/>
      <c r="AC20" s="242">
        <v>0</v>
      </c>
      <c r="AD20" s="290">
        <v>0</v>
      </c>
      <c r="AE20" s="290">
        <v>7.1144799999999994E-2</v>
      </c>
      <c r="AF20" s="290">
        <v>5.0000000000000001E-3</v>
      </c>
      <c r="AG20" s="243"/>
      <c r="AH20" s="243"/>
      <c r="AI20" s="244"/>
      <c r="AJ20" s="245"/>
      <c r="AK20" s="245"/>
      <c r="AL20" s="245"/>
      <c r="AM20" s="245"/>
      <c r="AN20" s="246">
        <v>44603</v>
      </c>
      <c r="AO20" s="246">
        <v>44603</v>
      </c>
      <c r="AP20" s="247">
        <v>0</v>
      </c>
      <c r="AQ20" s="248">
        <f t="shared" si="3"/>
        <v>7175785.3408561293</v>
      </c>
      <c r="AR20" s="249">
        <f t="shared" si="4"/>
        <v>7175785.3408561293</v>
      </c>
      <c r="AT20" s="250" t="s">
        <v>693</v>
      </c>
      <c r="AU20" s="267" t="str">
        <f t="shared" si="9"/>
        <v>9/30/2025 or Latest Financing</v>
      </c>
      <c r="AV20" s="250">
        <v>14.084</v>
      </c>
      <c r="AW20" s="252">
        <f t="shared" si="5"/>
        <v>14.084</v>
      </c>
      <c r="AX20" s="253">
        <v>3.1951150241408688</v>
      </c>
      <c r="AY20" s="254">
        <f t="shared" si="6"/>
        <v>3.1951150241408688</v>
      </c>
      <c r="AZ20" s="255">
        <f>INDEX('SM Support'!$G$3:$G$64,MATCH('Loan Tape - Settled'!G20,'SM Support'!$B$3:$B$64,0))/1000000</f>
        <v>12.4029601</v>
      </c>
      <c r="BA20" s="252">
        <f t="shared" si="7"/>
        <v>12.4029601</v>
      </c>
      <c r="BB20" s="256"/>
      <c r="BC20" s="257">
        <f>INDEX('SM Support'!$M$3:$M$64,MATCH('Loan Tape - Settled'!G20,'SM Support'!$B$3:$B$64,0))</f>
        <v>2.4774787473919231</v>
      </c>
      <c r="BD20" s="280">
        <f t="shared" si="8"/>
        <v>2.4774787473919231</v>
      </c>
      <c r="BE20" s="286">
        <v>4.07</v>
      </c>
      <c r="BF20" s="285">
        <f>INDEX('SM Support'!O$3:O$64,MATCH('Loan Tape - Settled'!$G20,'SM Support'!$B$3:$B$64,0))</f>
        <v>1.95</v>
      </c>
      <c r="BG20" s="256"/>
      <c r="BH20" s="256"/>
      <c r="BI20" s="258">
        <f>INDEX('SM Support'!$M$3:$M$144,MATCH('Loan Tape - Settled'!G20,'SM Support'!$B$3:$B$144,0))</f>
        <v>2.4774787473919231</v>
      </c>
      <c r="BJ20" s="258">
        <f>INDEX('SM Support'!$N$3:$N$144,MATCH('Loan Tape - Settled'!G20,'SM Support'!$B$3:$B$144,0))</f>
        <v>0.30790028860042051</v>
      </c>
    </row>
    <row r="21" spans="1:62" ht="15" customHeight="1" x14ac:dyDescent="0.45">
      <c r="A21" s="227" t="str">
        <f t="shared" si="0"/>
        <v>smc17</v>
      </c>
      <c r="B21" s="228">
        <f t="shared" si="1"/>
        <v>46022</v>
      </c>
      <c r="C21" s="259" t="s">
        <v>60</v>
      </c>
      <c r="D21" s="260" t="s">
        <v>1</v>
      </c>
      <c r="E21" s="261">
        <f t="shared" si="10"/>
        <v>17</v>
      </c>
      <c r="F21" s="287">
        <f t="shared" si="11"/>
        <v>100017</v>
      </c>
      <c r="G21" s="230" t="s">
        <v>700</v>
      </c>
      <c r="H21" s="230" t="s">
        <v>448</v>
      </c>
      <c r="I21" s="231"/>
      <c r="J21" s="232" t="s">
        <v>239</v>
      </c>
      <c r="K21" s="232" t="s">
        <v>690</v>
      </c>
      <c r="L21" s="264" t="s">
        <v>102</v>
      </c>
      <c r="M21" s="233">
        <f>INDEX('SM Support'!$D$3:$D$64,MATCH('Loan Tape - Settled'!G21,'SM Support'!$B$3:$B$62,0))</f>
        <v>6865952.6793287368</v>
      </c>
      <c r="N21" s="234">
        <f t="shared" si="2"/>
        <v>6865952.6793287368</v>
      </c>
      <c r="O21" s="235"/>
      <c r="P21" s="235"/>
      <c r="Q21" s="236">
        <v>1</v>
      </c>
      <c r="R21" s="268"/>
      <c r="S21" s="238">
        <f>INDEX('SM Support'!$E$3:$E$64,MATCH('Loan Tape - Settled'!G21,'SM Support'!$B$3:$B$64,0))/INDEX('SM Support'!$D$3:$D$64,MATCH('Loan Tape - Settled'!G21,'SM Support'!$B$3:$B$64,0))</f>
        <v>1.0002</v>
      </c>
      <c r="T21" s="230" t="s">
        <v>393</v>
      </c>
      <c r="U21" s="239">
        <v>44651</v>
      </c>
      <c r="V21" s="293">
        <v>46477</v>
      </c>
      <c r="W21" s="230" t="s">
        <v>691</v>
      </c>
      <c r="X21" s="294" t="s">
        <v>342</v>
      </c>
      <c r="Y21" s="230" t="s">
        <v>696</v>
      </c>
      <c r="Z21" s="240" t="s">
        <v>244</v>
      </c>
      <c r="AA21" s="241"/>
      <c r="AB21" s="241"/>
      <c r="AC21" s="242">
        <v>0</v>
      </c>
      <c r="AD21" s="290">
        <v>0</v>
      </c>
      <c r="AE21" s="290">
        <v>8.1144800000000003E-2</v>
      </c>
      <c r="AF21" s="290">
        <v>0.01</v>
      </c>
      <c r="AG21" s="243"/>
      <c r="AH21" s="243"/>
      <c r="AI21" s="244"/>
      <c r="AJ21" s="245"/>
      <c r="AK21" s="245"/>
      <c r="AL21" s="245"/>
      <c r="AM21" s="245"/>
      <c r="AN21" s="246">
        <v>44651</v>
      </c>
      <c r="AO21" s="246">
        <v>44651</v>
      </c>
      <c r="AP21" s="247">
        <v>0</v>
      </c>
      <c r="AQ21" s="248">
        <f t="shared" si="3"/>
        <v>6865952.6793287368</v>
      </c>
      <c r="AR21" s="249">
        <f t="shared" si="4"/>
        <v>6865952.6793287368</v>
      </c>
      <c r="AT21" s="250" t="s">
        <v>693</v>
      </c>
      <c r="AU21" s="267" t="str">
        <f t="shared" si="9"/>
        <v>9/30/2025 or Latest Financing</v>
      </c>
      <c r="AV21" s="250">
        <v>7.1710000000000003</v>
      </c>
      <c r="AW21" s="252">
        <f t="shared" si="5"/>
        <v>7.1710000000000003</v>
      </c>
      <c r="AX21" s="253">
        <v>4.0440663784688331</v>
      </c>
      <c r="AY21" s="254">
        <f t="shared" si="6"/>
        <v>4.0440663784688331</v>
      </c>
      <c r="AZ21" s="255">
        <f>INDEX('SM Support'!$G$3:$G$64,MATCH('Loan Tape - Settled'!G21,'SM Support'!$B$3:$B$64,0))/1000000</f>
        <v>15.367852490000001</v>
      </c>
      <c r="BA21" s="252">
        <f t="shared" si="7"/>
        <v>15.367852490000001</v>
      </c>
      <c r="BB21" s="256"/>
      <c r="BC21" s="257">
        <f>INDEX('SM Support'!$M$3:$M$64,MATCH('Loan Tape - Settled'!G21,'SM Support'!$B$3:$B$64,0))</f>
        <v>3.6043846766625682</v>
      </c>
      <c r="BD21" s="280">
        <f t="shared" si="8"/>
        <v>3.6043846766625682</v>
      </c>
      <c r="BE21" s="286">
        <v>2.31</v>
      </c>
      <c r="BF21" s="285">
        <f>INDEX('SM Support'!O$3:O$64,MATCH('Loan Tape - Settled'!$G21,'SM Support'!$B$3:$B$64,0))</f>
        <v>2.42</v>
      </c>
      <c r="BG21" s="256"/>
      <c r="BH21" s="256"/>
      <c r="BI21" s="258">
        <f>INDEX('SM Support'!$M$3:$M$144,MATCH('Loan Tape - Settled'!G21,'SM Support'!$B$3:$B$144,0))</f>
        <v>3.6043846766625682</v>
      </c>
      <c r="BJ21" s="258">
        <f>INDEX('SM Support'!$N$3:$N$144,MATCH('Loan Tape - Settled'!G21,'SM Support'!$B$3:$B$144,0))</f>
        <v>0.15450594359524594</v>
      </c>
    </row>
    <row r="22" spans="1:62" ht="15" customHeight="1" x14ac:dyDescent="0.45">
      <c r="A22" s="227" t="str">
        <f t="shared" si="0"/>
        <v>smc18</v>
      </c>
      <c r="B22" s="228">
        <f t="shared" si="1"/>
        <v>46022</v>
      </c>
      <c r="C22" s="259" t="s">
        <v>60</v>
      </c>
      <c r="D22" s="260" t="s">
        <v>1</v>
      </c>
      <c r="E22" s="261">
        <f t="shared" si="10"/>
        <v>18</v>
      </c>
      <c r="F22" s="287">
        <f t="shared" si="11"/>
        <v>100018</v>
      </c>
      <c r="G22" s="230" t="s">
        <v>701</v>
      </c>
      <c r="H22" s="230" t="s">
        <v>240</v>
      </c>
      <c r="I22" s="231"/>
      <c r="J22" s="232" t="s">
        <v>240</v>
      </c>
      <c r="K22" s="232" t="s">
        <v>690</v>
      </c>
      <c r="L22" s="264" t="s">
        <v>102</v>
      </c>
      <c r="M22" s="233">
        <f>INDEX('SM Support'!$D$3:$D$64,MATCH('Loan Tape - Settled'!G22,'SM Support'!$B$3:$B$62,0))</f>
        <v>2620174.87</v>
      </c>
      <c r="N22" s="234">
        <f t="shared" si="2"/>
        <v>2620174.87</v>
      </c>
      <c r="O22" s="235"/>
      <c r="P22" s="235"/>
      <c r="Q22" s="236">
        <v>1</v>
      </c>
      <c r="R22" s="268"/>
      <c r="S22" s="238">
        <f>INDEX('SM Support'!$E$3:$E$64,MATCH('Loan Tape - Settled'!G22,'SM Support'!$B$3:$B$64,0))/INDEX('SM Support'!$D$3:$D$64,MATCH('Loan Tape - Settled'!G22,'SM Support'!$B$3:$B$64,0))</f>
        <v>0.98524999999999996</v>
      </c>
      <c r="T22" s="230" t="s">
        <v>393</v>
      </c>
      <c r="U22" s="239">
        <v>44638</v>
      </c>
      <c r="V22" s="293">
        <v>46476</v>
      </c>
      <c r="W22" s="230" t="s">
        <v>691</v>
      </c>
      <c r="X22" s="294" t="s">
        <v>361</v>
      </c>
      <c r="Y22" s="230" t="s">
        <v>692</v>
      </c>
      <c r="Z22" s="240" t="s">
        <v>244</v>
      </c>
      <c r="AA22" s="241"/>
      <c r="AB22" s="241"/>
      <c r="AC22" s="242">
        <v>0</v>
      </c>
      <c r="AD22" s="290">
        <v>0</v>
      </c>
      <c r="AE22" s="290">
        <v>6.7172362762000004E-2</v>
      </c>
      <c r="AF22" s="290">
        <v>0.01</v>
      </c>
      <c r="AG22" s="243"/>
      <c r="AH22" s="243"/>
      <c r="AI22" s="244"/>
      <c r="AJ22" s="245"/>
      <c r="AK22" s="245"/>
      <c r="AL22" s="245"/>
      <c r="AM22" s="245"/>
      <c r="AN22" s="246">
        <v>44651</v>
      </c>
      <c r="AO22" s="246">
        <v>44651</v>
      </c>
      <c r="AP22" s="247">
        <v>0</v>
      </c>
      <c r="AQ22" s="248">
        <f t="shared" si="3"/>
        <v>2620174.87</v>
      </c>
      <c r="AR22" s="249">
        <f t="shared" si="4"/>
        <v>2620174.87</v>
      </c>
      <c r="AT22" s="250" t="s">
        <v>693</v>
      </c>
      <c r="AU22" s="267" t="str">
        <f t="shared" si="9"/>
        <v>9/30/2025 or Latest Financing</v>
      </c>
      <c r="AV22" s="250">
        <v>8.1549999999999994</v>
      </c>
      <c r="AW22" s="252">
        <f t="shared" si="5"/>
        <v>8.1549999999999994</v>
      </c>
      <c r="AX22" s="253">
        <v>3.433476394849786</v>
      </c>
      <c r="AY22" s="254">
        <f t="shared" si="6"/>
        <v>3.433476394849786</v>
      </c>
      <c r="AZ22" s="255">
        <f>INDEX('SM Support'!$G$3:$G$64,MATCH('Loan Tape - Settled'!G22,'SM Support'!$B$3:$B$64,0))/1000000</f>
        <v>7.2144320399999984</v>
      </c>
      <c r="BA22" s="252">
        <f t="shared" si="7"/>
        <v>7.2144320399999984</v>
      </c>
      <c r="BB22" s="256"/>
      <c r="BC22" s="257">
        <f>INDEX('SM Support'!$M$3:$M$64,MATCH('Loan Tape - Settled'!G22,'SM Support'!$B$3:$B$64,0))</f>
        <v>2.5369173524018676</v>
      </c>
      <c r="BD22" s="280">
        <f t="shared" si="8"/>
        <v>2.5369173524018676</v>
      </c>
      <c r="BE22" s="286">
        <v>2.78</v>
      </c>
      <c r="BF22" s="285">
        <f>INDEX('SM Support'!O$3:O$64,MATCH('Loan Tape - Settled'!$G22,'SM Support'!$B$3:$B$64,0))</f>
        <v>2.791822213848</v>
      </c>
      <c r="BG22" s="256"/>
      <c r="BH22" s="256"/>
      <c r="BI22" s="258">
        <f>INDEX('SM Support'!$M$3:$M$144,MATCH('Loan Tape - Settled'!G22,'SM Support'!$B$3:$B$144,0))</f>
        <v>2.5369173524018676</v>
      </c>
      <c r="BJ22" s="258">
        <f>INDEX('SM Support'!$N$3:$N$144,MATCH('Loan Tape - Settled'!G22,'SM Support'!$B$3:$B$144,0))</f>
        <v>0.49153626929168504</v>
      </c>
    </row>
    <row r="23" spans="1:62" ht="15" customHeight="1" x14ac:dyDescent="0.45">
      <c r="A23" s="227" t="str">
        <f t="shared" si="0"/>
        <v>smc19</v>
      </c>
      <c r="B23" s="228">
        <f t="shared" si="1"/>
        <v>46022</v>
      </c>
      <c r="C23" s="259" t="s">
        <v>60</v>
      </c>
      <c r="D23" s="260" t="s">
        <v>1</v>
      </c>
      <c r="E23" s="261">
        <f t="shared" si="10"/>
        <v>19</v>
      </c>
      <c r="F23" s="287">
        <f t="shared" si="11"/>
        <v>100019</v>
      </c>
      <c r="G23" s="230" t="s">
        <v>702</v>
      </c>
      <c r="H23" s="230" t="s">
        <v>448</v>
      </c>
      <c r="I23" s="231"/>
      <c r="J23" s="232" t="s">
        <v>239</v>
      </c>
      <c r="K23" s="232" t="s">
        <v>690</v>
      </c>
      <c r="L23" s="264" t="s">
        <v>102</v>
      </c>
      <c r="M23" s="233">
        <f>INDEX('SM Support'!$D$3:$D$64,MATCH('Loan Tape - Settled'!G23,'SM Support'!$B$3:$B$62,0))</f>
        <v>1602557.3769414299</v>
      </c>
      <c r="N23" s="234">
        <f t="shared" si="2"/>
        <v>1602557.3769414299</v>
      </c>
      <c r="O23" s="235"/>
      <c r="P23" s="235"/>
      <c r="Q23" s="236">
        <v>1</v>
      </c>
      <c r="R23" s="268"/>
      <c r="S23" s="238">
        <f>INDEX('SM Support'!$E$3:$E$64,MATCH('Loan Tape - Settled'!G23,'SM Support'!$B$3:$B$64,0))/INDEX('SM Support'!$D$3:$D$64,MATCH('Loan Tape - Settled'!G23,'SM Support'!$B$3:$B$64,0))</f>
        <v>1</v>
      </c>
      <c r="T23" s="230" t="s">
        <v>393</v>
      </c>
      <c r="U23" s="239">
        <v>44666</v>
      </c>
      <c r="V23" s="293">
        <v>46492</v>
      </c>
      <c r="W23" s="230" t="s">
        <v>691</v>
      </c>
      <c r="X23" s="294" t="s">
        <v>327</v>
      </c>
      <c r="Y23" s="230" t="s">
        <v>692</v>
      </c>
      <c r="Z23" s="240" t="s">
        <v>244</v>
      </c>
      <c r="AA23" s="241"/>
      <c r="AB23" s="241"/>
      <c r="AC23" s="242">
        <v>0</v>
      </c>
      <c r="AD23" s="290">
        <v>5.5636829999999998E-2</v>
      </c>
      <c r="AE23" s="290">
        <v>8.686316999999999E-2</v>
      </c>
      <c r="AF23" s="290">
        <v>0.01</v>
      </c>
      <c r="AG23" s="243"/>
      <c r="AH23" s="243"/>
      <c r="AI23" s="244"/>
      <c r="AJ23" s="245"/>
      <c r="AK23" s="245"/>
      <c r="AL23" s="245"/>
      <c r="AM23" s="245"/>
      <c r="AN23" s="269">
        <v>44676</v>
      </c>
      <c r="AO23" s="269">
        <v>44676</v>
      </c>
      <c r="AP23" s="247">
        <v>0</v>
      </c>
      <c r="AQ23" s="248">
        <f t="shared" si="3"/>
        <v>1602557.3769414299</v>
      </c>
      <c r="AR23" s="249">
        <f t="shared" si="4"/>
        <v>1602557.3769414299</v>
      </c>
      <c r="AT23" s="250" t="s">
        <v>693</v>
      </c>
      <c r="AU23" s="267" t="str">
        <f t="shared" si="9"/>
        <v>9/30/2025 or Latest Financing</v>
      </c>
      <c r="AV23" s="250">
        <v>7.8150000000000004</v>
      </c>
      <c r="AW23" s="252">
        <f t="shared" si="5"/>
        <v>7.8150000000000004</v>
      </c>
      <c r="AX23" s="253">
        <v>2.1512476007677539</v>
      </c>
      <c r="AY23" s="254">
        <f t="shared" si="6"/>
        <v>2.1512476007677539</v>
      </c>
      <c r="AZ23" s="255">
        <f>INDEX('SM Support'!$G$3:$G$64,MATCH('Loan Tape - Settled'!G23,'SM Support'!$B$3:$B$64,0))/1000000</f>
        <v>6.6062166600000003</v>
      </c>
      <c r="BA23" s="252">
        <f t="shared" si="7"/>
        <v>6.6062166600000003</v>
      </c>
      <c r="BB23" s="256"/>
      <c r="BC23" s="257">
        <f>INDEX('SM Support'!$M$3:$M$64,MATCH('Loan Tape - Settled'!G23,'SM Support'!$B$3:$B$64,0))</f>
        <v>1.1616193622974893</v>
      </c>
      <c r="BD23" s="280">
        <f t="shared" si="8"/>
        <v>1.1616193622974893</v>
      </c>
      <c r="BE23" s="286">
        <v>3.66</v>
      </c>
      <c r="BF23" s="285">
        <f>INDEX('SM Support'!O$3:O$64,MATCH('Loan Tape - Settled'!$G23,'SM Support'!$B$3:$B$64,0))</f>
        <v>3.2237242965030002</v>
      </c>
      <c r="BG23" s="256"/>
      <c r="BH23" s="256"/>
      <c r="BI23" s="258">
        <f>INDEX('SM Support'!$M$3:$M$144,MATCH('Loan Tape - Settled'!G23,'SM Support'!$B$3:$B$144,0))</f>
        <v>1.1616193622974893</v>
      </c>
      <c r="BJ23" s="258">
        <f>INDEX('SM Support'!$N$3:$N$144,MATCH('Loan Tape - Settled'!G23,'SM Support'!$B$3:$B$144,0))</f>
        <v>0.27277416148201228</v>
      </c>
    </row>
    <row r="24" spans="1:62" ht="15" customHeight="1" x14ac:dyDescent="0.45">
      <c r="A24" s="227" t="str">
        <f t="shared" si="0"/>
        <v>smc20</v>
      </c>
      <c r="B24" s="228">
        <f t="shared" si="1"/>
        <v>46022</v>
      </c>
      <c r="C24" s="259" t="s">
        <v>60</v>
      </c>
      <c r="D24" s="260" t="s">
        <v>1</v>
      </c>
      <c r="E24" s="261">
        <f t="shared" si="10"/>
        <v>20</v>
      </c>
      <c r="F24" s="287">
        <f t="shared" si="11"/>
        <v>100020</v>
      </c>
      <c r="G24" s="230" t="s">
        <v>590</v>
      </c>
      <c r="H24" s="230" t="s">
        <v>240</v>
      </c>
      <c r="I24" s="231"/>
      <c r="J24" s="232" t="s">
        <v>240</v>
      </c>
      <c r="K24" s="232" t="s">
        <v>690</v>
      </c>
      <c r="L24" s="264" t="s">
        <v>102</v>
      </c>
      <c r="M24" s="233">
        <f>INDEX('SM Support'!$D$3:$D$64,MATCH('Loan Tape - Settled'!G24,'SM Support'!$B$3:$B$62,0))</f>
        <v>14423881.374424499</v>
      </c>
      <c r="N24" s="234">
        <f t="shared" si="2"/>
        <v>14423881.374424499</v>
      </c>
      <c r="O24" s="235"/>
      <c r="P24" s="235"/>
      <c r="Q24" s="236">
        <v>1</v>
      </c>
      <c r="R24" s="268"/>
      <c r="S24" s="238">
        <f>INDEX('SM Support'!$E$3:$E$64,MATCH('Loan Tape - Settled'!G24,'SM Support'!$B$3:$B$64,0))/INDEX('SM Support'!$D$3:$D$64,MATCH('Loan Tape - Settled'!G24,'SM Support'!$B$3:$B$64,0))</f>
        <v>0.87644999999999995</v>
      </c>
      <c r="T24" s="230" t="s">
        <v>393</v>
      </c>
      <c r="U24" s="270">
        <v>44678</v>
      </c>
      <c r="V24" s="293">
        <v>46870</v>
      </c>
      <c r="W24" s="230" t="s">
        <v>691</v>
      </c>
      <c r="X24" s="294" t="s">
        <v>345</v>
      </c>
      <c r="Y24" s="230" t="s">
        <v>692</v>
      </c>
      <c r="Z24" s="240" t="s">
        <v>244</v>
      </c>
      <c r="AA24" s="241"/>
      <c r="AB24" s="241"/>
      <c r="AC24" s="242">
        <v>0</v>
      </c>
      <c r="AD24" s="290">
        <v>0</v>
      </c>
      <c r="AE24" s="290">
        <v>-1.704485227999999E-3</v>
      </c>
      <c r="AF24" s="290">
        <v>5.0000000000000001E-3</v>
      </c>
      <c r="AG24" s="243"/>
      <c r="AH24" s="243"/>
      <c r="AI24" s="244"/>
      <c r="AJ24" s="245"/>
      <c r="AK24" s="245"/>
      <c r="AL24" s="245"/>
      <c r="AM24" s="245"/>
      <c r="AN24" s="269">
        <v>44676</v>
      </c>
      <c r="AO24" s="269">
        <v>44676</v>
      </c>
      <c r="AP24" s="247">
        <v>0</v>
      </c>
      <c r="AQ24" s="248">
        <f t="shared" si="3"/>
        <v>14423881.374424499</v>
      </c>
      <c r="AR24" s="249">
        <f t="shared" si="4"/>
        <v>14423881.374424499</v>
      </c>
      <c r="AT24" s="250" t="s">
        <v>693</v>
      </c>
      <c r="AU24" s="267" t="str">
        <f t="shared" si="9"/>
        <v>9/30/2025 or Latest Financing</v>
      </c>
      <c r="AV24" s="250">
        <v>52.213000000000001</v>
      </c>
      <c r="AW24" s="252">
        <f t="shared" si="5"/>
        <v>52.213000000000001</v>
      </c>
      <c r="AX24" s="253">
        <v>3.9453775879570219</v>
      </c>
      <c r="AY24" s="254">
        <f t="shared" si="6"/>
        <v>3.9453775879570219</v>
      </c>
      <c r="AZ24" s="255">
        <f>INDEX('SM Support'!$G$3:$G$64,MATCH('Loan Tape - Settled'!G24,'SM Support'!$B$3:$B$64,0))/1000000</f>
        <v>20.717486000000001</v>
      </c>
      <c r="BA24" s="252">
        <f t="shared" si="7"/>
        <v>20.717486000000001</v>
      </c>
      <c r="BB24" s="256"/>
      <c r="BC24" s="257">
        <f>INDEX('SM Support'!$M$3:$M$64,MATCH('Loan Tape - Settled'!G24,'SM Support'!$B$3:$B$64,0))</f>
        <v>9.5475482472967208</v>
      </c>
      <c r="BD24" s="280">
        <f t="shared" si="8"/>
        <v>9.5475482472967208</v>
      </c>
      <c r="BE24" s="286">
        <v>2.97</v>
      </c>
      <c r="BF24" s="285">
        <f>INDEX('SM Support'!O$3:O$64,MATCH('Loan Tape - Settled'!$G24,'SM Support'!$B$3:$B$64,0))</f>
        <v>1.573628340647</v>
      </c>
      <c r="BG24" s="256"/>
      <c r="BH24" s="256"/>
      <c r="BI24" s="258">
        <f>INDEX('SM Support'!$M$3:$M$144,MATCH('Loan Tape - Settled'!G24,'SM Support'!$B$3:$B$144,0))</f>
        <v>9.5475482472967208</v>
      </c>
      <c r="BJ24" s="258">
        <f>INDEX('SM Support'!$N$3:$N$144,MATCH('Loan Tape - Settled'!G24,'SM Support'!$B$3:$B$144,0))</f>
        <v>0.6022698528967414</v>
      </c>
    </row>
    <row r="25" spans="1:62" ht="15" customHeight="1" x14ac:dyDescent="0.45">
      <c r="A25" s="227" t="str">
        <f t="shared" si="0"/>
        <v>smc21</v>
      </c>
      <c r="B25" s="228">
        <f t="shared" si="1"/>
        <v>46022</v>
      </c>
      <c r="C25" s="259" t="s">
        <v>60</v>
      </c>
      <c r="D25" s="260" t="s">
        <v>1</v>
      </c>
      <c r="E25" s="261">
        <f t="shared" si="10"/>
        <v>21</v>
      </c>
      <c r="F25" s="287">
        <f t="shared" si="11"/>
        <v>100021</v>
      </c>
      <c r="G25" s="230" t="s">
        <v>624</v>
      </c>
      <c r="H25" s="230" t="s">
        <v>448</v>
      </c>
      <c r="I25" s="231"/>
      <c r="J25" s="232" t="s">
        <v>239</v>
      </c>
      <c r="K25" s="232" t="s">
        <v>690</v>
      </c>
      <c r="L25" s="264" t="s">
        <v>102</v>
      </c>
      <c r="M25" s="233">
        <f>INDEX('SM Support'!$D$3:$D$64,MATCH('Loan Tape - Settled'!G25,'SM Support'!$B$3:$B$62,0))</f>
        <v>4483598.4772002399</v>
      </c>
      <c r="N25" s="234">
        <f t="shared" si="2"/>
        <v>4483598.4772002399</v>
      </c>
      <c r="O25" s="235"/>
      <c r="P25" s="235"/>
      <c r="Q25" s="236">
        <v>1</v>
      </c>
      <c r="R25" s="268"/>
      <c r="S25" s="238">
        <f>INDEX('SM Support'!$E$3:$E$64,MATCH('Loan Tape - Settled'!G25,'SM Support'!$B$3:$B$64,0))/INDEX('SM Support'!$D$3:$D$64,MATCH('Loan Tape - Settled'!G25,'SM Support'!$B$3:$B$64,0))</f>
        <v>0.84329999999999994</v>
      </c>
      <c r="T25" s="230" t="s">
        <v>393</v>
      </c>
      <c r="U25" s="270">
        <v>44678</v>
      </c>
      <c r="V25" s="293">
        <v>46504</v>
      </c>
      <c r="W25" s="230" t="s">
        <v>691</v>
      </c>
      <c r="X25" s="271" t="s">
        <v>359</v>
      </c>
      <c r="Y25" s="230" t="s">
        <v>692</v>
      </c>
      <c r="Z25" s="240" t="s">
        <v>244</v>
      </c>
      <c r="AA25" s="241"/>
      <c r="AB25" s="241"/>
      <c r="AC25" s="242">
        <v>0</v>
      </c>
      <c r="AD25" s="290">
        <v>6.1566700000000002E-2</v>
      </c>
      <c r="AE25" s="290">
        <v>1.9578100000000001E-2</v>
      </c>
      <c r="AF25" s="290">
        <v>0.01</v>
      </c>
      <c r="AG25" s="243"/>
      <c r="AH25" s="243"/>
      <c r="AI25" s="244"/>
      <c r="AJ25" s="245"/>
      <c r="AK25" s="245"/>
      <c r="AL25" s="245"/>
      <c r="AM25" s="245"/>
      <c r="AN25" s="269">
        <v>44676</v>
      </c>
      <c r="AO25" s="269">
        <v>44676</v>
      </c>
      <c r="AP25" s="247">
        <v>0</v>
      </c>
      <c r="AQ25" s="248">
        <f t="shared" si="3"/>
        <v>4483598.4772002399</v>
      </c>
      <c r="AR25" s="249">
        <f t="shared" si="4"/>
        <v>4483598.4772002399</v>
      </c>
      <c r="AT25" s="250" t="s">
        <v>693</v>
      </c>
      <c r="AU25" s="267" t="str">
        <f t="shared" si="9"/>
        <v>9/30/2025 or Latest Financing</v>
      </c>
      <c r="AV25" s="250">
        <v>18.013000000000002</v>
      </c>
      <c r="AW25" s="252">
        <f t="shared" si="5"/>
        <v>18.013000000000002</v>
      </c>
      <c r="AX25" s="253">
        <v>1.0336978848609339</v>
      </c>
      <c r="AY25" s="254">
        <f t="shared" si="6"/>
        <v>1.0336978848609339</v>
      </c>
      <c r="AZ25" s="255">
        <f>INDEX('SM Support'!$G$3:$G$64,MATCH('Loan Tape - Settled'!G25,'SM Support'!$B$3:$B$64,0))/1000000</f>
        <v>2.1169199199999991</v>
      </c>
      <c r="BA25" s="252">
        <f t="shared" si="7"/>
        <v>2.1169199199999991</v>
      </c>
      <c r="BB25" s="256"/>
      <c r="BC25" s="257">
        <f>INDEX('SM Support'!$M$3:$M$64,MATCH('Loan Tape - Settled'!G25,'SM Support'!$B$3:$B$64,0))</f>
        <v>6.3372086801210488</v>
      </c>
      <c r="BD25" s="280">
        <f t="shared" si="8"/>
        <v>6.3372086801210488</v>
      </c>
      <c r="BE25" s="286">
        <v>9</v>
      </c>
      <c r="BF25" s="285">
        <f>INDEX('SM Support'!O$3:O$64,MATCH('Loan Tape - Settled'!$G25,'SM Support'!$B$3:$B$64,0))</f>
        <v>0.92549902455800004</v>
      </c>
      <c r="BG25" s="256"/>
      <c r="BH25" s="256"/>
      <c r="BI25" s="258">
        <f>INDEX('SM Support'!$M$3:$M$144,MATCH('Loan Tape - Settled'!G25,'SM Support'!$B$3:$B$144,0))</f>
        <v>6.3372086801210488</v>
      </c>
      <c r="BJ25" s="258">
        <f>INDEX('SM Support'!$N$3:$N$144,MATCH('Loan Tape - Settled'!G25,'SM Support'!$B$3:$B$144,0))</f>
        <v>-0.3399594728174698</v>
      </c>
    </row>
    <row r="26" spans="1:62" ht="15" customHeight="1" x14ac:dyDescent="0.45">
      <c r="A26" s="227" t="str">
        <f t="shared" si="0"/>
        <v>smc22</v>
      </c>
      <c r="B26" s="228">
        <f t="shared" si="1"/>
        <v>46022</v>
      </c>
      <c r="C26" s="259" t="s">
        <v>60</v>
      </c>
      <c r="D26" s="260" t="s">
        <v>1</v>
      </c>
      <c r="E26" s="261">
        <f t="shared" si="10"/>
        <v>22</v>
      </c>
      <c r="F26" s="287">
        <f t="shared" si="11"/>
        <v>100022</v>
      </c>
      <c r="G26" s="230" t="s">
        <v>703</v>
      </c>
      <c r="H26" s="230" t="s">
        <v>240</v>
      </c>
      <c r="I26" s="231"/>
      <c r="J26" s="232" t="s">
        <v>240</v>
      </c>
      <c r="K26" s="232" t="s">
        <v>690</v>
      </c>
      <c r="L26" s="264" t="s">
        <v>102</v>
      </c>
      <c r="M26" s="233">
        <f>INDEX('SM Support'!$D$3:$D$64,MATCH('Loan Tape - Settled'!G26,'SM Support'!$B$3:$B$62,0))</f>
        <v>3437642.19561871</v>
      </c>
      <c r="N26" s="234">
        <f t="shared" si="2"/>
        <v>3437642.19561871</v>
      </c>
      <c r="O26" s="235"/>
      <c r="P26" s="235"/>
      <c r="Q26" s="236">
        <v>1</v>
      </c>
      <c r="R26" s="268"/>
      <c r="S26" s="238">
        <f>INDEX('SM Support'!$E$3:$E$64,MATCH('Loan Tape - Settled'!G26,'SM Support'!$B$3:$B$64,0))/INDEX('SM Support'!$D$3:$D$64,MATCH('Loan Tape - Settled'!G26,'SM Support'!$B$3:$B$64,0))</f>
        <v>0.98450000000000004</v>
      </c>
      <c r="T26" s="230" t="s">
        <v>393</v>
      </c>
      <c r="U26" s="270">
        <v>44774</v>
      </c>
      <c r="V26" s="293">
        <v>46600</v>
      </c>
      <c r="W26" s="230" t="s">
        <v>691</v>
      </c>
      <c r="X26" s="271" t="s">
        <v>370</v>
      </c>
      <c r="Y26" s="230" t="s">
        <v>692</v>
      </c>
      <c r="Z26" s="240" t="s">
        <v>244</v>
      </c>
      <c r="AA26" s="241"/>
      <c r="AB26" s="241"/>
      <c r="AC26" s="242">
        <v>0</v>
      </c>
      <c r="AD26" s="290">
        <v>0</v>
      </c>
      <c r="AE26" s="290">
        <v>7.2734596698999995E-2</v>
      </c>
      <c r="AF26" s="290">
        <v>0.01</v>
      </c>
      <c r="AG26" s="243"/>
      <c r="AH26" s="243"/>
      <c r="AI26" s="244"/>
      <c r="AJ26" s="245"/>
      <c r="AK26" s="245"/>
      <c r="AL26" s="245"/>
      <c r="AM26" s="245"/>
      <c r="AN26" s="269">
        <v>44760</v>
      </c>
      <c r="AO26" s="269">
        <v>44760</v>
      </c>
      <c r="AP26" s="247">
        <v>0</v>
      </c>
      <c r="AQ26" s="248">
        <f t="shared" si="3"/>
        <v>3437642.19561871</v>
      </c>
      <c r="AR26" s="249">
        <f t="shared" si="4"/>
        <v>3437642.19561871</v>
      </c>
      <c r="AT26" s="250" t="s">
        <v>693</v>
      </c>
      <c r="AU26" s="267" t="str">
        <f t="shared" si="9"/>
        <v>9/30/2025 or Latest Financing</v>
      </c>
      <c r="AV26" s="250">
        <v>6.9169999999999998</v>
      </c>
      <c r="AW26" s="252">
        <f t="shared" si="5"/>
        <v>6.9169999999999998</v>
      </c>
      <c r="AX26" s="253">
        <v>3.5419979760011571</v>
      </c>
      <c r="AY26" s="254">
        <f t="shared" si="6"/>
        <v>3.5419979760011571</v>
      </c>
      <c r="AZ26" s="255">
        <f>INDEX('SM Support'!$G$3:$G$64,MATCH('Loan Tape - Settled'!G26,'SM Support'!$B$3:$B$64,0))/1000000</f>
        <v>17.03146151666666</v>
      </c>
      <c r="BA26" s="252">
        <f t="shared" si="7"/>
        <v>17.03146151666666</v>
      </c>
      <c r="BB26" s="256"/>
      <c r="BC26" s="257">
        <f>INDEX('SM Support'!$M$3:$M$64,MATCH('Loan Tape - Settled'!G26,'SM Support'!$B$3:$B$64,0))</f>
        <v>0.29329493358903957</v>
      </c>
      <c r="BD26" s="280">
        <f t="shared" si="8"/>
        <v>0.29329493358903957</v>
      </c>
      <c r="BE26" s="286">
        <v>3.14</v>
      </c>
      <c r="BF26" s="285">
        <f>INDEX('SM Support'!O$3:O$64,MATCH('Loan Tape - Settled'!$G26,'SM Support'!$B$3:$B$64,0))</f>
        <v>5.9179490302630002</v>
      </c>
      <c r="BG26" s="256"/>
      <c r="BH26" s="256"/>
      <c r="BI26" s="258">
        <f>INDEX('SM Support'!$M$3:$M$144,MATCH('Loan Tape - Settled'!G26,'SM Support'!$B$3:$B$144,0))</f>
        <v>0.29329493358903957</v>
      </c>
      <c r="BJ26" s="258">
        <f>INDEX('SM Support'!$N$3:$N$144,MATCH('Loan Tape - Settled'!G26,'SM Support'!$B$3:$B$144,0))</f>
        <v>-0.33241125112079517</v>
      </c>
    </row>
    <row r="27" spans="1:62" ht="15" customHeight="1" x14ac:dyDescent="0.45">
      <c r="A27" s="227" t="str">
        <f t="shared" si="0"/>
        <v>smc23</v>
      </c>
      <c r="B27" s="228">
        <f t="shared" si="1"/>
        <v>46022</v>
      </c>
      <c r="C27" s="259" t="s">
        <v>60</v>
      </c>
      <c r="D27" s="260" t="s">
        <v>1</v>
      </c>
      <c r="E27" s="261">
        <f t="shared" si="10"/>
        <v>23</v>
      </c>
      <c r="F27" s="287">
        <f t="shared" si="11"/>
        <v>100023</v>
      </c>
      <c r="G27" s="230" t="s">
        <v>603</v>
      </c>
      <c r="H27" s="230" t="s">
        <v>448</v>
      </c>
      <c r="I27" s="231"/>
      <c r="J27" s="232" t="s">
        <v>239</v>
      </c>
      <c r="K27" s="232" t="s">
        <v>690</v>
      </c>
      <c r="L27" s="264" t="s">
        <v>102</v>
      </c>
      <c r="M27" s="233">
        <f>INDEX('SM Support'!$D$3:$D$64,MATCH('Loan Tape - Settled'!G27,'SM Support'!$B$3:$B$62,0))</f>
        <v>9984614.3509859107</v>
      </c>
      <c r="N27" s="234">
        <f t="shared" si="2"/>
        <v>9984614.3509859107</v>
      </c>
      <c r="O27" s="235"/>
      <c r="P27" s="235"/>
      <c r="Q27" s="236">
        <v>1</v>
      </c>
      <c r="R27" s="268"/>
      <c r="S27" s="238">
        <f>INDEX('SM Support'!$E$3:$E$64,MATCH('Loan Tape - Settled'!G27,'SM Support'!$B$3:$B$64,0))/INDEX('SM Support'!$D$3:$D$64,MATCH('Loan Tape - Settled'!G27,'SM Support'!$B$3:$B$64,0))</f>
        <v>0.95690000000000008</v>
      </c>
      <c r="T27" s="230" t="s">
        <v>393</v>
      </c>
      <c r="U27" s="270">
        <v>44768</v>
      </c>
      <c r="V27" s="293">
        <v>46594</v>
      </c>
      <c r="W27" s="230" t="s">
        <v>691</v>
      </c>
      <c r="X27" s="271" t="s">
        <v>380</v>
      </c>
      <c r="Y27" s="230" t="s">
        <v>692</v>
      </c>
      <c r="Z27" s="240" t="s">
        <v>244</v>
      </c>
      <c r="AA27" s="241"/>
      <c r="AB27" s="241"/>
      <c r="AC27" s="242">
        <v>0</v>
      </c>
      <c r="AD27" s="290">
        <v>0</v>
      </c>
      <c r="AE27" s="290">
        <v>9.4979999999999995E-2</v>
      </c>
      <c r="AF27" s="290">
        <v>0.01</v>
      </c>
      <c r="AG27" s="243"/>
      <c r="AH27" s="243"/>
      <c r="AI27" s="244"/>
      <c r="AJ27" s="245"/>
      <c r="AK27" s="245"/>
      <c r="AL27" s="245"/>
      <c r="AM27" s="245"/>
      <c r="AN27" s="269">
        <v>44760</v>
      </c>
      <c r="AO27" s="269">
        <v>44760</v>
      </c>
      <c r="AP27" s="247">
        <v>0</v>
      </c>
      <c r="AQ27" s="248">
        <f t="shared" si="3"/>
        <v>9984614.3509859107</v>
      </c>
      <c r="AR27" s="249">
        <f t="shared" si="4"/>
        <v>9984614.3509859107</v>
      </c>
      <c r="AT27" s="250" t="s">
        <v>693</v>
      </c>
      <c r="AU27" s="267" t="str">
        <f t="shared" si="9"/>
        <v>9/30/2025 or Latest Financing</v>
      </c>
      <c r="AV27" s="250">
        <v>15.944000000000001</v>
      </c>
      <c r="AW27" s="252">
        <f t="shared" si="5"/>
        <v>15.944000000000001</v>
      </c>
      <c r="AX27" s="253">
        <v>2.82237832413447</v>
      </c>
      <c r="AY27" s="254">
        <f t="shared" si="6"/>
        <v>2.82237832413447</v>
      </c>
      <c r="AZ27" s="255">
        <f>INDEX('SM Support'!$G$3:$G$64,MATCH('Loan Tape - Settled'!G27,'SM Support'!$B$3:$B$64,0))/1000000</f>
        <v>17.236000000000001</v>
      </c>
      <c r="BA27" s="252">
        <f t="shared" si="7"/>
        <v>17.236000000000001</v>
      </c>
      <c r="BB27" s="256"/>
      <c r="BC27" s="257">
        <f>INDEX('SM Support'!$M$3:$M$64,MATCH('Loan Tape - Settled'!G27,'SM Support'!$B$3:$B$64,0))</f>
        <v>5.9885969815494136</v>
      </c>
      <c r="BD27" s="280">
        <f t="shared" si="8"/>
        <v>5.9885969815494136</v>
      </c>
      <c r="BE27" s="286">
        <v>3.15</v>
      </c>
      <c r="BF27" s="285">
        <f>INDEX('SM Support'!O$3:O$64,MATCH('Loan Tape - Settled'!$G27,'SM Support'!$B$3:$B$64,0))</f>
        <v>0</v>
      </c>
      <c r="BG27" s="256"/>
      <c r="BH27" s="256"/>
      <c r="BI27" s="258">
        <f>INDEX('SM Support'!$M$3:$M$144,MATCH('Loan Tape - Settled'!G27,'SM Support'!$B$3:$B$144,0))</f>
        <v>5.9885969815494136</v>
      </c>
      <c r="BJ27" s="258">
        <f>INDEX('SM Support'!$N$3:$N$144,MATCH('Loan Tape - Settled'!G27,'SM Support'!$B$3:$B$144,0))</f>
        <v>0.95074263170109075</v>
      </c>
    </row>
    <row r="28" spans="1:62" ht="15" customHeight="1" x14ac:dyDescent="0.45">
      <c r="A28" s="227" t="str">
        <f t="shared" si="0"/>
        <v>smc24</v>
      </c>
      <c r="B28" s="228">
        <f t="shared" si="1"/>
        <v>46022</v>
      </c>
      <c r="C28" s="259" t="s">
        <v>60</v>
      </c>
      <c r="D28" s="260" t="s">
        <v>1</v>
      </c>
      <c r="E28" s="261">
        <f t="shared" si="10"/>
        <v>24</v>
      </c>
      <c r="F28" s="287">
        <f t="shared" si="11"/>
        <v>100024</v>
      </c>
      <c r="G28" s="230" t="s">
        <v>600</v>
      </c>
      <c r="H28" s="230" t="s">
        <v>448</v>
      </c>
      <c r="I28" s="231"/>
      <c r="J28" s="232" t="s">
        <v>239</v>
      </c>
      <c r="K28" s="232" t="s">
        <v>690</v>
      </c>
      <c r="L28" s="264" t="s">
        <v>102</v>
      </c>
      <c r="M28" s="233">
        <f>INDEX('SM Support'!$D$3:$D$64,MATCH('Loan Tape - Settled'!G28,'SM Support'!$B$3:$B$62,0))</f>
        <v>8174369.7508146297</v>
      </c>
      <c r="N28" s="234">
        <f t="shared" si="2"/>
        <v>8174369.7508146297</v>
      </c>
      <c r="O28" s="235"/>
      <c r="P28" s="235"/>
      <c r="Q28" s="236">
        <v>1</v>
      </c>
      <c r="R28" s="268"/>
      <c r="S28" s="238">
        <f>INDEX('SM Support'!$E$3:$E$64,MATCH('Loan Tape - Settled'!G28,'SM Support'!$B$3:$B$64,0))/INDEX('SM Support'!$D$3:$D$64,MATCH('Loan Tape - Settled'!G28,'SM Support'!$B$3:$B$64,0))</f>
        <v>0.98819999999999997</v>
      </c>
      <c r="T28" s="230" t="s">
        <v>393</v>
      </c>
      <c r="U28" s="277">
        <v>44819</v>
      </c>
      <c r="V28" s="293">
        <v>46645</v>
      </c>
      <c r="W28" s="230" t="s">
        <v>691</v>
      </c>
      <c r="X28" s="278" t="s">
        <v>347</v>
      </c>
      <c r="Y28" s="230" t="s">
        <v>692</v>
      </c>
      <c r="Z28" s="240" t="s">
        <v>244</v>
      </c>
      <c r="AA28" s="241"/>
      <c r="AB28" s="241"/>
      <c r="AC28" s="242">
        <v>0</v>
      </c>
      <c r="AD28" s="290">
        <v>0</v>
      </c>
      <c r="AE28" s="290">
        <v>7.6144799999999999E-2</v>
      </c>
      <c r="AF28" s="290">
        <v>0.01</v>
      </c>
      <c r="AG28" s="243"/>
      <c r="AH28" s="243"/>
      <c r="AI28" s="244"/>
      <c r="AJ28" s="245"/>
      <c r="AK28" s="245"/>
      <c r="AL28" s="245"/>
      <c r="AM28" s="245"/>
      <c r="AN28" s="281">
        <v>44817</v>
      </c>
      <c r="AO28" s="281">
        <v>44816</v>
      </c>
      <c r="AP28" s="247">
        <v>0</v>
      </c>
      <c r="AQ28" s="248">
        <f t="shared" si="3"/>
        <v>8174369.7508146297</v>
      </c>
      <c r="AR28" s="249">
        <f t="shared" si="4"/>
        <v>8174369.7508146297</v>
      </c>
      <c r="AT28" s="250" t="s">
        <v>693</v>
      </c>
      <c r="AU28" s="267" t="str">
        <f t="shared" si="9"/>
        <v>9/30/2025 or Latest Financing</v>
      </c>
      <c r="AV28" s="250">
        <v>2.786</v>
      </c>
      <c r="AW28" s="252">
        <f t="shared" si="5"/>
        <v>2.786</v>
      </c>
      <c r="AX28" s="279">
        <v>5.3840631730078963</v>
      </c>
      <c r="AY28" s="280">
        <f t="shared" si="6"/>
        <v>5.3840631730078963</v>
      </c>
      <c r="AZ28" s="255">
        <f>INDEX('SM Support'!$G$3:$G$64,MATCH('Loan Tape - Settled'!G28,'SM Support'!$B$3:$B$64,0))/1000000</f>
        <v>10.297637242</v>
      </c>
      <c r="BA28" s="252">
        <f t="shared" si="7"/>
        <v>10.297637242</v>
      </c>
      <c r="BB28" s="256"/>
      <c r="BC28" s="257">
        <f>INDEX('SM Support'!$M$3:$M$64,MATCH('Loan Tape - Settled'!G28,'SM Support'!$B$3:$B$64,0))</f>
        <v>2.6236406828068337</v>
      </c>
      <c r="BD28" s="280">
        <f t="shared" si="8"/>
        <v>2.6236406828068337</v>
      </c>
      <c r="BE28" s="286">
        <v>1.55</v>
      </c>
      <c r="BF28" s="285">
        <f>INDEX('SM Support'!O$3:O$64,MATCH('Loan Tape - Settled'!$G28,'SM Support'!$B$3:$B$64,0))</f>
        <v>4.1516172598479999</v>
      </c>
      <c r="BG28" s="256"/>
      <c r="BH28" s="256"/>
      <c r="BI28" s="258">
        <f>INDEX('SM Support'!$M$3:$M$144,MATCH('Loan Tape - Settled'!G28,'SM Support'!$B$3:$B$144,0))</f>
        <v>2.6236406828068337</v>
      </c>
      <c r="BJ28" s="258">
        <f>INDEX('SM Support'!$N$3:$N$144,MATCH('Loan Tape - Settled'!G28,'SM Support'!$B$3:$B$144,0))</f>
        <v>-0.19678300491447823</v>
      </c>
    </row>
    <row r="29" spans="1:62" ht="15" customHeight="1" x14ac:dyDescent="0.45">
      <c r="A29" s="227" t="str">
        <f t="shared" si="0"/>
        <v>smc25</v>
      </c>
      <c r="B29" s="228">
        <f t="shared" si="1"/>
        <v>46022</v>
      </c>
      <c r="C29" s="259" t="s">
        <v>60</v>
      </c>
      <c r="D29" s="260" t="s">
        <v>1</v>
      </c>
      <c r="E29" s="261">
        <f t="shared" si="10"/>
        <v>25</v>
      </c>
      <c r="F29" s="287">
        <f t="shared" si="11"/>
        <v>100025</v>
      </c>
      <c r="G29" s="230" t="s">
        <v>597</v>
      </c>
      <c r="H29" s="230" t="s">
        <v>448</v>
      </c>
      <c r="I29" s="231"/>
      <c r="J29" s="232" t="s">
        <v>239</v>
      </c>
      <c r="K29" s="232" t="s">
        <v>690</v>
      </c>
      <c r="L29" s="264" t="s">
        <v>102</v>
      </c>
      <c r="M29" s="233">
        <f>INDEX('SM Support'!$D$3:$D$64,MATCH('Loan Tape - Settled'!G29,'SM Support'!$B$3:$B$62,0))</f>
        <v>15198793.3855295</v>
      </c>
      <c r="N29" s="234">
        <f t="shared" si="2"/>
        <v>15198793.3855295</v>
      </c>
      <c r="O29" s="235"/>
      <c r="P29" s="235"/>
      <c r="Q29" s="236">
        <v>1</v>
      </c>
      <c r="R29" s="268"/>
      <c r="S29" s="238">
        <f>INDEX('SM Support'!$E$3:$E$64,MATCH('Loan Tape - Settled'!G29,'SM Support'!$B$3:$B$64,0))/INDEX('SM Support'!$D$3:$D$64,MATCH('Loan Tape - Settled'!G29,'SM Support'!$B$3:$B$64,0))</f>
        <v>0.45784999999999998</v>
      </c>
      <c r="T29" s="230" t="s">
        <v>393</v>
      </c>
      <c r="U29" s="277">
        <v>44845</v>
      </c>
      <c r="V29" s="293">
        <v>47452</v>
      </c>
      <c r="W29" s="230" t="s">
        <v>691</v>
      </c>
      <c r="X29" s="278" t="s">
        <v>331</v>
      </c>
      <c r="Y29" s="230" t="s">
        <v>692</v>
      </c>
      <c r="Z29" s="240" t="s">
        <v>244</v>
      </c>
      <c r="AA29" s="241"/>
      <c r="AB29" s="241"/>
      <c r="AC29" s="242">
        <v>0</v>
      </c>
      <c r="AD29" s="290">
        <v>0</v>
      </c>
      <c r="AE29" s="290">
        <v>6.1000000000000013E-2</v>
      </c>
      <c r="AF29" s="290">
        <v>0.01</v>
      </c>
      <c r="AG29" s="243"/>
      <c r="AH29" s="243"/>
      <c r="AI29" s="244"/>
      <c r="AJ29" s="245"/>
      <c r="AK29" s="245"/>
      <c r="AL29" s="245"/>
      <c r="AM29" s="245"/>
      <c r="AN29" s="281">
        <v>44845</v>
      </c>
      <c r="AO29" s="281">
        <v>44845</v>
      </c>
      <c r="AP29" s="247">
        <v>0</v>
      </c>
      <c r="AQ29" s="248">
        <f t="shared" si="3"/>
        <v>15198793.3855295</v>
      </c>
      <c r="AR29" s="249">
        <f t="shared" si="4"/>
        <v>15198793.3855295</v>
      </c>
      <c r="AT29" s="250" t="s">
        <v>693</v>
      </c>
      <c r="AU29" s="267" t="str">
        <f t="shared" si="9"/>
        <v>9/30/2025 or Latest Financing</v>
      </c>
      <c r="AV29" s="250">
        <v>392</v>
      </c>
      <c r="AW29" s="252">
        <f t="shared" si="5"/>
        <v>392</v>
      </c>
      <c r="AX29" s="279">
        <v>4.4003852040816316</v>
      </c>
      <c r="AY29" s="280">
        <f t="shared" si="6"/>
        <v>4.4003852040816316</v>
      </c>
      <c r="AZ29" s="255">
        <f>INDEX('SM Support'!$G$3:$G$64,MATCH('Loan Tape - Settled'!G29,'SM Support'!$B$3:$B$64,0))/1000000</f>
        <v>81.75513573180001</v>
      </c>
      <c r="BA29" s="252">
        <f t="shared" si="7"/>
        <v>81.75513573180001</v>
      </c>
      <c r="BB29" s="256"/>
      <c r="BC29" s="257">
        <f>INDEX('SM Support'!$M$3:$M$64,MATCH('Loan Tape - Settled'!G29,'SM Support'!$B$3:$B$64,0))</f>
        <v>22.409760360624894</v>
      </c>
      <c r="BD29" s="280">
        <f t="shared" si="8"/>
        <v>22.409760360624894</v>
      </c>
      <c r="BE29" s="286">
        <v>2.0299999999999998</v>
      </c>
      <c r="BF29" s="285">
        <f>INDEX('SM Support'!O$3:O$64,MATCH('Loan Tape - Settled'!$G29,'SM Support'!$B$3:$B$64,0))</f>
        <v>0.37779637583999998</v>
      </c>
      <c r="BG29" s="256"/>
      <c r="BH29" s="256"/>
      <c r="BI29" s="258">
        <f>INDEX('SM Support'!$M$3:$M$144,MATCH('Loan Tape - Settled'!G29,'SM Support'!$B$3:$B$144,0))</f>
        <v>22.409760360624894</v>
      </c>
      <c r="BJ29" s="258">
        <f>INDEX('SM Support'!$N$3:$N$144,MATCH('Loan Tape - Settled'!G29,'SM Support'!$B$3:$B$144,0))</f>
        <v>0.88991351245106853</v>
      </c>
    </row>
    <row r="30" spans="1:62" ht="15" customHeight="1" x14ac:dyDescent="0.45">
      <c r="A30" s="227" t="str">
        <f t="shared" si="0"/>
        <v>smc26</v>
      </c>
      <c r="B30" s="228">
        <f t="shared" si="1"/>
        <v>46022</v>
      </c>
      <c r="C30" s="259" t="s">
        <v>60</v>
      </c>
      <c r="D30" s="260" t="s">
        <v>1</v>
      </c>
      <c r="E30" s="261">
        <f t="shared" si="10"/>
        <v>26</v>
      </c>
      <c r="F30" s="287">
        <f t="shared" si="11"/>
        <v>100026</v>
      </c>
      <c r="G30" s="230" t="s">
        <v>595</v>
      </c>
      <c r="H30" s="230" t="s">
        <v>239</v>
      </c>
      <c r="I30" s="231"/>
      <c r="J30" s="232" t="s">
        <v>239</v>
      </c>
      <c r="K30" s="232" t="s">
        <v>690</v>
      </c>
      <c r="L30" s="264" t="s">
        <v>102</v>
      </c>
      <c r="M30" s="233">
        <f>INDEX('SM Support'!$D$3:$D$64,MATCH('Loan Tape - Settled'!G30,'SM Support'!$B$3:$B$62,0))</f>
        <v>6317904.9559711795</v>
      </c>
      <c r="N30" s="234">
        <f t="shared" si="2"/>
        <v>6317904.9559711795</v>
      </c>
      <c r="O30" s="235"/>
      <c r="P30" s="235"/>
      <c r="Q30" s="236">
        <v>1</v>
      </c>
      <c r="R30" s="268"/>
      <c r="S30" s="238">
        <f>INDEX('SM Support'!$E$3:$E$64,MATCH('Loan Tape - Settled'!G30,'SM Support'!$B$3:$B$64,0))/INDEX('SM Support'!$D$3:$D$64,MATCH('Loan Tape - Settled'!G30,'SM Support'!$B$3:$B$64,0))</f>
        <v>1.0052000000000001</v>
      </c>
      <c r="T30" s="230" t="s">
        <v>393</v>
      </c>
      <c r="U30" s="277">
        <v>44845</v>
      </c>
      <c r="V30" s="293">
        <v>46671</v>
      </c>
      <c r="W30" s="230" t="s">
        <v>691</v>
      </c>
      <c r="X30" s="278" t="s">
        <v>374</v>
      </c>
      <c r="Y30" s="230" t="s">
        <v>692</v>
      </c>
      <c r="Z30" s="240" t="s">
        <v>244</v>
      </c>
      <c r="AA30" s="241"/>
      <c r="AB30" s="241"/>
      <c r="AC30" s="242">
        <v>0</v>
      </c>
      <c r="AD30" s="290">
        <v>6.5000000000000002E-2</v>
      </c>
      <c r="AE30" s="290">
        <v>4.1501700000000002E-2</v>
      </c>
      <c r="AF30" s="290">
        <v>1.4999999999999999E-2</v>
      </c>
      <c r="AG30" s="243"/>
      <c r="AH30" s="243"/>
      <c r="AI30" s="244"/>
      <c r="AJ30" s="245"/>
      <c r="AK30" s="245"/>
      <c r="AL30" s="245"/>
      <c r="AM30" s="245"/>
      <c r="AN30" s="281">
        <v>44845</v>
      </c>
      <c r="AO30" s="281">
        <v>44845</v>
      </c>
      <c r="AP30" s="247">
        <v>0</v>
      </c>
      <c r="AQ30" s="248">
        <f t="shared" si="3"/>
        <v>6317904.9559711795</v>
      </c>
      <c r="AR30" s="249">
        <f t="shared" si="4"/>
        <v>6317904.9559711795</v>
      </c>
      <c r="AT30" s="250" t="s">
        <v>693</v>
      </c>
      <c r="AU30" s="267" t="str">
        <f t="shared" si="9"/>
        <v>9/30/2025 or Latest Financing</v>
      </c>
      <c r="AV30" s="250">
        <v>5.9180000000000001</v>
      </c>
      <c r="AW30" s="252">
        <f t="shared" si="5"/>
        <v>5.9180000000000001</v>
      </c>
      <c r="AX30" s="279">
        <v>2.9055424129773568</v>
      </c>
      <c r="AY30" s="280">
        <f t="shared" si="6"/>
        <v>2.9055424129773568</v>
      </c>
      <c r="AZ30" s="255">
        <f>INDEX('SM Support'!$G$3:$G$64,MATCH('Loan Tape - Settled'!G30,'SM Support'!$B$3:$B$64,0))/1000000</f>
        <v>1.301711978656616</v>
      </c>
      <c r="BA30" s="252">
        <f t="shared" si="7"/>
        <v>1.301711978656616</v>
      </c>
      <c r="BB30" s="256"/>
      <c r="BC30" s="257">
        <f>INDEX('SM Support'!$M$3:$M$64,MATCH('Loan Tape - Settled'!G30,'SM Support'!$B$3:$B$64,0))</f>
        <v>30.247324092402952</v>
      </c>
      <c r="BD30" s="280">
        <f t="shared" si="8"/>
        <v>30.247324092402952</v>
      </c>
      <c r="BE30" s="286">
        <v>3.3</v>
      </c>
      <c r="BF30" s="285">
        <f>INDEX('SM Support'!O$3:O$64,MATCH('Loan Tape - Settled'!$G30,'SM Support'!$B$3:$B$64,0))</f>
        <v>2.1225806808619998</v>
      </c>
      <c r="BG30" s="256"/>
      <c r="BH30" s="256"/>
      <c r="BI30" s="258">
        <f>INDEX('SM Support'!$M$3:$M$144,MATCH('Loan Tape - Settled'!G30,'SM Support'!$B$3:$B$144,0))</f>
        <v>30.247324092402952</v>
      </c>
      <c r="BJ30" s="258">
        <f>INDEX('SM Support'!$N$3:$N$144,MATCH('Loan Tape - Settled'!G30,'SM Support'!$B$3:$B$144,0))</f>
        <v>3.8772894025364106</v>
      </c>
    </row>
    <row r="31" spans="1:62" ht="15" customHeight="1" x14ac:dyDescent="0.45">
      <c r="A31" s="227" t="str">
        <f t="shared" si="0"/>
        <v>smc27</v>
      </c>
      <c r="B31" s="228">
        <f t="shared" si="1"/>
        <v>46022</v>
      </c>
      <c r="C31" s="259" t="s">
        <v>60</v>
      </c>
      <c r="D31" s="260" t="s">
        <v>1</v>
      </c>
      <c r="E31" s="261">
        <f t="shared" si="10"/>
        <v>27</v>
      </c>
      <c r="F31" s="287">
        <f t="shared" si="11"/>
        <v>100027</v>
      </c>
      <c r="G31" s="230" t="s">
        <v>617</v>
      </c>
      <c r="H31" s="230" t="s">
        <v>448</v>
      </c>
      <c r="I31" s="231"/>
      <c r="J31" s="232" t="s">
        <v>239</v>
      </c>
      <c r="K31" s="232" t="s">
        <v>690</v>
      </c>
      <c r="L31" s="264" t="s">
        <v>102</v>
      </c>
      <c r="M31" s="233">
        <f>INDEX('SM Support'!$D$3:$D$64,MATCH('Loan Tape - Settled'!G31,'SM Support'!$B$3:$B$62,0))</f>
        <v>6137824.8084000004</v>
      </c>
      <c r="N31" s="234">
        <f t="shared" si="2"/>
        <v>6137824.8084000004</v>
      </c>
      <c r="O31" s="235"/>
      <c r="P31" s="235"/>
      <c r="Q31" s="236">
        <v>1</v>
      </c>
      <c r="R31" s="268"/>
      <c r="S31" s="238">
        <f>INDEX('SM Support'!$E$3:$E$64,MATCH('Loan Tape - Settled'!G31,'SM Support'!$B$3:$B$64,0))/INDEX('SM Support'!$D$3:$D$64,MATCH('Loan Tape - Settled'!G31,'SM Support'!$B$3:$B$64,0))</f>
        <v>0.96055000000000013</v>
      </c>
      <c r="T31" s="230" t="s">
        <v>393</v>
      </c>
      <c r="U31" s="277">
        <v>44869</v>
      </c>
      <c r="V31" s="293">
        <v>46695</v>
      </c>
      <c r="W31" s="230" t="s">
        <v>691</v>
      </c>
      <c r="X31" s="278" t="s">
        <v>383</v>
      </c>
      <c r="Y31" s="230" t="s">
        <v>692</v>
      </c>
      <c r="Z31" s="240" t="s">
        <v>244</v>
      </c>
      <c r="AA31" s="241"/>
      <c r="AB31" s="241"/>
      <c r="AC31" s="242">
        <v>0</v>
      </c>
      <c r="AD31" s="290">
        <v>0</v>
      </c>
      <c r="AE31" s="290">
        <v>8.51161E-2</v>
      </c>
      <c r="AF31" s="290">
        <v>0.01</v>
      </c>
      <c r="AG31" s="282"/>
      <c r="AH31" s="282"/>
      <c r="AI31" s="283"/>
      <c r="AJ31" s="265"/>
      <c r="AK31" s="265"/>
      <c r="AL31" s="265"/>
      <c r="AM31" s="265"/>
      <c r="AN31" s="281">
        <v>44869</v>
      </c>
      <c r="AO31" s="281">
        <v>44869</v>
      </c>
      <c r="AP31" s="247">
        <v>0</v>
      </c>
      <c r="AQ31" s="248">
        <f t="shared" si="3"/>
        <v>6137824.8084000004</v>
      </c>
      <c r="AR31" s="249">
        <f t="shared" si="4"/>
        <v>6137824.8084000004</v>
      </c>
      <c r="AT31" s="250" t="s">
        <v>693</v>
      </c>
      <c r="AU31" s="267" t="str">
        <f t="shared" si="9"/>
        <v>9/30/2025 or Latest Financing</v>
      </c>
      <c r="AV31" s="250">
        <v>15.754</v>
      </c>
      <c r="AW31" s="252">
        <f t="shared" si="5"/>
        <v>15.754</v>
      </c>
      <c r="AX31" s="279">
        <v>3.1420591595785199</v>
      </c>
      <c r="AY31" s="280">
        <f t="shared" si="6"/>
        <v>3.1420591595785199</v>
      </c>
      <c r="AZ31" s="255">
        <f>INDEX('SM Support'!$G$3:$G$64,MATCH('Loan Tape - Settled'!G31,'SM Support'!$B$3:$B$64,0))/1000000</f>
        <v>8.3520000000000003</v>
      </c>
      <c r="BA31" s="252">
        <f t="shared" si="7"/>
        <v>8.3520000000000003</v>
      </c>
      <c r="BB31" s="256"/>
      <c r="BC31" s="257">
        <f>INDEX('SM Support'!$M$3:$M$64,MATCH('Loan Tape - Settled'!G31,'SM Support'!$B$3:$B$64,0))</f>
        <v>6.304597701149425</v>
      </c>
      <c r="BD31" s="280">
        <f t="shared" si="8"/>
        <v>6.304597701149425</v>
      </c>
      <c r="BE31" s="286">
        <v>2.54</v>
      </c>
      <c r="BF31" s="285">
        <f>INDEX('SM Support'!O$3:O$64,MATCH('Loan Tape - Settled'!$G31,'SM Support'!$B$3:$B$64,0))</f>
        <v>1.0571748671400001</v>
      </c>
      <c r="BG31" s="256"/>
      <c r="BH31" s="256"/>
      <c r="BI31" s="258">
        <f>INDEX('SM Support'!$M$3:$M$144,MATCH('Loan Tape - Settled'!G31,'SM Support'!$B$3:$B$144,0))</f>
        <v>6.304597701149425</v>
      </c>
      <c r="BJ31" s="258">
        <f>INDEX('SM Support'!$N$3:$N$144,MATCH('Loan Tape - Settled'!G31,'SM Support'!$B$3:$B$144,0))</f>
        <v>0.39583333333333331</v>
      </c>
    </row>
    <row r="32" spans="1:62" ht="15" customHeight="1" x14ac:dyDescent="0.45">
      <c r="A32" s="227" t="str">
        <f t="shared" si="0"/>
        <v>smc28</v>
      </c>
      <c r="B32" s="228">
        <f t="shared" si="1"/>
        <v>46022</v>
      </c>
      <c r="C32" s="259" t="s">
        <v>60</v>
      </c>
      <c r="D32" s="260" t="s">
        <v>1</v>
      </c>
      <c r="E32" s="261">
        <f t="shared" si="10"/>
        <v>28</v>
      </c>
      <c r="F32" s="287">
        <f t="shared" si="11"/>
        <v>100028</v>
      </c>
      <c r="G32" s="230" t="s">
        <v>598</v>
      </c>
      <c r="H32" s="230" t="s">
        <v>240</v>
      </c>
      <c r="I32" s="231"/>
      <c r="J32" s="232" t="s">
        <v>240</v>
      </c>
      <c r="K32" s="232" t="s">
        <v>690</v>
      </c>
      <c r="L32" s="264" t="s">
        <v>102</v>
      </c>
      <c r="M32" s="233">
        <f>INDEX('SM Support'!$D$3:$D$64,MATCH('Loan Tape - Settled'!G32,'SM Support'!$B$3:$B$62,0))</f>
        <v>2349609.3773598201</v>
      </c>
      <c r="N32" s="234">
        <f t="shared" si="2"/>
        <v>2349609.3773598201</v>
      </c>
      <c r="O32" s="235"/>
      <c r="P32" s="235"/>
      <c r="Q32" s="236">
        <v>1</v>
      </c>
      <c r="R32" s="268"/>
      <c r="S32" s="238">
        <f>INDEX('SM Support'!$E$3:$E$64,MATCH('Loan Tape - Settled'!G32,'SM Support'!$B$3:$B$64,0))/INDEX('SM Support'!$D$3:$D$64,MATCH('Loan Tape - Settled'!G32,'SM Support'!$B$3:$B$64,0))</f>
        <v>1.00465</v>
      </c>
      <c r="T32" s="230" t="s">
        <v>393</v>
      </c>
      <c r="U32" s="277">
        <v>44868</v>
      </c>
      <c r="V32" s="293">
        <v>46694</v>
      </c>
      <c r="W32" s="230" t="s">
        <v>691</v>
      </c>
      <c r="X32" s="278" t="s">
        <v>379</v>
      </c>
      <c r="Y32" s="230" t="s">
        <v>692</v>
      </c>
      <c r="Z32" s="240" t="s">
        <v>244</v>
      </c>
      <c r="AA32" s="241"/>
      <c r="AB32" s="241"/>
      <c r="AC32" s="242">
        <v>0</v>
      </c>
      <c r="AD32" s="290">
        <v>0</v>
      </c>
      <c r="AE32" s="290">
        <v>8.4139015568999997E-2</v>
      </c>
      <c r="AF32" s="290">
        <v>0.01</v>
      </c>
      <c r="AG32" s="282"/>
      <c r="AH32" s="282"/>
      <c r="AI32" s="283"/>
      <c r="AJ32" s="265"/>
      <c r="AK32" s="265"/>
      <c r="AL32" s="265"/>
      <c r="AM32" s="265"/>
      <c r="AN32" s="281">
        <v>44868</v>
      </c>
      <c r="AO32" s="281">
        <v>44868</v>
      </c>
      <c r="AP32" s="247">
        <v>0</v>
      </c>
      <c r="AQ32" s="248">
        <f t="shared" si="3"/>
        <v>2349609.3773598201</v>
      </c>
      <c r="AR32" s="249">
        <f t="shared" si="4"/>
        <v>2349609.3773598201</v>
      </c>
      <c r="AT32" s="250" t="s">
        <v>693</v>
      </c>
      <c r="AU32" s="267" t="str">
        <f t="shared" si="9"/>
        <v>9/30/2025 or Latest Financing</v>
      </c>
      <c r="AV32" s="250">
        <v>13.032999999999999</v>
      </c>
      <c r="AW32" s="252">
        <f t="shared" si="5"/>
        <v>13.032999999999999</v>
      </c>
      <c r="AX32" s="279">
        <v>3.0691322028696391</v>
      </c>
      <c r="AY32" s="280">
        <f t="shared" si="6"/>
        <v>3.0691322028696391</v>
      </c>
      <c r="AZ32" s="255">
        <f>INDEX('SM Support'!$G$3:$G$64,MATCH('Loan Tape - Settled'!G32,'SM Support'!$B$3:$B$64,0))/1000000</f>
        <v>2.0028983100000008</v>
      </c>
      <c r="BA32" s="252">
        <f t="shared" si="7"/>
        <v>2.0028983100000008</v>
      </c>
      <c r="BB32" s="256"/>
      <c r="BC32" s="257">
        <f>INDEX('SM Support'!$M$3:$M$64,MATCH('Loan Tape - Settled'!G32,'SM Support'!$B$3:$B$64,0))</f>
        <v>6.2533154895887213</v>
      </c>
      <c r="BD32" s="280">
        <f t="shared" si="8"/>
        <v>6.2533154895887213</v>
      </c>
      <c r="BE32" s="286">
        <v>2.8</v>
      </c>
      <c r="BF32" s="285">
        <f>INDEX('SM Support'!O$3:O$64,MATCH('Loan Tape - Settled'!$G32,'SM Support'!$B$3:$B$64,0))</f>
        <v>4.34</v>
      </c>
      <c r="BG32" s="256"/>
      <c r="BH32" s="256"/>
      <c r="BI32" s="258">
        <f>INDEX('SM Support'!$M$3:$M$144,MATCH('Loan Tape - Settled'!G32,'SM Support'!$B$3:$B$144,0))</f>
        <v>6.2533154895887213</v>
      </c>
      <c r="BJ32" s="258">
        <f>INDEX('SM Support'!$N$3:$N$144,MATCH('Loan Tape - Settled'!G32,'SM Support'!$B$3:$B$144,0))</f>
        <v>0.61072633787383812</v>
      </c>
    </row>
    <row r="33" spans="1:62" ht="15" customHeight="1" x14ac:dyDescent="0.45">
      <c r="A33" s="227" t="str">
        <f t="shared" si="0"/>
        <v>smc29</v>
      </c>
      <c r="B33" s="228">
        <f t="shared" si="1"/>
        <v>46022</v>
      </c>
      <c r="C33" s="259" t="s">
        <v>60</v>
      </c>
      <c r="D33" s="260" t="s">
        <v>1</v>
      </c>
      <c r="E33" s="261">
        <f t="shared" si="10"/>
        <v>29</v>
      </c>
      <c r="F33" s="287">
        <f t="shared" si="11"/>
        <v>100029</v>
      </c>
      <c r="G33" s="230" t="s">
        <v>599</v>
      </c>
      <c r="H33" s="230" t="s">
        <v>448</v>
      </c>
      <c r="I33" s="231"/>
      <c r="J33" s="232" t="s">
        <v>239</v>
      </c>
      <c r="K33" s="232" t="s">
        <v>690</v>
      </c>
      <c r="L33" s="264" t="s">
        <v>102</v>
      </c>
      <c r="M33" s="233">
        <f>INDEX('SM Support'!$D$3:$D$64,MATCH('Loan Tape - Settled'!G33,'SM Support'!$B$3:$B$62,0))</f>
        <v>11421323.23155489</v>
      </c>
      <c r="N33" s="234">
        <f t="shared" si="2"/>
        <v>11421323.23155489</v>
      </c>
      <c r="O33" s="235"/>
      <c r="P33" s="235"/>
      <c r="Q33" s="236">
        <v>1</v>
      </c>
      <c r="R33" s="268"/>
      <c r="S33" s="238">
        <f>INDEX('SM Support'!$E$3:$E$64,MATCH('Loan Tape - Settled'!G33,'SM Support'!$B$3:$B$64,0))/INDEX('SM Support'!$D$3:$D$64,MATCH('Loan Tape - Settled'!G33,'SM Support'!$B$3:$B$64,0))</f>
        <v>0.11205549643980912</v>
      </c>
      <c r="T33" s="230" t="s">
        <v>393</v>
      </c>
      <c r="U33" s="277">
        <v>44882</v>
      </c>
      <c r="V33" s="293">
        <v>46890</v>
      </c>
      <c r="W33" s="230" t="s">
        <v>691</v>
      </c>
      <c r="X33" s="278" t="s">
        <v>338</v>
      </c>
      <c r="Y33" s="230" t="s">
        <v>692</v>
      </c>
      <c r="Z33" s="240" t="s">
        <v>244</v>
      </c>
      <c r="AA33" s="241"/>
      <c r="AB33" s="241"/>
      <c r="AC33" s="242">
        <v>0</v>
      </c>
      <c r="AD33" s="290">
        <v>3.5422575805245132E-2</v>
      </c>
      <c r="AE33" s="290">
        <v>6.0559840887639681E-2</v>
      </c>
      <c r="AF33" s="290">
        <v>0.01</v>
      </c>
      <c r="AG33" s="243"/>
      <c r="AH33" s="243"/>
      <c r="AI33" s="244"/>
      <c r="AJ33" s="245"/>
      <c r="AK33" s="245"/>
      <c r="AL33" s="245"/>
      <c r="AM33" s="245"/>
      <c r="AN33" s="281">
        <v>44883</v>
      </c>
      <c r="AO33" s="281">
        <v>44883</v>
      </c>
      <c r="AP33" s="247">
        <v>0</v>
      </c>
      <c r="AQ33" s="248">
        <f t="shared" si="3"/>
        <v>11421323.23155489</v>
      </c>
      <c r="AR33" s="249">
        <f t="shared" si="4"/>
        <v>11421323.23155489</v>
      </c>
      <c r="AT33" s="250" t="s">
        <v>693</v>
      </c>
      <c r="AU33" s="267" t="str">
        <f t="shared" si="9"/>
        <v>9/30/2025 or Latest Financing</v>
      </c>
      <c r="AV33" s="250">
        <v>10.069000000000001</v>
      </c>
      <c r="AW33" s="252">
        <f t="shared" si="5"/>
        <v>10.069000000000001</v>
      </c>
      <c r="AX33" s="279">
        <v>4.220875955904261</v>
      </c>
      <c r="AY33" s="280">
        <f t="shared" si="6"/>
        <v>4.220875955904261</v>
      </c>
      <c r="AZ33" s="255">
        <f>INDEX('SM Support'!$G$3:$G$64,MATCH('Loan Tape - Settled'!G33,'SM Support'!$B$3:$B$64,0))/1000000</f>
        <v>-2.28245000764012</v>
      </c>
      <c r="BA33" s="252">
        <f t="shared" si="7"/>
        <v>-2.28245000764012</v>
      </c>
      <c r="BB33" s="256"/>
      <c r="BC33" s="257" t="str">
        <f>INDEX('SM Support'!$M$3:$M$64,MATCH('Loan Tape - Settled'!G33,'SM Support'!$B$3:$B$64,0))</f>
        <v>N/M</v>
      </c>
      <c r="BD33" s="280" t="str">
        <f t="shared" si="8"/>
        <v>N/M</v>
      </c>
      <c r="BE33" s="286">
        <v>2.1</v>
      </c>
      <c r="BF33" s="285">
        <f>INDEX('SM Support'!O$3:O$64,MATCH('Loan Tape - Settled'!$G33,'SM Support'!$B$3:$B$64,0))</f>
        <v>0</v>
      </c>
      <c r="BG33" s="256"/>
      <c r="BH33" s="256"/>
      <c r="BI33" s="258" t="str">
        <f>INDEX('SM Support'!$M$3:$M$144,MATCH('Loan Tape - Settled'!G33,'SM Support'!$B$3:$B$144,0))</f>
        <v>N/M</v>
      </c>
      <c r="BJ33" s="258" t="str">
        <f>INDEX('SM Support'!$N$3:$N$144,MATCH('Loan Tape - Settled'!G33,'SM Support'!$B$3:$B$144,0))</f>
        <v>N/A</v>
      </c>
    </row>
    <row r="34" spans="1:62" ht="15" customHeight="1" x14ac:dyDescent="0.45">
      <c r="A34" s="227" t="str">
        <f t="shared" si="0"/>
        <v>smc30</v>
      </c>
      <c r="B34" s="228">
        <f t="shared" si="1"/>
        <v>46022</v>
      </c>
      <c r="C34" s="259" t="s">
        <v>60</v>
      </c>
      <c r="D34" s="260" t="s">
        <v>1</v>
      </c>
      <c r="E34" s="261">
        <f t="shared" si="10"/>
        <v>30</v>
      </c>
      <c r="F34" s="287">
        <f t="shared" si="11"/>
        <v>100030</v>
      </c>
      <c r="G34" s="230" t="s">
        <v>605</v>
      </c>
      <c r="H34" s="230" t="s">
        <v>448</v>
      </c>
      <c r="I34" s="231"/>
      <c r="J34" s="232" t="s">
        <v>239</v>
      </c>
      <c r="K34" s="232" t="s">
        <v>690</v>
      </c>
      <c r="L34" s="264" t="s">
        <v>102</v>
      </c>
      <c r="M34" s="233">
        <f>INDEX('SM Support'!$D$3:$D$64,MATCH('Loan Tape - Settled'!G34,'SM Support'!$B$3:$B$62,0))</f>
        <v>14071583.3964388</v>
      </c>
      <c r="N34" s="234">
        <f t="shared" si="2"/>
        <v>14071583.3964388</v>
      </c>
      <c r="O34" s="235"/>
      <c r="P34" s="235"/>
      <c r="Q34" s="236">
        <v>1</v>
      </c>
      <c r="R34" s="268"/>
      <c r="S34" s="238">
        <f>INDEX('SM Support'!$E$3:$E$64,MATCH('Loan Tape - Settled'!G34,'SM Support'!$B$3:$B$64,0))/INDEX('SM Support'!$D$3:$D$64,MATCH('Loan Tape - Settled'!G34,'SM Support'!$B$3:$B$64,0))</f>
        <v>0.97340000000000004</v>
      </c>
      <c r="T34" s="230" t="s">
        <v>393</v>
      </c>
      <c r="U34" s="277">
        <v>44911</v>
      </c>
      <c r="V34" s="293">
        <v>46737</v>
      </c>
      <c r="W34" s="230" t="s">
        <v>691</v>
      </c>
      <c r="X34" s="294" t="s">
        <v>334</v>
      </c>
      <c r="Y34" s="230" t="s">
        <v>692</v>
      </c>
      <c r="Z34" s="240" t="s">
        <v>244</v>
      </c>
      <c r="AA34" s="241"/>
      <c r="AB34" s="241"/>
      <c r="AC34" s="242">
        <v>0</v>
      </c>
      <c r="AD34" s="290">
        <v>0</v>
      </c>
      <c r="AE34" s="290">
        <v>6.5000000000000002E-2</v>
      </c>
      <c r="AF34" s="290">
        <v>0.02</v>
      </c>
      <c r="AG34" s="243"/>
      <c r="AH34" s="243"/>
      <c r="AI34" s="244"/>
      <c r="AJ34" s="245"/>
      <c r="AK34" s="245"/>
      <c r="AL34" s="245"/>
      <c r="AM34" s="245"/>
      <c r="AN34" s="281">
        <v>44911</v>
      </c>
      <c r="AO34" s="281">
        <v>44911</v>
      </c>
      <c r="AP34" s="247">
        <v>0</v>
      </c>
      <c r="AQ34" s="248">
        <f t="shared" si="3"/>
        <v>14071583.3964388</v>
      </c>
      <c r="AR34" s="249">
        <f t="shared" si="4"/>
        <v>14071583.3964388</v>
      </c>
      <c r="AT34" s="250" t="s">
        <v>693</v>
      </c>
      <c r="AU34" s="267" t="str">
        <f t="shared" si="9"/>
        <v>9/30/2025 or Latest Financing</v>
      </c>
      <c r="AV34" s="250">
        <v>5.5060000000000002</v>
      </c>
      <c r="AW34" s="252">
        <f t="shared" si="5"/>
        <v>5.5060000000000002</v>
      </c>
      <c r="AX34" s="279">
        <v>2.9059208136578278</v>
      </c>
      <c r="AY34" s="280">
        <f t="shared" si="6"/>
        <v>2.9059208136578278</v>
      </c>
      <c r="AZ34" s="255">
        <f>INDEX('SM Support'!$G$3:$G$64,MATCH('Loan Tape - Settled'!G34,'SM Support'!$B$3:$B$64,0))/1000000</f>
        <v>23.337815853968991</v>
      </c>
      <c r="BA34" s="252">
        <f t="shared" si="7"/>
        <v>23.337815853968991</v>
      </c>
      <c r="BB34" s="256"/>
      <c r="BC34" s="257">
        <f>INDEX('SM Support'!$M$3:$M$64,MATCH('Loan Tape - Settled'!G34,'SM Support'!$B$3:$B$64,0))</f>
        <v>5.9545306728592831</v>
      </c>
      <c r="BD34" s="280">
        <f t="shared" si="8"/>
        <v>5.9545306728592831</v>
      </c>
      <c r="BE34" s="286">
        <v>2.65</v>
      </c>
      <c r="BF34" s="285">
        <f>INDEX('SM Support'!O$3:O$64,MATCH('Loan Tape - Settled'!$G34,'SM Support'!$B$3:$B$64,0))</f>
        <v>0</v>
      </c>
      <c r="BG34" s="256"/>
      <c r="BH34" s="256"/>
      <c r="BI34" s="258">
        <f>INDEX('SM Support'!$M$3:$M$144,MATCH('Loan Tape - Settled'!G34,'SM Support'!$B$3:$B$144,0))</f>
        <v>5.9545306728592831</v>
      </c>
      <c r="BJ34" s="258">
        <f>INDEX('SM Support'!$N$3:$N$144,MATCH('Loan Tape - Settled'!G34,'SM Support'!$B$3:$B$144,0))</f>
        <v>0.41555509738717328</v>
      </c>
    </row>
    <row r="35" spans="1:62" ht="15" customHeight="1" x14ac:dyDescent="0.45">
      <c r="A35" s="227" t="str">
        <f t="shared" si="0"/>
        <v>smc31</v>
      </c>
      <c r="B35" s="228">
        <f t="shared" si="1"/>
        <v>46022</v>
      </c>
      <c r="C35" s="259" t="s">
        <v>60</v>
      </c>
      <c r="D35" s="260" t="s">
        <v>1</v>
      </c>
      <c r="E35" s="261">
        <f t="shared" si="10"/>
        <v>31</v>
      </c>
      <c r="F35" s="287">
        <f t="shared" si="11"/>
        <v>100031</v>
      </c>
      <c r="G35" s="230" t="s">
        <v>619</v>
      </c>
      <c r="H35" s="230" t="s">
        <v>448</v>
      </c>
      <c r="I35" s="231"/>
      <c r="J35" s="232" t="s">
        <v>239</v>
      </c>
      <c r="K35" s="232" t="s">
        <v>690</v>
      </c>
      <c r="L35" s="264" t="s">
        <v>102</v>
      </c>
      <c r="M35" s="233">
        <f>INDEX('SM Support'!$D$3:$D$64,MATCH('Loan Tape - Settled'!G35,'SM Support'!$B$3:$B$62,0))</f>
        <v>12819254.952764533</v>
      </c>
      <c r="N35" s="234">
        <f t="shared" si="2"/>
        <v>12819254.952764533</v>
      </c>
      <c r="O35" s="235"/>
      <c r="P35" s="235"/>
      <c r="Q35" s="236">
        <v>1</v>
      </c>
      <c r="R35" s="268"/>
      <c r="S35" s="238">
        <f>INDEX('SM Support'!$E$3:$E$64,MATCH('Loan Tape - Settled'!G35,'SM Support'!$B$3:$B$64,0))/INDEX('SM Support'!$D$3:$D$64,MATCH('Loan Tape - Settled'!G35,'SM Support'!$B$3:$B$64,0))</f>
        <v>0.99460000000000004</v>
      </c>
      <c r="T35" s="230" t="s">
        <v>393</v>
      </c>
      <c r="U35" s="277">
        <v>44935</v>
      </c>
      <c r="V35" s="293">
        <v>46761</v>
      </c>
      <c r="W35" s="230" t="s">
        <v>691</v>
      </c>
      <c r="X35" s="294" t="s">
        <v>345</v>
      </c>
      <c r="Y35" s="230" t="s">
        <v>692</v>
      </c>
      <c r="Z35" s="240" t="s">
        <v>244</v>
      </c>
      <c r="AA35" s="241"/>
      <c r="AB35" s="241"/>
      <c r="AC35" s="242">
        <v>0</v>
      </c>
      <c r="AD35" s="290">
        <v>0</v>
      </c>
      <c r="AE35" s="290">
        <v>7.7499999999999999E-2</v>
      </c>
      <c r="AF35" s="290">
        <v>0.02</v>
      </c>
      <c r="AG35" s="243"/>
      <c r="AH35" s="243"/>
      <c r="AI35" s="244"/>
      <c r="AJ35" s="245"/>
      <c r="AK35" s="245"/>
      <c r="AL35" s="245"/>
      <c r="AM35" s="245"/>
      <c r="AN35" s="281">
        <v>44935</v>
      </c>
      <c r="AO35" s="281">
        <v>44935</v>
      </c>
      <c r="AP35" s="247">
        <v>0</v>
      </c>
      <c r="AQ35" s="248">
        <f t="shared" si="3"/>
        <v>12819254.952764533</v>
      </c>
      <c r="AR35" s="249">
        <f t="shared" si="4"/>
        <v>12819254.952764533</v>
      </c>
      <c r="AT35" s="250" t="s">
        <v>693</v>
      </c>
      <c r="AU35" s="267" t="str">
        <f t="shared" si="9"/>
        <v>9/30/2025 or Latest Financing</v>
      </c>
      <c r="AV35" s="250">
        <v>16.442</v>
      </c>
      <c r="AW35" s="252">
        <f t="shared" si="5"/>
        <v>16.442</v>
      </c>
      <c r="AX35" s="279">
        <v>4.1053399829704418</v>
      </c>
      <c r="AY35" s="280">
        <f t="shared" si="6"/>
        <v>4.1053399829704418</v>
      </c>
      <c r="AZ35" s="255">
        <f>INDEX('SM Support'!$G$3:$G$64,MATCH('Loan Tape - Settled'!G35,'SM Support'!$B$3:$B$64,0))/1000000</f>
        <v>17.294828210000002</v>
      </c>
      <c r="BA35" s="252">
        <f t="shared" si="7"/>
        <v>17.294828210000002</v>
      </c>
      <c r="BB35" s="256"/>
      <c r="BC35" s="257">
        <f>INDEX('SM Support'!$M$3:$M$64,MATCH('Loan Tape - Settled'!G35,'SM Support'!$B$3:$B$64,0))</f>
        <v>3.7873352457543721</v>
      </c>
      <c r="BD35" s="280">
        <f t="shared" si="8"/>
        <v>3.7873352457543721</v>
      </c>
      <c r="BE35" s="286">
        <v>1.86</v>
      </c>
      <c r="BF35" s="285">
        <f>INDEX('SM Support'!O$3:O$64,MATCH('Loan Tape - Settled'!$G35,'SM Support'!$B$3:$B$64,0))</f>
        <v>2.0098450785700002</v>
      </c>
      <c r="BG35" s="256"/>
      <c r="BH35" s="256"/>
      <c r="BI35" s="258">
        <f>INDEX('SM Support'!$M$3:$M$144,MATCH('Loan Tape - Settled'!G35,'SM Support'!$B$3:$B$144,0))</f>
        <v>3.7873352457543721</v>
      </c>
      <c r="BJ35" s="258">
        <f>INDEX('SM Support'!$N$3:$N$144,MATCH('Loan Tape - Settled'!G35,'SM Support'!$B$3:$B$144,0))</f>
        <v>-0.41207590578316589</v>
      </c>
    </row>
    <row r="36" spans="1:62" ht="15" customHeight="1" x14ac:dyDescent="0.45">
      <c r="A36" s="227" t="str">
        <f t="shared" si="0"/>
        <v>smc32</v>
      </c>
      <c r="B36" s="228">
        <f t="shared" si="1"/>
        <v>46022</v>
      </c>
      <c r="C36" s="259" t="s">
        <v>60</v>
      </c>
      <c r="D36" s="260" t="s">
        <v>1</v>
      </c>
      <c r="E36" s="261">
        <f t="shared" si="10"/>
        <v>32</v>
      </c>
      <c r="F36" s="287">
        <f t="shared" si="11"/>
        <v>100032</v>
      </c>
      <c r="G36" s="230" t="s">
        <v>704</v>
      </c>
      <c r="H36" s="230" t="s">
        <v>240</v>
      </c>
      <c r="I36" s="231"/>
      <c r="J36" s="232" t="s">
        <v>240</v>
      </c>
      <c r="K36" s="232" t="s">
        <v>690</v>
      </c>
      <c r="L36" s="264" t="s">
        <v>102</v>
      </c>
      <c r="M36" s="233">
        <f>INDEX('SM Support'!$D$3:$D$64,MATCH('Loan Tape - Settled'!G36,'SM Support'!$B$3:$B$62,0))</f>
        <v>12037142.854136769</v>
      </c>
      <c r="N36" s="234">
        <f t="shared" si="2"/>
        <v>12037142.854136769</v>
      </c>
      <c r="O36" s="235"/>
      <c r="P36" s="235"/>
      <c r="Q36" s="236">
        <v>1</v>
      </c>
      <c r="R36" s="268"/>
      <c r="S36" s="238">
        <f>INDEX('SM Support'!$E$3:$E$64,MATCH('Loan Tape - Settled'!G36,'SM Support'!$B$3:$B$64,0))/INDEX('SM Support'!$D$3:$D$64,MATCH('Loan Tape - Settled'!G36,'SM Support'!$B$3:$B$64,0))</f>
        <v>0.9748</v>
      </c>
      <c r="T36" s="230" t="s">
        <v>393</v>
      </c>
      <c r="U36" s="277">
        <v>45058</v>
      </c>
      <c r="V36" s="293">
        <v>46885</v>
      </c>
      <c r="W36" s="230" t="s">
        <v>691</v>
      </c>
      <c r="X36" s="294" t="s">
        <v>327</v>
      </c>
      <c r="Y36" s="230" t="s">
        <v>692</v>
      </c>
      <c r="Z36" s="240" t="s">
        <v>244</v>
      </c>
      <c r="AA36" s="241"/>
      <c r="AB36" s="241"/>
      <c r="AC36" s="242">
        <v>0</v>
      </c>
      <c r="AD36" s="290">
        <v>0</v>
      </c>
      <c r="AE36" s="290">
        <v>8.9230449908000012E-2</v>
      </c>
      <c r="AF36" s="290">
        <v>0.02</v>
      </c>
      <c r="AG36" s="243"/>
      <c r="AH36" s="243"/>
      <c r="AI36" s="244"/>
      <c r="AJ36" s="245"/>
      <c r="AK36" s="245"/>
      <c r="AL36" s="245"/>
      <c r="AM36" s="245"/>
      <c r="AN36" s="281">
        <v>45058</v>
      </c>
      <c r="AO36" s="281">
        <v>45058</v>
      </c>
      <c r="AP36" s="247">
        <v>0</v>
      </c>
      <c r="AQ36" s="248">
        <f t="shared" si="3"/>
        <v>12037142.854136769</v>
      </c>
      <c r="AR36" s="249">
        <f t="shared" si="4"/>
        <v>12037142.854136769</v>
      </c>
      <c r="AT36" s="250" t="s">
        <v>693</v>
      </c>
      <c r="AU36" s="267" t="str">
        <f t="shared" si="9"/>
        <v>9/30/2025 or Latest Financing</v>
      </c>
      <c r="AV36" s="250">
        <v>14.928000000000001</v>
      </c>
      <c r="AW36" s="252">
        <f t="shared" si="5"/>
        <v>14.928000000000001</v>
      </c>
      <c r="AX36" s="279">
        <v>1.942658092175777</v>
      </c>
      <c r="AY36" s="280">
        <f t="shared" si="6"/>
        <v>1.942658092175777</v>
      </c>
      <c r="AZ36" s="255">
        <f>INDEX('SM Support'!$G$3:$G$64,MATCH('Loan Tape - Settled'!G36,'SM Support'!$B$3:$B$64,0))/1000000</f>
        <v>20.850241089999979</v>
      </c>
      <c r="BA36" s="252">
        <f t="shared" si="7"/>
        <v>20.850241089999979</v>
      </c>
      <c r="BB36" s="256"/>
      <c r="BC36" s="257">
        <f>INDEX('SM Support'!$M$3:$M$64,MATCH('Loan Tape - Settled'!G36,'SM Support'!$B$3:$B$64,0))</f>
        <v>2.5417761068680296</v>
      </c>
      <c r="BD36" s="280">
        <f t="shared" si="8"/>
        <v>2.5417761068680296</v>
      </c>
      <c r="BE36" s="286">
        <v>3.35</v>
      </c>
      <c r="BF36" s="285">
        <f>INDEX('SM Support'!O$3:O$64,MATCH('Loan Tape - Settled'!$G36,'SM Support'!$B$3:$B$64,0))</f>
        <v>3.2073990462289999</v>
      </c>
      <c r="BG36" s="256"/>
      <c r="BH36" s="256"/>
      <c r="BI36" s="258">
        <f>INDEX('SM Support'!$M$3:$M$144,MATCH('Loan Tape - Settled'!G36,'SM Support'!$B$3:$B$144,0))</f>
        <v>2.5417761068680296</v>
      </c>
      <c r="BJ36" s="258">
        <f>INDEX('SM Support'!$N$3:$N$144,MATCH('Loan Tape - Settled'!G36,'SM Support'!$B$3:$B$144,0))</f>
        <v>1.0007867314305485</v>
      </c>
    </row>
    <row r="37" spans="1:62" ht="15" customHeight="1" x14ac:dyDescent="0.45">
      <c r="A37" s="227" t="str">
        <f t="shared" si="0"/>
        <v>smc33</v>
      </c>
      <c r="B37" s="228">
        <f t="shared" si="1"/>
        <v>46022</v>
      </c>
      <c r="C37" s="259" t="s">
        <v>60</v>
      </c>
      <c r="D37" s="260" t="s">
        <v>1</v>
      </c>
      <c r="E37" s="261">
        <f t="shared" si="10"/>
        <v>33</v>
      </c>
      <c r="F37" s="287">
        <f t="shared" si="11"/>
        <v>100033</v>
      </c>
      <c r="G37" s="230" t="s">
        <v>606</v>
      </c>
      <c r="H37" s="230" t="s">
        <v>240</v>
      </c>
      <c r="I37" s="231"/>
      <c r="J37" s="232" t="s">
        <v>240</v>
      </c>
      <c r="K37" s="232" t="s">
        <v>690</v>
      </c>
      <c r="L37" s="264" t="s">
        <v>102</v>
      </c>
      <c r="M37" s="233">
        <f>INDEX('SM Support'!$D$3:$D$64,MATCH('Loan Tape - Settled'!G37,'SM Support'!$B$3:$B$62,0))</f>
        <v>6554285.40814537</v>
      </c>
      <c r="N37" s="234">
        <f t="shared" si="2"/>
        <v>6554285.40814537</v>
      </c>
      <c r="O37" s="235"/>
      <c r="P37" s="235"/>
      <c r="Q37" s="236">
        <v>1</v>
      </c>
      <c r="R37" s="268"/>
      <c r="S37" s="238">
        <f>INDEX('SM Support'!$E$3:$E$64,MATCH('Loan Tape - Settled'!G37,'SM Support'!$B$3:$B$64,0))/INDEX('SM Support'!$D$3:$D$64,MATCH('Loan Tape - Settled'!G37,'SM Support'!$B$3:$B$64,0))</f>
        <v>0.99120000000000008</v>
      </c>
      <c r="T37" s="230" t="s">
        <v>393</v>
      </c>
      <c r="U37" s="277">
        <v>45062</v>
      </c>
      <c r="V37" s="293">
        <v>46889</v>
      </c>
      <c r="W37" s="230" t="s">
        <v>691</v>
      </c>
      <c r="X37" s="294" t="s">
        <v>345</v>
      </c>
      <c r="Y37" s="230" t="s">
        <v>692</v>
      </c>
      <c r="Z37" s="240" t="s">
        <v>244</v>
      </c>
      <c r="AA37" s="241"/>
      <c r="AB37" s="241"/>
      <c r="AC37" s="242">
        <v>0</v>
      </c>
      <c r="AD37" s="290">
        <v>1.7982689889000002E-2</v>
      </c>
      <c r="AE37" s="290">
        <v>7.6462494759999999E-2</v>
      </c>
      <c r="AF37" s="290">
        <v>0.02</v>
      </c>
      <c r="AG37" s="243"/>
      <c r="AH37" s="243"/>
      <c r="AI37" s="244"/>
      <c r="AJ37" s="245"/>
      <c r="AK37" s="245"/>
      <c r="AL37" s="245"/>
      <c r="AM37" s="245"/>
      <c r="AN37" s="281">
        <v>45062</v>
      </c>
      <c r="AO37" s="281">
        <v>45062</v>
      </c>
      <c r="AP37" s="247">
        <v>0</v>
      </c>
      <c r="AQ37" s="248">
        <f t="shared" si="3"/>
        <v>6554285.40814537</v>
      </c>
      <c r="AR37" s="249">
        <f t="shared" si="4"/>
        <v>6554285.40814537</v>
      </c>
      <c r="AT37" s="250" t="s">
        <v>693</v>
      </c>
      <c r="AU37" s="267" t="str">
        <f t="shared" si="9"/>
        <v>9/30/2025 or Latest Financing</v>
      </c>
      <c r="AV37" s="250">
        <v>7.8170000000000002</v>
      </c>
      <c r="AW37" s="252">
        <f t="shared" si="5"/>
        <v>7.8170000000000002</v>
      </c>
      <c r="AX37" s="279">
        <v>4.2215683766150693</v>
      </c>
      <c r="AY37" s="280">
        <f t="shared" si="6"/>
        <v>4.2215683766150693</v>
      </c>
      <c r="AZ37" s="255">
        <f>INDEX('SM Support'!$G$3:$G$64,MATCH('Loan Tape - Settled'!G37,'SM Support'!$B$3:$B$64,0))/1000000</f>
        <v>8.5373123994886324</v>
      </c>
      <c r="BA37" s="252">
        <f t="shared" si="7"/>
        <v>8.5373123994886324</v>
      </c>
      <c r="BB37" s="256"/>
      <c r="BC37" s="257">
        <f>INDEX('SM Support'!$M$3:$M$64,MATCH('Loan Tape - Settled'!G37,'SM Support'!$B$3:$B$64,0))</f>
        <v>4.3845180335666187</v>
      </c>
      <c r="BD37" s="280">
        <f t="shared" si="8"/>
        <v>4.3845180335666187</v>
      </c>
      <c r="BE37" s="286">
        <v>2.14</v>
      </c>
      <c r="BF37" s="285">
        <f>INDEX('SM Support'!O$3:O$64,MATCH('Loan Tape - Settled'!$G37,'SM Support'!$B$3:$B$64,0))</f>
        <v>1.671248182185</v>
      </c>
      <c r="BG37" s="256"/>
      <c r="BH37" s="256"/>
      <c r="BI37" s="258">
        <f>INDEX('SM Support'!$M$3:$M$144,MATCH('Loan Tape - Settled'!G37,'SM Support'!$B$3:$B$144,0))</f>
        <v>4.3845180335666187</v>
      </c>
      <c r="BJ37" s="258">
        <f>INDEX('SM Support'!$N$3:$N$144,MATCH('Loan Tape - Settled'!G37,'SM Support'!$B$3:$B$144,0))</f>
        <v>0.97723962877353876</v>
      </c>
    </row>
    <row r="38" spans="1:62" ht="15" customHeight="1" x14ac:dyDescent="0.45">
      <c r="A38" s="227" t="str">
        <f t="shared" si="0"/>
        <v>smc34</v>
      </c>
      <c r="B38" s="228">
        <f t="shared" si="1"/>
        <v>46022</v>
      </c>
      <c r="C38" s="259" t="s">
        <v>60</v>
      </c>
      <c r="D38" s="260" t="s">
        <v>1</v>
      </c>
      <c r="E38" s="261">
        <f t="shared" si="10"/>
        <v>34</v>
      </c>
      <c r="F38" s="287">
        <f t="shared" si="11"/>
        <v>100034</v>
      </c>
      <c r="G38" s="230" t="s">
        <v>705</v>
      </c>
      <c r="H38" s="230" t="s">
        <v>240</v>
      </c>
      <c r="I38" s="231"/>
      <c r="J38" s="232" t="s">
        <v>240</v>
      </c>
      <c r="K38" s="232" t="s">
        <v>690</v>
      </c>
      <c r="L38" s="264" t="s">
        <v>102</v>
      </c>
      <c r="M38" s="233">
        <f>INDEX('SM Support'!$D$3:$D$64,MATCH('Loan Tape - Settled'!G38,'SM Support'!$B$3:$B$62,0))</f>
        <v>10000000</v>
      </c>
      <c r="N38" s="234">
        <f t="shared" si="2"/>
        <v>10000000</v>
      </c>
      <c r="O38" s="235"/>
      <c r="P38" s="235"/>
      <c r="Q38" s="236">
        <v>1</v>
      </c>
      <c r="R38" s="268"/>
      <c r="S38" s="238">
        <f>INDEX('SM Support'!$E$3:$E$64,MATCH('Loan Tape - Settled'!G38,'SM Support'!$B$3:$B$64,0))/INDEX('SM Support'!$D$3:$D$64,MATCH('Loan Tape - Settled'!G38,'SM Support'!$B$3:$B$64,0))</f>
        <v>1.0021499999999999</v>
      </c>
      <c r="T38" s="230" t="s">
        <v>393</v>
      </c>
      <c r="U38" s="277">
        <v>45142</v>
      </c>
      <c r="V38" s="293">
        <v>46969</v>
      </c>
      <c r="W38" s="230" t="s">
        <v>691</v>
      </c>
      <c r="X38" s="294" t="s">
        <v>325</v>
      </c>
      <c r="Y38" s="230" t="s">
        <v>692</v>
      </c>
      <c r="Z38" s="240" t="s">
        <v>244</v>
      </c>
      <c r="AA38" s="241"/>
      <c r="AB38" s="241"/>
      <c r="AC38" s="242">
        <v>0</v>
      </c>
      <c r="AD38" s="290">
        <v>0</v>
      </c>
      <c r="AE38" s="290">
        <v>9.6235899999999985E-2</v>
      </c>
      <c r="AF38" s="290">
        <v>0.02</v>
      </c>
      <c r="AG38" s="243"/>
      <c r="AH38" s="243"/>
      <c r="AI38" s="244"/>
      <c r="AJ38" s="245"/>
      <c r="AK38" s="245"/>
      <c r="AL38" s="245"/>
      <c r="AM38" s="245"/>
      <c r="AN38" s="281">
        <v>45142</v>
      </c>
      <c r="AO38" s="281">
        <v>45142</v>
      </c>
      <c r="AP38" s="247">
        <v>0</v>
      </c>
      <c r="AQ38" s="248">
        <f t="shared" si="3"/>
        <v>10000000</v>
      </c>
      <c r="AR38" s="249">
        <f t="shared" si="4"/>
        <v>10000000</v>
      </c>
      <c r="AT38" s="250" t="s">
        <v>693</v>
      </c>
      <c r="AU38" s="267" t="str">
        <f t="shared" si="9"/>
        <v>9/30/2025 or Latest Financing</v>
      </c>
      <c r="AV38" s="250">
        <v>23.954000000000001</v>
      </c>
      <c r="AW38" s="252">
        <f t="shared" si="5"/>
        <v>23.954000000000001</v>
      </c>
      <c r="AX38" s="279">
        <v>2.4744092844618848</v>
      </c>
      <c r="AY38" s="280">
        <f t="shared" si="6"/>
        <v>2.4744092844618848</v>
      </c>
      <c r="AZ38" s="255">
        <f>INDEX('SM Support'!$G$3:$G$64,MATCH('Loan Tape - Settled'!G38,'SM Support'!$B$3:$B$64,0))/1000000</f>
        <v>25.524711349325489</v>
      </c>
      <c r="BA38" s="252">
        <f t="shared" si="7"/>
        <v>25.524711349325489</v>
      </c>
      <c r="BB38" s="256"/>
      <c r="BC38" s="257">
        <f>INDEX('SM Support'!$M$3:$M$64,MATCH('Loan Tape - Settled'!G38,'SM Support'!$B$3:$B$64,0))</f>
        <v>2.7180015495780845</v>
      </c>
      <c r="BD38" s="280">
        <f t="shared" si="8"/>
        <v>2.7180015495780845</v>
      </c>
      <c r="BE38" s="286">
        <v>4.0999999999999996</v>
      </c>
      <c r="BF38" s="285">
        <f>INDEX('SM Support'!O$3:O$64,MATCH('Loan Tape - Settled'!$G38,'SM Support'!$B$3:$B$64,0))</f>
        <v>2.44</v>
      </c>
      <c r="BG38" s="256"/>
      <c r="BH38" s="256"/>
      <c r="BI38" s="258">
        <f>INDEX('SM Support'!$M$3:$M$144,MATCH('Loan Tape - Settled'!G38,'SM Support'!$B$3:$B$144,0))</f>
        <v>2.7180015495780845</v>
      </c>
      <c r="BJ38" s="258">
        <f>INDEX('SM Support'!$N$3:$N$144,MATCH('Loan Tape - Settled'!G38,'SM Support'!$B$3:$B$144,0))</f>
        <v>0.9550041395725386</v>
      </c>
    </row>
    <row r="39" spans="1:62" ht="15" customHeight="1" x14ac:dyDescent="0.45">
      <c r="A39" s="227" t="str">
        <f t="shared" si="0"/>
        <v>smc35</v>
      </c>
      <c r="B39" s="228">
        <f t="shared" si="1"/>
        <v>46022</v>
      </c>
      <c r="C39" s="259" t="s">
        <v>60</v>
      </c>
      <c r="D39" s="260" t="s">
        <v>1</v>
      </c>
      <c r="E39" s="261">
        <f t="shared" si="10"/>
        <v>35</v>
      </c>
      <c r="F39" s="287">
        <f t="shared" si="11"/>
        <v>100035</v>
      </c>
      <c r="G39" s="230" t="s">
        <v>706</v>
      </c>
      <c r="H39" s="230" t="s">
        <v>240</v>
      </c>
      <c r="I39" s="231"/>
      <c r="J39" s="232" t="s">
        <v>240</v>
      </c>
      <c r="K39" s="232" t="s">
        <v>690</v>
      </c>
      <c r="L39" s="264" t="s">
        <v>102</v>
      </c>
      <c r="M39" s="233">
        <f>INDEX('SM Support'!$D$3:$D$64,MATCH('Loan Tape - Settled'!G39,'SM Support'!$B$3:$B$62,0))</f>
        <v>19949257.8713644</v>
      </c>
      <c r="N39" s="234">
        <f t="shared" si="2"/>
        <v>19949257.8713644</v>
      </c>
      <c r="O39" s="235"/>
      <c r="P39" s="235"/>
      <c r="Q39" s="236">
        <v>1</v>
      </c>
      <c r="R39" s="268"/>
      <c r="S39" s="238">
        <f>INDEX('SM Support'!$E$3:$E$64,MATCH('Loan Tape - Settled'!G39,'SM Support'!$B$3:$B$64,0))/INDEX('SM Support'!$D$3:$D$64,MATCH('Loan Tape - Settled'!G39,'SM Support'!$B$3:$B$64,0))</f>
        <v>1.0036</v>
      </c>
      <c r="T39" s="230" t="s">
        <v>393</v>
      </c>
      <c r="U39" s="277">
        <v>45189</v>
      </c>
      <c r="V39" s="293">
        <v>47016</v>
      </c>
      <c r="W39" s="230" t="s">
        <v>691</v>
      </c>
      <c r="X39" s="294" t="s">
        <v>324</v>
      </c>
      <c r="Y39" s="230" t="s">
        <v>692</v>
      </c>
      <c r="Z39" s="240" t="s">
        <v>244</v>
      </c>
      <c r="AA39" s="241"/>
      <c r="AB39" s="241"/>
      <c r="AC39" s="242">
        <v>0</v>
      </c>
      <c r="AD39" s="290">
        <v>0</v>
      </c>
      <c r="AE39" s="290">
        <v>6.9000000000000006E-2</v>
      </c>
      <c r="AF39" s="290">
        <v>0.02</v>
      </c>
      <c r="AG39" s="243"/>
      <c r="AH39" s="243"/>
      <c r="AI39" s="244"/>
      <c r="AJ39" s="245"/>
      <c r="AK39" s="245"/>
      <c r="AL39" s="245"/>
      <c r="AM39" s="245"/>
      <c r="AN39" s="281">
        <v>45183</v>
      </c>
      <c r="AO39" s="281">
        <v>45183</v>
      </c>
      <c r="AP39" s="247">
        <v>0</v>
      </c>
      <c r="AQ39" s="248">
        <f t="shared" si="3"/>
        <v>19949257.8713644</v>
      </c>
      <c r="AR39" s="249">
        <f t="shared" si="4"/>
        <v>19949257.8713644</v>
      </c>
      <c r="AT39" s="250" t="s">
        <v>693</v>
      </c>
      <c r="AU39" s="267" t="str">
        <f t="shared" si="9"/>
        <v>9/30/2025 or Latest Financing</v>
      </c>
      <c r="AV39" s="250">
        <v>29.928000000000001</v>
      </c>
      <c r="AW39" s="252">
        <f t="shared" si="5"/>
        <v>29.928000000000001</v>
      </c>
      <c r="AX39" s="279">
        <v>4.2502004811547716</v>
      </c>
      <c r="AY39" s="280">
        <f t="shared" si="6"/>
        <v>4.2502004811547716</v>
      </c>
      <c r="AZ39" s="255">
        <f>INDEX('SM Support'!$G$3:$G$64,MATCH('Loan Tape - Settled'!G39,'SM Support'!$B$3:$B$64,0))/1000000</f>
        <v>32.087000000000003</v>
      </c>
      <c r="BA39" s="252">
        <f t="shared" si="7"/>
        <v>32.087000000000003</v>
      </c>
      <c r="BB39" s="256"/>
      <c r="BC39" s="257">
        <f>INDEX('SM Support'!$M$3:$M$64,MATCH('Loan Tape - Settled'!G39,'SM Support'!$B$3:$B$64,0))</f>
        <v>4.6925390344999531</v>
      </c>
      <c r="BD39" s="280">
        <f t="shared" si="8"/>
        <v>4.6925390344999531</v>
      </c>
      <c r="BE39" s="286">
        <v>1.96</v>
      </c>
      <c r="BF39" s="285">
        <f>INDEX('SM Support'!O$3:O$64,MATCH('Loan Tape - Settled'!$G39,'SM Support'!$B$3:$B$64,0))</f>
        <v>1.58</v>
      </c>
      <c r="BG39" s="256"/>
      <c r="BH39" s="256"/>
      <c r="BI39" s="258">
        <f>INDEX('SM Support'!$M$3:$M$144,MATCH('Loan Tape - Settled'!G39,'SM Support'!$B$3:$B$144,0))</f>
        <v>4.6925390344999531</v>
      </c>
      <c r="BJ39" s="258">
        <f>INDEX('SM Support'!$N$3:$N$144,MATCH('Loan Tape - Settled'!G39,'SM Support'!$B$3:$B$144,0))</f>
        <v>1.2548249982989435</v>
      </c>
    </row>
    <row r="40" spans="1:62" ht="15" customHeight="1" x14ac:dyDescent="0.45">
      <c r="A40" s="227" t="str">
        <f t="shared" si="0"/>
        <v>smc36</v>
      </c>
      <c r="B40" s="228">
        <f t="shared" si="1"/>
        <v>46022</v>
      </c>
      <c r="C40" s="259" t="s">
        <v>60</v>
      </c>
      <c r="D40" s="260" t="s">
        <v>1</v>
      </c>
      <c r="E40" s="261">
        <f t="shared" si="10"/>
        <v>36</v>
      </c>
      <c r="F40" s="287">
        <f t="shared" si="11"/>
        <v>100036</v>
      </c>
      <c r="G40" s="230" t="s">
        <v>629</v>
      </c>
      <c r="H40" s="230" t="s">
        <v>240</v>
      </c>
      <c r="I40" s="231"/>
      <c r="J40" s="232" t="s">
        <v>240</v>
      </c>
      <c r="K40" s="232" t="s">
        <v>690</v>
      </c>
      <c r="L40" s="264" t="s">
        <v>102</v>
      </c>
      <c r="M40" s="233">
        <f>INDEX('SM Support'!$D$3:$D$64,MATCH('Loan Tape - Settled'!G40,'SM Support'!$B$3:$B$62,0))</f>
        <v>8635124.0287973993</v>
      </c>
      <c r="N40" s="234">
        <f t="shared" si="2"/>
        <v>8635124.0287973993</v>
      </c>
      <c r="O40" s="235"/>
      <c r="P40" s="235"/>
      <c r="Q40" s="236">
        <v>1</v>
      </c>
      <c r="R40" s="268"/>
      <c r="S40" s="238">
        <f>INDEX('SM Support'!$E$3:$E$64,MATCH('Loan Tape - Settled'!G40,'SM Support'!$B$3:$B$64,0))/INDEX('SM Support'!$D$3:$D$64,MATCH('Loan Tape - Settled'!G40,'SM Support'!$B$3:$B$64,0))</f>
        <v>0.93340000000000001</v>
      </c>
      <c r="T40" s="230" t="s">
        <v>393</v>
      </c>
      <c r="U40" s="277">
        <v>45474</v>
      </c>
      <c r="V40" s="293">
        <v>47300</v>
      </c>
      <c r="W40" s="230" t="s">
        <v>691</v>
      </c>
      <c r="X40" s="294" t="s">
        <v>370</v>
      </c>
      <c r="Y40" s="230" t="s">
        <v>692</v>
      </c>
      <c r="Z40" s="240" t="s">
        <v>244</v>
      </c>
      <c r="AA40" s="241"/>
      <c r="AB40" s="241"/>
      <c r="AC40" s="242">
        <v>0</v>
      </c>
      <c r="AD40" s="290">
        <v>2.46E-2</v>
      </c>
      <c r="AE40" s="290">
        <v>3.2899999999999999E-2</v>
      </c>
      <c r="AF40" s="290">
        <v>0.02</v>
      </c>
      <c r="AG40" s="243"/>
      <c r="AH40" s="243"/>
      <c r="AI40" s="244"/>
      <c r="AJ40" s="245"/>
      <c r="AK40" s="245"/>
      <c r="AL40" s="245"/>
      <c r="AM40" s="245"/>
      <c r="AN40" s="281">
        <v>45474</v>
      </c>
      <c r="AO40" s="281">
        <v>45474</v>
      </c>
      <c r="AP40" s="247">
        <v>0</v>
      </c>
      <c r="AQ40" s="248">
        <f t="shared" si="3"/>
        <v>8635124.0287973993</v>
      </c>
      <c r="AR40" s="249">
        <f t="shared" si="4"/>
        <v>8635124.0287973993</v>
      </c>
      <c r="AT40" s="250" t="s">
        <v>693</v>
      </c>
      <c r="AU40" s="267" t="str">
        <f t="shared" si="9"/>
        <v>9/30/2025 or Latest Financing</v>
      </c>
      <c r="AV40" s="250">
        <v>11.682</v>
      </c>
      <c r="AW40" s="252">
        <f t="shared" si="5"/>
        <v>11.682</v>
      </c>
      <c r="AX40" s="279">
        <v>2.9960623180962158</v>
      </c>
      <c r="AY40" s="280">
        <f t="shared" si="6"/>
        <v>2.9960623180962158</v>
      </c>
      <c r="AZ40" s="255">
        <f>INDEX('SM Support'!$G$3:$G$64,MATCH('Loan Tape - Settled'!G40,'SM Support'!$B$3:$B$64,0))/1000000</f>
        <v>5.4118903900000008</v>
      </c>
      <c r="BA40" s="252">
        <f t="shared" si="7"/>
        <v>5.4118903900000008</v>
      </c>
      <c r="BB40" s="256"/>
      <c r="BC40" s="257">
        <f>INDEX('SM Support'!$M$3:$M$64,MATCH('Loan Tape - Settled'!G40,'SM Support'!$B$3:$B$64,0))</f>
        <v>5.5821433690692492</v>
      </c>
      <c r="BD40" s="280">
        <f t="shared" si="8"/>
        <v>5.5821433690692492</v>
      </c>
      <c r="BE40" s="286">
        <v>3.04</v>
      </c>
      <c r="BF40" s="285">
        <f>INDEX('SM Support'!O$3:O$64,MATCH('Loan Tape - Settled'!$G40,'SM Support'!$B$3:$B$64,0))</f>
        <v>1.2812913578930001</v>
      </c>
      <c r="BG40" s="256"/>
      <c r="BH40" s="256"/>
      <c r="BI40" s="258">
        <f>INDEX('SM Support'!$M$3:$M$144,MATCH('Loan Tape - Settled'!G40,'SM Support'!$B$3:$B$144,0))</f>
        <v>5.5821433690692492</v>
      </c>
      <c r="BJ40" s="258">
        <f>INDEX('SM Support'!$N$3:$N$144,MATCH('Loan Tape - Settled'!G40,'SM Support'!$B$3:$B$144,0))</f>
        <v>1.112823146721452</v>
      </c>
    </row>
    <row r="41" spans="1:62" ht="15" customHeight="1" x14ac:dyDescent="0.45">
      <c r="A41" s="227" t="str">
        <f t="shared" si="0"/>
        <v>smc37</v>
      </c>
      <c r="B41" s="228">
        <f t="shared" si="1"/>
        <v>46022</v>
      </c>
      <c r="C41" s="259" t="s">
        <v>60</v>
      </c>
      <c r="D41" s="260" t="s">
        <v>1</v>
      </c>
      <c r="E41" s="261">
        <f t="shared" si="10"/>
        <v>37</v>
      </c>
      <c r="F41" s="287">
        <f t="shared" si="11"/>
        <v>100037</v>
      </c>
      <c r="G41" s="230" t="s">
        <v>707</v>
      </c>
      <c r="H41" s="230" t="s">
        <v>448</v>
      </c>
      <c r="I41" s="231"/>
      <c r="J41" s="232" t="s">
        <v>239</v>
      </c>
      <c r="K41" s="232" t="s">
        <v>690</v>
      </c>
      <c r="L41" s="264" t="s">
        <v>102</v>
      </c>
      <c r="M41" s="233">
        <f>INDEX('SM Support'!$D$3:$D$64,MATCH('Loan Tape - Settled'!G41,'SM Support'!$B$3:$B$62,0))</f>
        <v>14566785.71576011</v>
      </c>
      <c r="N41" s="234">
        <f t="shared" si="2"/>
        <v>14566785.71576011</v>
      </c>
      <c r="O41" s="235"/>
      <c r="P41" s="235"/>
      <c r="Q41" s="236">
        <v>1</v>
      </c>
      <c r="R41" s="268"/>
      <c r="S41" s="238">
        <f>INDEX('SM Support'!$E$3:$E$64,MATCH('Loan Tape - Settled'!G41,'SM Support'!$B$3:$B$64,0))/INDEX('SM Support'!$D$3:$D$64,MATCH('Loan Tape - Settled'!G41,'SM Support'!$B$3:$B$64,0))</f>
        <v>0.98609521906685682</v>
      </c>
      <c r="T41" s="230" t="s">
        <v>393</v>
      </c>
      <c r="U41" s="277">
        <v>45503</v>
      </c>
      <c r="V41" s="293">
        <v>47329</v>
      </c>
      <c r="W41" s="230" t="s">
        <v>691</v>
      </c>
      <c r="X41" s="271" t="s">
        <v>356</v>
      </c>
      <c r="Y41" s="230" t="s">
        <v>692</v>
      </c>
      <c r="Z41" s="240" t="s">
        <v>244</v>
      </c>
      <c r="AA41" s="241"/>
      <c r="AB41" s="241"/>
      <c r="AC41" s="242">
        <v>0</v>
      </c>
      <c r="AD41" s="290">
        <v>0</v>
      </c>
      <c r="AE41" s="290">
        <v>5.8192316155937729E-2</v>
      </c>
      <c r="AF41" s="290">
        <v>0.02</v>
      </c>
      <c r="AG41" s="243"/>
      <c r="AH41" s="243"/>
      <c r="AI41" s="244"/>
      <c r="AJ41" s="245"/>
      <c r="AK41" s="245"/>
      <c r="AL41" s="245"/>
      <c r="AM41" s="245"/>
      <c r="AN41" s="281">
        <v>45503</v>
      </c>
      <c r="AO41" s="281">
        <v>45503</v>
      </c>
      <c r="AP41" s="247">
        <v>0</v>
      </c>
      <c r="AQ41" s="248">
        <f t="shared" si="3"/>
        <v>14566785.71576011</v>
      </c>
      <c r="AR41" s="249">
        <f t="shared" si="4"/>
        <v>14566785.71576011</v>
      </c>
      <c r="AT41" s="250" t="s">
        <v>693</v>
      </c>
      <c r="AU41" s="267" t="str">
        <f t="shared" si="9"/>
        <v>9/30/2025 or Latest Financing</v>
      </c>
      <c r="AV41" s="250">
        <v>5.6210000000000004</v>
      </c>
      <c r="AW41" s="252">
        <f t="shared" si="5"/>
        <v>5.6210000000000004</v>
      </c>
      <c r="AX41" s="279">
        <v>2.846468599893258</v>
      </c>
      <c r="AY41" s="280">
        <f t="shared" si="6"/>
        <v>2.846468599893258</v>
      </c>
      <c r="AZ41" s="255">
        <f>INDEX('SM Support'!$G$3:$G$64,MATCH('Loan Tape - Settled'!G41,'SM Support'!$B$3:$B$64,0))/1000000</f>
        <v>10.403439000000001</v>
      </c>
      <c r="BA41" s="252">
        <f t="shared" si="7"/>
        <v>10.403439000000001</v>
      </c>
      <c r="BB41" s="256"/>
      <c r="BC41" s="257">
        <f>INDEX('SM Support'!$M$3:$M$64,MATCH('Loan Tape - Settled'!G41,'SM Support'!$B$3:$B$64,0))</f>
        <v>2.6839539319186323</v>
      </c>
      <c r="BD41" s="280">
        <f t="shared" si="8"/>
        <v>2.6839539319186323</v>
      </c>
      <c r="BE41" s="286">
        <v>4.28</v>
      </c>
      <c r="BF41" s="285">
        <f>INDEX('SM Support'!O$3:O$64,MATCH('Loan Tape - Settled'!$G41,'SM Support'!$B$3:$B$64,0))</f>
        <v>3.5742200623730001</v>
      </c>
      <c r="BG41" s="256"/>
      <c r="BH41" s="256"/>
      <c r="BI41" s="258">
        <f>INDEX('SM Support'!$M$3:$M$144,MATCH('Loan Tape - Settled'!G41,'SM Support'!$B$3:$B$144,0))</f>
        <v>2.6839539319186323</v>
      </c>
      <c r="BJ41" s="258">
        <f>INDEX('SM Support'!$N$3:$N$144,MATCH('Loan Tape - Settled'!G41,'SM Support'!$B$3:$B$144,0))</f>
        <v>0</v>
      </c>
    </row>
    <row r="42" spans="1:62" ht="15" customHeight="1" x14ac:dyDescent="0.45">
      <c r="A42" s="227" t="str">
        <f t="shared" si="0"/>
        <v>smc38</v>
      </c>
      <c r="B42" s="228">
        <f t="shared" si="1"/>
        <v>46022</v>
      </c>
      <c r="C42" s="259" t="s">
        <v>60</v>
      </c>
      <c r="D42" s="260" t="s">
        <v>1</v>
      </c>
      <c r="E42" s="261">
        <f t="shared" si="10"/>
        <v>38</v>
      </c>
      <c r="F42" s="287">
        <f t="shared" si="11"/>
        <v>100038</v>
      </c>
      <c r="G42" s="230" t="s">
        <v>708</v>
      </c>
      <c r="H42" s="230" t="s">
        <v>448</v>
      </c>
      <c r="I42" s="231"/>
      <c r="J42" s="232" t="s">
        <v>239</v>
      </c>
      <c r="K42" s="232" t="s">
        <v>690</v>
      </c>
      <c r="L42" s="264" t="s">
        <v>102</v>
      </c>
      <c r="M42" s="233">
        <f>INDEX('SM Support'!$D$3:$D$64,MATCH('Loan Tape - Settled'!G42,'SM Support'!$B$3:$B$62,0))</f>
        <v>11874814.974437499</v>
      </c>
      <c r="N42" s="234">
        <f t="shared" si="2"/>
        <v>11874814.974437499</v>
      </c>
      <c r="O42" s="235"/>
      <c r="P42" s="235"/>
      <c r="Q42" s="236">
        <v>1</v>
      </c>
      <c r="R42" s="268"/>
      <c r="S42" s="238">
        <f>INDEX('SM Support'!$E$3:$E$64,MATCH('Loan Tape - Settled'!G42,'SM Support'!$B$3:$B$64,0))/INDEX('SM Support'!$D$3:$D$64,MATCH('Loan Tape - Settled'!G42,'SM Support'!$B$3:$B$64,0))</f>
        <v>0.99734999999999996</v>
      </c>
      <c r="T42" s="230" t="s">
        <v>393</v>
      </c>
      <c r="U42" s="277">
        <v>45657</v>
      </c>
      <c r="V42" s="293">
        <v>47482</v>
      </c>
      <c r="W42" s="230" t="s">
        <v>691</v>
      </c>
      <c r="X42" s="294" t="s">
        <v>327</v>
      </c>
      <c r="Y42" s="230" t="s">
        <v>692</v>
      </c>
      <c r="Z42" s="240" t="s">
        <v>244</v>
      </c>
      <c r="AA42" s="241"/>
      <c r="AB42" s="241"/>
      <c r="AC42" s="242"/>
      <c r="AD42" s="290">
        <v>0</v>
      </c>
      <c r="AE42" s="290">
        <v>5.7500000000000002E-2</v>
      </c>
      <c r="AF42" s="290">
        <v>0.02</v>
      </c>
      <c r="AG42" s="243"/>
      <c r="AH42" s="243"/>
      <c r="AI42" s="244"/>
      <c r="AJ42" s="245"/>
      <c r="AK42" s="245"/>
      <c r="AL42" s="245"/>
      <c r="AM42" s="245"/>
      <c r="AN42" s="281">
        <v>45657</v>
      </c>
      <c r="AO42" s="281">
        <v>45656</v>
      </c>
      <c r="AP42" s="247">
        <v>0</v>
      </c>
      <c r="AQ42" s="248">
        <f t="shared" si="3"/>
        <v>11874814.974437499</v>
      </c>
      <c r="AR42" s="249">
        <f t="shared" si="4"/>
        <v>11874814.974437499</v>
      </c>
      <c r="AT42" s="250" t="s">
        <v>693</v>
      </c>
      <c r="AU42" s="267" t="str">
        <f t="shared" si="9"/>
        <v>9/30/2025 or Latest Financing</v>
      </c>
      <c r="AV42" s="250">
        <v>106.5</v>
      </c>
      <c r="AW42" s="252">
        <f t="shared" si="5"/>
        <v>106.5</v>
      </c>
      <c r="AX42" s="279">
        <v>2.8</v>
      </c>
      <c r="AY42" s="280">
        <f t="shared" si="6"/>
        <v>2.8</v>
      </c>
      <c r="AZ42" s="255">
        <f>INDEX('SM Support'!$G$3:$G$64,MATCH('Loan Tape - Settled'!G42,'SM Support'!$B$3:$B$64,0))/1000000</f>
        <v>111.097629</v>
      </c>
      <c r="BA42" s="252">
        <f t="shared" si="7"/>
        <v>111.097629</v>
      </c>
      <c r="BB42" s="256"/>
      <c r="BC42" s="257">
        <f>INDEX('SM Support'!$M$3:$M$64,MATCH('Loan Tape - Settled'!G42,'SM Support'!$B$3:$B$64,0))</f>
        <v>3.3412909168790632</v>
      </c>
      <c r="BD42" s="280">
        <f t="shared" si="8"/>
        <v>3.3412909168790632</v>
      </c>
      <c r="BE42" s="286">
        <v>2.81</v>
      </c>
      <c r="BF42" s="285">
        <f>INDEX('SM Support'!O$3:O$64,MATCH('Loan Tape - Settled'!$G42,'SM Support'!$B$3:$B$64,0))</f>
        <v>2.8630128767110001</v>
      </c>
      <c r="BG42" s="640"/>
      <c r="BH42" s="640"/>
      <c r="BI42" s="258">
        <f>INDEX('SM Support'!$M$3:$M$144,MATCH('Loan Tape - Settled'!G42,'SM Support'!$B$3:$B$144,0))</f>
        <v>3.3412909168790632</v>
      </c>
      <c r="BJ42" s="258">
        <f>INDEX('SM Support'!$N$3:$N$144,MATCH('Loan Tape - Settled'!G42,'SM Support'!$B$3:$B$144,0))</f>
        <v>0.44868430264497372</v>
      </c>
    </row>
    <row r="43" spans="1:62" ht="15" customHeight="1" x14ac:dyDescent="0.45">
      <c r="A43" s="227" t="str">
        <f t="shared" si="0"/>
        <v>smc39</v>
      </c>
      <c r="B43" s="228">
        <f t="shared" si="1"/>
        <v>46022</v>
      </c>
      <c r="C43" s="259" t="s">
        <v>60</v>
      </c>
      <c r="D43" s="260" t="s">
        <v>1</v>
      </c>
      <c r="E43" s="261">
        <f t="shared" si="10"/>
        <v>39</v>
      </c>
      <c r="F43" s="287">
        <f t="shared" si="11"/>
        <v>100039</v>
      </c>
      <c r="G43" s="230" t="s">
        <v>709</v>
      </c>
      <c r="H43" s="230" t="s">
        <v>448</v>
      </c>
      <c r="I43" s="231"/>
      <c r="J43" s="232" t="s">
        <v>239</v>
      </c>
      <c r="K43" s="232" t="s">
        <v>690</v>
      </c>
      <c r="L43" s="264" t="s">
        <v>102</v>
      </c>
      <c r="M43" s="233">
        <f>INDEX('SM Support'!$D$3:$D$64,MATCH('Loan Tape - Settled'!G43,'SM Support'!$B$3:$B$62,0))</f>
        <v>10467396.8911747</v>
      </c>
      <c r="N43" s="234">
        <f t="shared" si="2"/>
        <v>10467396.8911747</v>
      </c>
      <c r="O43" s="235"/>
      <c r="P43" s="235"/>
      <c r="Q43" s="236">
        <v>1</v>
      </c>
      <c r="R43" s="268"/>
      <c r="S43" s="238">
        <f>INDEX('SM Support'!$E$3:$E$64,MATCH('Loan Tape - Settled'!G43,'SM Support'!$B$3:$B$64,0))/INDEX('SM Support'!$D$3:$D$64,MATCH('Loan Tape - Settled'!G43,'SM Support'!$B$3:$B$64,0))</f>
        <v>1.0020500000000001</v>
      </c>
      <c r="T43" s="230" t="s">
        <v>393</v>
      </c>
      <c r="U43" s="277">
        <v>45656</v>
      </c>
      <c r="V43" s="293">
        <v>47664</v>
      </c>
      <c r="W43" s="230" t="s">
        <v>691</v>
      </c>
      <c r="X43" s="294" t="s">
        <v>379</v>
      </c>
      <c r="Y43" s="230" t="s">
        <v>692</v>
      </c>
      <c r="Z43" s="240" t="s">
        <v>244</v>
      </c>
      <c r="AA43" s="241"/>
      <c r="AB43" s="241"/>
      <c r="AC43" s="242"/>
      <c r="AD43" s="290">
        <v>0</v>
      </c>
      <c r="AE43" s="290">
        <v>5.1942789598514061E-2</v>
      </c>
      <c r="AF43" s="290">
        <v>0.01</v>
      </c>
      <c r="AG43" s="243"/>
      <c r="AH43" s="243"/>
      <c r="AI43" s="244"/>
      <c r="AJ43" s="245"/>
      <c r="AK43" s="245"/>
      <c r="AL43" s="245"/>
      <c r="AM43" s="245"/>
      <c r="AN43" s="281">
        <v>45656</v>
      </c>
      <c r="AO43" s="281">
        <v>45656</v>
      </c>
      <c r="AP43" s="247">
        <v>0</v>
      </c>
      <c r="AQ43" s="248">
        <f t="shared" si="3"/>
        <v>10467396.8911747</v>
      </c>
      <c r="AR43" s="249">
        <f t="shared" si="4"/>
        <v>10467396.8911747</v>
      </c>
      <c r="AT43" s="250" t="s">
        <v>693</v>
      </c>
      <c r="AU43" s="267" t="str">
        <f t="shared" si="9"/>
        <v>9/30/2025 or Latest Financing</v>
      </c>
      <c r="AV43" s="250">
        <v>137</v>
      </c>
      <c r="AW43" s="252">
        <f t="shared" si="5"/>
        <v>137</v>
      </c>
      <c r="AX43" s="279">
        <v>4.0999999999999996</v>
      </c>
      <c r="AY43" s="280">
        <f t="shared" si="6"/>
        <v>4.0999999999999996</v>
      </c>
      <c r="AZ43" s="255">
        <f>INDEX('SM Support'!$G$3:$G$64,MATCH('Loan Tape - Settled'!G43,'SM Support'!$B$3:$B$64,0))/1000000</f>
        <v>151.99</v>
      </c>
      <c r="BA43" s="252">
        <f t="shared" si="7"/>
        <v>151.99</v>
      </c>
      <c r="BB43" s="256"/>
      <c r="BC43" s="257">
        <f>INDEX('SM Support'!$M$3:$M$64,MATCH('Loan Tape - Settled'!G43,'SM Support'!$B$3:$B$64,0))</f>
        <v>3.9299966557721682</v>
      </c>
      <c r="BD43" s="280">
        <f t="shared" si="8"/>
        <v>3.9299966557721682</v>
      </c>
      <c r="BE43" s="286">
        <v>2.2000000000000002</v>
      </c>
      <c r="BF43" s="285">
        <f>INDEX('SM Support'!O$3:O$64,MATCH('Loan Tape - Settled'!$G43,'SM Support'!$B$3:$B$64,0))</f>
        <v>2.3660493037210002</v>
      </c>
      <c r="BG43" s="640"/>
      <c r="BH43" s="640"/>
      <c r="BI43" s="258">
        <f>INDEX('SM Support'!$M$3:$M$144,MATCH('Loan Tape - Settled'!G43,'SM Support'!$B$3:$B$144,0))</f>
        <v>3.9299966557721682</v>
      </c>
      <c r="BJ43" s="258">
        <f>INDEX('SM Support'!$N$3:$N$144,MATCH('Loan Tape - Settled'!G43,'SM Support'!$B$3:$B$144,0))</f>
        <v>-0.15103294295677341</v>
      </c>
    </row>
    <row r="44" spans="1:62" ht="15" customHeight="1" x14ac:dyDescent="0.45">
      <c r="A44" s="227" t="str">
        <f t="shared" si="0"/>
        <v>smc40</v>
      </c>
      <c r="B44" s="228">
        <f t="shared" si="1"/>
        <v>46022</v>
      </c>
      <c r="C44" s="259" t="s">
        <v>60</v>
      </c>
      <c r="D44" s="260" t="s">
        <v>1</v>
      </c>
      <c r="E44" s="261">
        <f t="shared" si="10"/>
        <v>40</v>
      </c>
      <c r="F44" s="287">
        <f t="shared" si="11"/>
        <v>100040</v>
      </c>
      <c r="G44" s="230" t="s">
        <v>710</v>
      </c>
      <c r="H44" s="230" t="s">
        <v>448</v>
      </c>
      <c r="I44" s="231"/>
      <c r="J44" s="232" t="s">
        <v>239</v>
      </c>
      <c r="K44" s="232" t="s">
        <v>690</v>
      </c>
      <c r="L44" s="264" t="s">
        <v>102</v>
      </c>
      <c r="M44" s="233">
        <f>INDEX('SM Support'!$D$3:$D$64,MATCH('Loan Tape - Settled'!G44,'SM Support'!$B$3:$B$62,0))</f>
        <v>12328190.538985001</v>
      </c>
      <c r="N44" s="234">
        <f t="shared" si="2"/>
        <v>12328190.538985001</v>
      </c>
      <c r="O44" s="235"/>
      <c r="P44" s="235"/>
      <c r="Q44" s="236">
        <v>1</v>
      </c>
      <c r="R44" s="268"/>
      <c r="S44" s="238">
        <f>INDEX('SM Support'!$E$3:$E$64,MATCH('Loan Tape - Settled'!G44,'SM Support'!$B$3:$B$64,0))/INDEX('SM Support'!$D$3:$D$64,MATCH('Loan Tape - Settled'!G44,'SM Support'!$B$3:$B$64,0))</f>
        <v>0.99220000000000008</v>
      </c>
      <c r="T44" s="230" t="s">
        <v>393</v>
      </c>
      <c r="U44" s="277">
        <v>45733</v>
      </c>
      <c r="V44" s="293">
        <v>47378</v>
      </c>
      <c r="W44" s="230" t="s">
        <v>691</v>
      </c>
      <c r="X44" s="294" t="s">
        <v>327</v>
      </c>
      <c r="Y44" s="230" t="s">
        <v>692</v>
      </c>
      <c r="Z44" s="240" t="s">
        <v>244</v>
      </c>
      <c r="AA44" s="241"/>
      <c r="AB44" s="241"/>
      <c r="AC44" s="242"/>
      <c r="AD44" s="290">
        <v>8.5134000000000008E-3</v>
      </c>
      <c r="AE44" s="290">
        <v>7.1486600000000011E-2</v>
      </c>
      <c r="AF44" s="290">
        <v>0.03</v>
      </c>
      <c r="AG44" s="243"/>
      <c r="AH44" s="243"/>
      <c r="AI44" s="244"/>
      <c r="AJ44" s="245"/>
      <c r="AK44" s="245"/>
      <c r="AL44" s="245"/>
      <c r="AM44" s="245"/>
      <c r="AN44" s="281">
        <v>45733</v>
      </c>
      <c r="AO44" s="281">
        <v>45733</v>
      </c>
      <c r="AP44" s="247">
        <v>0</v>
      </c>
      <c r="AQ44" s="248">
        <f t="shared" si="3"/>
        <v>12328190.538985001</v>
      </c>
      <c r="AR44" s="249">
        <f t="shared" si="4"/>
        <v>12328190.538985001</v>
      </c>
      <c r="AT44" s="250" t="s">
        <v>693</v>
      </c>
      <c r="AU44" s="267" t="str">
        <f t="shared" si="9"/>
        <v>9/30/2025 or Latest Financing</v>
      </c>
      <c r="AV44" s="250">
        <v>318.2</v>
      </c>
      <c r="AW44" s="252">
        <f t="shared" si="5"/>
        <v>318.2</v>
      </c>
      <c r="AX44" s="279">
        <v>2.2999999999999998</v>
      </c>
      <c r="AY44" s="280">
        <f t="shared" si="6"/>
        <v>2.2999999999999998</v>
      </c>
      <c r="AZ44" s="255">
        <f>INDEX('SM Support'!$G$3:$G$64,MATCH('Loan Tape - Settled'!G44,'SM Support'!$B$3:$B$64,0))/1000000</f>
        <v>37.950145810000059</v>
      </c>
      <c r="BA44" s="252">
        <f t="shared" si="7"/>
        <v>37.950145810000059</v>
      </c>
      <c r="BB44" s="256"/>
      <c r="BC44" s="257">
        <f>INDEX('SM Support'!$M$3:$M$64,MATCH('Loan Tape - Settled'!G44,'SM Support'!$B$3:$B$64,0))</f>
        <v>2.7587482721296626</v>
      </c>
      <c r="BD44" s="280">
        <f t="shared" si="8"/>
        <v>2.7587482721296626</v>
      </c>
      <c r="BE44" s="286">
        <v>3.98</v>
      </c>
      <c r="BF44" s="285">
        <f>INDEX('SM Support'!O$3:O$64,MATCH('Loan Tape - Settled'!$G44,'SM Support'!$B$3:$B$64,0))</f>
        <v>3.4317379813660001</v>
      </c>
      <c r="BG44" s="640"/>
      <c r="BH44" s="640"/>
      <c r="BI44" s="258">
        <f>INDEX('SM Support'!$M$3:$M$144,MATCH('Loan Tape - Settled'!G44,'SM Support'!$B$3:$B$144,0))</f>
        <v>2.7587482721296626</v>
      </c>
      <c r="BJ44" s="258">
        <f>INDEX('SM Support'!$N$3:$N$144,MATCH('Loan Tape - Settled'!G44,'SM Support'!$B$3:$B$144,0))</f>
        <v>0.96066168447746314</v>
      </c>
    </row>
    <row r="45" spans="1:62" ht="15" customHeight="1" x14ac:dyDescent="0.45">
      <c r="A45" s="227" t="str">
        <f t="shared" si="0"/>
        <v>smc41</v>
      </c>
      <c r="B45" s="228">
        <f t="shared" si="1"/>
        <v>46022</v>
      </c>
      <c r="C45" s="259" t="s">
        <v>60</v>
      </c>
      <c r="D45" s="260" t="s">
        <v>1</v>
      </c>
      <c r="E45" s="261">
        <f t="shared" si="10"/>
        <v>41</v>
      </c>
      <c r="F45" s="287">
        <f t="shared" si="11"/>
        <v>100041</v>
      </c>
      <c r="G45" s="230" t="s">
        <v>711</v>
      </c>
      <c r="H45" s="230" t="s">
        <v>240</v>
      </c>
      <c r="I45" s="231"/>
      <c r="J45" s="232" t="s">
        <v>240</v>
      </c>
      <c r="K45" s="232" t="s">
        <v>690</v>
      </c>
      <c r="L45" s="264" t="s">
        <v>102</v>
      </c>
      <c r="M45" s="233">
        <f>INDEX('SM Support'!$D$3:$D$64,MATCH('Loan Tape - Settled'!G45,'SM Support'!$B$3:$B$62,0))</f>
        <v>1883560.9969692549</v>
      </c>
      <c r="N45" s="234">
        <f t="shared" si="2"/>
        <v>1883560.9969692549</v>
      </c>
      <c r="O45" s="235"/>
      <c r="P45" s="235"/>
      <c r="Q45" s="236">
        <v>1</v>
      </c>
      <c r="R45" s="268"/>
      <c r="S45" s="238">
        <f>INDEX('SM Support'!$E$3:$E$64,MATCH('Loan Tape - Settled'!G45,'SM Support'!$B$3:$B$64,0))/INDEX('SM Support'!$D$3:$D$64,MATCH('Loan Tape - Settled'!G45,'SM Support'!$B$3:$B$64,0))</f>
        <v>1</v>
      </c>
      <c r="T45" s="230" t="s">
        <v>393</v>
      </c>
      <c r="U45" s="277">
        <v>45996</v>
      </c>
      <c r="V45" s="293">
        <v>47822</v>
      </c>
      <c r="W45" s="230" t="s">
        <v>691</v>
      </c>
      <c r="X45" s="278" t="s">
        <v>322</v>
      </c>
      <c r="Y45" s="713" t="s">
        <v>692</v>
      </c>
      <c r="Z45" s="714" t="s">
        <v>244</v>
      </c>
      <c r="AA45" s="715"/>
      <c r="AB45" s="715"/>
      <c r="AC45" s="716"/>
      <c r="AD45" s="717">
        <v>0</v>
      </c>
      <c r="AE45" s="717">
        <v>6.9199999999999998E-2</v>
      </c>
      <c r="AF45" s="717">
        <v>0.02</v>
      </c>
      <c r="AG45" s="243"/>
      <c r="AH45" s="243"/>
      <c r="AI45" s="244"/>
      <c r="AJ45" s="245"/>
      <c r="AK45" s="245"/>
      <c r="AL45" s="245"/>
      <c r="AM45" s="245"/>
      <c r="AN45" s="281">
        <v>45996</v>
      </c>
      <c r="AO45" s="281">
        <v>45996</v>
      </c>
      <c r="AP45" s="247">
        <v>0</v>
      </c>
      <c r="AQ45" s="248">
        <f t="shared" si="3"/>
        <v>1883560.9969692549</v>
      </c>
      <c r="AR45" s="249">
        <f t="shared" si="4"/>
        <v>1883560.9969692549</v>
      </c>
      <c r="AT45" s="250" t="s">
        <v>693</v>
      </c>
      <c r="AU45" s="267" t="str">
        <f t="shared" si="9"/>
        <v>9/30/2025 or Latest Financing</v>
      </c>
      <c r="AV45" s="250">
        <v>11.6</v>
      </c>
      <c r="AW45" s="252">
        <f t="shared" si="5"/>
        <v>11.6</v>
      </c>
      <c r="AX45" s="279">
        <v>2</v>
      </c>
      <c r="AY45" s="280">
        <f t="shared" si="6"/>
        <v>2</v>
      </c>
      <c r="AZ45" s="255">
        <f>INDEX('SM Support'!$G$3:$G$64,MATCH('Loan Tape - Settled'!G45,'SM Support'!$B$3:$B$64,0))/1000000</f>
        <v>11.6</v>
      </c>
      <c r="BA45" s="252">
        <f t="shared" si="7"/>
        <v>11.6</v>
      </c>
      <c r="BB45" s="256"/>
      <c r="BC45" s="257">
        <f>INDEX('SM Support'!$M$3:$M$64,MATCH('Loan Tape - Settled'!G45,'SM Support'!$B$3:$B$64,0))</f>
        <v>1.9777586206896551</v>
      </c>
      <c r="BD45" s="280">
        <f t="shared" si="8"/>
        <v>1.9777586206896551</v>
      </c>
      <c r="BE45" s="286">
        <v>1.74</v>
      </c>
      <c r="BF45" s="285">
        <f>INDEX('SM Support'!O$3:O$64,MATCH('Loan Tape - Settled'!$G45,'SM Support'!$B$3:$B$64,0))</f>
        <v>1.74</v>
      </c>
      <c r="BG45" s="640"/>
      <c r="BH45" s="640"/>
      <c r="BI45" s="258">
        <f>INDEX('SM Support'!$M$3:$M$144,MATCH('Loan Tape - Settled'!G45,'SM Support'!$B$3:$B$144,0))</f>
        <v>1.9777586206896551</v>
      </c>
      <c r="BJ45" s="258">
        <f>INDEX('SM Support'!$N$3:$N$144,MATCH('Loan Tape - Settled'!G45,'SM Support'!$B$3:$B$144,0))</f>
        <v>0.68465517241379314</v>
      </c>
    </row>
    <row r="46" spans="1:62" ht="15" customHeight="1" x14ac:dyDescent="0.45">
      <c r="A46" s="227" t="str">
        <f t="shared" ref="A46" si="12">CONCATENATE(C46,E46)</f>
        <v>smc42</v>
      </c>
      <c r="B46" s="228">
        <f t="shared" si="1"/>
        <v>46022</v>
      </c>
      <c r="C46" s="259" t="s">
        <v>60</v>
      </c>
      <c r="D46" s="260" t="s">
        <v>1</v>
      </c>
      <c r="E46" s="261">
        <f t="shared" si="10"/>
        <v>42</v>
      </c>
      <c r="F46" s="287">
        <f t="shared" si="11"/>
        <v>100042</v>
      </c>
      <c r="G46" s="230" t="s">
        <v>2603</v>
      </c>
      <c r="H46" s="230" t="s">
        <v>240</v>
      </c>
      <c r="I46" s="231"/>
      <c r="J46" s="232" t="s">
        <v>240</v>
      </c>
      <c r="K46" s="232" t="s">
        <v>690</v>
      </c>
      <c r="L46" s="264" t="s">
        <v>102</v>
      </c>
      <c r="M46" s="233">
        <f>INDEX('SM Support'!$D$3:$D$64,MATCH('Loan Tape - Settled'!G46,'SM Support'!$B$3:$B$62,0))</f>
        <v>15000000</v>
      </c>
      <c r="N46" s="234">
        <f t="shared" ref="N46" si="13">M46</f>
        <v>15000000</v>
      </c>
      <c r="O46" s="235"/>
      <c r="P46" s="235"/>
      <c r="Q46" s="236">
        <v>1</v>
      </c>
      <c r="R46" s="268"/>
      <c r="S46" s="238">
        <f>INDEX('SM Support'!$E$3:$E$64,MATCH('Loan Tape - Settled'!G46,'SM Support'!$B$3:$B$64,0))/INDEX('SM Support'!$D$3:$D$64,MATCH('Loan Tape - Settled'!G46,'SM Support'!$B$3:$B$64,0))</f>
        <v>1</v>
      </c>
      <c r="T46" s="230" t="s">
        <v>393</v>
      </c>
      <c r="U46" s="277">
        <v>46092</v>
      </c>
      <c r="V46" s="293">
        <v>47918</v>
      </c>
      <c r="W46" s="230" t="s">
        <v>691</v>
      </c>
      <c r="X46" s="278" t="s">
        <v>324</v>
      </c>
      <c r="Y46" s="713" t="s">
        <v>692</v>
      </c>
      <c r="Z46" s="714" t="s">
        <v>244</v>
      </c>
      <c r="AA46" s="715"/>
      <c r="AB46" s="715"/>
      <c r="AC46" s="716"/>
      <c r="AD46" s="717">
        <v>0</v>
      </c>
      <c r="AE46" s="717">
        <v>7.4999999999999997E-2</v>
      </c>
      <c r="AF46" s="717">
        <v>0.02</v>
      </c>
      <c r="AG46" s="243"/>
      <c r="AH46" s="243"/>
      <c r="AI46" s="244"/>
      <c r="AJ46" s="245"/>
      <c r="AK46" s="245"/>
      <c r="AL46" s="245"/>
      <c r="AM46" s="245"/>
      <c r="AN46" s="281">
        <v>45996</v>
      </c>
      <c r="AO46" s="281">
        <v>46092</v>
      </c>
      <c r="AP46" s="247">
        <v>0</v>
      </c>
      <c r="AQ46" s="248">
        <f t="shared" si="3"/>
        <v>15000000</v>
      </c>
      <c r="AR46" s="249">
        <f t="shared" si="4"/>
        <v>15000000</v>
      </c>
      <c r="AT46" s="250" t="s">
        <v>693</v>
      </c>
      <c r="AU46" s="267" t="str">
        <f t="shared" si="9"/>
        <v>9/30/2025 or Latest Financing</v>
      </c>
      <c r="AV46" s="250">
        <v>11.6</v>
      </c>
      <c r="AW46" s="252">
        <f t="shared" ref="AW46" si="14">AV46</f>
        <v>11.6</v>
      </c>
      <c r="AX46" s="279">
        <v>2</v>
      </c>
      <c r="AY46" s="280">
        <f t="shared" ref="AY46" si="15">AX46</f>
        <v>2</v>
      </c>
      <c r="AZ46" s="255">
        <f>INDEX('SM Support'!$G$3:$G$64,MATCH('Loan Tape - Settled'!G46,'SM Support'!$B$3:$B$64,0))/1000000</f>
        <v>20</v>
      </c>
      <c r="BA46" s="252">
        <f t="shared" ref="BA46" si="16">AZ46</f>
        <v>20</v>
      </c>
      <c r="BB46" s="256"/>
      <c r="BC46" s="257">
        <f>INDEX('SM Support'!$M$3:$M$64,MATCH('Loan Tape - Settled'!G46,'SM Support'!$B$3:$B$64,0))</f>
        <v>3.75</v>
      </c>
      <c r="BD46" s="280">
        <f t="shared" ref="BD46" si="17">BC46</f>
        <v>3.75</v>
      </c>
      <c r="BE46" s="286">
        <v>1.74</v>
      </c>
      <c r="BF46" s="285">
        <f>INDEX('SM Support'!O$3:O$64,MATCH('Loan Tape - Settled'!$G46,'SM Support'!$B$3:$B$64,0))</f>
        <v>3</v>
      </c>
      <c r="BG46" s="640"/>
      <c r="BH46" s="640"/>
      <c r="BI46" s="258">
        <f>INDEX('SM Support'!$M$3:$M$144,MATCH('Loan Tape - Settled'!G46,'SM Support'!$B$3:$B$144,0))</f>
        <v>3.75</v>
      </c>
      <c r="BJ46" s="258">
        <f>INDEX('SM Support'!$N$3:$N$144,MATCH('Loan Tape - Settled'!G46,'SM Support'!$B$3:$B$144,0))</f>
        <v>0.75</v>
      </c>
    </row>
    <row r="47" spans="1:62" ht="15" customHeight="1" x14ac:dyDescent="0.45">
      <c r="A47" s="227"/>
      <c r="B47" s="228"/>
      <c r="C47" s="259"/>
      <c r="D47" s="260"/>
      <c r="E47" s="261"/>
      <c r="F47" s="287"/>
      <c r="G47" s="230"/>
      <c r="H47" s="230"/>
      <c r="I47" s="231"/>
      <c r="J47" s="232"/>
      <c r="K47" s="232"/>
      <c r="L47" s="264"/>
      <c r="M47" s="233"/>
      <c r="N47" s="234"/>
      <c r="O47" s="235"/>
      <c r="P47" s="235"/>
      <c r="Q47" s="236"/>
      <c r="R47" s="268"/>
      <c r="S47" s="238"/>
      <c r="T47" s="230"/>
      <c r="U47" s="277"/>
      <c r="V47" s="293"/>
      <c r="W47" s="230"/>
      <c r="X47" s="294"/>
      <c r="Y47" s="230"/>
      <c r="Z47" s="240"/>
      <c r="AA47" s="241"/>
      <c r="AB47" s="241"/>
      <c r="AC47" s="242"/>
      <c r="AD47" s="290"/>
      <c r="AE47" s="290"/>
      <c r="AF47" s="290"/>
      <c r="AG47" s="243"/>
      <c r="AH47" s="243"/>
      <c r="AI47" s="244"/>
      <c r="AJ47" s="245"/>
      <c r="AK47" s="245"/>
      <c r="AL47" s="245"/>
      <c r="AM47" s="245"/>
      <c r="AN47" s="246"/>
      <c r="AO47" s="246"/>
      <c r="AP47" s="247"/>
      <c r="AQ47" s="248"/>
      <c r="AR47" s="249"/>
      <c r="AT47" s="634"/>
      <c r="AU47" s="635"/>
      <c r="AV47" s="634"/>
      <c r="AW47" s="636"/>
      <c r="AX47" s="637"/>
      <c r="AY47" s="638"/>
      <c r="AZ47" s="639"/>
      <c r="BA47" s="636"/>
      <c r="BB47" s="640"/>
      <c r="BC47" s="641"/>
      <c r="BD47" s="638"/>
      <c r="BE47" s="642"/>
      <c r="BF47" s="643"/>
      <c r="BG47" s="640"/>
      <c r="BH47" s="640"/>
      <c r="BI47" s="644"/>
      <c r="BJ47" s="644"/>
    </row>
    <row r="48" spans="1:62" ht="15" customHeight="1" x14ac:dyDescent="0.45">
      <c r="A48" s="227"/>
      <c r="B48" s="228"/>
      <c r="C48" s="259"/>
      <c r="D48" s="260"/>
      <c r="E48" s="261"/>
      <c r="F48" s="287"/>
      <c r="G48" s="230"/>
      <c r="H48" s="230"/>
      <c r="I48" s="231"/>
      <c r="J48" s="232"/>
      <c r="K48" s="232"/>
      <c r="L48" s="264"/>
      <c r="M48" s="233"/>
      <c r="N48" s="234"/>
      <c r="O48" s="235"/>
      <c r="P48" s="235"/>
      <c r="Q48" s="236"/>
      <c r="R48" s="268"/>
      <c r="S48" s="238"/>
      <c r="T48" s="230"/>
      <c r="U48" s="277"/>
      <c r="V48" s="293"/>
      <c r="W48" s="230"/>
      <c r="X48" s="294"/>
      <c r="Y48" s="230"/>
      <c r="Z48" s="240"/>
      <c r="AA48" s="241"/>
      <c r="AB48" s="241"/>
      <c r="AC48" s="242"/>
      <c r="AD48" s="290"/>
      <c r="AE48" s="290"/>
      <c r="AF48" s="290"/>
      <c r="AG48" s="243"/>
      <c r="AH48" s="243"/>
      <c r="AI48" s="244"/>
      <c r="AJ48" s="245"/>
      <c r="AK48" s="245"/>
      <c r="AL48" s="245"/>
      <c r="AM48" s="245"/>
      <c r="AN48" s="246"/>
      <c r="AO48" s="246"/>
      <c r="AP48" s="247"/>
      <c r="AQ48" s="248"/>
      <c r="AR48" s="249"/>
      <c r="AT48" s="634"/>
      <c r="AU48" s="635"/>
      <c r="AV48" s="634"/>
      <c r="AW48" s="636"/>
      <c r="AX48" s="637"/>
      <c r="AY48" s="638"/>
      <c r="AZ48" s="639"/>
      <c r="BA48" s="636"/>
      <c r="BB48" s="640"/>
      <c r="BC48" s="641"/>
      <c r="BD48" s="638"/>
      <c r="BE48" s="642"/>
      <c r="BF48" s="643"/>
      <c r="BG48" s="640"/>
      <c r="BH48" s="640"/>
      <c r="BI48" s="644"/>
      <c r="BJ48" s="644"/>
    </row>
    <row r="49" spans="1:62" ht="15" customHeight="1" x14ac:dyDescent="0.45">
      <c r="A49" s="227"/>
      <c r="B49" s="228"/>
      <c r="C49" s="259"/>
      <c r="D49" s="260"/>
      <c r="E49" s="261"/>
      <c r="F49" s="287"/>
      <c r="G49" s="230"/>
      <c r="H49" s="230"/>
      <c r="I49" s="231"/>
      <c r="J49" s="232"/>
      <c r="K49" s="232"/>
      <c r="L49" s="264"/>
      <c r="M49" s="233"/>
      <c r="N49" s="234"/>
      <c r="O49" s="235"/>
      <c r="P49" s="235"/>
      <c r="Q49" s="236"/>
      <c r="R49" s="268"/>
      <c r="S49" s="238"/>
      <c r="T49" s="230"/>
      <c r="U49" s="277"/>
      <c r="V49" s="293"/>
      <c r="W49" s="230"/>
      <c r="X49" s="294"/>
      <c r="Y49" s="230"/>
      <c r="Z49" s="240"/>
      <c r="AA49" s="241"/>
      <c r="AB49" s="241"/>
      <c r="AC49" s="242"/>
      <c r="AD49" s="290"/>
      <c r="AE49" s="290"/>
      <c r="AF49" s="290"/>
      <c r="AG49" s="243"/>
      <c r="AH49" s="243"/>
      <c r="AI49" s="244"/>
      <c r="AJ49" s="245"/>
      <c r="AK49" s="245"/>
      <c r="AL49" s="245"/>
      <c r="AM49" s="245"/>
      <c r="AN49" s="246"/>
      <c r="AO49" s="246"/>
      <c r="AP49" s="247"/>
      <c r="AQ49" s="248"/>
      <c r="AR49" s="249"/>
      <c r="AT49" s="634"/>
      <c r="AU49" s="635"/>
      <c r="AV49" s="634"/>
      <c r="AW49" s="636"/>
      <c r="AX49" s="637"/>
      <c r="AY49" s="638"/>
      <c r="AZ49" s="639"/>
      <c r="BA49" s="636"/>
      <c r="BB49" s="640"/>
      <c r="BC49" s="641"/>
      <c r="BD49" s="638"/>
      <c r="BE49" s="642"/>
      <c r="BF49" s="643"/>
      <c r="BG49" s="640"/>
      <c r="BH49" s="640"/>
      <c r="BI49" s="644"/>
      <c r="BJ49" s="644"/>
    </row>
    <row r="50" spans="1:62" ht="15" customHeight="1" x14ac:dyDescent="0.45">
      <c r="A50" s="227"/>
      <c r="B50" s="228"/>
      <c r="C50" s="259"/>
      <c r="D50" s="260"/>
      <c r="E50" s="261"/>
      <c r="F50" s="287"/>
      <c r="G50" s="230"/>
      <c r="H50" s="230"/>
      <c r="I50" s="231"/>
      <c r="J50" s="232"/>
      <c r="K50" s="232"/>
      <c r="L50" s="264"/>
      <c r="M50" s="233"/>
      <c r="N50" s="234"/>
      <c r="O50" s="235"/>
      <c r="P50" s="235"/>
      <c r="Q50" s="236"/>
      <c r="R50" s="268"/>
      <c r="S50" s="238"/>
      <c r="T50" s="230"/>
      <c r="U50" s="277"/>
      <c r="V50" s="293"/>
      <c r="W50" s="230"/>
      <c r="X50" s="294"/>
      <c r="Y50" s="230"/>
      <c r="Z50" s="240"/>
      <c r="AA50" s="241"/>
      <c r="AB50" s="241"/>
      <c r="AC50" s="242"/>
      <c r="AD50" s="290"/>
      <c r="AE50" s="290"/>
      <c r="AF50" s="290"/>
      <c r="AG50" s="243"/>
      <c r="AH50" s="243"/>
      <c r="AI50" s="244"/>
      <c r="AJ50" s="245"/>
      <c r="AK50" s="245"/>
      <c r="AL50" s="245"/>
      <c r="AM50" s="245"/>
      <c r="AN50" s="246"/>
      <c r="AO50" s="246"/>
      <c r="AP50" s="247"/>
      <c r="AQ50" s="248"/>
      <c r="AR50" s="249"/>
      <c r="AT50" s="634"/>
      <c r="AU50" s="635"/>
      <c r="AV50" s="634"/>
      <c r="AW50" s="636"/>
      <c r="AX50" s="637"/>
      <c r="AY50" s="638"/>
      <c r="AZ50" s="639"/>
      <c r="BA50" s="636"/>
      <c r="BB50" s="640"/>
      <c r="BC50" s="641"/>
      <c r="BD50" s="638"/>
      <c r="BE50" s="642"/>
      <c r="BF50" s="643"/>
      <c r="BG50" s="640"/>
      <c r="BH50" s="640"/>
      <c r="BI50" s="644"/>
      <c r="BJ50" s="644"/>
    </row>
    <row r="51" spans="1:62" ht="15" customHeight="1" x14ac:dyDescent="0.45">
      <c r="A51" s="227"/>
      <c r="B51" s="228"/>
      <c r="C51" s="259"/>
      <c r="D51" s="260"/>
      <c r="E51" s="261"/>
      <c r="F51" s="287"/>
      <c r="G51" s="230"/>
      <c r="H51" s="230"/>
      <c r="I51" s="231"/>
      <c r="J51" s="232"/>
      <c r="K51" s="232"/>
      <c r="L51" s="264"/>
      <c r="M51" s="233"/>
      <c r="N51" s="234"/>
      <c r="O51" s="235"/>
      <c r="P51" s="235"/>
      <c r="Q51" s="236"/>
      <c r="R51" s="268"/>
      <c r="S51" s="238"/>
      <c r="T51" s="230"/>
      <c r="U51" s="277"/>
      <c r="V51" s="293"/>
      <c r="W51" s="230"/>
      <c r="X51" s="294"/>
      <c r="Y51" s="230"/>
      <c r="Z51" s="240"/>
      <c r="AA51" s="241"/>
      <c r="AB51" s="241"/>
      <c r="AC51" s="242"/>
      <c r="AD51" s="290"/>
      <c r="AE51" s="290"/>
      <c r="AF51" s="290"/>
      <c r="AG51" s="243"/>
      <c r="AH51" s="243"/>
      <c r="AI51" s="244"/>
      <c r="AJ51" s="245"/>
      <c r="AK51" s="245"/>
      <c r="AL51" s="245"/>
      <c r="AM51" s="245"/>
      <c r="AN51" s="246"/>
      <c r="AO51" s="246"/>
      <c r="AP51" s="247"/>
      <c r="AQ51" s="248"/>
      <c r="AR51" s="249"/>
      <c r="AT51" s="634"/>
      <c r="AU51" s="635"/>
      <c r="AV51" s="634"/>
      <c r="AW51" s="636"/>
      <c r="AX51" s="637"/>
      <c r="AY51" s="638"/>
      <c r="AZ51" s="639"/>
      <c r="BA51" s="636"/>
      <c r="BB51" s="640"/>
      <c r="BC51" s="641"/>
      <c r="BD51" s="638"/>
      <c r="BE51" s="642"/>
      <c r="BF51" s="643"/>
      <c r="BG51" s="640"/>
      <c r="BH51" s="640"/>
      <c r="BI51" s="644"/>
      <c r="BJ51" s="644"/>
    </row>
    <row r="52" spans="1:62" ht="15" customHeight="1" x14ac:dyDescent="0.45">
      <c r="A52" s="227"/>
      <c r="B52" s="228"/>
      <c r="C52" s="259"/>
      <c r="D52" s="260"/>
      <c r="E52" s="261"/>
      <c r="F52" s="287"/>
      <c r="G52" s="230"/>
      <c r="H52" s="230"/>
      <c r="I52" s="231"/>
      <c r="J52" s="232"/>
      <c r="K52" s="232"/>
      <c r="L52" s="264"/>
      <c r="M52" s="233"/>
      <c r="N52" s="234"/>
      <c r="O52" s="235"/>
      <c r="P52" s="235"/>
      <c r="Q52" s="236"/>
      <c r="R52" s="268"/>
      <c r="S52" s="238"/>
      <c r="T52" s="230"/>
      <c r="U52" s="277"/>
      <c r="V52" s="293"/>
      <c r="W52" s="230"/>
      <c r="X52" s="294"/>
      <c r="Y52" s="230"/>
      <c r="Z52" s="240"/>
      <c r="AA52" s="241"/>
      <c r="AB52" s="241"/>
      <c r="AC52" s="242"/>
      <c r="AD52" s="290"/>
      <c r="AE52" s="290"/>
      <c r="AF52" s="290"/>
      <c r="AG52" s="243"/>
      <c r="AH52" s="243"/>
      <c r="AI52" s="244"/>
      <c r="AJ52" s="245"/>
      <c r="AK52" s="245"/>
      <c r="AL52" s="245"/>
      <c r="AM52" s="245"/>
      <c r="AN52" s="246"/>
      <c r="AO52" s="246"/>
      <c r="AP52" s="247"/>
      <c r="AQ52" s="248"/>
      <c r="AR52" s="249"/>
      <c r="AT52" s="634"/>
      <c r="AU52" s="635"/>
      <c r="AV52" s="634"/>
      <c r="AW52" s="636"/>
      <c r="AX52" s="637"/>
      <c r="AY52" s="638"/>
      <c r="AZ52" s="639"/>
      <c r="BA52" s="636"/>
      <c r="BB52" s="640"/>
      <c r="BC52" s="641"/>
      <c r="BD52" s="638"/>
      <c r="BE52" s="642"/>
      <c r="BF52" s="643"/>
      <c r="BG52" s="640"/>
      <c r="BH52" s="640"/>
      <c r="BI52" s="644"/>
      <c r="BJ52" s="644"/>
    </row>
    <row r="53" spans="1:62" ht="15" customHeight="1" x14ac:dyDescent="0.45">
      <c r="A53" s="227"/>
      <c r="B53" s="228"/>
      <c r="C53" s="259"/>
      <c r="D53" s="260"/>
      <c r="E53" s="261"/>
      <c r="F53" s="287"/>
      <c r="G53" s="230"/>
      <c r="H53" s="230"/>
      <c r="I53" s="231"/>
      <c r="J53" s="232"/>
      <c r="K53" s="232"/>
      <c r="L53" s="264"/>
      <c r="M53" s="233"/>
      <c r="N53" s="234"/>
      <c r="O53" s="235"/>
      <c r="P53" s="235"/>
      <c r="Q53" s="236"/>
      <c r="R53" s="268"/>
      <c r="S53" s="238"/>
      <c r="T53" s="230"/>
      <c r="U53" s="277"/>
      <c r="V53" s="293"/>
      <c r="W53" s="230"/>
      <c r="X53" s="294"/>
      <c r="Y53" s="230"/>
      <c r="Z53" s="240"/>
      <c r="AA53" s="241"/>
      <c r="AB53" s="241"/>
      <c r="AC53" s="242"/>
      <c r="AD53" s="290"/>
      <c r="AE53" s="290"/>
      <c r="AF53" s="290"/>
      <c r="AG53" s="243"/>
      <c r="AH53" s="243"/>
      <c r="AI53" s="244"/>
      <c r="AJ53" s="245"/>
      <c r="AK53" s="245"/>
      <c r="AL53" s="245"/>
      <c r="AM53" s="245"/>
      <c r="AN53" s="246"/>
      <c r="AO53" s="246"/>
      <c r="AP53" s="247"/>
      <c r="AQ53" s="248"/>
      <c r="AR53" s="249"/>
      <c r="AT53" s="634"/>
      <c r="AU53" s="635"/>
      <c r="AV53" s="634"/>
      <c r="AW53" s="636"/>
      <c r="AX53" s="637"/>
      <c r="AY53" s="638"/>
      <c r="AZ53" s="639"/>
      <c r="BA53" s="636"/>
      <c r="BB53" s="640"/>
      <c r="BC53" s="641"/>
      <c r="BD53" s="638"/>
      <c r="BE53" s="642"/>
      <c r="BF53" s="643"/>
      <c r="BG53" s="640"/>
      <c r="BH53" s="640"/>
      <c r="BI53" s="644"/>
      <c r="BJ53" s="644"/>
    </row>
    <row r="54" spans="1:62" ht="15" customHeight="1" x14ac:dyDescent="0.45">
      <c r="A54" s="227"/>
      <c r="B54" s="228"/>
      <c r="C54" s="259"/>
      <c r="D54" s="260"/>
      <c r="E54" s="261"/>
      <c r="F54" s="287"/>
      <c r="G54" s="230"/>
      <c r="H54" s="230"/>
      <c r="I54" s="231"/>
      <c r="J54" s="232"/>
      <c r="K54" s="232"/>
      <c r="L54" s="264"/>
      <c r="M54" s="233"/>
      <c r="N54" s="234"/>
      <c r="O54" s="235"/>
      <c r="P54" s="235"/>
      <c r="Q54" s="236"/>
      <c r="R54" s="268"/>
      <c r="S54" s="238"/>
      <c r="T54" s="230"/>
      <c r="U54" s="277"/>
      <c r="V54" s="293"/>
      <c r="W54" s="230"/>
      <c r="X54" s="294"/>
      <c r="Y54" s="230"/>
      <c r="Z54" s="240"/>
      <c r="AA54" s="241"/>
      <c r="AB54" s="241"/>
      <c r="AC54" s="242"/>
      <c r="AD54" s="290"/>
      <c r="AE54" s="290"/>
      <c r="AF54" s="290"/>
      <c r="AG54" s="243"/>
      <c r="AH54" s="243"/>
      <c r="AI54" s="244"/>
      <c r="AJ54" s="245"/>
      <c r="AK54" s="245"/>
      <c r="AL54" s="245"/>
      <c r="AM54" s="245"/>
      <c r="AN54" s="246"/>
      <c r="AO54" s="246"/>
      <c r="AP54" s="247"/>
      <c r="AQ54" s="248"/>
      <c r="AR54" s="249"/>
      <c r="AT54" s="634"/>
      <c r="AU54" s="635"/>
      <c r="AV54" s="634"/>
      <c r="AW54" s="636"/>
      <c r="AX54" s="637"/>
      <c r="AY54" s="638"/>
      <c r="AZ54" s="639"/>
      <c r="BA54" s="636"/>
      <c r="BB54" s="640"/>
      <c r="BC54" s="641"/>
      <c r="BD54" s="638"/>
      <c r="BE54" s="642"/>
      <c r="BF54" s="643"/>
      <c r="BG54" s="640"/>
      <c r="BH54" s="640"/>
      <c r="BI54" s="644"/>
      <c r="BJ54" s="644"/>
    </row>
    <row r="55" spans="1:62" x14ac:dyDescent="0.45">
      <c r="A55" s="227"/>
      <c r="B55" s="228"/>
      <c r="C55" s="229"/>
      <c r="D55" s="230"/>
      <c r="E55" s="261"/>
      <c r="F55" s="287"/>
      <c r="G55" s="262"/>
      <c r="H55" s="262"/>
      <c r="I55" s="262"/>
      <c r="J55" s="272"/>
      <c r="K55" s="272"/>
      <c r="L55" s="262"/>
      <c r="M55" s="273"/>
      <c r="N55" s="273"/>
      <c r="O55" s="273"/>
      <c r="P55" s="273"/>
      <c r="Q55" s="275"/>
      <c r="R55" s="275"/>
      <c r="S55" s="273"/>
      <c r="T55" s="262"/>
      <c r="U55" s="262"/>
      <c r="V55" s="274"/>
      <c r="W55" s="262"/>
      <c r="X55" s="262"/>
      <c r="Y55" s="262"/>
      <c r="Z55" s="245"/>
      <c r="AA55" s="245"/>
      <c r="AB55" s="245"/>
      <c r="AC55" s="276"/>
      <c r="AD55" s="290"/>
      <c r="AE55" s="290"/>
      <c r="AF55" s="290"/>
      <c r="AG55" s="243"/>
      <c r="AH55" s="243"/>
      <c r="AI55" s="244"/>
      <c r="AJ55" s="245"/>
      <c r="AK55" s="245"/>
      <c r="AL55" s="245"/>
      <c r="AM55" s="245"/>
      <c r="AN55" s="246"/>
      <c r="AO55" s="246"/>
      <c r="AP55" s="247"/>
      <c r="AQ55" s="248"/>
      <c r="AR55" s="249"/>
    </row>
    <row r="56" spans="1:62" s="744" customFormat="1" x14ac:dyDescent="0.45">
      <c r="AD56" s="745"/>
      <c r="AE56" s="745"/>
      <c r="AF56" s="745"/>
      <c r="AG56" s="746"/>
      <c r="AH56" s="746"/>
      <c r="AI56" s="747"/>
      <c r="AJ56" s="748"/>
      <c r="AK56" s="748"/>
      <c r="AL56" s="748"/>
      <c r="AM56" s="748"/>
      <c r="AN56" s="749"/>
      <c r="AO56" s="749"/>
    </row>
    <row r="57" spans="1:62" x14ac:dyDescent="0.45">
      <c r="V57" s="633"/>
      <c r="AD57" s="290"/>
      <c r="AE57" s="290"/>
      <c r="AF57" s="290"/>
      <c r="AG57" s="243"/>
      <c r="AH57" s="243"/>
      <c r="AI57" s="244"/>
      <c r="AJ57" s="245"/>
      <c r="AK57" s="245"/>
      <c r="AL57" s="245"/>
      <c r="AM57" s="245"/>
      <c r="AN57" s="246"/>
      <c r="AO57" s="246"/>
    </row>
    <row r="58" spans="1:62" x14ac:dyDescent="0.45">
      <c r="AD58" s="290"/>
      <c r="AE58" s="290"/>
      <c r="AF58" s="290"/>
      <c r="AG58" s="243"/>
      <c r="AH58" s="243"/>
      <c r="AI58" s="244"/>
      <c r="AJ58" s="245"/>
      <c r="AK58" s="245"/>
      <c r="AL58" s="245"/>
      <c r="AM58" s="245"/>
      <c r="AN58" s="246"/>
      <c r="AO58" s="246"/>
    </row>
    <row r="59" spans="1:62" x14ac:dyDescent="0.45">
      <c r="AD59" s="290"/>
      <c r="AE59" s="290"/>
      <c r="AF59" s="290"/>
      <c r="AG59" s="243"/>
      <c r="AH59" s="243"/>
      <c r="AI59" s="244"/>
      <c r="AJ59" s="245"/>
      <c r="AK59" s="245"/>
      <c r="AL59" s="245"/>
      <c r="AM59" s="245"/>
      <c r="AN59" s="246"/>
      <c r="AO59" s="246"/>
    </row>
    <row r="60" spans="1:62" x14ac:dyDescent="0.45">
      <c r="AD60" s="290"/>
      <c r="AE60" s="290"/>
      <c r="AF60" s="290"/>
      <c r="AG60" s="243"/>
      <c r="AH60" s="243"/>
      <c r="AI60" s="244"/>
      <c r="AJ60" s="245"/>
      <c r="AK60" s="245"/>
      <c r="AL60" s="245"/>
      <c r="AM60" s="245"/>
      <c r="AN60" s="246"/>
      <c r="AO60" s="246"/>
    </row>
    <row r="61" spans="1:62" x14ac:dyDescent="0.45">
      <c r="AD61" s="290"/>
      <c r="AE61" s="290"/>
      <c r="AF61" s="290"/>
      <c r="AG61" s="243"/>
      <c r="AH61" s="243"/>
      <c r="AI61" s="244"/>
      <c r="AJ61" s="245"/>
      <c r="AK61" s="245"/>
      <c r="AL61" s="245"/>
      <c r="AM61" s="245"/>
      <c r="AN61" s="269"/>
      <c r="AO61" s="269"/>
    </row>
    <row r="62" spans="1:62" x14ac:dyDescent="0.45">
      <c r="AD62" s="290"/>
      <c r="AE62" s="290"/>
      <c r="AF62" s="290"/>
      <c r="AG62" s="243"/>
      <c r="AH62" s="243"/>
      <c r="AI62" s="244"/>
      <c r="AJ62" s="245"/>
      <c r="AK62" s="245"/>
      <c r="AL62" s="245"/>
      <c r="AM62" s="245"/>
      <c r="AN62" s="269"/>
      <c r="AO62" s="269"/>
    </row>
    <row r="63" spans="1:62" x14ac:dyDescent="0.45">
      <c r="AD63" s="290"/>
      <c r="AE63" s="290"/>
      <c r="AF63" s="290"/>
      <c r="AG63" s="243"/>
      <c r="AH63" s="243"/>
      <c r="AI63" s="244"/>
      <c r="AJ63" s="245"/>
      <c r="AK63" s="245"/>
      <c r="AL63" s="245"/>
      <c r="AM63" s="245"/>
      <c r="AN63" s="269"/>
      <c r="AO63" s="269"/>
    </row>
    <row r="64" spans="1:62" x14ac:dyDescent="0.45">
      <c r="AD64" s="290"/>
      <c r="AE64" s="290"/>
      <c r="AF64" s="290"/>
      <c r="AG64" s="243"/>
      <c r="AH64" s="243"/>
      <c r="AI64" s="244"/>
      <c r="AJ64" s="245"/>
      <c r="AK64" s="245"/>
      <c r="AL64" s="245"/>
      <c r="AM64" s="245"/>
      <c r="AN64" s="269"/>
      <c r="AO64" s="269"/>
    </row>
    <row r="65" spans="30:41" x14ac:dyDescent="0.45">
      <c r="AD65" s="290"/>
      <c r="AE65" s="290"/>
      <c r="AF65" s="290"/>
      <c r="AG65" s="243"/>
      <c r="AH65" s="243"/>
      <c r="AI65" s="244"/>
      <c r="AJ65" s="245"/>
      <c r="AK65" s="245"/>
      <c r="AL65" s="245"/>
      <c r="AM65" s="245"/>
      <c r="AN65" s="269"/>
      <c r="AO65" s="269"/>
    </row>
    <row r="66" spans="30:41" x14ac:dyDescent="0.45">
      <c r="AD66" s="290"/>
      <c r="AE66" s="290"/>
      <c r="AF66" s="290"/>
      <c r="AG66" s="243"/>
      <c r="AH66" s="243"/>
      <c r="AI66" s="244"/>
      <c r="AJ66" s="245"/>
      <c r="AK66" s="245"/>
      <c r="AL66" s="245"/>
      <c r="AM66" s="245"/>
      <c r="AN66" s="281"/>
      <c r="AO66" s="281"/>
    </row>
    <row r="67" spans="30:41" x14ac:dyDescent="0.45">
      <c r="AD67" s="290"/>
      <c r="AE67" s="290"/>
      <c r="AF67" s="290"/>
      <c r="AG67" s="243"/>
      <c r="AH67" s="243"/>
      <c r="AI67" s="244"/>
      <c r="AJ67" s="245"/>
      <c r="AK67" s="245"/>
      <c r="AL67" s="245"/>
      <c r="AM67" s="245"/>
      <c r="AN67" s="281"/>
      <c r="AO67" s="281"/>
    </row>
    <row r="68" spans="30:41" x14ac:dyDescent="0.45">
      <c r="AD68" s="290"/>
      <c r="AE68" s="290"/>
      <c r="AF68" s="290"/>
      <c r="AG68" s="243"/>
      <c r="AH68" s="243"/>
      <c r="AI68" s="244"/>
      <c r="AJ68" s="245"/>
      <c r="AK68" s="245"/>
      <c r="AL68" s="245"/>
      <c r="AM68" s="245"/>
      <c r="AN68" s="281"/>
      <c r="AO68" s="281"/>
    </row>
    <row r="69" spans="30:41" x14ac:dyDescent="0.45">
      <c r="AD69" s="290"/>
      <c r="AE69" s="290"/>
      <c r="AF69" s="290"/>
      <c r="AG69" s="282"/>
      <c r="AH69" s="282"/>
      <c r="AI69" s="283"/>
      <c r="AJ69" s="265"/>
      <c r="AK69" s="265"/>
      <c r="AL69" s="265"/>
      <c r="AM69" s="265"/>
      <c r="AN69" s="281"/>
      <c r="AO69" s="281"/>
    </row>
    <row r="70" spans="30:41" x14ac:dyDescent="0.45">
      <c r="AD70" s="290"/>
      <c r="AE70" s="290"/>
      <c r="AF70" s="290"/>
      <c r="AG70" s="282"/>
      <c r="AH70" s="282"/>
      <c r="AI70" s="283"/>
      <c r="AJ70" s="265"/>
      <c r="AK70" s="265"/>
      <c r="AL70" s="265"/>
      <c r="AM70" s="265"/>
      <c r="AN70" s="281"/>
      <c r="AO70" s="281"/>
    </row>
    <row r="71" spans="30:41" x14ac:dyDescent="0.45">
      <c r="AD71" s="290"/>
      <c r="AE71" s="290"/>
      <c r="AF71" s="290"/>
      <c r="AG71" s="243"/>
      <c r="AH71" s="243"/>
      <c r="AI71" s="244"/>
      <c r="AJ71" s="245"/>
      <c r="AK71" s="245"/>
      <c r="AL71" s="245"/>
      <c r="AM71" s="245"/>
      <c r="AN71" s="281"/>
      <c r="AO71" s="281"/>
    </row>
    <row r="72" spans="30:41" x14ac:dyDescent="0.45">
      <c r="AD72" s="290"/>
      <c r="AE72" s="290"/>
      <c r="AF72" s="290"/>
      <c r="AG72" s="243"/>
      <c r="AH72" s="243"/>
      <c r="AI72" s="244"/>
      <c r="AJ72" s="245"/>
      <c r="AK72" s="245"/>
      <c r="AL72" s="245"/>
      <c r="AM72" s="245"/>
      <c r="AN72" s="281"/>
      <c r="AO72" s="281"/>
    </row>
    <row r="73" spans="30:41" x14ac:dyDescent="0.45">
      <c r="AD73" s="290"/>
      <c r="AE73" s="290"/>
      <c r="AF73" s="290"/>
      <c r="AG73" s="243"/>
      <c r="AH73" s="243"/>
      <c r="AI73" s="244"/>
      <c r="AJ73" s="245"/>
      <c r="AK73" s="245"/>
      <c r="AL73" s="245"/>
      <c r="AM73" s="245"/>
      <c r="AN73" s="281"/>
      <c r="AO73" s="281"/>
    </row>
    <row r="74" spans="30:41" x14ac:dyDescent="0.45">
      <c r="AD74" s="290"/>
      <c r="AE74" s="290"/>
      <c r="AF74" s="290"/>
      <c r="AG74" s="243"/>
      <c r="AH74" s="243"/>
      <c r="AI74" s="244"/>
      <c r="AJ74" s="245"/>
      <c r="AK74" s="245"/>
      <c r="AL74" s="245"/>
      <c r="AM74" s="245"/>
      <c r="AN74" s="281"/>
      <c r="AO74" s="281"/>
    </row>
    <row r="75" spans="30:41" x14ac:dyDescent="0.45">
      <c r="AD75" s="290"/>
      <c r="AE75" s="290"/>
      <c r="AF75" s="290"/>
      <c r="AG75" s="243"/>
      <c r="AH75" s="243"/>
      <c r="AI75" s="244"/>
      <c r="AJ75" s="245"/>
      <c r="AK75" s="245"/>
      <c r="AL75" s="245"/>
      <c r="AM75" s="245"/>
      <c r="AN75" s="281"/>
      <c r="AO75" s="281"/>
    </row>
    <row r="76" spans="30:41" x14ac:dyDescent="0.45">
      <c r="AD76" s="290"/>
      <c r="AE76" s="290"/>
      <c r="AF76" s="290"/>
      <c r="AG76" s="243"/>
      <c r="AH76" s="243"/>
      <c r="AI76" s="244"/>
      <c r="AJ76" s="245"/>
      <c r="AK76" s="245"/>
      <c r="AL76" s="245"/>
      <c r="AM76" s="245"/>
      <c r="AN76" s="281"/>
      <c r="AO76" s="281"/>
    </row>
    <row r="77" spans="30:41" x14ac:dyDescent="0.45">
      <c r="AD77" s="290"/>
      <c r="AE77" s="290"/>
      <c r="AF77" s="290"/>
      <c r="AG77" s="243"/>
      <c r="AH77" s="243"/>
      <c r="AI77" s="244"/>
      <c r="AJ77" s="245"/>
      <c r="AK77" s="245"/>
      <c r="AL77" s="245"/>
      <c r="AM77" s="245"/>
      <c r="AN77" s="281"/>
      <c r="AO77" s="281"/>
    </row>
    <row r="78" spans="30:41" x14ac:dyDescent="0.45">
      <c r="AD78" s="290"/>
      <c r="AE78" s="290"/>
      <c r="AF78" s="290"/>
      <c r="AG78" s="243"/>
      <c r="AH78" s="243"/>
      <c r="AI78" s="244"/>
      <c r="AJ78" s="245"/>
      <c r="AK78" s="245"/>
      <c r="AL78" s="245"/>
      <c r="AM78" s="245"/>
      <c r="AN78" s="281"/>
      <c r="AO78" s="281"/>
    </row>
    <row r="79" spans="30:41" x14ac:dyDescent="0.45">
      <c r="AD79" s="290"/>
      <c r="AE79" s="290"/>
      <c r="AF79" s="290"/>
      <c r="AG79" s="243"/>
      <c r="AH79" s="243"/>
      <c r="AI79" s="244"/>
      <c r="AJ79" s="245"/>
      <c r="AK79" s="245"/>
      <c r="AL79" s="245"/>
      <c r="AM79" s="245"/>
      <c r="AN79" s="281"/>
      <c r="AO79" s="281"/>
    </row>
    <row r="80" spans="30:41" x14ac:dyDescent="0.45">
      <c r="AD80" s="290"/>
      <c r="AE80" s="290"/>
      <c r="AF80" s="290"/>
      <c r="AG80" s="243"/>
      <c r="AH80" s="243"/>
      <c r="AI80" s="244"/>
      <c r="AJ80" s="245"/>
      <c r="AK80" s="245"/>
      <c r="AL80" s="245"/>
      <c r="AM80" s="245"/>
      <c r="AN80" s="281"/>
      <c r="AO80" s="281"/>
    </row>
    <row r="81" spans="30:41" x14ac:dyDescent="0.45">
      <c r="AD81" s="290"/>
      <c r="AE81" s="290"/>
      <c r="AF81" s="290"/>
      <c r="AG81" s="243"/>
      <c r="AH81" s="243"/>
      <c r="AI81" s="244"/>
      <c r="AJ81" s="245"/>
      <c r="AK81" s="245"/>
      <c r="AL81" s="245"/>
      <c r="AM81" s="245"/>
      <c r="AN81" s="281"/>
      <c r="AO81" s="281"/>
    </row>
    <row r="82" spans="30:41" x14ac:dyDescent="0.45">
      <c r="AD82" s="290"/>
      <c r="AE82" s="290"/>
      <c r="AF82" s="290"/>
      <c r="AG82" s="243"/>
      <c r="AH82" s="243"/>
      <c r="AI82" s="244"/>
      <c r="AJ82" s="245"/>
      <c r="AK82" s="245"/>
      <c r="AL82" s="245"/>
      <c r="AM82" s="245"/>
      <c r="AN82" s="281"/>
      <c r="AO82" s="281"/>
    </row>
    <row r="84" spans="30:41" x14ac:dyDescent="0.45">
      <c r="AD84" s="667"/>
      <c r="AE84" s="667"/>
    </row>
    <row r="85" spans="30:41" x14ac:dyDescent="0.45">
      <c r="AD85" s="667"/>
      <c r="AE85" s="667"/>
    </row>
    <row r="86" spans="30:41" x14ac:dyDescent="0.45">
      <c r="AD86" s="667"/>
      <c r="AE86" s="667"/>
    </row>
    <row r="87" spans="30:41" x14ac:dyDescent="0.45">
      <c r="AD87" s="667"/>
      <c r="AE87" s="667"/>
    </row>
    <row r="88" spans="30:41" x14ac:dyDescent="0.45">
      <c r="AD88" s="667"/>
      <c r="AE88" s="667"/>
    </row>
    <row r="89" spans="30:41" x14ac:dyDescent="0.45">
      <c r="AD89" s="667"/>
      <c r="AE89" s="667"/>
    </row>
    <row r="90" spans="30:41" x14ac:dyDescent="0.45">
      <c r="AD90" s="667"/>
      <c r="AE90" s="667"/>
    </row>
    <row r="91" spans="30:41" x14ac:dyDescent="0.45">
      <c r="AD91" s="667"/>
      <c r="AE91" s="667"/>
    </row>
    <row r="92" spans="30:41" x14ac:dyDescent="0.45">
      <c r="AD92" s="667"/>
      <c r="AE92" s="667"/>
    </row>
    <row r="93" spans="30:41" x14ac:dyDescent="0.45">
      <c r="AD93" s="667"/>
      <c r="AE93" s="667"/>
    </row>
    <row r="94" spans="30:41" x14ac:dyDescent="0.45">
      <c r="AD94" s="667"/>
      <c r="AE94" s="667"/>
    </row>
    <row r="95" spans="30:41" x14ac:dyDescent="0.45">
      <c r="AD95" s="667"/>
      <c r="AE95" s="667"/>
    </row>
    <row r="96" spans="30:41" x14ac:dyDescent="0.45">
      <c r="AD96" s="667"/>
      <c r="AE96" s="667"/>
    </row>
    <row r="97" spans="30:31" x14ac:dyDescent="0.45">
      <c r="AD97" s="667"/>
      <c r="AE97" s="667"/>
    </row>
    <row r="98" spans="30:31" x14ac:dyDescent="0.45">
      <c r="AD98" s="667"/>
      <c r="AE98" s="667"/>
    </row>
    <row r="99" spans="30:31" x14ac:dyDescent="0.45">
      <c r="AD99" s="667"/>
      <c r="AE99" s="667"/>
    </row>
    <row r="100" spans="30:31" x14ac:dyDescent="0.45">
      <c r="AD100" s="667"/>
      <c r="AE100" s="667"/>
    </row>
    <row r="101" spans="30:31" x14ac:dyDescent="0.45">
      <c r="AD101" s="667"/>
      <c r="AE101" s="667"/>
    </row>
    <row r="102" spans="30:31" x14ac:dyDescent="0.45">
      <c r="AD102" s="667"/>
      <c r="AE102" s="667"/>
    </row>
    <row r="103" spans="30:31" x14ac:dyDescent="0.45">
      <c r="AD103" s="667"/>
      <c r="AE103" s="667"/>
    </row>
    <row r="104" spans="30:31" x14ac:dyDescent="0.45">
      <c r="AD104" s="667"/>
      <c r="AE104" s="667"/>
    </row>
    <row r="105" spans="30:31" x14ac:dyDescent="0.45">
      <c r="AD105" s="667"/>
      <c r="AE105" s="667"/>
    </row>
    <row r="106" spans="30:31" x14ac:dyDescent="0.45">
      <c r="AD106" s="667"/>
      <c r="AE106" s="667"/>
    </row>
    <row r="107" spans="30:31" x14ac:dyDescent="0.45">
      <c r="AD107" s="667"/>
      <c r="AE107" s="667"/>
    </row>
    <row r="108" spans="30:31" x14ac:dyDescent="0.45">
      <c r="AD108" s="667"/>
      <c r="AE108" s="667"/>
    </row>
    <row r="109" spans="30:31" x14ac:dyDescent="0.45">
      <c r="AD109" s="667"/>
      <c r="AE109" s="667"/>
    </row>
    <row r="110" spans="30:31" x14ac:dyDescent="0.45">
      <c r="AD110" s="667"/>
      <c r="AE110" s="667"/>
    </row>
    <row r="111" spans="30:31" x14ac:dyDescent="0.45">
      <c r="AD111" s="667"/>
      <c r="AE111" s="667"/>
    </row>
    <row r="112" spans="30:31" x14ac:dyDescent="0.45">
      <c r="AD112" s="667"/>
      <c r="AE112" s="667"/>
    </row>
    <row r="113" spans="30:31" x14ac:dyDescent="0.45">
      <c r="AD113" s="667"/>
      <c r="AE113" s="667"/>
    </row>
    <row r="114" spans="30:31" x14ac:dyDescent="0.45">
      <c r="AD114" s="667"/>
      <c r="AE114" s="667"/>
    </row>
    <row r="115" spans="30:31" x14ac:dyDescent="0.45">
      <c r="AD115" s="667"/>
      <c r="AE115" s="667"/>
    </row>
    <row r="116" spans="30:31" x14ac:dyDescent="0.45">
      <c r="AD116" s="667"/>
      <c r="AE116" s="667"/>
    </row>
    <row r="117" spans="30:31" x14ac:dyDescent="0.45">
      <c r="AD117" s="667"/>
      <c r="AE117" s="667"/>
    </row>
    <row r="118" spans="30:31" x14ac:dyDescent="0.45">
      <c r="AD118" s="667"/>
      <c r="AE118" s="667"/>
    </row>
    <row r="119" spans="30:31" x14ac:dyDescent="0.45">
      <c r="AD119" s="667"/>
      <c r="AE119" s="667"/>
    </row>
    <row r="120" spans="30:31" x14ac:dyDescent="0.45">
      <c r="AD120" s="667"/>
      <c r="AE120" s="667"/>
    </row>
    <row r="121" spans="30:31" x14ac:dyDescent="0.45">
      <c r="AD121" s="667"/>
      <c r="AE121" s="667"/>
    </row>
    <row r="122" spans="30:31" x14ac:dyDescent="0.45">
      <c r="AD122" s="667"/>
      <c r="AE122" s="667"/>
    </row>
    <row r="123" spans="30:31" x14ac:dyDescent="0.45">
      <c r="AD123" s="667"/>
      <c r="AE123" s="667"/>
    </row>
    <row r="124" spans="30:31" x14ac:dyDescent="0.45">
      <c r="AD124" s="667"/>
      <c r="AE124" s="667"/>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N38" sqref="N38"/>
    </sheetView>
  </sheetViews>
  <sheetFormatPr defaultRowHeight="14.25" x14ac:dyDescent="0.45"/>
  <cols>
    <col min="1" max="1" width="14.59765625" customWidth="1"/>
    <col min="2" max="2" width="42.59765625" bestFit="1" customWidth="1"/>
    <col min="3" max="3" width="14.59765625" style="154" bestFit="1" customWidth="1"/>
    <col min="4" max="4" width="18.59765625" style="154" bestFit="1" customWidth="1"/>
    <col min="5" max="5" width="27.86328125" style="154" customWidth="1"/>
    <col min="6" max="6" width="20.86328125" style="154" customWidth="1"/>
    <col min="7" max="7" width="18.59765625" style="154" bestFit="1" customWidth="1"/>
    <col min="8" max="8" width="21.265625" style="154" customWidth="1"/>
    <col min="9" max="9" width="24.59765625" style="154" customWidth="1"/>
    <col min="10" max="10" width="20.265625" style="154" customWidth="1"/>
    <col min="11" max="11" width="19.265625" style="154" customWidth="1"/>
    <col min="12" max="12" width="18.59765625" style="154" bestFit="1" customWidth="1"/>
    <col min="13" max="13" width="20.265625" bestFit="1" customWidth="1"/>
    <col min="14" max="14" width="19.59765625" bestFit="1" customWidth="1"/>
    <col min="15" max="15" width="24.59765625" bestFit="1" customWidth="1"/>
    <col min="17" max="17" width="12.86328125" bestFit="1" customWidth="1"/>
    <col min="18" max="18" width="12" bestFit="1" customWidth="1"/>
    <col min="19" max="19" width="34.86328125" bestFit="1" customWidth="1"/>
    <col min="20" max="20" width="16.86328125" bestFit="1" customWidth="1"/>
    <col min="21" max="21" width="21.59765625" customWidth="1"/>
    <col min="22" max="22" width="19.86328125" bestFit="1" customWidth="1"/>
    <col min="23" max="23" width="38.265625" bestFit="1" customWidth="1"/>
    <col min="25" max="25" width="14.265625" bestFit="1" customWidth="1"/>
    <col min="27" max="27" width="12.265625" customWidth="1"/>
  </cols>
  <sheetData>
    <row r="1" spans="1:31" s="168" customFormat="1" ht="39" customHeight="1" x14ac:dyDescent="0.45">
      <c r="C1" s="200"/>
      <c r="D1" s="201" t="s">
        <v>712</v>
      </c>
      <c r="E1" s="201" t="s">
        <v>712</v>
      </c>
      <c r="F1" s="201" t="s">
        <v>712</v>
      </c>
      <c r="G1" s="201" t="s">
        <v>712</v>
      </c>
      <c r="H1" s="201" t="s">
        <v>712</v>
      </c>
      <c r="I1" s="201" t="s">
        <v>712</v>
      </c>
      <c r="J1" s="201" t="s">
        <v>712</v>
      </c>
      <c r="K1" s="201" t="s">
        <v>712</v>
      </c>
      <c r="L1" s="201" t="s">
        <v>712</v>
      </c>
      <c r="M1" s="201" t="s">
        <v>712</v>
      </c>
      <c r="N1" s="201" t="s">
        <v>712</v>
      </c>
      <c r="O1" s="201" t="s">
        <v>712</v>
      </c>
      <c r="S1" s="201">
        <v>45930</v>
      </c>
      <c r="T1" s="201">
        <v>45930</v>
      </c>
      <c r="U1" s="201">
        <v>45930</v>
      </c>
      <c r="Y1" s="665" t="s">
        <v>713</v>
      </c>
      <c r="Z1" s="665"/>
      <c r="AA1" s="665"/>
    </row>
    <row r="2" spans="1:31" ht="33.75" customHeight="1" x14ac:dyDescent="0.45">
      <c r="A2" s="155" t="s">
        <v>714</v>
      </c>
      <c r="B2" s="630" t="s">
        <v>715</v>
      </c>
      <c r="C2" s="155" t="s">
        <v>95</v>
      </c>
      <c r="D2" s="155" t="s">
        <v>716</v>
      </c>
      <c r="E2" s="155" t="s">
        <v>717</v>
      </c>
      <c r="F2" s="155" t="s">
        <v>718</v>
      </c>
      <c r="G2" s="155" t="s">
        <v>719</v>
      </c>
      <c r="H2" s="155" t="s">
        <v>525</v>
      </c>
      <c r="I2" s="155" t="s">
        <v>720</v>
      </c>
      <c r="J2" s="155" t="s">
        <v>721</v>
      </c>
      <c r="K2" s="155" t="s">
        <v>722</v>
      </c>
      <c r="L2" s="155" t="s">
        <v>723</v>
      </c>
      <c r="M2" s="156" t="s">
        <v>688</v>
      </c>
      <c r="N2" s="156" t="s">
        <v>689</v>
      </c>
      <c r="O2" s="156" t="s">
        <v>196</v>
      </c>
      <c r="S2" s="156" t="s">
        <v>724</v>
      </c>
      <c r="T2" s="156" t="s">
        <v>725</v>
      </c>
      <c r="U2" s="702" t="s">
        <v>726</v>
      </c>
      <c r="V2" s="156" t="s">
        <v>727</v>
      </c>
      <c r="W2" s="156" t="s">
        <v>728</v>
      </c>
      <c r="Y2" s="156" t="s">
        <v>729</v>
      </c>
      <c r="Z2" s="156" t="s">
        <v>730</v>
      </c>
      <c r="AA2" s="156" t="s">
        <v>731</v>
      </c>
    </row>
    <row r="3" spans="1:31" x14ac:dyDescent="0.45">
      <c r="A3" s="10" t="str">
        <f>IF(VLOOKUP(B3,Portfolio!$B$9:$V$49,21,FALSE)=0,"No","Yes")</f>
        <v>No</v>
      </c>
      <c r="B3" s="612" t="s">
        <v>597</v>
      </c>
      <c r="C3" s="194" t="s">
        <v>239</v>
      </c>
      <c r="D3" s="664">
        <f t="shared" ref="D3:D42" si="0">V3</f>
        <v>15198793.3855295</v>
      </c>
      <c r="E3" s="668">
        <f t="shared" ref="E3:E42" si="1">IFERROR(D3*AA3,D3)</f>
        <v>6958767.5515646813</v>
      </c>
      <c r="F3" s="705">
        <v>807863505.6006999</v>
      </c>
      <c r="G3" s="705">
        <v>81755135.731800005</v>
      </c>
      <c r="H3" s="705">
        <v>79850000</v>
      </c>
      <c r="I3" s="705">
        <v>42509000</v>
      </c>
      <c r="J3" s="705">
        <v>1744159206.61447</v>
      </c>
      <c r="K3" s="705">
        <v>15198793.3855295</v>
      </c>
      <c r="L3" s="705">
        <v>49604000</v>
      </c>
      <c r="M3" s="199">
        <f>IF(SUM(H3:K3,-L3)/G3&lt;0,"N/M",SUM(H3:K3,-L3)/G3)</f>
        <v>22.409760360624894</v>
      </c>
      <c r="N3" s="199">
        <f t="shared" ref="N3:N16" si="2">IF(G3&lt;0,"N/A",IFERROR(((SUM(H3:I3))-L3)/G3,0))</f>
        <v>0.88991351245106853</v>
      </c>
      <c r="O3" s="703">
        <v>0.37779637583999998</v>
      </c>
      <c r="Q3" s="154"/>
      <c r="S3" s="632">
        <v>15198793.3855295</v>
      </c>
      <c r="T3" s="632"/>
      <c r="U3" s="632"/>
      <c r="V3" s="663">
        <f t="shared" ref="V3:V29" si="3">S3-T3+U3</f>
        <v>15198793.3855295</v>
      </c>
      <c r="W3" s="663" t="s">
        <v>732</v>
      </c>
      <c r="Y3" s="666">
        <v>0.43490000000000001</v>
      </c>
      <c r="Z3" s="666">
        <v>0.48080000000000001</v>
      </c>
      <c r="AA3" s="139">
        <f t="shared" ref="AA3:AA42" si="4">AVERAGE(Y3:Z3)</f>
        <v>0.45784999999999998</v>
      </c>
    </row>
    <row r="4" spans="1:31" x14ac:dyDescent="0.45">
      <c r="A4" s="10" t="str">
        <f>IF(VLOOKUP(B4,Portfolio!$B$9:$V$49,21,FALSE)=0,"No","Yes")</f>
        <v>No</v>
      </c>
      <c r="B4" s="612" t="s">
        <v>593</v>
      </c>
      <c r="C4" s="194" t="s">
        <v>239</v>
      </c>
      <c r="D4" s="664">
        <f t="shared" si="0"/>
        <v>779350.25633087603</v>
      </c>
      <c r="E4" s="668">
        <f t="shared" si="1"/>
        <v>722964.26528533723</v>
      </c>
      <c r="F4" s="705">
        <v>82613544.730000034</v>
      </c>
      <c r="G4" s="705">
        <v>2191390.8500000271</v>
      </c>
      <c r="H4" s="705">
        <v>0</v>
      </c>
      <c r="I4" s="705">
        <v>6091111.2653759792</v>
      </c>
      <c r="J4" s="705">
        <v>0</v>
      </c>
      <c r="K4" s="705">
        <v>35581104.406002969</v>
      </c>
      <c r="L4" s="705">
        <v>1403116.44</v>
      </c>
      <c r="M4" s="199">
        <f>IF(SUM(H4:K4,-L4)/G4&lt;0,"N/M",SUM(H4:K4,-L4)/G4)</f>
        <v>18.376046076572077</v>
      </c>
      <c r="N4" s="199">
        <f t="shared" si="2"/>
        <v>2.1392782694953398</v>
      </c>
      <c r="O4" s="703">
        <v>0.49349849724</v>
      </c>
      <c r="Q4" s="154"/>
      <c r="S4" s="632">
        <v>797085.81633087608</v>
      </c>
      <c r="T4" s="632">
        <v>17735.560000000001</v>
      </c>
      <c r="U4" s="632"/>
      <c r="V4" s="663">
        <f t="shared" si="3"/>
        <v>779350.25633087603</v>
      </c>
      <c r="W4" s="663" t="s">
        <v>733</v>
      </c>
      <c r="Y4" s="666">
        <v>0.89080000000000004</v>
      </c>
      <c r="Z4" s="666">
        <v>0.96450000000000002</v>
      </c>
      <c r="AA4" s="139">
        <f t="shared" si="4"/>
        <v>0.92765000000000009</v>
      </c>
    </row>
    <row r="5" spans="1:31" x14ac:dyDescent="0.45">
      <c r="A5" s="10" t="str">
        <f>IF(VLOOKUP(B5,Portfolio!$B$9:$V$49,21,FALSE)=0,"No","Yes")</f>
        <v>No</v>
      </c>
      <c r="B5" s="611" t="s">
        <v>697</v>
      </c>
      <c r="C5" s="194" t="s">
        <v>239</v>
      </c>
      <c r="D5" s="664">
        <f t="shared" si="0"/>
        <v>1832761.0209470899</v>
      </c>
      <c r="E5" s="668">
        <f t="shared" si="1"/>
        <v>1762841.1879979586</v>
      </c>
      <c r="F5" s="705">
        <v>32897580.920000002</v>
      </c>
      <c r="G5" s="705">
        <v>-1328372.8600000001</v>
      </c>
      <c r="H5" s="705">
        <v>1299876</v>
      </c>
      <c r="I5" s="705">
        <v>0</v>
      </c>
      <c r="J5" s="705">
        <v>2219077.275739769</v>
      </c>
      <c r="K5" s="705">
        <v>15732049.22426023</v>
      </c>
      <c r="L5" s="705">
        <v>794745.34</v>
      </c>
      <c r="M5" s="199" t="str">
        <f>IF(SUM(H5:K5,-L5)/G5&lt;0,"N/M",SUM(H5:K5,-L5)/G5)</f>
        <v>N/M</v>
      </c>
      <c r="N5" s="199" t="str">
        <f t="shared" si="2"/>
        <v>N/A</v>
      </c>
      <c r="O5" s="703">
        <v>0</v>
      </c>
      <c r="Q5" s="154"/>
      <c r="S5" s="632">
        <v>2567900.5409470899</v>
      </c>
      <c r="T5" s="632">
        <v>735139.52</v>
      </c>
      <c r="U5" s="632"/>
      <c r="V5" s="663">
        <f t="shared" si="3"/>
        <v>1832761.0209470899</v>
      </c>
      <c r="W5" s="663" t="s">
        <v>734</v>
      </c>
      <c r="Y5" s="666">
        <v>0.93280000000000007</v>
      </c>
      <c r="Z5" s="666">
        <v>0.99090000000000011</v>
      </c>
      <c r="AA5" s="139">
        <f t="shared" si="4"/>
        <v>0.96185000000000009</v>
      </c>
    </row>
    <row r="6" spans="1:31" x14ac:dyDescent="0.45">
      <c r="A6" s="10" t="str">
        <f>IF(VLOOKUP(B6,Portfolio!$B$9:$V$49,21,FALSE)=0,"No","Yes")</f>
        <v>No</v>
      </c>
      <c r="B6" s="611" t="s">
        <v>607</v>
      </c>
      <c r="C6" s="194" t="s">
        <v>239</v>
      </c>
      <c r="D6" s="664">
        <f t="shared" si="0"/>
        <v>7209098.1985821901</v>
      </c>
      <c r="E6" s="668">
        <f t="shared" si="1"/>
        <v>3172463.2929344708</v>
      </c>
      <c r="F6" s="705">
        <v>653196.11</v>
      </c>
      <c r="G6" s="705">
        <v>653196.11</v>
      </c>
      <c r="H6" s="705">
        <v>0</v>
      </c>
      <c r="I6" s="705">
        <v>3190000</v>
      </c>
      <c r="J6" s="705">
        <v>15050702.742528951</v>
      </c>
      <c r="K6" s="705">
        <v>29561146.515937392</v>
      </c>
      <c r="L6" s="705">
        <v>79664</v>
      </c>
      <c r="M6" s="199">
        <f>IF(SUM(H6:K6,-L6)/G6&lt;0,"N/M",SUM(H6:K6,-L6)/G6)</f>
        <v>73.059506215470805</v>
      </c>
      <c r="N6" s="199">
        <f t="shared" si="2"/>
        <v>4.7617184982929555</v>
      </c>
      <c r="O6" s="703">
        <v>0</v>
      </c>
      <c r="Q6" s="154"/>
      <c r="S6" s="632">
        <v>7024870.1985821901</v>
      </c>
      <c r="T6" s="632"/>
      <c r="U6" s="632">
        <v>184228</v>
      </c>
      <c r="V6" s="663">
        <f t="shared" si="3"/>
        <v>7209098.1985821901</v>
      </c>
      <c r="W6" s="663"/>
      <c r="Y6" s="666">
        <v>0.31339807224195038</v>
      </c>
      <c r="Z6" s="666">
        <v>0.56672956801086172</v>
      </c>
      <c r="AA6" s="139">
        <f t="shared" si="4"/>
        <v>0.44006382012640605</v>
      </c>
    </row>
    <row r="7" spans="1:31" x14ac:dyDescent="0.45">
      <c r="A7" s="10" t="str">
        <f>IF(VLOOKUP(B7,Portfolio!$B$9:$V$49,21,FALSE)=0,"No","Yes")</f>
        <v>No</v>
      </c>
      <c r="B7" s="611" t="s">
        <v>595</v>
      </c>
      <c r="C7" s="194" t="s">
        <v>239</v>
      </c>
      <c r="D7" s="664">
        <f t="shared" si="0"/>
        <v>6317904.9559711795</v>
      </c>
      <c r="E7" s="668">
        <f t="shared" si="1"/>
        <v>6350758.0617422303</v>
      </c>
      <c r="F7" s="705">
        <v>30702857.719999999</v>
      </c>
      <c r="G7" s="705">
        <v>1301711.9786566161</v>
      </c>
      <c r="H7" s="705">
        <v>6257148.0899999999</v>
      </c>
      <c r="I7" s="705">
        <v>0</v>
      </c>
      <c r="J7" s="705">
        <v>6628198.2887558835</v>
      </c>
      <c r="K7" s="705">
        <v>27697991.744633898</v>
      </c>
      <c r="L7" s="705">
        <v>1210034.03</v>
      </c>
      <c r="M7" s="199">
        <f>IF(SUM(H7:K7,-L7)/G7&lt;0,"N/M",SUM(H7:K7,-L7)/G7)</f>
        <v>30.247324092402952</v>
      </c>
      <c r="N7" s="199">
        <f t="shared" si="2"/>
        <v>3.8772894025364106</v>
      </c>
      <c r="O7" s="703">
        <v>2.1225806808619998</v>
      </c>
      <c r="Q7" s="154"/>
      <c r="S7" s="632">
        <v>7027968.2259711791</v>
      </c>
      <c r="T7" s="632">
        <v>710063.27</v>
      </c>
      <c r="U7" s="632"/>
      <c r="V7" s="663">
        <f t="shared" si="3"/>
        <v>6317904.9559711795</v>
      </c>
      <c r="W7" s="663" t="s">
        <v>734</v>
      </c>
      <c r="Y7" s="666">
        <v>0.99040000000000006</v>
      </c>
      <c r="Z7" s="666">
        <v>1.02</v>
      </c>
      <c r="AA7" s="139">
        <f t="shared" si="4"/>
        <v>1.0052000000000001</v>
      </c>
    </row>
    <row r="8" spans="1:31" x14ac:dyDescent="0.45">
      <c r="A8" s="10" t="str">
        <f>IF(VLOOKUP(B8,Portfolio!$B$9:$V$49,21,FALSE)=0,"No","Yes")</f>
        <v>No</v>
      </c>
      <c r="B8" s="611" t="s">
        <v>450</v>
      </c>
      <c r="C8" s="194" t="s">
        <v>239</v>
      </c>
      <c r="D8" s="664">
        <f t="shared" si="0"/>
        <v>867570.11164605082</v>
      </c>
      <c r="E8" s="668">
        <f t="shared" si="1"/>
        <v>0</v>
      </c>
      <c r="F8" s="705">
        <v>35430988.890000001</v>
      </c>
      <c r="G8" s="705">
        <v>290692.20000000211</v>
      </c>
      <c r="H8" s="705">
        <v>15852425.93</v>
      </c>
      <c r="I8" s="705">
        <v>0</v>
      </c>
      <c r="J8" s="705">
        <v>20282782.19582187</v>
      </c>
      <c r="K8" s="705">
        <v>59166702.668338053</v>
      </c>
      <c r="L8" s="705">
        <v>332853.39</v>
      </c>
      <c r="M8" s="199" t="s">
        <v>735</v>
      </c>
      <c r="N8" s="199">
        <f t="shared" si="2"/>
        <v>53.388334946723326</v>
      </c>
      <c r="O8" s="703">
        <v>0</v>
      </c>
      <c r="Q8" s="154"/>
      <c r="S8" s="632">
        <v>867570.11164605082</v>
      </c>
      <c r="T8" s="632"/>
      <c r="U8" s="632"/>
      <c r="V8" s="663">
        <f t="shared" si="3"/>
        <v>867570.11164605082</v>
      </c>
      <c r="W8" s="663"/>
      <c r="Y8" s="666">
        <v>0</v>
      </c>
      <c r="Z8" s="666">
        <v>0</v>
      </c>
      <c r="AA8" s="139">
        <f t="shared" si="4"/>
        <v>0</v>
      </c>
    </row>
    <row r="9" spans="1:31" x14ac:dyDescent="0.45">
      <c r="A9" s="10" t="str">
        <f>IF(VLOOKUP(B9,Portfolio!$B$9:$V$49,21,FALSE)=0,"No","Yes")</f>
        <v>Yes</v>
      </c>
      <c r="B9" s="611" t="s">
        <v>694</v>
      </c>
      <c r="C9" s="194" t="s">
        <v>736</v>
      </c>
      <c r="D9" s="664">
        <f t="shared" si="0"/>
        <v>12656117.589817706</v>
      </c>
      <c r="E9" s="668">
        <f t="shared" si="1"/>
        <v>12656117.589817706</v>
      </c>
      <c r="F9" s="705">
        <v>86534257.980000243</v>
      </c>
      <c r="G9" s="705">
        <v>16086991.31986117</v>
      </c>
      <c r="H9" s="705">
        <v>1500000</v>
      </c>
      <c r="I9" s="705">
        <v>7600000</v>
      </c>
      <c r="J9" s="705">
        <v>0</v>
      </c>
      <c r="K9" s="705">
        <v>19673854.522041932</v>
      </c>
      <c r="L9" s="705">
        <v>497501.280000008</v>
      </c>
      <c r="M9" s="199">
        <f t="shared" ref="M9:M23" si="5">IF(SUM(H9:K9,-L9)/G9&lt;0,"N/M",SUM(H9:K9,-L9)/G9)</f>
        <v>1.7577154534255039</v>
      </c>
      <c r="N9" s="199">
        <f t="shared" si="2"/>
        <v>0.53474876370320756</v>
      </c>
      <c r="O9" s="703">
        <v>5.2773591102120001</v>
      </c>
      <c r="Q9" s="154"/>
      <c r="S9" s="632">
        <v>3551426.9165524002</v>
      </c>
      <c r="T9" s="632">
        <v>27863.49</v>
      </c>
      <c r="U9" s="632">
        <f>8949903.08/98%</f>
        <v>9132554.1632653065</v>
      </c>
      <c r="V9" s="663">
        <f t="shared" si="3"/>
        <v>12656117.589817706</v>
      </c>
      <c r="W9" s="663" t="s">
        <v>737</v>
      </c>
      <c r="Y9" s="666">
        <v>1</v>
      </c>
      <c r="Z9" s="666">
        <v>1</v>
      </c>
      <c r="AA9" s="139">
        <f t="shared" si="4"/>
        <v>1</v>
      </c>
      <c r="AE9" s="706"/>
    </row>
    <row r="10" spans="1:31" x14ac:dyDescent="0.45">
      <c r="A10" s="10" t="str">
        <f>IF(VLOOKUP(B10,Portfolio!$B$9:$V$49,21,FALSE)=0,"No","Yes")</f>
        <v>Yes</v>
      </c>
      <c r="B10" s="611" t="s">
        <v>738</v>
      </c>
      <c r="C10" s="194" t="s">
        <v>239</v>
      </c>
      <c r="D10" s="664">
        <f t="shared" si="0"/>
        <v>7546562.09340801</v>
      </c>
      <c r="E10" s="668">
        <f t="shared" si="1"/>
        <v>7318278.5900824172</v>
      </c>
      <c r="F10" s="705">
        <v>231702628.53182799</v>
      </c>
      <c r="G10" s="705">
        <v>10211537.09183149</v>
      </c>
      <c r="H10" s="705">
        <v>23454732.940000001</v>
      </c>
      <c r="I10" s="705">
        <v>4225507.18</v>
      </c>
      <c r="J10" s="705">
        <v>0</v>
      </c>
      <c r="K10" s="705">
        <v>29489375.000000019</v>
      </c>
      <c r="L10" s="705">
        <v>1098381.79599</v>
      </c>
      <c r="M10" s="199">
        <f t="shared" si="5"/>
        <v>5.4909689716412089</v>
      </c>
      <c r="N10" s="199">
        <f t="shared" si="2"/>
        <v>2.6031201850379224</v>
      </c>
      <c r="O10" s="703">
        <v>1.788553659393</v>
      </c>
      <c r="Q10" s="154"/>
      <c r="S10" s="632">
        <v>7546562.09340801</v>
      </c>
      <c r="T10" s="632"/>
      <c r="U10" s="632"/>
      <c r="V10" s="663">
        <f t="shared" si="3"/>
        <v>7546562.09340801</v>
      </c>
      <c r="W10" s="663"/>
      <c r="Y10" s="666">
        <v>0.95779999999999987</v>
      </c>
      <c r="Z10" s="666">
        <v>0.98170000000000002</v>
      </c>
      <c r="AA10" s="139">
        <f t="shared" si="4"/>
        <v>0.96974999999999989</v>
      </c>
    </row>
    <row r="11" spans="1:31" x14ac:dyDescent="0.45">
      <c r="A11" s="10" t="str">
        <f>IF(VLOOKUP(B11,Portfolio!$B$9:$V$49,21,FALSE)=0,"No","Yes")</f>
        <v>Yes</v>
      </c>
      <c r="B11" s="611" t="s">
        <v>706</v>
      </c>
      <c r="C11" s="194" t="s">
        <v>736</v>
      </c>
      <c r="D11" s="664">
        <f t="shared" si="0"/>
        <v>19949257.8713644</v>
      </c>
      <c r="E11" s="668">
        <f t="shared" si="1"/>
        <v>20021075.199701313</v>
      </c>
      <c r="F11" s="705">
        <v>84345000</v>
      </c>
      <c r="G11" s="705">
        <v>32087000</v>
      </c>
      <c r="H11" s="705">
        <v>1300000</v>
      </c>
      <c r="I11" s="705">
        <v>39287569.7204182</v>
      </c>
      <c r="J11" s="705">
        <v>0</v>
      </c>
      <c r="K11" s="705">
        <v>110305930.2795818</v>
      </c>
      <c r="L11" s="705">
        <v>324000</v>
      </c>
      <c r="M11" s="199">
        <f t="shared" si="5"/>
        <v>4.6925390344999531</v>
      </c>
      <c r="N11" s="199">
        <f t="shared" si="2"/>
        <v>1.2548249982989435</v>
      </c>
      <c r="O11" s="703">
        <v>1.58</v>
      </c>
      <c r="Q11" s="154"/>
      <c r="S11" s="632">
        <v>19949257.8713644</v>
      </c>
      <c r="T11" s="632"/>
      <c r="U11" s="632"/>
      <c r="V11" s="663">
        <f t="shared" si="3"/>
        <v>19949257.8713644</v>
      </c>
      <c r="W11" s="663"/>
      <c r="Y11" s="666">
        <v>1</v>
      </c>
      <c r="Z11" s="666">
        <v>1.0072000000000001</v>
      </c>
      <c r="AA11" s="139">
        <f t="shared" si="4"/>
        <v>1.0036</v>
      </c>
    </row>
    <row r="12" spans="1:31" x14ac:dyDescent="0.45">
      <c r="A12" s="10" t="str">
        <f>IF(VLOOKUP(B12,Portfolio!$B$9:$V$49,21,FALSE)=0,"No","Yes")</f>
        <v>Yes</v>
      </c>
      <c r="B12" s="611" t="s">
        <v>600</v>
      </c>
      <c r="C12" s="194" t="s">
        <v>239</v>
      </c>
      <c r="D12" s="664">
        <f t="shared" si="0"/>
        <v>8174369.7508146297</v>
      </c>
      <c r="E12" s="668">
        <f t="shared" si="1"/>
        <v>8077912.1877550166</v>
      </c>
      <c r="F12" s="705">
        <v>65598989.75</v>
      </c>
      <c r="G12" s="705">
        <v>10297637.242000001</v>
      </c>
      <c r="H12" s="705">
        <v>0</v>
      </c>
      <c r="I12" s="705">
        <v>0</v>
      </c>
      <c r="J12" s="705">
        <v>7224950</v>
      </c>
      <c r="K12" s="705">
        <v>21818750.00489796</v>
      </c>
      <c r="L12" s="705">
        <v>2026400</v>
      </c>
      <c r="M12" s="199">
        <f t="shared" si="5"/>
        <v>2.6236406828068337</v>
      </c>
      <c r="N12" s="199">
        <f t="shared" si="2"/>
        <v>-0.19678300491447823</v>
      </c>
      <c r="O12" s="703">
        <v>4.1516172598479999</v>
      </c>
      <c r="Q12" s="154"/>
      <c r="S12" s="632">
        <v>7334033.6158655593</v>
      </c>
      <c r="T12" s="632"/>
      <c r="U12" s="632">
        <v>840336.13494907052</v>
      </c>
      <c r="V12" s="663">
        <f t="shared" si="3"/>
        <v>8174369.7508146297</v>
      </c>
      <c r="W12" s="663"/>
      <c r="Y12" s="666">
        <v>0.96819999999999995</v>
      </c>
      <c r="Z12" s="666">
        <v>1.0082</v>
      </c>
      <c r="AA12" s="139">
        <f t="shared" si="4"/>
        <v>0.98819999999999997</v>
      </c>
    </row>
    <row r="13" spans="1:31" x14ac:dyDescent="0.45">
      <c r="A13" s="10" t="str">
        <f>IF(VLOOKUP(B13,Portfolio!$B$9:$V$49,21,FALSE)=0,"No","Yes")</f>
        <v>Yes</v>
      </c>
      <c r="B13" s="611" t="s">
        <v>482</v>
      </c>
      <c r="C13" s="194" t="s">
        <v>239</v>
      </c>
      <c r="D13" s="664">
        <f t="shared" si="0"/>
        <v>4070486.0362509978</v>
      </c>
      <c r="E13" s="668">
        <f t="shared" si="1"/>
        <v>4070486.0362509978</v>
      </c>
      <c r="F13" s="705">
        <v>122139211.49580009</v>
      </c>
      <c r="G13" s="705">
        <v>20861130.50289996</v>
      </c>
      <c r="H13" s="705">
        <v>1800272.44</v>
      </c>
      <c r="I13" s="705">
        <v>0</v>
      </c>
      <c r="J13" s="705">
        <v>33934356.69612506</v>
      </c>
      <c r="K13" s="705">
        <v>47678768.304128729</v>
      </c>
      <c r="L13" s="705">
        <v>3197393.95</v>
      </c>
      <c r="M13" s="199">
        <f t="shared" si="5"/>
        <v>3.8452376048892822</v>
      </c>
      <c r="N13" s="199">
        <f t="shared" si="2"/>
        <v>-6.6972473510281849E-2</v>
      </c>
      <c r="O13" s="703">
        <v>2.1469958907310001</v>
      </c>
      <c r="Q13" s="154"/>
      <c r="S13" s="632">
        <v>4070486.0362509978</v>
      </c>
      <c r="T13" s="632"/>
      <c r="U13" s="632"/>
      <c r="V13" s="663">
        <f t="shared" si="3"/>
        <v>4070486.0362509978</v>
      </c>
      <c r="W13" s="663"/>
      <c r="Y13" s="666">
        <v>1</v>
      </c>
      <c r="Z13" s="666">
        <v>1</v>
      </c>
      <c r="AA13" s="139">
        <f t="shared" si="4"/>
        <v>1</v>
      </c>
    </row>
    <row r="14" spans="1:31" x14ac:dyDescent="0.45">
      <c r="A14" s="10" t="str">
        <f>IF(VLOOKUP(B14,Portfolio!$B$9:$V$49,21,FALSE)=0,"No","Yes")</f>
        <v>Yes</v>
      </c>
      <c r="B14" s="611" t="s">
        <v>605</v>
      </c>
      <c r="C14" s="194" t="s">
        <v>239</v>
      </c>
      <c r="D14" s="664">
        <f t="shared" si="0"/>
        <v>14071583.3964388</v>
      </c>
      <c r="E14" s="668">
        <f t="shared" si="1"/>
        <v>13697279.278093528</v>
      </c>
      <c r="F14" s="705">
        <v>201574108.34</v>
      </c>
      <c r="G14" s="705">
        <v>23337815.853968989</v>
      </c>
      <c r="H14" s="705">
        <v>10317824.92</v>
      </c>
      <c r="I14" s="705">
        <v>0</v>
      </c>
      <c r="J14" s="705">
        <v>39924976.598555788</v>
      </c>
      <c r="K14" s="705">
        <v>89342615.401444212</v>
      </c>
      <c r="L14" s="705">
        <v>619676.57999999996</v>
      </c>
      <c r="M14" s="199">
        <f t="shared" si="5"/>
        <v>5.9545306728592831</v>
      </c>
      <c r="N14" s="199">
        <f t="shared" si="2"/>
        <v>0.41555509738717328</v>
      </c>
      <c r="O14" s="703">
        <v>0</v>
      </c>
      <c r="Q14" s="154"/>
      <c r="S14" s="632">
        <v>14071583.3964388</v>
      </c>
      <c r="T14" s="632"/>
      <c r="U14" s="632"/>
      <c r="V14" s="663">
        <f t="shared" si="3"/>
        <v>14071583.3964388</v>
      </c>
      <c r="W14" s="663"/>
      <c r="Y14" s="666">
        <v>0.94340000000000002</v>
      </c>
      <c r="Z14" s="666">
        <v>1.0034000000000001</v>
      </c>
      <c r="AA14" s="139">
        <f t="shared" si="4"/>
        <v>0.97340000000000004</v>
      </c>
    </row>
    <row r="15" spans="1:31" x14ac:dyDescent="0.45">
      <c r="A15" s="10" t="str">
        <f>IF(VLOOKUP(B15,Portfolio!$B$9:$V$49,21,FALSE)=0,"No","Yes")</f>
        <v>Yes</v>
      </c>
      <c r="B15" s="611" t="s">
        <v>619</v>
      </c>
      <c r="C15" s="194" t="s">
        <v>239</v>
      </c>
      <c r="D15" s="664">
        <f t="shared" si="0"/>
        <v>12819254.952764533</v>
      </c>
      <c r="E15" s="668">
        <f t="shared" si="1"/>
        <v>12750030.976019606</v>
      </c>
      <c r="F15" s="705">
        <v>55836684</v>
      </c>
      <c r="G15" s="705">
        <v>17294828.210000001</v>
      </c>
      <c r="H15" s="705">
        <v>0</v>
      </c>
      <c r="I15" s="705">
        <v>0</v>
      </c>
      <c r="J15" s="705">
        <v>14377596.1631818</v>
      </c>
      <c r="K15" s="705">
        <v>58250498.285818197</v>
      </c>
      <c r="L15" s="705">
        <v>7126782</v>
      </c>
      <c r="M15" s="199">
        <f t="shared" si="5"/>
        <v>3.7873352457543721</v>
      </c>
      <c r="N15" s="199">
        <f t="shared" si="2"/>
        <v>-0.41207590578316589</v>
      </c>
      <c r="O15" s="703">
        <v>2.0098450785700002</v>
      </c>
      <c r="Q15" s="154"/>
      <c r="S15" s="632">
        <v>12393723.039431199</v>
      </c>
      <c r="T15" s="632"/>
      <c r="U15" s="632">
        <v>425531.91333333327</v>
      </c>
      <c r="V15" s="663">
        <f t="shared" si="3"/>
        <v>12819254.952764533</v>
      </c>
      <c r="W15" s="663"/>
      <c r="Y15" s="666">
        <v>0.97080000000000011</v>
      </c>
      <c r="Z15" s="666">
        <v>1.0184</v>
      </c>
      <c r="AA15" s="139">
        <f t="shared" si="4"/>
        <v>0.99460000000000004</v>
      </c>
      <c r="AC15" s="671"/>
    </row>
    <row r="16" spans="1:31" x14ac:dyDescent="0.45">
      <c r="A16" s="10" t="str">
        <f>IF(VLOOKUP(B16,Portfolio!$B$9:$V$49,21,FALSE)=0,"No","Yes")</f>
        <v>Yes</v>
      </c>
      <c r="B16" s="611" t="s">
        <v>626</v>
      </c>
      <c r="C16" s="194" t="s">
        <v>736</v>
      </c>
      <c r="D16" s="664">
        <f t="shared" si="0"/>
        <v>4230014.7960563004</v>
      </c>
      <c r="E16" s="668">
        <f t="shared" si="1"/>
        <v>4142664.9905177373</v>
      </c>
      <c r="F16" s="705">
        <v>63163775.807780929</v>
      </c>
      <c r="G16" s="705">
        <v>10784873.99711426</v>
      </c>
      <c r="H16" s="705">
        <v>6680837.29</v>
      </c>
      <c r="I16" s="705">
        <v>11397560.0557593</v>
      </c>
      <c r="J16" s="705">
        <v>0</v>
      </c>
      <c r="K16" s="705">
        <v>31155558.493282892</v>
      </c>
      <c r="L16" s="705">
        <v>324445.36</v>
      </c>
      <c r="M16" s="199">
        <f t="shared" si="5"/>
        <v>4.5350099122279079</v>
      </c>
      <c r="N16" s="199">
        <f t="shared" si="2"/>
        <v>1.6461900241495429</v>
      </c>
      <c r="O16" s="703">
        <v>1.4361480441659999</v>
      </c>
      <c r="Q16" s="154"/>
      <c r="S16" s="632">
        <v>4326625.4260563003</v>
      </c>
      <c r="T16" s="632">
        <v>96610.63</v>
      </c>
      <c r="U16" s="632"/>
      <c r="V16" s="663">
        <f t="shared" si="3"/>
        <v>4230014.7960563004</v>
      </c>
      <c r="W16" s="663" t="s">
        <v>739</v>
      </c>
      <c r="Y16" s="666">
        <v>0.96679999999999999</v>
      </c>
      <c r="Z16" s="666">
        <v>0.99189999999999989</v>
      </c>
      <c r="AA16" s="139">
        <f t="shared" si="4"/>
        <v>0.97934999999999994</v>
      </c>
      <c r="AC16" s="670"/>
    </row>
    <row r="17" spans="1:29" s="190" customFormat="1" x14ac:dyDescent="0.45">
      <c r="A17" s="10" t="str">
        <f>IF(VLOOKUP(B17,Portfolio!$B$9:$V$49,21,FALSE)=0,"No","Yes")</f>
        <v>Yes</v>
      </c>
      <c r="B17" s="611" t="s">
        <v>629</v>
      </c>
      <c r="C17" s="194" t="s">
        <v>736</v>
      </c>
      <c r="D17" s="664">
        <f t="shared" si="0"/>
        <v>8635124.0287973993</v>
      </c>
      <c r="E17" s="668">
        <f t="shared" si="1"/>
        <v>8060024.7684794925</v>
      </c>
      <c r="F17" s="705">
        <v>45375719.689999998</v>
      </c>
      <c r="G17" s="705">
        <v>5411890.3900000006</v>
      </c>
      <c r="H17" s="705">
        <v>0</v>
      </c>
      <c r="I17" s="705">
        <v>14260000</v>
      </c>
      <c r="J17" s="705">
        <v>0</v>
      </c>
      <c r="K17" s="705">
        <v>22451322.464668099</v>
      </c>
      <c r="L17" s="705">
        <v>6501374.4100000001</v>
      </c>
      <c r="M17" s="199">
        <f t="shared" si="5"/>
        <v>5.5821433690692492</v>
      </c>
      <c r="N17" s="199">
        <v>1.112823146721452</v>
      </c>
      <c r="O17" s="703">
        <v>1.2812913578930001</v>
      </c>
      <c r="Q17" s="154"/>
      <c r="S17" s="632">
        <v>8635124.0287973993</v>
      </c>
      <c r="T17" s="632"/>
      <c r="U17" s="632"/>
      <c r="V17" s="663">
        <f t="shared" si="3"/>
        <v>8635124.0287973993</v>
      </c>
      <c r="W17" s="663"/>
      <c r="Y17" s="666">
        <v>0.89780000000000004</v>
      </c>
      <c r="Z17" s="666">
        <v>0.96899999999999997</v>
      </c>
      <c r="AA17" s="139">
        <f t="shared" si="4"/>
        <v>0.93340000000000001</v>
      </c>
      <c r="AC17" s="670"/>
    </row>
    <row r="18" spans="1:29" s="190" customFormat="1" x14ac:dyDescent="0.45">
      <c r="A18" s="10" t="str">
        <f>IF(VLOOKUP(B18,Portfolio!$B$9:$V$49,21,FALSE)=0,"No","Yes")</f>
        <v>No</v>
      </c>
      <c r="B18" s="611" t="s">
        <v>590</v>
      </c>
      <c r="C18" s="194" t="s">
        <v>736</v>
      </c>
      <c r="D18" s="664">
        <f t="shared" si="0"/>
        <v>14423881.374424499</v>
      </c>
      <c r="E18" s="668">
        <f t="shared" si="1"/>
        <v>12641810.830614351</v>
      </c>
      <c r="F18" s="705">
        <v>67720300</v>
      </c>
      <c r="G18" s="705">
        <v>20717486</v>
      </c>
      <c r="H18" s="705">
        <v>0</v>
      </c>
      <c r="I18" s="705">
        <v>22255667.565610301</v>
      </c>
      <c r="J18" s="705">
        <v>78061124.089910537</v>
      </c>
      <c r="K18" s="705">
        <v>107262555.8121735</v>
      </c>
      <c r="L18" s="705">
        <v>9778150.3200000003</v>
      </c>
      <c r="M18" s="199">
        <f t="shared" si="5"/>
        <v>9.5475482472967208</v>
      </c>
      <c r="N18" s="199">
        <f t="shared" ref="N18:N27" si="6">IF(G18&lt;0,"N/A",IFERROR(((SUM(H18:I18))-L18)/G18,0))</f>
        <v>0.6022698528967414</v>
      </c>
      <c r="O18" s="703">
        <v>1.573628340647</v>
      </c>
      <c r="Q18" s="154"/>
      <c r="S18" s="632">
        <v>17346916.464424498</v>
      </c>
      <c r="T18" s="632">
        <v>2923035.09</v>
      </c>
      <c r="U18" s="632"/>
      <c r="V18" s="663">
        <f t="shared" si="3"/>
        <v>14423881.374424499</v>
      </c>
      <c r="W18" s="663" t="s">
        <v>740</v>
      </c>
      <c r="Y18" s="666">
        <v>0.84609999999999996</v>
      </c>
      <c r="Z18" s="666">
        <v>0.90680000000000005</v>
      </c>
      <c r="AA18" s="139">
        <f t="shared" si="4"/>
        <v>0.87644999999999995</v>
      </c>
      <c r="AC18" s="670"/>
    </row>
    <row r="19" spans="1:29" s="190" customFormat="1" x14ac:dyDescent="0.45">
      <c r="A19" s="10" t="str">
        <f>IF(VLOOKUP(B19,Portfolio!$B$9:$V$49,21,FALSE)=0,"No","Yes")</f>
        <v>Yes</v>
      </c>
      <c r="B19" s="611" t="s">
        <v>699</v>
      </c>
      <c r="C19" s="194" t="s">
        <v>736</v>
      </c>
      <c r="D19" s="664">
        <f t="shared" si="0"/>
        <v>7175785.3408561293</v>
      </c>
      <c r="E19" s="668">
        <f t="shared" si="1"/>
        <v>7092905.0201692414</v>
      </c>
      <c r="F19" s="705">
        <v>107779644.15000001</v>
      </c>
      <c r="G19" s="705">
        <v>12402960.1</v>
      </c>
      <c r="H19" s="705">
        <v>0</v>
      </c>
      <c r="I19" s="705">
        <v>10243805.994289501</v>
      </c>
      <c r="J19" s="705">
        <v>0</v>
      </c>
      <c r="K19" s="705">
        <v>26909195.0582105</v>
      </c>
      <c r="L19" s="705">
        <v>6424931</v>
      </c>
      <c r="M19" s="199">
        <f t="shared" si="5"/>
        <v>2.4774787473919231</v>
      </c>
      <c r="N19" s="199">
        <f t="shared" si="6"/>
        <v>0.30790028860042051</v>
      </c>
      <c r="O19" s="703">
        <v>1.95</v>
      </c>
      <c r="Q19" s="154"/>
      <c r="S19" s="632">
        <v>7175785.3408561293</v>
      </c>
      <c r="T19" s="632"/>
      <c r="U19" s="632"/>
      <c r="V19" s="663">
        <f t="shared" si="3"/>
        <v>7175785.3408561293</v>
      </c>
      <c r="W19" s="663"/>
      <c r="Y19" s="666">
        <v>0.97689999999999999</v>
      </c>
      <c r="Z19" s="666">
        <v>1</v>
      </c>
      <c r="AA19" s="139">
        <f t="shared" si="4"/>
        <v>0.98845000000000005</v>
      </c>
      <c r="AC19" s="670"/>
    </row>
    <row r="20" spans="1:29" s="190" customFormat="1" x14ac:dyDescent="0.45">
      <c r="A20" s="10" t="str">
        <f>IF(VLOOKUP(B20,Portfolio!$B$9:$V$49,21,FALSE)=0,"No","Yes")</f>
        <v>Yes</v>
      </c>
      <c r="B20" s="611" t="s">
        <v>476</v>
      </c>
      <c r="C20" s="194" t="s">
        <v>239</v>
      </c>
      <c r="D20" s="664">
        <f t="shared" si="0"/>
        <v>17737566.439047478</v>
      </c>
      <c r="E20" s="668">
        <f t="shared" si="1"/>
        <v>17737566.439047478</v>
      </c>
      <c r="F20" s="705">
        <v>76142595.399999991</v>
      </c>
      <c r="G20" s="705">
        <v>30943706.98706663</v>
      </c>
      <c r="H20" s="705">
        <v>0</v>
      </c>
      <c r="I20" s="705">
        <v>13775007.76</v>
      </c>
      <c r="J20" s="705">
        <v>2672940.4278554171</v>
      </c>
      <c r="K20" s="705">
        <v>50914059.572144583</v>
      </c>
      <c r="L20" s="705">
        <v>12308276.49</v>
      </c>
      <c r="M20" s="199">
        <f t="shared" si="5"/>
        <v>1.7791575939175777</v>
      </c>
      <c r="N20" s="199">
        <f t="shared" si="6"/>
        <v>4.7399985742271965E-2</v>
      </c>
      <c r="O20" s="703">
        <v>2.69</v>
      </c>
      <c r="Q20" s="154"/>
      <c r="S20" s="632">
        <v>4154501.4090474802</v>
      </c>
      <c r="T20" s="632">
        <v>577553.97</v>
      </c>
      <c r="U20" s="632">
        <v>14160619</v>
      </c>
      <c r="V20" s="663">
        <f t="shared" si="3"/>
        <v>17737566.439047478</v>
      </c>
      <c r="W20" s="663" t="s">
        <v>734</v>
      </c>
      <c r="Y20" s="666">
        <v>1</v>
      </c>
      <c r="Z20" s="666">
        <v>1</v>
      </c>
      <c r="AA20" s="139">
        <f t="shared" si="4"/>
        <v>1</v>
      </c>
    </row>
    <row r="21" spans="1:29" x14ac:dyDescent="0.45">
      <c r="A21" s="10" t="str">
        <f>IF(VLOOKUP(B21,Portfolio!$B$9:$V$49,21,FALSE)=0,"No","Yes")</f>
        <v>No</v>
      </c>
      <c r="B21" s="611" t="s">
        <v>599</v>
      </c>
      <c r="C21" s="194" t="s">
        <v>239</v>
      </c>
      <c r="D21" s="664">
        <f t="shared" si="0"/>
        <v>11421323.23155489</v>
      </c>
      <c r="E21" s="668">
        <f t="shared" si="1"/>
        <v>1279822.0447114082</v>
      </c>
      <c r="F21" s="705">
        <v>38324971.11999999</v>
      </c>
      <c r="G21" s="705">
        <v>-2282450.0076401201</v>
      </c>
      <c r="H21" s="705">
        <v>0</v>
      </c>
      <c r="I21" s="705">
        <v>4999950.9500000104</v>
      </c>
      <c r="J21" s="705">
        <v>8373769.1440828107</v>
      </c>
      <c r="K21" s="705">
        <v>76609405.58193633</v>
      </c>
      <c r="L21" s="705">
        <v>4293784.7622820605</v>
      </c>
      <c r="M21" s="199" t="str">
        <f t="shared" si="5"/>
        <v>N/M</v>
      </c>
      <c r="N21" s="199" t="str">
        <f t="shared" si="6"/>
        <v>N/A</v>
      </c>
      <c r="O21" s="703">
        <v>0</v>
      </c>
      <c r="Q21" s="154"/>
      <c r="S21" s="632">
        <v>13323374.88155489</v>
      </c>
      <c r="T21" s="632">
        <v>1902051.65</v>
      </c>
      <c r="U21" s="632"/>
      <c r="V21" s="663">
        <f t="shared" si="3"/>
        <v>11421323.23155489</v>
      </c>
      <c r="W21" s="663" t="s">
        <v>741</v>
      </c>
      <c r="Y21" s="666">
        <v>6.9663607818461343E-2</v>
      </c>
      <c r="Z21" s="666">
        <v>0.15444738506115691</v>
      </c>
      <c r="AA21" s="139">
        <f t="shared" si="4"/>
        <v>0.11205549643980912</v>
      </c>
      <c r="AC21" s="198"/>
    </row>
    <row r="22" spans="1:29" x14ac:dyDescent="0.45">
      <c r="A22" s="10" t="str">
        <f>IF(VLOOKUP(B22,Portfolio!$B$9:$V$49,21,FALSE)=0,"No","Yes")</f>
        <v>Yes</v>
      </c>
      <c r="B22" s="611" t="s">
        <v>695</v>
      </c>
      <c r="C22" s="194" t="s">
        <v>239</v>
      </c>
      <c r="D22" s="664">
        <f t="shared" si="0"/>
        <v>6442460.1799999997</v>
      </c>
      <c r="E22" s="668">
        <f t="shared" si="1"/>
        <v>6310425.7156483149</v>
      </c>
      <c r="F22" s="705">
        <v>108920925.84999999</v>
      </c>
      <c r="G22" s="705">
        <v>12100000</v>
      </c>
      <c r="H22" s="705">
        <v>2453371.7600000049</v>
      </c>
      <c r="I22" s="705">
        <v>0</v>
      </c>
      <c r="J22" s="705">
        <v>49210526.32</v>
      </c>
      <c r="K22" s="705">
        <v>6047723.3399999999</v>
      </c>
      <c r="L22" s="705">
        <v>0</v>
      </c>
      <c r="M22" s="199">
        <f t="shared" si="5"/>
        <v>4.7695554892561987</v>
      </c>
      <c r="N22" s="199">
        <f t="shared" si="6"/>
        <v>0.20275799669421529</v>
      </c>
      <c r="O22" s="703">
        <v>1.6</v>
      </c>
      <c r="Q22" s="154"/>
      <c r="R22" s="706"/>
      <c r="S22" s="632">
        <v>6047723.3399999999</v>
      </c>
      <c r="T22" s="632"/>
      <c r="U22" s="632">
        <v>394736.84</v>
      </c>
      <c r="V22" s="663">
        <f t="shared" si="3"/>
        <v>6442460.1799999997</v>
      </c>
      <c r="W22" s="663"/>
      <c r="Y22" s="666">
        <v>0.96118627302934756</v>
      </c>
      <c r="Z22" s="666">
        <v>0.99782489330689983</v>
      </c>
      <c r="AA22" s="139">
        <f t="shared" si="4"/>
        <v>0.97950558316812364</v>
      </c>
      <c r="AC22" s="670"/>
    </row>
    <row r="23" spans="1:29" x14ac:dyDescent="0.45">
      <c r="A23" s="10" t="str">
        <f>IF(VLOOKUP(B23,Portfolio!$B$9:$V$49,21,FALSE)=0,"No","Yes")</f>
        <v>No</v>
      </c>
      <c r="B23" s="611" t="s">
        <v>471</v>
      </c>
      <c r="C23" s="194" t="s">
        <v>239</v>
      </c>
      <c r="D23" s="664">
        <f t="shared" si="0"/>
        <v>3714428.90053037</v>
      </c>
      <c r="E23" s="668">
        <f t="shared" si="1"/>
        <v>3718514.7723209527</v>
      </c>
      <c r="F23" s="705">
        <v>44668346.240000002</v>
      </c>
      <c r="G23" s="705">
        <v>27080542.86999996</v>
      </c>
      <c r="H23" s="705">
        <v>59000000</v>
      </c>
      <c r="I23" s="705">
        <v>0</v>
      </c>
      <c r="J23" s="705">
        <v>0</v>
      </c>
      <c r="K23" s="705">
        <v>28012557.821366731</v>
      </c>
      <c r="L23" s="705">
        <v>3914198.57</v>
      </c>
      <c r="M23" s="199">
        <f t="shared" si="5"/>
        <v>3.0685632725414731</v>
      </c>
      <c r="N23" s="199">
        <f t="shared" si="6"/>
        <v>2.0341468667906391</v>
      </c>
      <c r="O23" s="703">
        <v>2.7739952044030001</v>
      </c>
      <c r="Q23" s="154"/>
      <c r="R23" s="706"/>
      <c r="S23" s="632">
        <v>3714428.90053037</v>
      </c>
      <c r="T23" s="632"/>
      <c r="U23" s="632"/>
      <c r="V23" s="663">
        <f t="shared" si="3"/>
        <v>3714428.90053037</v>
      </c>
      <c r="W23" s="663"/>
      <c r="Y23" s="666">
        <v>0.98929999999999985</v>
      </c>
      <c r="Z23" s="666">
        <v>1.0128999999999999</v>
      </c>
      <c r="AA23" s="139">
        <f t="shared" si="4"/>
        <v>1.0010999999999999</v>
      </c>
    </row>
    <row r="24" spans="1:29" x14ac:dyDescent="0.45">
      <c r="A24" s="10" t="str">
        <f>IF(VLOOKUP(B24,Portfolio!$B$9:$V$49,21,FALSE)=0,"No","Yes")</f>
        <v>No</v>
      </c>
      <c r="B24" s="611" t="s">
        <v>596</v>
      </c>
      <c r="C24" s="194" t="s">
        <v>239</v>
      </c>
      <c r="D24" s="664">
        <f t="shared" si="0"/>
        <v>1544173.0848497902</v>
      </c>
      <c r="E24" s="668">
        <f t="shared" si="1"/>
        <v>1451059.4478333478</v>
      </c>
      <c r="F24" s="705">
        <v>28781061.590000018</v>
      </c>
      <c r="G24" s="705">
        <v>770615.08500001719</v>
      </c>
      <c r="H24" s="705">
        <v>4876120.7300000004</v>
      </c>
      <c r="I24" s="705">
        <v>0</v>
      </c>
      <c r="J24" s="705">
        <v>0</v>
      </c>
      <c r="K24" s="705">
        <v>13965811.64562268</v>
      </c>
      <c r="L24" s="705">
        <v>326447.93</v>
      </c>
      <c r="M24" s="199" t="s">
        <v>735</v>
      </c>
      <c r="N24" s="199">
        <f t="shared" si="6"/>
        <v>5.9039498298945174</v>
      </c>
      <c r="O24" s="703">
        <v>0.27293512627599997</v>
      </c>
      <c r="Q24" s="154"/>
      <c r="S24" s="632">
        <v>1727350.6948497901</v>
      </c>
      <c r="T24" s="632">
        <v>183177.61</v>
      </c>
      <c r="U24" s="632"/>
      <c r="V24" s="663">
        <f t="shared" si="3"/>
        <v>1544173.0848497902</v>
      </c>
      <c r="W24" s="663" t="s">
        <v>742</v>
      </c>
      <c r="Y24" s="666">
        <v>0.90139999999999998</v>
      </c>
      <c r="Z24" s="666">
        <v>0.97799999999999998</v>
      </c>
      <c r="AA24" s="139">
        <f t="shared" si="4"/>
        <v>0.93969999999999998</v>
      </c>
    </row>
    <row r="25" spans="1:29" x14ac:dyDescent="0.45">
      <c r="A25" s="10" t="str">
        <f>IF(VLOOKUP(B25,Portfolio!$B$9:$V$49,21,FALSE)=0,"No","Yes")</f>
        <v>Yes</v>
      </c>
      <c r="B25" s="611" t="s">
        <v>617</v>
      </c>
      <c r="C25" s="194" t="s">
        <v>239</v>
      </c>
      <c r="D25" s="664">
        <f t="shared" si="0"/>
        <v>6137824.8084000004</v>
      </c>
      <c r="E25" s="668">
        <f t="shared" si="1"/>
        <v>5895687.6197086209</v>
      </c>
      <c r="F25" s="705">
        <v>53554300.419999987</v>
      </c>
      <c r="G25" s="705">
        <v>8352000</v>
      </c>
      <c r="H25" s="705">
        <v>4250000</v>
      </c>
      <c r="I25" s="705">
        <v>0</v>
      </c>
      <c r="J25" s="705">
        <v>3525000</v>
      </c>
      <c r="K25" s="705">
        <v>45825000</v>
      </c>
      <c r="L25" s="705">
        <v>944000</v>
      </c>
      <c r="M25" s="199">
        <f t="shared" ref="M25:M42" si="7">IF(SUM(H25:K25,-L25)/G25&lt;0,"N/M",SUM(H25:K25,-L25)/G25)</f>
        <v>6.304597701149425</v>
      </c>
      <c r="N25" s="199">
        <f t="shared" si="6"/>
        <v>0.39583333333333331</v>
      </c>
      <c r="O25" s="703">
        <v>1.0571748671400001</v>
      </c>
      <c r="Q25" s="154"/>
      <c r="S25" s="632">
        <v>6137824.8084000004</v>
      </c>
      <c r="T25" s="632"/>
      <c r="U25" s="632"/>
      <c r="V25" s="663">
        <f t="shared" si="3"/>
        <v>6137824.8084000004</v>
      </c>
      <c r="W25" s="663"/>
      <c r="Y25" s="666">
        <v>0.9385</v>
      </c>
      <c r="Z25" s="666">
        <v>0.98260000000000003</v>
      </c>
      <c r="AA25" s="139">
        <f t="shared" si="4"/>
        <v>0.96055000000000001</v>
      </c>
    </row>
    <row r="26" spans="1:29" x14ac:dyDescent="0.45">
      <c r="A26" s="10" t="str">
        <f>IF(VLOOKUP(B26,Portfolio!$B$9:$V$49,21,FALSE)=0,"No","Yes")</f>
        <v>Yes</v>
      </c>
      <c r="B26" s="611" t="s">
        <v>701</v>
      </c>
      <c r="C26" s="194" t="s">
        <v>736</v>
      </c>
      <c r="D26" s="664">
        <f t="shared" si="0"/>
        <v>2620174.87</v>
      </c>
      <c r="E26" s="668">
        <f t="shared" si="1"/>
        <v>2581527.2906674999</v>
      </c>
      <c r="F26" s="705">
        <v>50086101.650000013</v>
      </c>
      <c r="G26" s="705">
        <v>7214432.0399999982</v>
      </c>
      <c r="H26" s="705">
        <v>0</v>
      </c>
      <c r="I26" s="705">
        <v>7633048.1799999997</v>
      </c>
      <c r="J26" s="705">
        <v>0</v>
      </c>
      <c r="K26" s="705">
        <v>14756262.82</v>
      </c>
      <c r="L26" s="705">
        <v>4086893.17</v>
      </c>
      <c r="M26" s="199">
        <f t="shared" si="7"/>
        <v>2.5369173524018676</v>
      </c>
      <c r="N26" s="199">
        <f t="shared" si="6"/>
        <v>0.49153626929168504</v>
      </c>
      <c r="O26" s="703">
        <v>2.791822213848</v>
      </c>
      <c r="Q26" s="154"/>
      <c r="S26" s="632">
        <v>2620174.87</v>
      </c>
      <c r="T26" s="632"/>
      <c r="U26" s="632"/>
      <c r="V26" s="663">
        <f t="shared" si="3"/>
        <v>2620174.87</v>
      </c>
      <c r="W26" s="663"/>
      <c r="Y26" s="666">
        <v>0.97050000000000003</v>
      </c>
      <c r="Z26" s="666">
        <v>1</v>
      </c>
      <c r="AA26" s="139">
        <f t="shared" si="4"/>
        <v>0.98524999999999996</v>
      </c>
    </row>
    <row r="27" spans="1:29" s="190" customFormat="1" x14ac:dyDescent="0.45">
      <c r="A27" s="10" t="str">
        <f>IF(VLOOKUP(B27,Portfolio!$B$9:$V$49,21,FALSE)=0,"No","Yes")</f>
        <v>Yes</v>
      </c>
      <c r="B27" s="611" t="s">
        <v>606</v>
      </c>
      <c r="C27" s="194" t="s">
        <v>736</v>
      </c>
      <c r="D27" s="664">
        <f t="shared" si="0"/>
        <v>6554285.40814537</v>
      </c>
      <c r="E27" s="668">
        <f t="shared" si="1"/>
        <v>6496607.6965536913</v>
      </c>
      <c r="F27" s="705">
        <v>44706959.5</v>
      </c>
      <c r="G27" s="705">
        <v>8537312.3994886316</v>
      </c>
      <c r="H27" s="705">
        <v>3097000</v>
      </c>
      <c r="I27" s="705">
        <v>5600000</v>
      </c>
      <c r="J27" s="705">
        <v>0</v>
      </c>
      <c r="K27" s="705">
        <v>29089000.173749808</v>
      </c>
      <c r="L27" s="705">
        <v>354000</v>
      </c>
      <c r="M27" s="199">
        <f t="shared" si="7"/>
        <v>4.3845180335666187</v>
      </c>
      <c r="N27" s="199">
        <f t="shared" si="6"/>
        <v>0.97723962877353876</v>
      </c>
      <c r="O27" s="703">
        <v>1.671248182185</v>
      </c>
      <c r="Q27" s="154"/>
      <c r="S27" s="632">
        <v>6884970.44814537</v>
      </c>
      <c r="T27" s="632">
        <v>330685.03999999998</v>
      </c>
      <c r="U27" s="632"/>
      <c r="V27" s="663">
        <f t="shared" si="3"/>
        <v>6554285.40814537</v>
      </c>
      <c r="W27" s="663" t="s">
        <v>734</v>
      </c>
      <c r="Y27" s="666">
        <v>0.97240000000000004</v>
      </c>
      <c r="Z27" s="666">
        <v>1.01</v>
      </c>
      <c r="AA27" s="139">
        <f t="shared" si="4"/>
        <v>0.99120000000000008</v>
      </c>
    </row>
    <row r="28" spans="1:29" s="190" customFormat="1" x14ac:dyDescent="0.45">
      <c r="A28" s="10" t="str">
        <f>IF(VLOOKUP(B28,Portfolio!$B$9:$V$49,21,FALSE)=0,"No","Yes")</f>
        <v>Yes</v>
      </c>
      <c r="B28" s="611" t="s">
        <v>707</v>
      </c>
      <c r="C28" s="194" t="s">
        <v>239</v>
      </c>
      <c r="D28" s="664">
        <f t="shared" si="0"/>
        <v>14566785.71576011</v>
      </c>
      <c r="E28" s="668">
        <f t="shared" si="1"/>
        <v>14364237.751482427</v>
      </c>
      <c r="F28" s="705">
        <v>30113390</v>
      </c>
      <c r="G28" s="705">
        <v>10403439</v>
      </c>
      <c r="H28" s="705">
        <v>1600000</v>
      </c>
      <c r="I28" s="705">
        <v>4300000.00476282</v>
      </c>
      <c r="J28" s="705">
        <v>0</v>
      </c>
      <c r="K28" s="705">
        <v>25491875.004762821</v>
      </c>
      <c r="L28" s="705">
        <v>3469524</v>
      </c>
      <c r="M28" s="199">
        <f t="shared" si="7"/>
        <v>2.6839539319186323</v>
      </c>
      <c r="N28" s="199">
        <v>0</v>
      </c>
      <c r="O28" s="703">
        <v>3.5742200623730001</v>
      </c>
      <c r="Q28" s="154"/>
      <c r="S28" s="632">
        <v>14566785.71576011</v>
      </c>
      <c r="T28" s="632"/>
      <c r="U28" s="632"/>
      <c r="V28" s="663">
        <f t="shared" si="3"/>
        <v>14566785.71576011</v>
      </c>
      <c r="W28" s="663"/>
      <c r="Y28" s="666">
        <v>0.96609521906685658</v>
      </c>
      <c r="Z28" s="666">
        <v>1.0060952190668571</v>
      </c>
      <c r="AA28" s="139">
        <f t="shared" si="4"/>
        <v>0.98609521906685682</v>
      </c>
    </row>
    <row r="29" spans="1:29" s="190" customFormat="1" x14ac:dyDescent="0.45">
      <c r="A29" s="10" t="str">
        <f>IF(VLOOKUP(B29,Portfolio!$B$9:$V$49,21,FALSE)=0,"No","Yes")</f>
        <v>No</v>
      </c>
      <c r="B29" s="611" t="s">
        <v>458</v>
      </c>
      <c r="C29" s="194" t="s">
        <v>239</v>
      </c>
      <c r="D29" s="664">
        <f t="shared" si="0"/>
        <v>8148216.42949674</v>
      </c>
      <c r="E29" s="668">
        <f t="shared" si="1"/>
        <v>6860798.2336362544</v>
      </c>
      <c r="F29" s="705">
        <v>399134.77</v>
      </c>
      <c r="G29" s="705">
        <v>-8804510.4299999997</v>
      </c>
      <c r="H29" s="705">
        <v>0</v>
      </c>
      <c r="I29" s="705">
        <v>13781827.74</v>
      </c>
      <c r="J29" s="705">
        <v>20508126.400000021</v>
      </c>
      <c r="K29" s="705">
        <v>100373997.5393797</v>
      </c>
      <c r="L29" s="705">
        <v>248078.13</v>
      </c>
      <c r="M29" s="199" t="str">
        <f t="shared" si="7"/>
        <v>N/M</v>
      </c>
      <c r="N29" s="199" t="str">
        <f t="shared" ref="N29:N42" si="8">IF(G29&lt;0,"N/A",IFERROR(((SUM(H29:I29))-L29)/G29,0))</f>
        <v>N/A</v>
      </c>
      <c r="O29" s="703">
        <v>0</v>
      </c>
      <c r="Q29" s="154"/>
      <c r="S29" s="632">
        <v>8148216.42949674</v>
      </c>
      <c r="T29" s="632"/>
      <c r="U29" s="632"/>
      <c r="V29" s="663">
        <f t="shared" si="3"/>
        <v>8148216.42949674</v>
      </c>
      <c r="W29" s="663"/>
      <c r="Y29" s="666">
        <v>0.81499999999999995</v>
      </c>
      <c r="Z29" s="666">
        <v>0.86899999999999999</v>
      </c>
      <c r="AA29" s="139">
        <f t="shared" si="4"/>
        <v>0.84199999999999997</v>
      </c>
    </row>
    <row r="30" spans="1:29" s="190" customFormat="1" x14ac:dyDescent="0.45">
      <c r="A30" s="10" t="str">
        <f>IF(VLOOKUP(B30,Portfolio!$B$9:$V$49,21,FALSE)=0,"No","Yes")</f>
        <v>No</v>
      </c>
      <c r="B30" s="611" t="s">
        <v>702</v>
      </c>
      <c r="C30" s="194" t="s">
        <v>239</v>
      </c>
      <c r="D30" s="664">
        <f t="shared" si="0"/>
        <v>1602557.3769414299</v>
      </c>
      <c r="E30" s="668">
        <f t="shared" si="1"/>
        <v>1602557.3769414299</v>
      </c>
      <c r="F30" s="705">
        <v>34452629.260000013</v>
      </c>
      <c r="G30" s="705">
        <v>6606216.6600000001</v>
      </c>
      <c r="H30" s="705">
        <v>1200000</v>
      </c>
      <c r="I30" s="705">
        <v>2633801</v>
      </c>
      <c r="J30" s="705">
        <v>0</v>
      </c>
      <c r="K30" s="705">
        <v>5871903.9737882502</v>
      </c>
      <c r="L30" s="705">
        <v>2031795.79</v>
      </c>
      <c r="M30" s="199">
        <f t="shared" si="7"/>
        <v>1.1616193622974893</v>
      </c>
      <c r="N30" s="199">
        <f t="shared" si="8"/>
        <v>0.27277416148201228</v>
      </c>
      <c r="O30" s="703">
        <v>3.2237242965030002</v>
      </c>
      <c r="Q30" s="154"/>
      <c r="S30" s="632">
        <v>1602557.3769414299</v>
      </c>
      <c r="T30" s="632">
        <v>277544.59000000003</v>
      </c>
      <c r="U30" s="632"/>
      <c r="V30" s="663">
        <f>S30-T67+U30</f>
        <v>1602557.3769414299</v>
      </c>
      <c r="W30" s="663" t="s">
        <v>743</v>
      </c>
      <c r="Y30" s="666">
        <v>1</v>
      </c>
      <c r="Z30" s="666">
        <v>1</v>
      </c>
      <c r="AA30" s="139">
        <f t="shared" si="4"/>
        <v>1</v>
      </c>
    </row>
    <row r="31" spans="1:29" s="190" customFormat="1" x14ac:dyDescent="0.45">
      <c r="A31" s="10" t="str">
        <f>IF(VLOOKUP(B31,Portfolio!$B$9:$V$49,21,FALSE)=0,"No","Yes")</f>
        <v>Yes</v>
      </c>
      <c r="B31" s="611" t="s">
        <v>602</v>
      </c>
      <c r="C31" s="194" t="s">
        <v>736</v>
      </c>
      <c r="D31" s="664">
        <f t="shared" si="0"/>
        <v>3692185.7905205721</v>
      </c>
      <c r="E31" s="668">
        <f t="shared" si="1"/>
        <v>3596558.5346319997</v>
      </c>
      <c r="F31" s="705">
        <v>53460000</v>
      </c>
      <c r="G31" s="705">
        <v>18618569</v>
      </c>
      <c r="H31" s="705">
        <v>0</v>
      </c>
      <c r="I31" s="705">
        <v>0</v>
      </c>
      <c r="J31" s="705">
        <v>52311633.991422378</v>
      </c>
      <c r="K31" s="705">
        <v>21620241.965895131</v>
      </c>
      <c r="L31" s="705">
        <v>8928000</v>
      </c>
      <c r="M31" s="199">
        <f t="shared" si="7"/>
        <v>3.491346513113736</v>
      </c>
      <c r="N31" s="199">
        <f t="shared" si="8"/>
        <v>-0.47952127792420568</v>
      </c>
      <c r="O31" s="703">
        <v>2.732253365559</v>
      </c>
      <c r="Q31" s="154"/>
      <c r="S31" s="632">
        <v>3969730.380520572</v>
      </c>
      <c r="U31" s="632"/>
      <c r="V31" s="663">
        <f>S31-T30+U31</f>
        <v>3692185.7905205721</v>
      </c>
      <c r="W31" s="663"/>
      <c r="Y31" s="666">
        <v>0.95543559280028123</v>
      </c>
      <c r="Z31" s="666">
        <v>0.99276460008595513</v>
      </c>
      <c r="AA31" s="139">
        <f t="shared" si="4"/>
        <v>0.97410009644311812</v>
      </c>
    </row>
    <row r="32" spans="1:29" s="190" customFormat="1" x14ac:dyDescent="0.45">
      <c r="A32" s="10" t="str">
        <f>IF(VLOOKUP(B32,Portfolio!$B$9:$V$49,21,FALSE)=0,"No","Yes")</f>
        <v>No</v>
      </c>
      <c r="B32" s="611" t="s">
        <v>624</v>
      </c>
      <c r="C32" s="194" t="s">
        <v>239</v>
      </c>
      <c r="D32" s="664">
        <f t="shared" si="0"/>
        <v>4483598.4772002399</v>
      </c>
      <c r="E32" s="668">
        <f t="shared" si="1"/>
        <v>3781018.595822962</v>
      </c>
      <c r="F32" s="705">
        <v>21612406.600000001</v>
      </c>
      <c r="G32" s="705">
        <v>2116919.919999999</v>
      </c>
      <c r="H32" s="705">
        <v>0</v>
      </c>
      <c r="I32" s="705">
        <v>559000</v>
      </c>
      <c r="J32" s="705">
        <v>235875.00000000931</v>
      </c>
      <c r="K32" s="705">
        <v>13899155.272145141</v>
      </c>
      <c r="L32" s="705">
        <v>1278666.98</v>
      </c>
      <c r="M32" s="199">
        <f t="shared" si="7"/>
        <v>6.3372086801210488</v>
      </c>
      <c r="N32" s="199">
        <f t="shared" si="8"/>
        <v>-0.3399594728174698</v>
      </c>
      <c r="O32" s="703">
        <v>0.92549902455800004</v>
      </c>
      <c r="Q32" s="154"/>
      <c r="S32" s="632">
        <v>4483598.4772002399</v>
      </c>
      <c r="T32" s="632"/>
      <c r="U32" s="632"/>
      <c r="V32" s="663">
        <f t="shared" ref="V32:V50" si="9">S32-T32+U32</f>
        <v>4483598.4772002399</v>
      </c>
      <c r="W32" s="663"/>
      <c r="Y32" s="666">
        <v>0.82330000000000003</v>
      </c>
      <c r="Z32" s="666">
        <v>0.86329999999999996</v>
      </c>
      <c r="AA32" s="139">
        <f t="shared" si="4"/>
        <v>0.84329999999999994</v>
      </c>
    </row>
    <row r="33" spans="1:27" s="190" customFormat="1" x14ac:dyDescent="0.45">
      <c r="A33" s="10" t="str">
        <f>IF(VLOOKUP(B33,Portfolio!$B$9:$V$49,21,FALSE)=0,"No","Yes")</f>
        <v>Yes</v>
      </c>
      <c r="B33" s="611" t="s">
        <v>603</v>
      </c>
      <c r="C33" s="194" t="s">
        <v>239</v>
      </c>
      <c r="D33" s="664">
        <f t="shared" si="0"/>
        <v>9984614.3509859107</v>
      </c>
      <c r="E33" s="668">
        <f t="shared" si="1"/>
        <v>9554277.4724584185</v>
      </c>
      <c r="F33" s="705">
        <v>121623000</v>
      </c>
      <c r="G33" s="705">
        <v>17236000</v>
      </c>
      <c r="H33" s="705">
        <v>16737000</v>
      </c>
      <c r="I33" s="705">
        <v>0</v>
      </c>
      <c r="J33" s="705">
        <v>0</v>
      </c>
      <c r="K33" s="705">
        <v>86832457.573985696</v>
      </c>
      <c r="L33" s="705">
        <v>350000</v>
      </c>
      <c r="M33" s="199">
        <f t="shared" si="7"/>
        <v>5.9885969815494136</v>
      </c>
      <c r="N33" s="199">
        <f t="shared" si="8"/>
        <v>0.95074263170109075</v>
      </c>
      <c r="O33" s="703">
        <v>0</v>
      </c>
      <c r="Q33" s="154"/>
      <c r="S33" s="632">
        <v>9984614.3509859107</v>
      </c>
      <c r="T33" s="632"/>
      <c r="U33" s="632"/>
      <c r="V33" s="663">
        <f t="shared" si="9"/>
        <v>9984614.3509859107</v>
      </c>
      <c r="W33" s="663"/>
      <c r="Y33" s="666">
        <v>0.92690000000000006</v>
      </c>
      <c r="Z33" s="666">
        <v>0.98690000000000011</v>
      </c>
      <c r="AA33" s="139">
        <f t="shared" si="4"/>
        <v>0.95690000000000008</v>
      </c>
    </row>
    <row r="34" spans="1:27" s="190" customFormat="1" x14ac:dyDescent="0.45">
      <c r="A34" s="10" t="str">
        <f>IF(VLOOKUP(B34,Portfolio!$B$9:$V$49,21,FALSE)=0,"No","Yes")</f>
        <v>Yes</v>
      </c>
      <c r="B34" s="611" t="s">
        <v>623</v>
      </c>
      <c r="C34" s="194" t="s">
        <v>736</v>
      </c>
      <c r="D34" s="664">
        <f t="shared" si="0"/>
        <v>14378770.272964099</v>
      </c>
      <c r="E34" s="668">
        <f t="shared" si="1"/>
        <v>13408922.21805267</v>
      </c>
      <c r="F34" s="705">
        <v>131351280.847479</v>
      </c>
      <c r="G34" s="705">
        <v>14248469.93711837</v>
      </c>
      <c r="H34" s="705">
        <v>3250000</v>
      </c>
      <c r="I34" s="705">
        <v>22293555.8251421</v>
      </c>
      <c r="J34" s="705">
        <v>0</v>
      </c>
      <c r="K34" s="705">
        <v>69055417.388015687</v>
      </c>
      <c r="L34" s="705">
        <v>4880330.8736170009</v>
      </c>
      <c r="M34" s="199">
        <f t="shared" si="7"/>
        <v>6.2967211732550137</v>
      </c>
      <c r="N34" s="199">
        <f t="shared" si="8"/>
        <v>1.4502065865820297</v>
      </c>
      <c r="O34" s="703">
        <v>1.2963882218680001</v>
      </c>
      <c r="Q34" s="154"/>
      <c r="S34" s="632">
        <v>14943177.1629641</v>
      </c>
      <c r="T34" s="632">
        <v>564406.89</v>
      </c>
      <c r="U34" s="632"/>
      <c r="V34" s="663">
        <f t="shared" si="9"/>
        <v>14378770.272964099</v>
      </c>
      <c r="W34" s="663" t="s">
        <v>744</v>
      </c>
      <c r="Y34" s="666">
        <v>0.91830000000000001</v>
      </c>
      <c r="Z34" s="666">
        <v>0.94679999999999986</v>
      </c>
      <c r="AA34" s="139">
        <f t="shared" si="4"/>
        <v>0.93254999999999999</v>
      </c>
    </row>
    <row r="35" spans="1:27" s="190" customFormat="1" x14ac:dyDescent="0.45">
      <c r="A35" s="10" t="str">
        <f>IF(VLOOKUP(B35,Portfolio!$B$9:$V$49,21,FALSE)=0,"No","Yes")</f>
        <v>Yes</v>
      </c>
      <c r="B35" s="611" t="s">
        <v>700</v>
      </c>
      <c r="C35" s="194" t="s">
        <v>239</v>
      </c>
      <c r="D35" s="664">
        <f t="shared" si="0"/>
        <v>6865952.6793287368</v>
      </c>
      <c r="E35" s="668">
        <f t="shared" si="1"/>
        <v>6867325.8698646026</v>
      </c>
      <c r="F35" s="705">
        <v>73264089.409999996</v>
      </c>
      <c r="G35" s="705">
        <v>15367852.49</v>
      </c>
      <c r="H35" s="705">
        <v>2900000</v>
      </c>
      <c r="I35" s="705">
        <v>0</v>
      </c>
      <c r="J35" s="705">
        <v>29936564.327378541</v>
      </c>
      <c r="K35" s="705">
        <v>23080663.150788158</v>
      </c>
      <c r="L35" s="705">
        <v>525575.44999999995</v>
      </c>
      <c r="M35" s="199">
        <f t="shared" si="7"/>
        <v>3.6043846766625682</v>
      </c>
      <c r="N35" s="199">
        <f t="shared" si="8"/>
        <v>0.15450594359524594</v>
      </c>
      <c r="O35" s="703">
        <v>2.42</v>
      </c>
      <c r="Q35" s="154"/>
      <c r="S35" s="632">
        <v>6875091.1545095704</v>
      </c>
      <c r="T35" s="632">
        <v>9138.4751808333331</v>
      </c>
      <c r="U35" s="632"/>
      <c r="V35" s="663">
        <f t="shared" si="9"/>
        <v>6865952.6793287368</v>
      </c>
      <c r="W35" s="663" t="s">
        <v>745</v>
      </c>
      <c r="Y35" s="666">
        <v>0.99039999999999995</v>
      </c>
      <c r="Z35" s="666">
        <v>1.01</v>
      </c>
      <c r="AA35" s="139">
        <f t="shared" si="4"/>
        <v>1.0002</v>
      </c>
    </row>
    <row r="36" spans="1:27" s="190" customFormat="1" x14ac:dyDescent="0.45">
      <c r="A36" s="10" t="str">
        <f>IF(VLOOKUP(B36,Portfolio!$B$9:$V$49,21,FALSE)=0,"No","Yes")</f>
        <v>No</v>
      </c>
      <c r="B36" s="611" t="s">
        <v>598</v>
      </c>
      <c r="C36" s="194" t="s">
        <v>736</v>
      </c>
      <c r="D36" s="664">
        <f t="shared" si="0"/>
        <v>2349609.3773598201</v>
      </c>
      <c r="E36" s="668">
        <f t="shared" si="1"/>
        <v>2360535.0609645434</v>
      </c>
      <c r="F36" s="705">
        <v>22167788.350000001</v>
      </c>
      <c r="G36" s="705">
        <v>2002898.310000001</v>
      </c>
      <c r="H36" s="705">
        <v>0</v>
      </c>
      <c r="I36" s="705">
        <v>3470760.23</v>
      </c>
      <c r="J36" s="705">
        <v>0</v>
      </c>
      <c r="K36" s="705">
        <v>11301532.275994079</v>
      </c>
      <c r="L36" s="705">
        <v>2247537.48</v>
      </c>
      <c r="M36" s="199">
        <f t="shared" si="7"/>
        <v>6.2533154895887213</v>
      </c>
      <c r="N36" s="199">
        <f t="shared" si="8"/>
        <v>0.61072633787383812</v>
      </c>
      <c r="O36" s="703">
        <v>4.34</v>
      </c>
      <c r="Q36" s="154"/>
      <c r="S36" s="632">
        <v>2648796.6273598201</v>
      </c>
      <c r="T36" s="632">
        <v>299187.25</v>
      </c>
      <c r="U36" s="632"/>
      <c r="V36" s="663">
        <f t="shared" si="9"/>
        <v>2349609.3773598201</v>
      </c>
      <c r="W36" s="663" t="s">
        <v>746</v>
      </c>
      <c r="Y36" s="666">
        <v>0.97640000000000005</v>
      </c>
      <c r="Z36" s="666">
        <v>1.0328999999999999</v>
      </c>
      <c r="AA36" s="139">
        <f t="shared" si="4"/>
        <v>1.00465</v>
      </c>
    </row>
    <row r="37" spans="1:27" s="190" customFormat="1" x14ac:dyDescent="0.45">
      <c r="A37" s="10" t="str">
        <f>IF(VLOOKUP(B37,Portfolio!$B$9:$V$49,21,FALSE)=0,"No","Yes")</f>
        <v>Yes</v>
      </c>
      <c r="B37" s="611" t="s">
        <v>704</v>
      </c>
      <c r="C37" s="194" t="s">
        <v>736</v>
      </c>
      <c r="D37" s="664">
        <f t="shared" si="0"/>
        <v>12037142.854136769</v>
      </c>
      <c r="E37" s="668">
        <f t="shared" si="1"/>
        <v>11733806.854212523</v>
      </c>
      <c r="F37" s="705">
        <v>177540395.64504981</v>
      </c>
      <c r="G37" s="705">
        <v>20850241.089999981</v>
      </c>
      <c r="H37" s="705">
        <v>10784533.58</v>
      </c>
      <c r="I37" s="705">
        <v>11200875</v>
      </c>
      <c r="J37" s="705">
        <v>0</v>
      </c>
      <c r="K37" s="705">
        <v>32129999.994999971</v>
      </c>
      <c r="L37" s="705">
        <v>1118763.95</v>
      </c>
      <c r="M37" s="199">
        <f t="shared" si="7"/>
        <v>2.5417761068680296</v>
      </c>
      <c r="N37" s="199">
        <f t="shared" si="8"/>
        <v>1.0007867314305485</v>
      </c>
      <c r="O37" s="703">
        <v>3.2073990462289999</v>
      </c>
      <c r="Q37" s="154"/>
      <c r="S37" s="632">
        <v>9179999.9941367693</v>
      </c>
      <c r="T37" s="632"/>
      <c r="U37" s="632">
        <v>2857142.86</v>
      </c>
      <c r="V37" s="663">
        <f t="shared" si="9"/>
        <v>12037142.854136769</v>
      </c>
      <c r="W37" s="663"/>
      <c r="Y37" s="666">
        <v>0.94740000000000002</v>
      </c>
      <c r="Z37" s="666">
        <v>1.0022</v>
      </c>
      <c r="AA37" s="139">
        <f t="shared" si="4"/>
        <v>0.9748</v>
      </c>
    </row>
    <row r="38" spans="1:27" s="190" customFormat="1" x14ac:dyDescent="0.45">
      <c r="A38" s="10" t="str">
        <f>IF(VLOOKUP(B38,Portfolio!$B$9:$V$49,21,FALSE)=0,"No","Yes")</f>
        <v>Yes</v>
      </c>
      <c r="B38" s="611" t="s">
        <v>703</v>
      </c>
      <c r="C38" s="194" t="s">
        <v>736</v>
      </c>
      <c r="D38" s="664">
        <f t="shared" si="0"/>
        <v>3437642.19561871</v>
      </c>
      <c r="E38" s="668">
        <f t="shared" si="1"/>
        <v>3384358.74158662</v>
      </c>
      <c r="F38" s="705">
        <v>120064639.84</v>
      </c>
      <c r="G38" s="705">
        <v>17031461.516666658</v>
      </c>
      <c r="H38" s="705">
        <v>0</v>
      </c>
      <c r="I38" s="705">
        <v>8918668.5688291602</v>
      </c>
      <c r="J38" s="705">
        <v>0</v>
      </c>
      <c r="K38" s="705">
        <v>10656690.805625871</v>
      </c>
      <c r="L38" s="705">
        <v>14580118</v>
      </c>
      <c r="M38" s="199">
        <f t="shared" si="7"/>
        <v>0.29329493358903957</v>
      </c>
      <c r="N38" s="199">
        <f t="shared" si="8"/>
        <v>-0.33241125112079517</v>
      </c>
      <c r="O38" s="703">
        <v>5.9179490302630002</v>
      </c>
      <c r="Q38" s="154"/>
      <c r="S38" s="632">
        <v>3437642.19561871</v>
      </c>
      <c r="T38" s="632"/>
      <c r="U38" s="632"/>
      <c r="V38" s="663">
        <f t="shared" si="9"/>
        <v>3437642.19561871</v>
      </c>
      <c r="W38" s="663"/>
      <c r="Y38" s="666">
        <v>0.96899999999999997</v>
      </c>
      <c r="Z38" s="666">
        <v>1</v>
      </c>
      <c r="AA38" s="139">
        <f t="shared" si="4"/>
        <v>0.98449999999999993</v>
      </c>
    </row>
    <row r="39" spans="1:27" s="190" customFormat="1" x14ac:dyDescent="0.45">
      <c r="A39" s="10" t="str">
        <f>IF(VLOOKUP(B39,Portfolio!$B$9:$V$49,21,FALSE)=0,"No","Yes")</f>
        <v>Yes</v>
      </c>
      <c r="B39" s="611" t="s">
        <v>708</v>
      </c>
      <c r="C39" s="194" t="s">
        <v>239</v>
      </c>
      <c r="D39" s="664">
        <f t="shared" si="0"/>
        <v>11874814.974437499</v>
      </c>
      <c r="E39" s="668">
        <f t="shared" si="1"/>
        <v>11843346.714755239</v>
      </c>
      <c r="F39" s="705">
        <v>1224036789</v>
      </c>
      <c r="G39" s="705">
        <v>111097629</v>
      </c>
      <c r="H39" s="705">
        <v>0</v>
      </c>
      <c r="I39" s="705">
        <v>79906146.193375006</v>
      </c>
      <c r="J39" s="705">
        <v>309840590.2766875</v>
      </c>
      <c r="K39" s="705">
        <v>11521146.1944375</v>
      </c>
      <c r="L39" s="705">
        <v>30058384</v>
      </c>
      <c r="M39" s="199">
        <f t="shared" si="7"/>
        <v>3.3412909168790632</v>
      </c>
      <c r="N39" s="199">
        <f t="shared" si="8"/>
        <v>0.44868430264497372</v>
      </c>
      <c r="O39" s="703">
        <v>2.8630128767110001</v>
      </c>
      <c r="Q39" s="154"/>
      <c r="S39" s="632">
        <v>10875259.974437499</v>
      </c>
      <c r="T39" s="632"/>
      <c r="U39" s="632">
        <v>999555</v>
      </c>
      <c r="V39" s="663">
        <f t="shared" si="9"/>
        <v>11874814.974437499</v>
      </c>
      <c r="W39" s="663"/>
      <c r="Y39" s="666">
        <v>0.98559999999999992</v>
      </c>
      <c r="Z39" s="666">
        <v>1.0091000000000001</v>
      </c>
      <c r="AA39" s="139">
        <f t="shared" si="4"/>
        <v>0.99734999999999996</v>
      </c>
    </row>
    <row r="40" spans="1:27" s="190" customFormat="1" x14ac:dyDescent="0.45">
      <c r="A40" s="10" t="str">
        <f>IF(VLOOKUP(B40,Portfolio!$B$9:$V$49,21,FALSE)=0,"No","Yes")</f>
        <v>Yes</v>
      </c>
      <c r="B40" s="611" t="s">
        <v>709</v>
      </c>
      <c r="C40" s="194" t="s">
        <v>239</v>
      </c>
      <c r="D40" s="664">
        <f t="shared" si="0"/>
        <v>10467396.8911747</v>
      </c>
      <c r="E40" s="668">
        <f t="shared" si="1"/>
        <v>10488855.054801609</v>
      </c>
      <c r="F40" s="705">
        <v>1601818000</v>
      </c>
      <c r="G40" s="705">
        <v>151990000</v>
      </c>
      <c r="H40" s="705">
        <v>39047507.000000007</v>
      </c>
      <c r="I40" s="705">
        <v>2931996</v>
      </c>
      <c r="J40" s="705">
        <v>610227543.42963719</v>
      </c>
      <c r="K40" s="705">
        <v>10048145.281174701</v>
      </c>
      <c r="L40" s="705">
        <v>64935000</v>
      </c>
      <c r="M40" s="199">
        <f t="shared" si="7"/>
        <v>3.9299966557721682</v>
      </c>
      <c r="N40" s="199">
        <f t="shared" si="8"/>
        <v>-0.15103294295677341</v>
      </c>
      <c r="O40" s="703">
        <v>2.3660493037210002</v>
      </c>
      <c r="Q40" s="154"/>
      <c r="S40" s="632">
        <v>10048145.281174701</v>
      </c>
      <c r="T40" s="632"/>
      <c r="U40" s="632">
        <v>419251.61</v>
      </c>
      <c r="V40" s="663">
        <f t="shared" si="9"/>
        <v>10467396.8911747</v>
      </c>
      <c r="W40" s="663"/>
      <c r="Y40" s="666">
        <v>0.99410000000000009</v>
      </c>
      <c r="Z40" s="666">
        <v>1.01</v>
      </c>
      <c r="AA40" s="139">
        <f t="shared" si="4"/>
        <v>1.0020500000000001</v>
      </c>
    </row>
    <row r="41" spans="1:27" s="190" customFormat="1" x14ac:dyDescent="0.45">
      <c r="A41" s="10" t="str">
        <f>IF(VLOOKUP(B41,Portfolio!$B$9:$V$49,21,FALSE)=0,"No","Yes")</f>
        <v>Yes</v>
      </c>
      <c r="B41" s="611" t="s">
        <v>705</v>
      </c>
      <c r="C41" s="194" t="s">
        <v>736</v>
      </c>
      <c r="D41" s="664">
        <f t="shared" si="0"/>
        <v>10000000</v>
      </c>
      <c r="E41" s="668">
        <f t="shared" si="1"/>
        <v>10021499.999999998</v>
      </c>
      <c r="F41" s="705">
        <v>185999459.38999999</v>
      </c>
      <c r="G41" s="705">
        <v>25524711.349325489</v>
      </c>
      <c r="H41" s="705">
        <v>22000000</v>
      </c>
      <c r="I41" s="705">
        <v>6750000</v>
      </c>
      <c r="J41" s="705">
        <v>0</v>
      </c>
      <c r="K41" s="705">
        <v>45000000</v>
      </c>
      <c r="L41" s="705">
        <v>4373795</v>
      </c>
      <c r="M41" s="199">
        <f t="shared" si="7"/>
        <v>2.7180015495780845</v>
      </c>
      <c r="N41" s="199">
        <f t="shared" si="8"/>
        <v>0.9550041395725386</v>
      </c>
      <c r="O41" s="703">
        <v>2.44</v>
      </c>
      <c r="Q41" s="154"/>
      <c r="S41" s="632">
        <v>10000000</v>
      </c>
      <c r="T41" s="632"/>
      <c r="U41" s="632"/>
      <c r="V41" s="663">
        <f t="shared" si="9"/>
        <v>10000000</v>
      </c>
      <c r="W41" s="663"/>
      <c r="Y41" s="666">
        <v>0.99429999999999996</v>
      </c>
      <c r="Z41" s="666">
        <v>1.01</v>
      </c>
      <c r="AA41" s="139">
        <f t="shared" si="4"/>
        <v>1.0021499999999999</v>
      </c>
    </row>
    <row r="42" spans="1:27" s="190" customFormat="1" x14ac:dyDescent="0.45">
      <c r="A42" s="10" t="str">
        <f>IF(VLOOKUP(B42,Portfolio!$B$9:$V$49,21,FALSE)=0,"No","Yes")</f>
        <v>Yes</v>
      </c>
      <c r="B42" s="611" t="s">
        <v>711</v>
      </c>
      <c r="C42" s="194" t="s">
        <v>736</v>
      </c>
      <c r="D42" s="664">
        <f t="shared" si="0"/>
        <v>1883560.9969692549</v>
      </c>
      <c r="E42" s="668">
        <f t="shared" si="1"/>
        <v>1883560.9969692549</v>
      </c>
      <c r="F42" s="705">
        <v>50100000</v>
      </c>
      <c r="G42" s="705">
        <v>11600000</v>
      </c>
      <c r="H42" s="705">
        <v>0</v>
      </c>
      <c r="I42" s="705">
        <v>10000000</v>
      </c>
      <c r="J42" s="705">
        <v>0</v>
      </c>
      <c r="K42" s="705">
        <v>15000000</v>
      </c>
      <c r="L42" s="705">
        <v>2058000</v>
      </c>
      <c r="M42" s="199">
        <f t="shared" si="7"/>
        <v>1.9777586206896551</v>
      </c>
      <c r="N42" s="199">
        <f t="shared" si="8"/>
        <v>0.68465517241379314</v>
      </c>
      <c r="O42" s="712">
        <v>1.74</v>
      </c>
      <c r="Q42" s="154"/>
      <c r="S42" s="632"/>
      <c r="T42" s="632"/>
      <c r="U42" s="632">
        <v>1883560.9969692549</v>
      </c>
      <c r="V42" s="663">
        <f t="shared" si="9"/>
        <v>1883560.9969692549</v>
      </c>
      <c r="W42" s="663"/>
      <c r="Y42" s="666">
        <v>1</v>
      </c>
      <c r="Z42" s="666">
        <v>1</v>
      </c>
      <c r="AA42" s="139">
        <f t="shared" si="4"/>
        <v>1</v>
      </c>
    </row>
    <row r="43" spans="1:27" s="737" customFormat="1" x14ac:dyDescent="0.45">
      <c r="A43" s="10" t="e">
        <f>IF(VLOOKUP(B43,Portfolio!$B$9:$V$49,21,FALSE)=0,"No","Yes")</f>
        <v>#N/A</v>
      </c>
      <c r="B43" s="611" t="s">
        <v>2603</v>
      </c>
      <c r="C43" s="194" t="s">
        <v>240</v>
      </c>
      <c r="D43" s="664">
        <v>15000000</v>
      </c>
      <c r="E43" s="668">
        <v>15000000</v>
      </c>
      <c r="F43" s="705">
        <v>56000000</v>
      </c>
      <c r="G43" s="705">
        <v>20000000</v>
      </c>
      <c r="H43" s="705">
        <v>0</v>
      </c>
      <c r="I43" s="705">
        <v>15000000</v>
      </c>
      <c r="J43" s="705">
        <v>0</v>
      </c>
      <c r="K43" s="705">
        <v>60000000</v>
      </c>
      <c r="L43" s="705">
        <v>0</v>
      </c>
      <c r="M43" s="199">
        <f t="shared" ref="M43" si="10">IF(SUM(H43:K43,-L43)/G43&lt;0,"N/M",SUM(H43:K43,-L43)/G43)</f>
        <v>3.75</v>
      </c>
      <c r="N43" s="199">
        <f t="shared" ref="N43" si="11">IF(G43&lt;0,"N/A",IFERROR(((SUM(H43:I43))-L43)/G43,0))</f>
        <v>0.75</v>
      </c>
      <c r="O43" s="712">
        <v>3</v>
      </c>
      <c r="Q43" s="738"/>
      <c r="R43" s="739"/>
      <c r="S43" s="740"/>
      <c r="T43" s="740"/>
      <c r="U43" s="740"/>
      <c r="V43" s="663">
        <f t="shared" si="9"/>
        <v>0</v>
      </c>
      <c r="W43" s="741"/>
      <c r="Y43" s="742"/>
      <c r="Z43" s="742"/>
      <c r="AA43" s="743"/>
    </row>
    <row r="44" spans="1:27" s="737" customFormat="1" x14ac:dyDescent="0.45">
      <c r="A44" s="729"/>
      <c r="B44" s="730"/>
      <c r="C44" s="731"/>
      <c r="D44" s="732"/>
      <c r="E44" s="733"/>
      <c r="F44" s="734"/>
      <c r="G44" s="734"/>
      <c r="H44" s="734"/>
      <c r="I44" s="734"/>
      <c r="J44" s="734"/>
      <c r="K44" s="734"/>
      <c r="L44" s="734"/>
      <c r="M44" s="735"/>
      <c r="N44" s="735"/>
      <c r="O44" s="736"/>
      <c r="Q44" s="738"/>
      <c r="R44" s="739"/>
      <c r="S44" s="740"/>
      <c r="T44" s="740"/>
      <c r="U44" s="740"/>
      <c r="V44" s="663">
        <f t="shared" si="9"/>
        <v>0</v>
      </c>
      <c r="W44" s="741"/>
      <c r="Y44" s="742"/>
      <c r="Z44" s="742"/>
      <c r="AA44" s="743"/>
    </row>
    <row r="45" spans="1:27" s="737" customFormat="1" x14ac:dyDescent="0.45">
      <c r="A45" s="729"/>
      <c r="B45" s="730"/>
      <c r="C45" s="731"/>
      <c r="D45" s="732"/>
      <c r="E45" s="733"/>
      <c r="F45" s="734"/>
      <c r="G45" s="734"/>
      <c r="H45" s="734"/>
      <c r="I45" s="734"/>
      <c r="J45" s="734"/>
      <c r="K45" s="734"/>
      <c r="L45" s="734"/>
      <c r="M45" s="735"/>
      <c r="N45" s="735"/>
      <c r="O45" s="736"/>
      <c r="Q45" s="738"/>
      <c r="R45" s="739"/>
      <c r="S45" s="740"/>
      <c r="T45" s="740"/>
      <c r="U45" s="740"/>
      <c r="V45" s="663">
        <f t="shared" si="9"/>
        <v>0</v>
      </c>
      <c r="W45" s="741"/>
      <c r="Y45" s="742"/>
      <c r="Z45" s="742"/>
      <c r="AA45" s="743"/>
    </row>
    <row r="46" spans="1:27" s="737" customFormat="1" x14ac:dyDescent="0.45">
      <c r="A46" s="729"/>
      <c r="B46" s="730"/>
      <c r="C46" s="731"/>
      <c r="D46" s="732"/>
      <c r="E46" s="733"/>
      <c r="F46" s="734"/>
      <c r="G46" s="734"/>
      <c r="H46" s="734"/>
      <c r="I46" s="734"/>
      <c r="J46" s="734"/>
      <c r="K46" s="734"/>
      <c r="L46" s="734"/>
      <c r="M46" s="735"/>
      <c r="N46" s="735"/>
      <c r="O46" s="736"/>
      <c r="Q46" s="738"/>
      <c r="R46" s="739"/>
      <c r="S46" s="740"/>
      <c r="T46" s="740"/>
      <c r="U46" s="740"/>
      <c r="V46" s="663">
        <f t="shared" si="9"/>
        <v>0</v>
      </c>
      <c r="W46" s="741"/>
      <c r="Y46" s="742"/>
      <c r="Z46" s="742"/>
      <c r="AA46" s="743"/>
    </row>
    <row r="47" spans="1:27" s="737" customFormat="1" x14ac:dyDescent="0.45">
      <c r="A47" s="729"/>
      <c r="B47" s="730"/>
      <c r="C47" s="731"/>
      <c r="D47" s="732"/>
      <c r="E47" s="733"/>
      <c r="F47" s="734"/>
      <c r="G47" s="734"/>
      <c r="H47" s="734"/>
      <c r="I47" s="734"/>
      <c r="J47" s="734"/>
      <c r="K47" s="734"/>
      <c r="L47" s="734"/>
      <c r="M47" s="735"/>
      <c r="N47" s="735"/>
      <c r="O47" s="736"/>
      <c r="Q47" s="738"/>
      <c r="R47" s="739"/>
      <c r="S47" s="740"/>
      <c r="T47" s="740"/>
      <c r="U47" s="740"/>
      <c r="V47" s="663">
        <f t="shared" si="9"/>
        <v>0</v>
      </c>
      <c r="W47" s="741"/>
      <c r="Y47" s="742"/>
      <c r="Z47" s="742"/>
      <c r="AA47" s="743"/>
    </row>
    <row r="48" spans="1:27" s="737" customFormat="1" x14ac:dyDescent="0.45">
      <c r="A48" s="729"/>
      <c r="B48" s="730"/>
      <c r="C48" s="731"/>
      <c r="D48" s="732"/>
      <c r="E48" s="733"/>
      <c r="F48" s="734"/>
      <c r="G48" s="734"/>
      <c r="H48" s="734"/>
      <c r="I48" s="734"/>
      <c r="J48" s="734"/>
      <c r="K48" s="734"/>
      <c r="L48" s="734"/>
      <c r="M48" s="735"/>
      <c r="N48" s="735"/>
      <c r="O48" s="736"/>
      <c r="Q48" s="738"/>
      <c r="R48" s="739"/>
      <c r="S48" s="740"/>
      <c r="T48" s="740"/>
      <c r="U48" s="740"/>
      <c r="V48" s="663">
        <f t="shared" si="9"/>
        <v>0</v>
      </c>
      <c r="W48" s="741"/>
      <c r="Y48" s="742"/>
      <c r="Z48" s="742"/>
      <c r="AA48" s="743"/>
    </row>
    <row r="49" spans="1:27" s="737" customFormat="1" x14ac:dyDescent="0.45">
      <c r="A49" s="729"/>
      <c r="B49" s="730"/>
      <c r="C49" s="731"/>
      <c r="D49" s="732"/>
      <c r="E49" s="733"/>
      <c r="F49" s="734"/>
      <c r="G49" s="734"/>
      <c r="H49" s="734"/>
      <c r="I49" s="734"/>
      <c r="J49" s="734"/>
      <c r="K49" s="734"/>
      <c r="L49" s="734"/>
      <c r="M49" s="735"/>
      <c r="N49" s="735"/>
      <c r="O49" s="736"/>
      <c r="Q49" s="738"/>
      <c r="R49" s="739"/>
      <c r="S49" s="740"/>
      <c r="T49" s="740"/>
      <c r="U49" s="740"/>
      <c r="V49" s="663">
        <f t="shared" si="9"/>
        <v>0</v>
      </c>
      <c r="W49" s="741"/>
      <c r="Y49" s="742"/>
      <c r="Z49" s="742"/>
      <c r="AA49" s="743"/>
    </row>
    <row r="50" spans="1:27" s="190" customFormat="1" x14ac:dyDescent="0.45">
      <c r="A50" s="10" t="str">
        <f>IF(VLOOKUP(B50,Portfolio!$B$9:$V$49,21,FALSE)=0,"No","Yes")</f>
        <v>Yes</v>
      </c>
      <c r="B50" s="611" t="s">
        <v>710</v>
      </c>
      <c r="C50" s="194" t="s">
        <v>239</v>
      </c>
      <c r="D50" s="664">
        <f>V50</f>
        <v>12328190.538985001</v>
      </c>
      <c r="E50" s="668">
        <f>IFERROR(D50*AA50,D50)</f>
        <v>12232030.652780918</v>
      </c>
      <c r="F50" s="705">
        <v>372115095.05000001</v>
      </c>
      <c r="G50" s="705">
        <v>37950145.810000062</v>
      </c>
      <c r="H50" s="705">
        <v>22658427</v>
      </c>
      <c r="I50" s="705">
        <v>13798824</v>
      </c>
      <c r="J50" s="705">
        <v>43189910.362720959</v>
      </c>
      <c r="K50" s="705">
        <v>25047737.817685451</v>
      </c>
      <c r="L50" s="705">
        <v>0</v>
      </c>
      <c r="M50" s="199">
        <f>IF(SUM(H50:K50,-L50)/G50&lt;0,"N/M",SUM(H50:K50,-L50)/G50)</f>
        <v>2.7587482721296626</v>
      </c>
      <c r="N50" s="199">
        <f>IF(G50&lt;0,"N/A",IFERROR(((SUM(H50:I50))-L50)/G50,0))</f>
        <v>0.96066168447746314</v>
      </c>
      <c r="O50" s="703">
        <v>3.4317379813660001</v>
      </c>
      <c r="Q50" s="154"/>
      <c r="S50" s="632">
        <v>12399870.206775</v>
      </c>
      <c r="T50" s="632">
        <v>71679.667790000007</v>
      </c>
      <c r="U50" s="632"/>
      <c r="V50" s="663">
        <f t="shared" si="9"/>
        <v>12328190.538985001</v>
      </c>
      <c r="W50" s="663"/>
      <c r="Y50" s="666">
        <v>0.97219999999999984</v>
      </c>
      <c r="Z50" s="666">
        <v>1.0122</v>
      </c>
      <c r="AA50" s="139">
        <f>AVERAGE(Y50:Z50)</f>
        <v>0.99219999999999997</v>
      </c>
    </row>
    <row r="51" spans="1:27" s="190" customFormat="1" hidden="1" x14ac:dyDescent="0.45">
      <c r="A51" t="e">
        <f>IF(VLOOKUP(B51,Portfolio!$B$9:$V$60,21,FALSE)=0,"No","Yes")</f>
        <v>#N/A</v>
      </c>
      <c r="B51" s="611" t="s">
        <v>747</v>
      </c>
      <c r="C51" s="194" t="s">
        <v>239</v>
      </c>
      <c r="D51" s="664">
        <v>15000000</v>
      </c>
      <c r="E51" s="668">
        <v>14700000</v>
      </c>
      <c r="F51" s="157"/>
      <c r="G51" s="157"/>
      <c r="H51" s="157"/>
      <c r="I51" s="157"/>
      <c r="J51" s="157"/>
      <c r="K51" s="157"/>
      <c r="L51" s="157"/>
      <c r="M51" s="199"/>
      <c r="N51" s="199"/>
      <c r="O51" s="292"/>
      <c r="R51" t="e">
        <v>#N/A</v>
      </c>
      <c r="S51" s="632"/>
      <c r="T51" s="632"/>
      <c r="U51" s="632"/>
      <c r="V51" s="663"/>
      <c r="W51" s="663"/>
      <c r="Y51" s="666"/>
      <c r="Z51" s="666"/>
      <c r="AA51" s="667"/>
    </row>
    <row r="52" spans="1:27" s="190" customFormat="1" hidden="1" x14ac:dyDescent="0.45">
      <c r="A52" t="e">
        <f>IF(VLOOKUP(B52,Portfolio!$B$9:$V$60,21,FALSE)=0,"No","Yes")</f>
        <v>#N/A</v>
      </c>
      <c r="B52" s="611" t="s">
        <v>748</v>
      </c>
      <c r="C52" s="194" t="s">
        <v>240</v>
      </c>
      <c r="D52" s="664">
        <v>25000000</v>
      </c>
      <c r="E52" s="668">
        <v>25000000</v>
      </c>
      <c r="F52" s="157"/>
      <c r="G52" s="157"/>
      <c r="H52" s="157"/>
      <c r="I52" s="157"/>
      <c r="J52" s="157"/>
      <c r="K52" s="157"/>
      <c r="L52" s="157"/>
      <c r="M52" s="199"/>
      <c r="N52" s="199"/>
      <c r="O52" s="292"/>
      <c r="R52" t="e">
        <v>#N/A</v>
      </c>
      <c r="S52" s="632"/>
      <c r="T52" s="632"/>
      <c r="U52" s="632"/>
      <c r="V52" s="663"/>
      <c r="W52" s="663"/>
      <c r="Y52" s="666"/>
      <c r="Z52" s="666"/>
      <c r="AA52" s="667"/>
    </row>
    <row r="53" spans="1:27" s="190" customFormat="1" hidden="1" x14ac:dyDescent="0.45">
      <c r="A53" t="e">
        <f>IF(VLOOKUP(B53,Portfolio!$B$9:$V$60,21,FALSE)=0,"No","Yes")</f>
        <v>#N/A</v>
      </c>
      <c r="B53" s="611" t="s">
        <v>749</v>
      </c>
      <c r="C53" s="194" t="s">
        <v>239</v>
      </c>
      <c r="D53" s="664">
        <v>10000000</v>
      </c>
      <c r="E53" s="668">
        <v>7500000</v>
      </c>
      <c r="F53" s="157"/>
      <c r="G53" s="157"/>
      <c r="H53" s="157"/>
      <c r="I53" s="157"/>
      <c r="J53" s="157"/>
      <c r="K53" s="157"/>
      <c r="L53" s="157"/>
      <c r="M53" s="199"/>
      <c r="N53" s="199"/>
      <c r="O53" s="292"/>
      <c r="R53" t="e">
        <v>#N/A</v>
      </c>
      <c r="S53" s="632"/>
      <c r="T53" s="632"/>
      <c r="U53" s="632"/>
      <c r="V53" s="663"/>
      <c r="W53" s="663"/>
      <c r="Y53" s="666"/>
      <c r="Z53" s="666"/>
      <c r="AA53" s="667"/>
    </row>
    <row r="54" spans="1:27" s="190" customFormat="1" hidden="1" x14ac:dyDescent="0.45">
      <c r="B54" s="611"/>
      <c r="C54" s="194"/>
      <c r="D54" s="664"/>
      <c r="E54" s="668"/>
      <c r="F54" s="157"/>
      <c r="G54" s="157"/>
      <c r="H54" s="157"/>
      <c r="I54" s="157"/>
      <c r="J54" s="157"/>
      <c r="K54" s="157"/>
      <c r="L54" s="157"/>
      <c r="M54" s="199"/>
      <c r="N54" s="199"/>
      <c r="O54" s="292"/>
      <c r="R54" t="e">
        <v>#N/A</v>
      </c>
      <c r="S54" s="632"/>
      <c r="T54" s="632"/>
      <c r="U54" s="632"/>
      <c r="V54" s="663"/>
      <c r="W54" s="663"/>
      <c r="Y54" s="666"/>
      <c r="Z54" s="666"/>
      <c r="AA54" s="667"/>
    </row>
    <row r="55" spans="1:27" s="190" customFormat="1" hidden="1" x14ac:dyDescent="0.45">
      <c r="B55" s="611"/>
      <c r="C55" s="194"/>
      <c r="D55" s="664"/>
      <c r="E55" s="668"/>
      <c r="F55" s="157"/>
      <c r="G55" s="157"/>
      <c r="H55" s="157"/>
      <c r="I55" s="157"/>
      <c r="J55" s="157"/>
      <c r="K55" s="157"/>
      <c r="L55" s="157"/>
      <c r="M55" s="199"/>
      <c r="N55" s="199"/>
      <c r="O55" s="292"/>
      <c r="R55" t="e">
        <v>#N/A</v>
      </c>
      <c r="S55" s="632"/>
      <c r="T55" s="632"/>
      <c r="U55" s="632"/>
      <c r="V55" s="663"/>
      <c r="W55" s="663"/>
      <c r="Y55" s="666"/>
      <c r="Z55" s="666"/>
      <c r="AA55" s="667"/>
    </row>
    <row r="56" spans="1:27" s="190" customFormat="1" hidden="1" x14ac:dyDescent="0.45">
      <c r="B56" s="611"/>
      <c r="C56" s="194"/>
      <c r="D56" s="664"/>
      <c r="E56" s="668"/>
      <c r="F56" s="157"/>
      <c r="G56" s="157"/>
      <c r="H56" s="157"/>
      <c r="I56" s="157"/>
      <c r="J56" s="157"/>
      <c r="K56" s="157"/>
      <c r="L56" s="157"/>
      <c r="M56" s="199"/>
      <c r="N56" s="199"/>
      <c r="O56" s="292"/>
      <c r="R56" t="e">
        <v>#N/A</v>
      </c>
      <c r="S56" s="632"/>
      <c r="T56" s="632"/>
      <c r="U56" s="632"/>
      <c r="V56" s="663"/>
      <c r="W56" s="663"/>
      <c r="Y56" s="666"/>
      <c r="Z56" s="666"/>
      <c r="AA56" s="667"/>
    </row>
    <row r="57" spans="1:27" s="190" customFormat="1" hidden="1" x14ac:dyDescent="0.45">
      <c r="B57" s="611"/>
      <c r="C57" s="194"/>
      <c r="D57" s="664"/>
      <c r="E57" s="668"/>
      <c r="F57" s="157"/>
      <c r="G57" s="157"/>
      <c r="H57" s="157"/>
      <c r="I57" s="157"/>
      <c r="J57" s="157"/>
      <c r="K57" s="157"/>
      <c r="L57" s="157"/>
      <c r="M57" s="199"/>
      <c r="N57" s="199"/>
      <c r="O57" s="292"/>
      <c r="R57" t="e">
        <v>#N/A</v>
      </c>
      <c r="S57" s="632"/>
      <c r="T57" s="632"/>
      <c r="U57" s="632"/>
      <c r="V57" s="663"/>
      <c r="W57" s="663"/>
      <c r="Y57" s="666"/>
      <c r="Z57" s="666"/>
      <c r="AA57" s="667"/>
    </row>
    <row r="58" spans="1:27" s="190" customFormat="1" hidden="1" x14ac:dyDescent="0.45">
      <c r="B58" s="611"/>
      <c r="C58" s="194"/>
      <c r="D58" s="664"/>
      <c r="E58" s="668"/>
      <c r="F58" s="157"/>
      <c r="G58" s="157"/>
      <c r="H58" s="157"/>
      <c r="I58" s="157"/>
      <c r="J58" s="157"/>
      <c r="K58" s="157"/>
      <c r="L58" s="157"/>
      <c r="M58" s="199"/>
      <c r="N58" s="199"/>
      <c r="O58" s="292"/>
      <c r="R58" t="e">
        <v>#N/A</v>
      </c>
      <c r="S58" s="632"/>
      <c r="T58" s="632"/>
      <c r="U58" s="632"/>
      <c r="V58" s="663"/>
      <c r="W58" s="663"/>
      <c r="Y58" s="666"/>
      <c r="Z58" s="666"/>
      <c r="AA58" s="667"/>
    </row>
    <row r="59" spans="1:27" s="190" customFormat="1" hidden="1" x14ac:dyDescent="0.45">
      <c r="B59" s="611"/>
      <c r="C59" s="194"/>
      <c r="D59" s="664"/>
      <c r="E59" s="668"/>
      <c r="F59" s="157"/>
      <c r="G59" s="157"/>
      <c r="H59" s="157"/>
      <c r="I59" s="157"/>
      <c r="J59" s="157"/>
      <c r="K59" s="157"/>
      <c r="L59" s="157"/>
      <c r="M59" s="199"/>
      <c r="N59" s="199"/>
      <c r="O59" s="292"/>
      <c r="R59" t="e">
        <v>#N/A</v>
      </c>
      <c r="S59" s="632"/>
      <c r="T59" s="632"/>
      <c r="U59" s="632"/>
      <c r="V59" s="663"/>
      <c r="W59" s="663"/>
      <c r="Y59" s="666"/>
      <c r="Z59" s="666"/>
      <c r="AA59" s="667"/>
    </row>
    <row r="60" spans="1:27" s="190" customFormat="1" hidden="1" x14ac:dyDescent="0.45">
      <c r="B60" s="611"/>
      <c r="C60" s="194"/>
      <c r="D60" s="664"/>
      <c r="E60" s="668"/>
      <c r="F60" s="157"/>
      <c r="G60" s="157"/>
      <c r="H60" s="157"/>
      <c r="I60" s="157"/>
      <c r="J60" s="157"/>
      <c r="K60" s="157"/>
      <c r="L60" s="157"/>
      <c r="M60" s="199"/>
      <c r="N60" s="199"/>
      <c r="O60" s="292"/>
      <c r="R60" t="e">
        <v>#N/A</v>
      </c>
      <c r="S60" s="632"/>
      <c r="T60" s="632"/>
      <c r="U60" s="632"/>
      <c r="V60" s="663"/>
      <c r="W60" s="663"/>
      <c r="Y60" s="666"/>
      <c r="Z60" s="666"/>
      <c r="AA60" s="667"/>
    </row>
    <row r="61" spans="1:27" s="190" customFormat="1" hidden="1" x14ac:dyDescent="0.45">
      <c r="B61" s="611"/>
      <c r="C61" s="194"/>
      <c r="D61" s="664"/>
      <c r="E61" s="668"/>
      <c r="F61" s="157"/>
      <c r="G61" s="157"/>
      <c r="H61" s="157"/>
      <c r="I61" s="157"/>
      <c r="J61" s="157"/>
      <c r="K61" s="157"/>
      <c r="L61" s="157"/>
      <c r="M61" s="199"/>
      <c r="N61" s="199"/>
      <c r="O61" s="292"/>
      <c r="R61" t="e">
        <v>#N/A</v>
      </c>
      <c r="S61" s="632"/>
      <c r="T61" s="632"/>
      <c r="U61" s="632"/>
      <c r="V61" s="663"/>
      <c r="W61" s="663"/>
      <c r="Y61" s="666"/>
      <c r="Z61" s="666"/>
      <c r="AA61" s="667"/>
    </row>
    <row r="62" spans="1:27" s="190" customFormat="1" hidden="1" x14ac:dyDescent="0.45">
      <c r="B62" s="611"/>
      <c r="C62" s="194"/>
      <c r="D62" s="664"/>
      <c r="E62" s="668"/>
      <c r="F62" s="157"/>
      <c r="G62" s="157"/>
      <c r="H62" s="157"/>
      <c r="I62" s="157"/>
      <c r="J62" s="157"/>
      <c r="K62" s="157"/>
      <c r="L62" s="157"/>
      <c r="M62" s="199"/>
      <c r="N62" s="199"/>
      <c r="O62" s="292"/>
      <c r="R62" t="e">
        <v>#N/A</v>
      </c>
      <c r="S62" s="632"/>
      <c r="T62" s="632"/>
      <c r="U62" s="632"/>
      <c r="V62" s="663"/>
      <c r="W62" s="663"/>
      <c r="Y62" s="666"/>
      <c r="Z62" s="666"/>
      <c r="AA62" s="667"/>
    </row>
    <row r="63" spans="1:27" s="190" customFormat="1" hidden="1" x14ac:dyDescent="0.45">
      <c r="B63" s="611"/>
      <c r="C63" s="194"/>
      <c r="D63" s="664"/>
      <c r="E63" s="668"/>
      <c r="F63" s="157"/>
      <c r="G63" s="157"/>
      <c r="H63" s="157"/>
      <c r="I63" s="157"/>
      <c r="J63" s="157"/>
      <c r="K63" s="157"/>
      <c r="L63" s="157"/>
      <c r="M63" s="199"/>
      <c r="N63" s="199"/>
      <c r="O63" s="292"/>
      <c r="S63" s="632"/>
      <c r="T63" s="632"/>
      <c r="U63" s="632"/>
      <c r="V63" s="663"/>
      <c r="W63" s="663"/>
      <c r="Y63" s="666"/>
      <c r="Z63" s="666"/>
      <c r="AA63" s="667"/>
    </row>
    <row r="64" spans="1:27" s="198" customFormat="1" x14ac:dyDescent="0.45">
      <c r="B64" s="872" t="s">
        <v>750</v>
      </c>
      <c r="C64" s="873"/>
      <c r="D64" s="873">
        <f>SUM(D3:D62)</f>
        <v>395231191.00440782</v>
      </c>
      <c r="E64" s="873">
        <f>SUM(E3:E62)</f>
        <v>361151280.98247892</v>
      </c>
      <c r="F64" s="873">
        <f>SUMPRODUCT(F3:F62,$D$3:$D$62)/SUM($D$3:$D$62)</f>
        <v>185437102.3956551</v>
      </c>
      <c r="G64" s="873">
        <f>SUMPRODUCT(G3:G62,$D$3:$D$62)/SUM($D$3:$D$62)</f>
        <v>23086081.546025813</v>
      </c>
      <c r="H64" s="873"/>
      <c r="I64" s="873"/>
      <c r="J64" s="873"/>
      <c r="K64" s="873"/>
      <c r="L64" s="873"/>
      <c r="M64" s="874">
        <f>SUMPRODUCT(M3:M62,$D$3:$D$62)/SUM($D$3:$D$62)</f>
        <v>5.7579242340088079</v>
      </c>
      <c r="N64" s="875">
        <f>SUMPRODUCT(N3:N62,$D$3:$D$62)/SUM($D$3:$D$62)</f>
        <v>0.77281977125934143</v>
      </c>
      <c r="O64" s="874">
        <f>SUMPRODUCT(O3:O62,$D$3:$D$62)/SUM($D$3:$D$62)</f>
        <v>1.7628742466478491</v>
      </c>
      <c r="S64" s="876">
        <f>SUM(S3:S63)</f>
        <v>307659547.18886173</v>
      </c>
      <c r="T64" s="876">
        <f>SUM(T3:T63)</f>
        <v>8725872.7029708326</v>
      </c>
      <c r="U64" s="876">
        <f>SUM(U3:U63)</f>
        <v>31297516.518516965</v>
      </c>
      <c r="V64" s="876">
        <f>SUM(V3:V63)</f>
        <v>330231191.00440782</v>
      </c>
      <c r="W64" s="669"/>
    </row>
    <row r="65" spans="2:21" x14ac:dyDescent="0.45">
      <c r="E65" s="284"/>
      <c r="M65" s="158"/>
      <c r="N65" s="158"/>
      <c r="O65" s="158"/>
    </row>
    <row r="66" spans="2:21" x14ac:dyDescent="0.45">
      <c r="M66" s="158"/>
      <c r="N66" s="158"/>
      <c r="O66" s="158"/>
    </row>
    <row r="67" spans="2:21" x14ac:dyDescent="0.45">
      <c r="B67" s="195" t="s">
        <v>239</v>
      </c>
      <c r="C67" s="154">
        <f>SUMIF($C$3:$C$62,B67,$D$3:$D$62)</f>
        <v>231207638.23737681</v>
      </c>
      <c r="D67" s="196">
        <f>+C67/$C$70</f>
        <v>0.65086525083465407</v>
      </c>
      <c r="E67" s="154" t="s">
        <v>597</v>
      </c>
      <c r="F67" s="705">
        <v>812617188.59429991</v>
      </c>
      <c r="G67" s="705">
        <v>89757112.481433406</v>
      </c>
      <c r="H67" s="705">
        <v>79850000</v>
      </c>
      <c r="I67" s="705">
        <v>45780000</v>
      </c>
      <c r="J67" s="705">
        <v>1751324612.62447</v>
      </c>
      <c r="K67" s="705">
        <v>15236387.3755295</v>
      </c>
      <c r="L67" s="705">
        <v>37631000</v>
      </c>
      <c r="M67" s="199">
        <f t="shared" ref="M67:M107" si="12">IF(SUM(H67:K67,-L67)/G67&lt;0,"N/M",SUM(H67:K67,-L67)/G67)</f>
        <v>20.661983755143886</v>
      </c>
      <c r="T67" s="632"/>
    </row>
    <row r="68" spans="2:21" x14ac:dyDescent="0.45">
      <c r="B68" s="195" t="s">
        <v>736</v>
      </c>
      <c r="C68" s="154">
        <f>SUMIF($C$3:$C$62,B68,$D$3:$D$62)</f>
        <v>124023552.76703103</v>
      </c>
      <c r="D68" s="196">
        <f>+C68/$C$70</f>
        <v>0.34913474916534598</v>
      </c>
      <c r="E68" s="154" t="s">
        <v>593</v>
      </c>
      <c r="F68" s="705">
        <v>86689801.220000029</v>
      </c>
      <c r="G68" s="705">
        <v>3365399.8700000071</v>
      </c>
      <c r="H68" s="705">
        <v>0</v>
      </c>
      <c r="I68" s="705">
        <v>5757265.6634297501</v>
      </c>
      <c r="J68" s="705">
        <v>0</v>
      </c>
      <c r="K68" s="705">
        <v>40212824.636718839</v>
      </c>
      <c r="L68" s="705">
        <v>1268672</v>
      </c>
      <c r="M68" s="199">
        <f t="shared" si="12"/>
        <v>13.282646944462055</v>
      </c>
      <c r="U68" s="704"/>
    </row>
    <row r="69" spans="2:21" x14ac:dyDescent="0.45">
      <c r="B69" s="195" t="s">
        <v>241</v>
      </c>
      <c r="C69" s="154">
        <f>SUMIF($C$3:$C$62,B69,$D$3:$D$62)</f>
        <v>0</v>
      </c>
      <c r="D69" s="196">
        <f>+C69/$C$70</f>
        <v>0</v>
      </c>
      <c r="E69" s="154" t="s">
        <v>697</v>
      </c>
      <c r="F69" s="705">
        <v>33477593.32</v>
      </c>
      <c r="G69" s="705">
        <v>-3390931.160000002</v>
      </c>
      <c r="H69" s="705">
        <v>2940013</v>
      </c>
      <c r="I69" s="705">
        <v>0</v>
      </c>
      <c r="J69" s="705">
        <v>2215106.5399936931</v>
      </c>
      <c r="K69" s="705">
        <v>15450456.46000631</v>
      </c>
      <c r="L69" s="705">
        <v>1898322.37</v>
      </c>
      <c r="M69" s="199" t="str">
        <f t="shared" si="12"/>
        <v>N/M</v>
      </c>
      <c r="U69" s="631"/>
    </row>
    <row r="70" spans="2:21" x14ac:dyDescent="0.45">
      <c r="C70" s="877">
        <f>SUM(C67:C69)</f>
        <v>355231191.00440782</v>
      </c>
      <c r="D70" s="878">
        <f>SUM(D67:D69)</f>
        <v>1</v>
      </c>
      <c r="E70" s="154" t="s">
        <v>607</v>
      </c>
      <c r="F70" s="705">
        <v>745987</v>
      </c>
      <c r="G70" s="705">
        <v>745987</v>
      </c>
      <c r="H70" s="705">
        <v>0</v>
      </c>
      <c r="I70" s="705">
        <v>0</v>
      </c>
      <c r="J70" s="705">
        <v>15050702.748</v>
      </c>
      <c r="K70" s="705">
        <v>26849297.252</v>
      </c>
      <c r="L70" s="705">
        <v>30498</v>
      </c>
      <c r="M70" s="199">
        <f t="shared" si="12"/>
        <v>56.126315874137219</v>
      </c>
    </row>
    <row r="71" spans="2:21" x14ac:dyDescent="0.45">
      <c r="E71" s="154" t="s">
        <v>595</v>
      </c>
      <c r="F71" s="705">
        <v>31212408.32</v>
      </c>
      <c r="G71" s="705">
        <v>5668573.2105785096</v>
      </c>
      <c r="H71" s="705">
        <v>5507148.0899999999</v>
      </c>
      <c r="I71" s="705">
        <v>225625</v>
      </c>
      <c r="J71" s="705">
        <v>0</v>
      </c>
      <c r="K71" s="705">
        <v>27291631.234559301</v>
      </c>
      <c r="L71" s="705">
        <v>1999450.57</v>
      </c>
      <c r="M71" s="199">
        <f t="shared" si="12"/>
        <v>5.4731504034668772</v>
      </c>
    </row>
    <row r="72" spans="2:21" x14ac:dyDescent="0.45">
      <c r="E72" s="154" t="s">
        <v>450</v>
      </c>
      <c r="F72" s="705">
        <v>35430988.890000001</v>
      </c>
      <c r="G72" s="705">
        <v>290692.20000000211</v>
      </c>
      <c r="H72" s="705">
        <v>15852425.93</v>
      </c>
      <c r="I72" s="705">
        <v>0</v>
      </c>
      <c r="J72" s="705">
        <v>20282782.19582187</v>
      </c>
      <c r="K72" s="705">
        <v>59166702.668338053</v>
      </c>
      <c r="L72" s="705">
        <v>332853.39</v>
      </c>
      <c r="M72" s="199">
        <f t="shared" si="12"/>
        <v>326.69970987924421</v>
      </c>
    </row>
    <row r="73" spans="2:21" x14ac:dyDescent="0.45">
      <c r="C73" s="157"/>
      <c r="D73" s="284"/>
      <c r="E73" s="154" t="s">
        <v>694</v>
      </c>
      <c r="F73" s="705">
        <v>81947017.030000001</v>
      </c>
      <c r="G73" s="705">
        <v>15324108.7873764</v>
      </c>
      <c r="H73" s="705">
        <v>2000000</v>
      </c>
      <c r="I73" s="705">
        <v>8000000</v>
      </c>
      <c r="J73" s="705">
        <v>0</v>
      </c>
      <c r="K73" s="705">
        <f>19673854.5220419+19208000</f>
        <v>38881854.522041902</v>
      </c>
      <c r="L73" s="705">
        <v>1699467.78999999</v>
      </c>
      <c r="M73" s="199">
        <f t="shared" si="12"/>
        <v>3.0789644857461158</v>
      </c>
    </row>
    <row r="74" spans="2:21" x14ac:dyDescent="0.45">
      <c r="E74" s="154" t="s">
        <v>738</v>
      </c>
      <c r="F74" s="705">
        <v>251516494.686277</v>
      </c>
      <c r="G74" s="705">
        <v>13430536.333625721</v>
      </c>
      <c r="H74" s="705">
        <v>25448687.199999999</v>
      </c>
      <c r="I74" s="705">
        <v>5156452.04</v>
      </c>
      <c r="J74" s="705">
        <v>0</v>
      </c>
      <c r="K74" s="705">
        <v>29689375.000000041</v>
      </c>
      <c r="L74" s="705">
        <v>2634019.4317100001</v>
      </c>
      <c r="M74" s="199">
        <f t="shared" si="12"/>
        <v>4.2932384363479814</v>
      </c>
    </row>
    <row r="75" spans="2:21" x14ac:dyDescent="0.45">
      <c r="E75" s="154" t="s">
        <v>706</v>
      </c>
      <c r="F75" s="705">
        <v>87330000</v>
      </c>
      <c r="G75" s="705">
        <v>33787000</v>
      </c>
      <c r="H75" s="705">
        <v>1100000</v>
      </c>
      <c r="I75" s="705">
        <v>34387500</v>
      </c>
      <c r="J75" s="705">
        <v>0</v>
      </c>
      <c r="K75" s="705">
        <v>90586499.999999985</v>
      </c>
      <c r="L75" s="705">
        <v>892000</v>
      </c>
      <c r="M75" s="199">
        <f t="shared" si="12"/>
        <v>3.7050344807174351</v>
      </c>
    </row>
    <row r="76" spans="2:21" x14ac:dyDescent="0.45">
      <c r="E76" s="154" t="s">
        <v>600</v>
      </c>
      <c r="F76" s="705">
        <v>61946604.369999997</v>
      </c>
      <c r="G76" s="705">
        <v>8998299.2970000003</v>
      </c>
      <c r="H76" s="705">
        <v>0</v>
      </c>
      <c r="I76" s="705">
        <v>0</v>
      </c>
      <c r="J76" s="705">
        <v>0</v>
      </c>
      <c r="K76" s="705">
        <v>19443750</v>
      </c>
      <c r="L76" s="705">
        <v>2228200</v>
      </c>
      <c r="M76" s="199">
        <f t="shared" si="12"/>
        <v>1.9132004206327746</v>
      </c>
    </row>
    <row r="77" spans="2:21" x14ac:dyDescent="0.45">
      <c r="E77" s="154" t="s">
        <v>482</v>
      </c>
      <c r="F77" s="705">
        <v>117988273.5948</v>
      </c>
      <c r="G77" s="705">
        <v>24987651.063099999</v>
      </c>
      <c r="H77" s="705">
        <v>1806586.36</v>
      </c>
      <c r="I77" s="705">
        <v>0</v>
      </c>
      <c r="J77" s="705">
        <v>34168383.330750093</v>
      </c>
      <c r="K77" s="705">
        <v>48004116.669503734</v>
      </c>
      <c r="L77" s="705">
        <v>3873450.34</v>
      </c>
      <c r="M77" s="199">
        <f t="shared" si="12"/>
        <v>3.2058089741195475</v>
      </c>
    </row>
    <row r="78" spans="2:21" x14ac:dyDescent="0.45">
      <c r="E78" s="154" t="s">
        <v>605</v>
      </c>
      <c r="F78" s="705">
        <v>204360960.53</v>
      </c>
      <c r="G78" s="705">
        <v>29422622.38000001</v>
      </c>
      <c r="H78" s="705">
        <v>3112476</v>
      </c>
      <c r="I78" s="705">
        <v>0</v>
      </c>
      <c r="J78" s="705">
        <v>40125027.158753403</v>
      </c>
      <c r="K78" s="705">
        <v>89567628.981246606</v>
      </c>
      <c r="L78" s="705">
        <v>2007849.8</v>
      </c>
      <c r="M78" s="199">
        <f t="shared" si="12"/>
        <v>4.4454665070544257</v>
      </c>
    </row>
    <row r="79" spans="2:21" x14ac:dyDescent="0.45">
      <c r="E79" s="154" t="s">
        <v>619</v>
      </c>
      <c r="F79" s="705">
        <v>77056137.904353902</v>
      </c>
      <c r="G79" s="705">
        <v>16482000</v>
      </c>
      <c r="H79" s="705">
        <v>0</v>
      </c>
      <c r="I79" s="705">
        <v>0</v>
      </c>
      <c r="J79" s="705">
        <v>14414473.685505711</v>
      </c>
      <c r="K79" s="705">
        <v>58399906.714494303</v>
      </c>
      <c r="L79" s="705">
        <v>4000000</v>
      </c>
      <c r="M79" s="199">
        <f t="shared" si="12"/>
        <v>4.175123188933382</v>
      </c>
    </row>
    <row r="80" spans="2:21" x14ac:dyDescent="0.45">
      <c r="E80" s="154" t="s">
        <v>626</v>
      </c>
      <c r="F80" s="705">
        <v>63553597.037780933</v>
      </c>
      <c r="G80" s="705">
        <v>10548165.897114251</v>
      </c>
      <c r="H80" s="705">
        <v>6680837.29</v>
      </c>
      <c r="I80" s="705">
        <v>11397560.0557593</v>
      </c>
      <c r="J80" s="705">
        <v>0</v>
      </c>
      <c r="K80" s="705">
        <v>29756783.338733781</v>
      </c>
      <c r="L80" s="705">
        <v>324445.36</v>
      </c>
      <c r="M80" s="199">
        <f t="shared" si="12"/>
        <v>4.5041702783126487</v>
      </c>
    </row>
    <row r="81" spans="5:13" x14ac:dyDescent="0.45">
      <c r="E81" s="154" t="s">
        <v>629</v>
      </c>
      <c r="F81" s="705">
        <v>57071775.619999997</v>
      </c>
      <c r="G81" s="705">
        <v>9021834.7600000072</v>
      </c>
      <c r="H81" s="705">
        <v>0</v>
      </c>
      <c r="I81" s="705">
        <v>14491250</v>
      </c>
      <c r="J81" s="705">
        <v>0</v>
      </c>
      <c r="K81" s="705">
        <v>22223555.60800514</v>
      </c>
      <c r="L81" s="705">
        <v>6509637.9400000004</v>
      </c>
      <c r="M81" s="199">
        <f t="shared" si="12"/>
        <v>3.3480071927193125</v>
      </c>
    </row>
    <row r="82" spans="5:13" x14ac:dyDescent="0.45">
      <c r="E82" s="154" t="s">
        <v>590</v>
      </c>
      <c r="F82" s="705">
        <v>72880420.920000002</v>
      </c>
      <c r="G82" s="705">
        <v>22832751.067209002</v>
      </c>
      <c r="H82" s="705">
        <v>0</v>
      </c>
      <c r="I82" s="705">
        <v>24587551.923110299</v>
      </c>
      <c r="J82" s="705">
        <v>78248127.337704048</v>
      </c>
      <c r="K82" s="705">
        <v>107519514.01688001</v>
      </c>
      <c r="L82" s="705">
        <v>8866398.8300000001</v>
      </c>
      <c r="M82" s="199">
        <f t="shared" si="12"/>
        <v>8.8245517964350864</v>
      </c>
    </row>
    <row r="83" spans="5:13" x14ac:dyDescent="0.45">
      <c r="E83" s="154" t="s">
        <v>699</v>
      </c>
      <c r="F83" s="705">
        <v>109540140.12</v>
      </c>
      <c r="G83" s="705">
        <v>11707432.546666659</v>
      </c>
      <c r="H83" s="705">
        <v>0</v>
      </c>
      <c r="I83" s="705">
        <v>10525055.991477</v>
      </c>
      <c r="J83" s="705">
        <v>0</v>
      </c>
      <c r="K83" s="705">
        <v>27002945.057273041</v>
      </c>
      <c r="L83" s="705">
        <v>5782267.4100000001</v>
      </c>
      <c r="M83" s="199">
        <f t="shared" si="12"/>
        <v>2.7115880029382438</v>
      </c>
    </row>
    <row r="84" spans="5:13" x14ac:dyDescent="0.45">
      <c r="E84" s="154" t="s">
        <v>476</v>
      </c>
      <c r="F84" s="705">
        <v>76503129.189999998</v>
      </c>
      <c r="G84" s="705">
        <v>32314396.840399958</v>
      </c>
      <c r="H84" s="705">
        <v>0</v>
      </c>
      <c r="I84" s="705">
        <v>14500535.687991301</v>
      </c>
      <c r="J84" s="705">
        <v>2853849.9068206032</v>
      </c>
      <c r="K84" s="705">
        <v>51582014.845188104</v>
      </c>
      <c r="L84" s="705">
        <v>10111472.08</v>
      </c>
      <c r="M84" s="199">
        <f t="shared" si="12"/>
        <v>1.820393821693004</v>
      </c>
    </row>
    <row r="85" spans="5:13" x14ac:dyDescent="0.45">
      <c r="E85" s="154" t="s">
        <v>599</v>
      </c>
      <c r="F85" s="705">
        <v>46395430.064459667</v>
      </c>
      <c r="G85" s="705">
        <v>-66000</v>
      </c>
      <c r="H85" s="705">
        <v>0</v>
      </c>
      <c r="I85" s="705">
        <v>4999950.9500000104</v>
      </c>
      <c r="J85" s="705">
        <v>13142296.83472478</v>
      </c>
      <c r="K85" s="705">
        <v>66229278.304351524</v>
      </c>
      <c r="L85" s="705">
        <v>3764744.9950618199</v>
      </c>
      <c r="M85" s="199" t="str">
        <f t="shared" si="12"/>
        <v>N/M</v>
      </c>
    </row>
    <row r="86" spans="5:13" x14ac:dyDescent="0.45">
      <c r="E86" s="154" t="s">
        <v>695</v>
      </c>
      <c r="F86" s="705">
        <v>108920925.84999999</v>
      </c>
      <c r="G86" s="705">
        <v>12100000</v>
      </c>
      <c r="H86" s="705">
        <v>2453371.7600000049</v>
      </c>
      <c r="I86" s="705">
        <v>0</v>
      </c>
      <c r="J86" s="705">
        <v>49210526.32</v>
      </c>
      <c r="K86" s="705">
        <v>6047723.3399999999</v>
      </c>
      <c r="L86" s="705">
        <v>0</v>
      </c>
      <c r="M86" s="199">
        <f t="shared" si="12"/>
        <v>4.7695554892561987</v>
      </c>
    </row>
    <row r="87" spans="5:13" x14ac:dyDescent="0.45">
      <c r="E87" s="154" t="s">
        <v>471</v>
      </c>
      <c r="F87" s="705">
        <v>42167015.340000004</v>
      </c>
      <c r="G87" s="705">
        <v>25320302.63999996</v>
      </c>
      <c r="H87" s="705">
        <v>53800000</v>
      </c>
      <c r="I87" s="705">
        <v>0</v>
      </c>
      <c r="J87" s="705">
        <v>0</v>
      </c>
      <c r="K87" s="705">
        <v>28012557.821366731</v>
      </c>
      <c r="L87" s="705">
        <v>2816161.5</v>
      </c>
      <c r="M87" s="199">
        <f t="shared" si="12"/>
        <v>3.1198835750316629</v>
      </c>
    </row>
    <row r="88" spans="5:13" x14ac:dyDescent="0.45">
      <c r="E88" s="154" t="s">
        <v>596</v>
      </c>
      <c r="F88" s="705">
        <v>29507241.568659149</v>
      </c>
      <c r="G88" s="705">
        <v>266047.47338196711</v>
      </c>
      <c r="H88" s="705">
        <v>7391922.0099999998</v>
      </c>
      <c r="I88" s="705">
        <v>0</v>
      </c>
      <c r="J88" s="705">
        <v>0</v>
      </c>
      <c r="K88" s="705">
        <v>13492917.867216211</v>
      </c>
      <c r="L88" s="705">
        <v>132661.35</v>
      </c>
      <c r="M88" s="199">
        <f t="shared" si="12"/>
        <v>78.001787663745617</v>
      </c>
    </row>
    <row r="89" spans="5:13" x14ac:dyDescent="0.45">
      <c r="E89" s="154" t="s">
        <v>617</v>
      </c>
      <c r="F89" s="705">
        <v>55501452.969999999</v>
      </c>
      <c r="G89" s="705">
        <v>8214755.4595000017</v>
      </c>
      <c r="H89" s="705">
        <v>4500000</v>
      </c>
      <c r="I89" s="705">
        <v>0</v>
      </c>
      <c r="J89" s="705">
        <v>3543750</v>
      </c>
      <c r="K89" s="705">
        <v>46068750</v>
      </c>
      <c r="L89" s="705">
        <v>1847459.97</v>
      </c>
      <c r="M89" s="199">
        <f t="shared" si="12"/>
        <v>6.3623366864265929</v>
      </c>
    </row>
    <row r="90" spans="5:13" x14ac:dyDescent="0.45">
      <c r="E90" s="154" t="s">
        <v>701</v>
      </c>
      <c r="F90" s="705">
        <v>47560220.399999999</v>
      </c>
      <c r="G90" s="705">
        <v>6332166.3499999968</v>
      </c>
      <c r="H90" s="705">
        <v>0</v>
      </c>
      <c r="I90" s="705">
        <v>8250000</v>
      </c>
      <c r="J90" s="705">
        <v>0</v>
      </c>
      <c r="K90" s="705">
        <v>15200000</v>
      </c>
      <c r="L90" s="705">
        <v>4786057.78</v>
      </c>
      <c r="M90" s="199">
        <f t="shared" si="12"/>
        <v>2.9474813497279659</v>
      </c>
    </row>
    <row r="91" spans="5:13" x14ac:dyDescent="0.45">
      <c r="E91" s="154" t="s">
        <v>606</v>
      </c>
      <c r="F91" s="705">
        <v>43432535.979999997</v>
      </c>
      <c r="G91" s="705">
        <v>8450009.8794886339</v>
      </c>
      <c r="H91" s="705">
        <v>2622624.62</v>
      </c>
      <c r="I91" s="705">
        <v>5775000</v>
      </c>
      <c r="J91" s="705">
        <v>0</v>
      </c>
      <c r="K91" s="705">
        <v>28955695.792202681</v>
      </c>
      <c r="L91" s="705">
        <v>355828.21</v>
      </c>
      <c r="M91" s="199">
        <f t="shared" si="12"/>
        <v>4.3783963249569178</v>
      </c>
    </row>
    <row r="92" spans="5:13" x14ac:dyDescent="0.45">
      <c r="E92" s="154" t="s">
        <v>707</v>
      </c>
      <c r="F92" s="705">
        <v>30464594</v>
      </c>
      <c r="G92" s="705">
        <v>9544317</v>
      </c>
      <c r="H92" s="705">
        <v>1600000</v>
      </c>
      <c r="I92" s="705">
        <v>0</v>
      </c>
      <c r="J92" s="705">
        <v>0</v>
      </c>
      <c r="K92" s="705">
        <v>21326249.999999981</v>
      </c>
      <c r="L92" s="705">
        <v>1580173</v>
      </c>
      <c r="M92" s="199">
        <f t="shared" si="12"/>
        <v>2.2365222152617084</v>
      </c>
    </row>
    <row r="93" spans="5:13" x14ac:dyDescent="0.45">
      <c r="E93" s="154" t="s">
        <v>458</v>
      </c>
      <c r="F93" s="705">
        <v>399134.77</v>
      </c>
      <c r="G93" s="705">
        <v>-8804510.4299999997</v>
      </c>
      <c r="H93" s="705">
        <v>0</v>
      </c>
      <c r="I93" s="705">
        <v>13781827.74</v>
      </c>
      <c r="J93" s="705">
        <v>20508126.400000021</v>
      </c>
      <c r="K93" s="705">
        <v>56575000.009999983</v>
      </c>
      <c r="L93" s="705">
        <v>248078.13</v>
      </c>
      <c r="M93" s="199" t="str">
        <f t="shared" si="12"/>
        <v>N/M</v>
      </c>
    </row>
    <row r="94" spans="5:13" x14ac:dyDescent="0.45">
      <c r="E94" s="154" t="s">
        <v>702</v>
      </c>
      <c r="F94" s="705">
        <v>32481795.609999999</v>
      </c>
      <c r="G94" s="705">
        <v>5544221.2000000002</v>
      </c>
      <c r="H94" s="705">
        <v>2500000</v>
      </c>
      <c r="I94" s="705">
        <v>2633801</v>
      </c>
      <c r="J94" s="705">
        <v>0</v>
      </c>
      <c r="K94" s="705">
        <v>5789200.9645400504</v>
      </c>
      <c r="L94" s="705">
        <v>2603143.5699999998</v>
      </c>
      <c r="M94" s="199">
        <f t="shared" si="12"/>
        <v>1.5006360847471325</v>
      </c>
    </row>
    <row r="95" spans="5:13" x14ac:dyDescent="0.45">
      <c r="E95" s="154" t="s">
        <v>602</v>
      </c>
      <c r="F95" s="705">
        <v>53460000</v>
      </c>
      <c r="G95" s="705">
        <v>18618569</v>
      </c>
      <c r="H95" s="705">
        <v>0</v>
      </c>
      <c r="I95" s="705">
        <v>0</v>
      </c>
      <c r="J95" s="705">
        <v>52311633.991422378</v>
      </c>
      <c r="K95" s="705">
        <v>21629491.965902619</v>
      </c>
      <c r="L95" s="705">
        <v>8928000</v>
      </c>
      <c r="M95" s="199">
        <f t="shared" si="12"/>
        <v>3.4918433289542818</v>
      </c>
    </row>
    <row r="96" spans="5:13" x14ac:dyDescent="0.45">
      <c r="E96" s="154" t="s">
        <v>624</v>
      </c>
      <c r="F96" s="705">
        <v>21612406.600000001</v>
      </c>
      <c r="G96" s="705">
        <v>2116919.919999999</v>
      </c>
      <c r="H96" s="705">
        <v>0</v>
      </c>
      <c r="I96" s="705">
        <v>559000</v>
      </c>
      <c r="J96" s="705">
        <v>235875.00000000931</v>
      </c>
      <c r="K96" s="705">
        <v>13805426.989999991</v>
      </c>
      <c r="L96" s="705">
        <v>1278666.98</v>
      </c>
      <c r="M96" s="199">
        <f t="shared" si="12"/>
        <v>6.2929328994173792</v>
      </c>
    </row>
    <row r="97" spans="5:13" x14ac:dyDescent="0.45">
      <c r="E97" s="154" t="s">
        <v>603</v>
      </c>
      <c r="F97" s="705">
        <v>123242000</v>
      </c>
      <c r="G97" s="705">
        <v>19440000</v>
      </c>
      <c r="H97" s="705">
        <v>13971000</v>
      </c>
      <c r="I97" s="705">
        <v>0</v>
      </c>
      <c r="J97" s="705">
        <v>0</v>
      </c>
      <c r="K97" s="705">
        <v>87544537.166724801</v>
      </c>
      <c r="L97" s="705">
        <v>226000</v>
      </c>
      <c r="M97" s="199">
        <f t="shared" si="12"/>
        <v>5.2103671382060082</v>
      </c>
    </row>
    <row r="98" spans="5:13" x14ac:dyDescent="0.45">
      <c r="E98" s="154" t="s">
        <v>623</v>
      </c>
      <c r="F98" s="705">
        <v>131177904.433351</v>
      </c>
      <c r="G98" s="705">
        <v>17249798.99419539</v>
      </c>
      <c r="H98" s="705">
        <v>3250000</v>
      </c>
      <c r="I98" s="705">
        <v>23550118.8251421</v>
      </c>
      <c r="J98" s="705">
        <v>0</v>
      </c>
      <c r="K98" s="705">
        <v>68878150.093644783</v>
      </c>
      <c r="L98" s="705">
        <v>3927718.8469250002</v>
      </c>
      <c r="M98" s="199">
        <f t="shared" si="12"/>
        <v>5.3189344468730457</v>
      </c>
    </row>
    <row r="99" spans="5:13" x14ac:dyDescent="0.45">
      <c r="E99" s="154" t="s">
        <v>700</v>
      </c>
      <c r="F99" s="705">
        <v>72985625.409999996</v>
      </c>
      <c r="G99" s="705">
        <v>16292642</v>
      </c>
      <c r="H99" s="705">
        <v>2500000</v>
      </c>
      <c r="I99" s="705">
        <v>0</v>
      </c>
      <c r="J99" s="705">
        <v>30015116.560461842</v>
      </c>
      <c r="K99" s="705">
        <v>23142110.919538159</v>
      </c>
      <c r="L99" s="705">
        <v>605330.97</v>
      </c>
      <c r="M99" s="199">
        <f t="shared" si="12"/>
        <v>3.3789422556513551</v>
      </c>
    </row>
    <row r="100" spans="5:13" x14ac:dyDescent="0.45">
      <c r="E100" s="154" t="s">
        <v>598</v>
      </c>
      <c r="F100" s="705">
        <v>21528516.289999999</v>
      </c>
      <c r="G100" s="705">
        <v>1847982.1600000011</v>
      </c>
      <c r="H100" s="705">
        <v>0</v>
      </c>
      <c r="I100" s="705">
        <v>3720760.23</v>
      </c>
      <c r="J100" s="705">
        <v>0</v>
      </c>
      <c r="K100" s="705">
        <v>11301532.275994079</v>
      </c>
      <c r="L100" s="705">
        <v>2338850.79</v>
      </c>
      <c r="M100" s="199">
        <f t="shared" si="12"/>
        <v>6.8634005189714991</v>
      </c>
    </row>
    <row r="101" spans="5:13" x14ac:dyDescent="0.45">
      <c r="E101" s="154" t="s">
        <v>704</v>
      </c>
      <c r="F101" s="705">
        <v>177270814.2691986</v>
      </c>
      <c r="G101" s="705">
        <v>19313244.379999992</v>
      </c>
      <c r="H101" s="705">
        <v>9485920.8000000007</v>
      </c>
      <c r="I101" s="705">
        <v>11425000</v>
      </c>
      <c r="J101" s="705">
        <v>0</v>
      </c>
      <c r="K101" s="705">
        <v>25999999.999999959</v>
      </c>
      <c r="L101" s="705">
        <v>522284.75</v>
      </c>
      <c r="M101" s="199">
        <f t="shared" si="12"/>
        <v>2.4019079931509664</v>
      </c>
    </row>
    <row r="102" spans="5:13" x14ac:dyDescent="0.45">
      <c r="E102" s="154" t="s">
        <v>703</v>
      </c>
      <c r="F102" s="705">
        <v>124319042.64</v>
      </c>
      <c r="G102" s="705">
        <v>17235868.71666665</v>
      </c>
      <c r="H102" s="705">
        <v>0</v>
      </c>
      <c r="I102" s="705">
        <v>9206465.4438291602</v>
      </c>
      <c r="J102" s="705">
        <v>0</v>
      </c>
      <c r="K102" s="705">
        <v>10656690.805625871</v>
      </c>
      <c r="L102" s="705">
        <v>13036281</v>
      </c>
      <c r="M102" s="199">
        <f t="shared" si="12"/>
        <v>0.39608535906598169</v>
      </c>
    </row>
    <row r="103" spans="5:13" x14ac:dyDescent="0.45">
      <c r="E103" s="154" t="s">
        <v>708</v>
      </c>
      <c r="F103" s="705">
        <v>1013196245.2</v>
      </c>
      <c r="G103" s="705">
        <v>95350436.387310371</v>
      </c>
      <c r="H103" s="705">
        <v>0</v>
      </c>
      <c r="I103" s="705">
        <v>57912473.736687496</v>
      </c>
      <c r="J103" s="705">
        <v>306278873.4855625</v>
      </c>
      <c r="K103" s="705">
        <v>10944529.293312499</v>
      </c>
      <c r="L103" s="705">
        <v>26975037</v>
      </c>
      <c r="M103" s="199">
        <f t="shared" si="12"/>
        <v>3.6513817105287747</v>
      </c>
    </row>
    <row r="104" spans="5:13" x14ac:dyDescent="0.45">
      <c r="E104" s="154" t="s">
        <v>709</v>
      </c>
      <c r="F104" s="705">
        <v>1601818000</v>
      </c>
      <c r="G104" s="705">
        <v>151990000</v>
      </c>
      <c r="H104" s="705">
        <v>39047507.000000007</v>
      </c>
      <c r="I104" s="705">
        <v>2931996</v>
      </c>
      <c r="J104" s="705">
        <v>610227543.42963719</v>
      </c>
      <c r="K104" s="705">
        <v>9153328.1581878383</v>
      </c>
      <c r="L104" s="705">
        <v>64935000</v>
      </c>
      <c r="M104" s="199">
        <f t="shared" si="12"/>
        <v>3.9241093136905394</v>
      </c>
    </row>
    <row r="105" spans="5:13" x14ac:dyDescent="0.45">
      <c r="E105" s="154" t="s">
        <v>705</v>
      </c>
      <c r="F105" s="705">
        <v>193515971.96000001</v>
      </c>
      <c r="G105" s="705">
        <v>27210419.402019031</v>
      </c>
      <c r="H105" s="705">
        <v>20500000</v>
      </c>
      <c r="I105" s="705">
        <v>7500000</v>
      </c>
      <c r="J105" s="705">
        <v>0</v>
      </c>
      <c r="K105" s="705">
        <v>45000000</v>
      </c>
      <c r="L105" s="705">
        <v>3833452</v>
      </c>
      <c r="M105" s="199">
        <f t="shared" si="12"/>
        <v>2.541914072624246</v>
      </c>
    </row>
    <row r="106" spans="5:13" x14ac:dyDescent="0.45">
      <c r="E106" s="154" t="s">
        <v>711</v>
      </c>
      <c r="F106" s="705">
        <v>50100000</v>
      </c>
      <c r="G106" s="705">
        <v>11600000</v>
      </c>
      <c r="H106" s="705">
        <v>0</v>
      </c>
      <c r="I106" s="705">
        <v>10000000</v>
      </c>
      <c r="J106" s="705">
        <v>0</v>
      </c>
      <c r="K106" s="705">
        <v>15000000</v>
      </c>
      <c r="L106" s="705">
        <v>2058000</v>
      </c>
      <c r="M106" s="199">
        <f t="shared" si="12"/>
        <v>1.9777586206896551</v>
      </c>
    </row>
    <row r="107" spans="5:13" x14ac:dyDescent="0.45">
      <c r="E107" s="154" t="s">
        <v>710</v>
      </c>
      <c r="F107" s="705">
        <v>369553712.00999999</v>
      </c>
      <c r="G107" s="705">
        <v>36689296.447460763</v>
      </c>
      <c r="H107" s="705">
        <v>25041802</v>
      </c>
      <c r="I107" s="705">
        <v>11441352</v>
      </c>
      <c r="J107" s="705">
        <v>42582206.327660426</v>
      </c>
      <c r="K107" s="705">
        <v>25153293.67233957</v>
      </c>
      <c r="L107" s="705">
        <v>0</v>
      </c>
      <c r="M107" s="199">
        <f t="shared" si="12"/>
        <v>2.8405737937559414</v>
      </c>
    </row>
    <row r="109" spans="5:13" x14ac:dyDescent="0.45">
      <c r="F109" s="155" t="s">
        <v>718</v>
      </c>
      <c r="G109" s="155" t="s">
        <v>719</v>
      </c>
      <c r="H109" s="155" t="s">
        <v>525</v>
      </c>
      <c r="I109" s="155" t="s">
        <v>720</v>
      </c>
      <c r="J109" s="155" t="s">
        <v>721</v>
      </c>
      <c r="K109" s="155" t="s">
        <v>722</v>
      </c>
      <c r="L109" s="155" t="s">
        <v>723</v>
      </c>
    </row>
    <row r="110" spans="5:13" x14ac:dyDescent="0.45">
      <c r="E110" s="154" t="s">
        <v>597</v>
      </c>
      <c r="F110" s="154">
        <f t="shared" ref="F110:L119" si="13">F3-F67</f>
        <v>-4753682.9936000109</v>
      </c>
      <c r="G110" s="154">
        <f t="shared" si="13"/>
        <v>-8001976.7496334016</v>
      </c>
      <c r="H110" s="154">
        <f t="shared" si="13"/>
        <v>0</v>
      </c>
      <c r="I110" s="154">
        <f t="shared" si="13"/>
        <v>-3271000</v>
      </c>
      <c r="J110" s="154">
        <f t="shared" si="13"/>
        <v>-7165406.0099999905</v>
      </c>
      <c r="K110" s="154">
        <f t="shared" si="13"/>
        <v>-37593.990000000224</v>
      </c>
      <c r="L110" s="154">
        <f t="shared" si="13"/>
        <v>11973000</v>
      </c>
      <c r="M110" s="199">
        <f t="shared" ref="M110:M149" si="14">IFERROR(M3-M67,"N/A")</f>
        <v>1.7477766054810076</v>
      </c>
    </row>
    <row r="111" spans="5:13" x14ac:dyDescent="0.45">
      <c r="E111" s="154" t="s">
        <v>593</v>
      </c>
      <c r="F111" s="154">
        <f t="shared" si="13"/>
        <v>-4076256.4899999946</v>
      </c>
      <c r="G111" s="154">
        <f t="shared" si="13"/>
        <v>-1174009.01999998</v>
      </c>
      <c r="H111" s="154">
        <f t="shared" si="13"/>
        <v>0</v>
      </c>
      <c r="I111" s="154">
        <f t="shared" si="13"/>
        <v>333845.60194622912</v>
      </c>
      <c r="J111" s="154">
        <f t="shared" si="13"/>
        <v>0</v>
      </c>
      <c r="K111" s="154">
        <f t="shared" si="13"/>
        <v>-4631720.2307158709</v>
      </c>
      <c r="L111" s="154">
        <f t="shared" si="13"/>
        <v>134444.43999999994</v>
      </c>
      <c r="M111" s="199">
        <f t="shared" si="14"/>
        <v>5.0933991321100223</v>
      </c>
    </row>
    <row r="112" spans="5:13" x14ac:dyDescent="0.45">
      <c r="E112" s="154" t="s">
        <v>697</v>
      </c>
      <c r="F112" s="154">
        <f t="shared" si="13"/>
        <v>-580012.39999999851</v>
      </c>
      <c r="G112" s="154">
        <f t="shared" si="13"/>
        <v>2062558.3000000019</v>
      </c>
      <c r="H112" s="154">
        <f t="shared" si="13"/>
        <v>-1640137</v>
      </c>
      <c r="I112" s="154">
        <f t="shared" si="13"/>
        <v>0</v>
      </c>
      <c r="J112" s="154">
        <f t="shared" si="13"/>
        <v>3970.7357460758649</v>
      </c>
      <c r="K112" s="154">
        <f t="shared" si="13"/>
        <v>281592.76425391994</v>
      </c>
      <c r="L112" s="154">
        <f t="shared" si="13"/>
        <v>-1103577.0300000003</v>
      </c>
      <c r="M112" s="199" t="str">
        <f t="shared" si="14"/>
        <v>N/A</v>
      </c>
    </row>
    <row r="113" spans="5:13" x14ac:dyDescent="0.45">
      <c r="E113" s="154" t="s">
        <v>607</v>
      </c>
      <c r="F113" s="154">
        <f t="shared" si="13"/>
        <v>-92790.890000000014</v>
      </c>
      <c r="G113" s="154">
        <f t="shared" si="13"/>
        <v>-92790.890000000014</v>
      </c>
      <c r="H113" s="154">
        <f t="shared" si="13"/>
        <v>0</v>
      </c>
      <c r="I113" s="154">
        <f t="shared" si="13"/>
        <v>3190000</v>
      </c>
      <c r="J113" s="154">
        <f t="shared" si="13"/>
        <v>-5.4710488766431808E-3</v>
      </c>
      <c r="K113" s="154">
        <f t="shared" si="13"/>
        <v>2711849.2639373913</v>
      </c>
      <c r="L113" s="154">
        <f t="shared" si="13"/>
        <v>49166</v>
      </c>
      <c r="M113" s="199">
        <f t="shared" si="14"/>
        <v>16.933190341333585</v>
      </c>
    </row>
    <row r="114" spans="5:13" x14ac:dyDescent="0.45">
      <c r="E114" s="154" t="s">
        <v>595</v>
      </c>
      <c r="F114" s="154">
        <f t="shared" si="13"/>
        <v>-509550.60000000149</v>
      </c>
      <c r="G114" s="154">
        <f t="shared" si="13"/>
        <v>-4366861.2319218935</v>
      </c>
      <c r="H114" s="154">
        <f t="shared" si="13"/>
        <v>750000</v>
      </c>
      <c r="I114" s="154">
        <f t="shared" si="13"/>
        <v>-225625</v>
      </c>
      <c r="J114" s="154">
        <f t="shared" si="13"/>
        <v>6628198.2887558835</v>
      </c>
      <c r="K114" s="154">
        <f t="shared" si="13"/>
        <v>406360.51007459685</v>
      </c>
      <c r="L114" s="154">
        <f t="shared" si="13"/>
        <v>-789416.54</v>
      </c>
      <c r="M114" s="199">
        <f t="shared" si="14"/>
        <v>24.774173688936074</v>
      </c>
    </row>
    <row r="115" spans="5:13" x14ac:dyDescent="0.45">
      <c r="E115" s="154" t="s">
        <v>450</v>
      </c>
      <c r="F115" s="154">
        <f t="shared" si="13"/>
        <v>0</v>
      </c>
      <c r="G115" s="154">
        <f t="shared" si="13"/>
        <v>0</v>
      </c>
      <c r="H115" s="154">
        <f t="shared" si="13"/>
        <v>0</v>
      </c>
      <c r="I115" s="154">
        <f t="shared" si="13"/>
        <v>0</v>
      </c>
      <c r="J115" s="154">
        <f t="shared" si="13"/>
        <v>0</v>
      </c>
      <c r="K115" s="154">
        <f t="shared" si="13"/>
        <v>0</v>
      </c>
      <c r="L115" s="154">
        <f t="shared" si="13"/>
        <v>0</v>
      </c>
      <c r="M115" s="199" t="str">
        <f t="shared" si="14"/>
        <v>N/A</v>
      </c>
    </row>
    <row r="116" spans="5:13" x14ac:dyDescent="0.45">
      <c r="E116" s="154" t="s">
        <v>694</v>
      </c>
      <c r="F116" s="154">
        <f t="shared" si="13"/>
        <v>4587240.9500002414</v>
      </c>
      <c r="G116" s="154">
        <f t="shared" si="13"/>
        <v>762882.53248476982</v>
      </c>
      <c r="H116" s="154">
        <f t="shared" si="13"/>
        <v>-500000</v>
      </c>
      <c r="I116" s="154">
        <f t="shared" si="13"/>
        <v>-400000</v>
      </c>
      <c r="J116" s="154">
        <f t="shared" si="13"/>
        <v>0</v>
      </c>
      <c r="K116" s="154">
        <f t="shared" si="13"/>
        <v>-19207999.99999997</v>
      </c>
      <c r="L116" s="154">
        <f t="shared" si="13"/>
        <v>-1201966.5099999821</v>
      </c>
      <c r="M116" s="199">
        <f t="shared" si="14"/>
        <v>-1.3212490323206119</v>
      </c>
    </row>
    <row r="117" spans="5:13" x14ac:dyDescent="0.45">
      <c r="E117" s="154" t="s">
        <v>738</v>
      </c>
      <c r="F117" s="154">
        <f t="shared" si="13"/>
        <v>-19813866.154449016</v>
      </c>
      <c r="G117" s="154">
        <f t="shared" si="13"/>
        <v>-3218999.2417942304</v>
      </c>
      <c r="H117" s="154">
        <f t="shared" si="13"/>
        <v>-1993954.2599999979</v>
      </c>
      <c r="I117" s="154">
        <f t="shared" si="13"/>
        <v>-930944.86000000034</v>
      </c>
      <c r="J117" s="154">
        <f t="shared" si="13"/>
        <v>0</v>
      </c>
      <c r="K117" s="154">
        <f t="shared" si="13"/>
        <v>-200000.00000002235</v>
      </c>
      <c r="L117" s="154">
        <f t="shared" si="13"/>
        <v>-1535637.6357200001</v>
      </c>
      <c r="M117" s="199">
        <f t="shared" si="14"/>
        <v>1.1977305352932275</v>
      </c>
    </row>
    <row r="118" spans="5:13" x14ac:dyDescent="0.45">
      <c r="E118" s="154" t="s">
        <v>706</v>
      </c>
      <c r="F118" s="154">
        <f t="shared" si="13"/>
        <v>-2985000</v>
      </c>
      <c r="G118" s="154">
        <f t="shared" si="13"/>
        <v>-1700000</v>
      </c>
      <c r="H118" s="154">
        <f t="shared" si="13"/>
        <v>200000</v>
      </c>
      <c r="I118" s="154">
        <f t="shared" si="13"/>
        <v>4900069.7204181999</v>
      </c>
      <c r="J118" s="154">
        <f t="shared" si="13"/>
        <v>0</v>
      </c>
      <c r="K118" s="154">
        <f t="shared" si="13"/>
        <v>19719430.279581815</v>
      </c>
      <c r="L118" s="154">
        <f t="shared" si="13"/>
        <v>-568000</v>
      </c>
      <c r="M118" s="199">
        <f t="shared" si="14"/>
        <v>0.987504553782518</v>
      </c>
    </row>
    <row r="119" spans="5:13" x14ac:dyDescent="0.45">
      <c r="E119" s="154" t="s">
        <v>600</v>
      </c>
      <c r="F119" s="154">
        <f t="shared" si="13"/>
        <v>3652385.3800000027</v>
      </c>
      <c r="G119" s="154">
        <f t="shared" si="13"/>
        <v>1299337.9450000003</v>
      </c>
      <c r="H119" s="154">
        <f t="shared" si="13"/>
        <v>0</v>
      </c>
      <c r="I119" s="154">
        <f t="shared" si="13"/>
        <v>0</v>
      </c>
      <c r="J119" s="154">
        <f t="shared" si="13"/>
        <v>7224950</v>
      </c>
      <c r="K119" s="154">
        <f t="shared" si="13"/>
        <v>2375000.0048979595</v>
      </c>
      <c r="L119" s="154">
        <f t="shared" si="13"/>
        <v>-201800</v>
      </c>
      <c r="M119" s="199">
        <f t="shared" si="14"/>
        <v>0.71044026217405909</v>
      </c>
    </row>
    <row r="120" spans="5:13" x14ac:dyDescent="0.45">
      <c r="E120" s="154" t="s">
        <v>482</v>
      </c>
      <c r="F120" s="154">
        <f t="shared" ref="F120:L129" si="15">F13-F77</f>
        <v>4150937.9010000974</v>
      </c>
      <c r="G120" s="154">
        <f t="shared" si="15"/>
        <v>-4126520.5602000393</v>
      </c>
      <c r="H120" s="154">
        <f t="shared" si="15"/>
        <v>-6313.9200000001583</v>
      </c>
      <c r="I120" s="154">
        <f t="shared" si="15"/>
        <v>0</v>
      </c>
      <c r="J120" s="154">
        <f t="shared" si="15"/>
        <v>-234026.63462503254</v>
      </c>
      <c r="K120" s="154">
        <f t="shared" si="15"/>
        <v>-325348.36537500471</v>
      </c>
      <c r="L120" s="154">
        <f t="shared" si="15"/>
        <v>-676056.38999999966</v>
      </c>
      <c r="M120" s="199">
        <f t="shared" si="14"/>
        <v>0.63942863076973477</v>
      </c>
    </row>
    <row r="121" spans="5:13" x14ac:dyDescent="0.45">
      <c r="E121" s="154" t="s">
        <v>605</v>
      </c>
      <c r="F121" s="154">
        <f t="shared" si="15"/>
        <v>-2786852.1899999976</v>
      </c>
      <c r="G121" s="154">
        <f t="shared" si="15"/>
        <v>-6084806.526031021</v>
      </c>
      <c r="H121" s="154">
        <f t="shared" si="15"/>
        <v>7205348.9199999999</v>
      </c>
      <c r="I121" s="154">
        <f t="shared" si="15"/>
        <v>0</v>
      </c>
      <c r="J121" s="154">
        <f t="shared" si="15"/>
        <v>-200050.56019761413</v>
      </c>
      <c r="K121" s="154">
        <f t="shared" si="15"/>
        <v>-225013.57980239391</v>
      </c>
      <c r="L121" s="154">
        <f t="shared" si="15"/>
        <v>-1388173.2200000002</v>
      </c>
      <c r="M121" s="199">
        <f t="shared" si="14"/>
        <v>1.5090641658048574</v>
      </c>
    </row>
    <row r="122" spans="5:13" x14ac:dyDescent="0.45">
      <c r="E122" s="154" t="s">
        <v>619</v>
      </c>
      <c r="F122" s="154">
        <f t="shared" si="15"/>
        <v>-21219453.904353902</v>
      </c>
      <c r="G122" s="154">
        <f t="shared" si="15"/>
        <v>812828.21000000089</v>
      </c>
      <c r="H122" s="154">
        <f t="shared" si="15"/>
        <v>0</v>
      </c>
      <c r="I122" s="154">
        <f t="shared" si="15"/>
        <v>0</v>
      </c>
      <c r="J122" s="154">
        <f t="shared" si="15"/>
        <v>-36877.522323910147</v>
      </c>
      <c r="K122" s="154">
        <f t="shared" si="15"/>
        <v>-149408.42867610604</v>
      </c>
      <c r="L122" s="154">
        <f t="shared" si="15"/>
        <v>3126782</v>
      </c>
      <c r="M122" s="199">
        <f t="shared" si="14"/>
        <v>-0.38778794317900989</v>
      </c>
    </row>
    <row r="123" spans="5:13" x14ac:dyDescent="0.45">
      <c r="E123" s="154" t="s">
        <v>626</v>
      </c>
      <c r="F123" s="154">
        <f t="shared" si="15"/>
        <v>-389821.23000000417</v>
      </c>
      <c r="G123" s="154">
        <f t="shared" si="15"/>
        <v>236708.10000000894</v>
      </c>
      <c r="H123" s="154">
        <f t="shared" si="15"/>
        <v>0</v>
      </c>
      <c r="I123" s="154">
        <f t="shared" si="15"/>
        <v>0</v>
      </c>
      <c r="J123" s="154">
        <f t="shared" si="15"/>
        <v>0</v>
      </c>
      <c r="K123" s="154">
        <f t="shared" si="15"/>
        <v>1398775.1545491107</v>
      </c>
      <c r="L123" s="154">
        <f t="shared" si="15"/>
        <v>0</v>
      </c>
      <c r="M123" s="199">
        <f t="shared" si="14"/>
        <v>3.0839633915259235E-2</v>
      </c>
    </row>
    <row r="124" spans="5:13" x14ac:dyDescent="0.45">
      <c r="E124" s="154" t="s">
        <v>629</v>
      </c>
      <c r="F124" s="154">
        <f t="shared" si="15"/>
        <v>-11696055.93</v>
      </c>
      <c r="G124" s="154">
        <f t="shared" si="15"/>
        <v>-3609944.3700000066</v>
      </c>
      <c r="H124" s="154">
        <f t="shared" si="15"/>
        <v>0</v>
      </c>
      <c r="I124" s="154">
        <f t="shared" si="15"/>
        <v>-231250</v>
      </c>
      <c r="J124" s="154">
        <f t="shared" si="15"/>
        <v>0</v>
      </c>
      <c r="K124" s="154">
        <f t="shared" si="15"/>
        <v>227766.85666295886</v>
      </c>
      <c r="L124" s="154">
        <f t="shared" si="15"/>
        <v>-8263.5300000002608</v>
      </c>
      <c r="M124" s="199">
        <f t="shared" si="14"/>
        <v>2.2341361763499368</v>
      </c>
    </row>
    <row r="125" spans="5:13" x14ac:dyDescent="0.45">
      <c r="E125" s="154" t="s">
        <v>590</v>
      </c>
      <c r="F125" s="154">
        <f t="shared" si="15"/>
        <v>-5160120.9200000018</v>
      </c>
      <c r="G125" s="154">
        <f t="shared" si="15"/>
        <v>-2115265.0672090016</v>
      </c>
      <c r="H125" s="154">
        <f t="shared" si="15"/>
        <v>0</v>
      </c>
      <c r="I125" s="154">
        <f t="shared" si="15"/>
        <v>-2331884.3574999981</v>
      </c>
      <c r="J125" s="154">
        <f t="shared" si="15"/>
        <v>-187003.24779351056</v>
      </c>
      <c r="K125" s="154">
        <f t="shared" si="15"/>
        <v>-256958.20470650494</v>
      </c>
      <c r="L125" s="154">
        <f t="shared" si="15"/>
        <v>911751.49000000022</v>
      </c>
      <c r="M125" s="199">
        <f t="shared" si="14"/>
        <v>0.72299645086163444</v>
      </c>
    </row>
    <row r="126" spans="5:13" x14ac:dyDescent="0.45">
      <c r="E126" s="154" t="s">
        <v>699</v>
      </c>
      <c r="F126" s="154">
        <f t="shared" si="15"/>
        <v>-1760495.9699999988</v>
      </c>
      <c r="G126" s="154">
        <f t="shared" si="15"/>
        <v>695527.55333334021</v>
      </c>
      <c r="H126" s="154">
        <f t="shared" si="15"/>
        <v>0</v>
      </c>
      <c r="I126" s="154">
        <f t="shared" si="15"/>
        <v>-281249.99718749896</v>
      </c>
      <c r="J126" s="154">
        <f t="shared" si="15"/>
        <v>0</v>
      </c>
      <c r="K126" s="154">
        <f t="shared" si="15"/>
        <v>-93749.999062541872</v>
      </c>
      <c r="L126" s="154">
        <f t="shared" si="15"/>
        <v>642663.58999999985</v>
      </c>
      <c r="M126" s="199">
        <f t="shared" si="14"/>
        <v>-0.23410925554632067</v>
      </c>
    </row>
    <row r="127" spans="5:13" x14ac:dyDescent="0.45">
      <c r="E127" s="154" t="s">
        <v>476</v>
      </c>
      <c r="F127" s="154">
        <f t="shared" si="15"/>
        <v>-360533.79000000656</v>
      </c>
      <c r="G127" s="154">
        <f t="shared" si="15"/>
        <v>-1370689.8533333279</v>
      </c>
      <c r="H127" s="154">
        <f t="shared" si="15"/>
        <v>0</v>
      </c>
      <c r="I127" s="154">
        <f t="shared" si="15"/>
        <v>-725527.92799130082</v>
      </c>
      <c r="J127" s="154">
        <f t="shared" si="15"/>
        <v>-180909.47896518605</v>
      </c>
      <c r="K127" s="154">
        <f t="shared" si="15"/>
        <v>-667955.27304352075</v>
      </c>
      <c r="L127" s="154">
        <f t="shared" si="15"/>
        <v>2196804.41</v>
      </c>
      <c r="M127" s="199">
        <f t="shared" si="14"/>
        <v>-4.1236227775426348E-2</v>
      </c>
    </row>
    <row r="128" spans="5:13" x14ac:dyDescent="0.45">
      <c r="E128" s="154" t="s">
        <v>599</v>
      </c>
      <c r="F128" s="154">
        <f t="shared" si="15"/>
        <v>-8070458.9444596767</v>
      </c>
      <c r="G128" s="154">
        <f t="shared" si="15"/>
        <v>-2216450.0076401201</v>
      </c>
      <c r="H128" s="154">
        <f t="shared" si="15"/>
        <v>0</v>
      </c>
      <c r="I128" s="154">
        <f t="shared" si="15"/>
        <v>0</v>
      </c>
      <c r="J128" s="154">
        <f t="shared" si="15"/>
        <v>-4768527.6906419694</v>
      </c>
      <c r="K128" s="154">
        <f t="shared" si="15"/>
        <v>10380127.277584806</v>
      </c>
      <c r="L128" s="154">
        <f t="shared" si="15"/>
        <v>529039.76722024055</v>
      </c>
      <c r="M128" s="199" t="str">
        <f t="shared" si="14"/>
        <v>N/A</v>
      </c>
    </row>
    <row r="129" spans="5:13" x14ac:dyDescent="0.45">
      <c r="E129" s="154" t="s">
        <v>695</v>
      </c>
      <c r="F129" s="154">
        <f t="shared" si="15"/>
        <v>0</v>
      </c>
      <c r="G129" s="154">
        <f t="shared" si="15"/>
        <v>0</v>
      </c>
      <c r="H129" s="154">
        <f t="shared" si="15"/>
        <v>0</v>
      </c>
      <c r="I129" s="154">
        <f t="shared" si="15"/>
        <v>0</v>
      </c>
      <c r="J129" s="154">
        <f t="shared" si="15"/>
        <v>0</v>
      </c>
      <c r="K129" s="154">
        <f t="shared" si="15"/>
        <v>0</v>
      </c>
      <c r="L129" s="154">
        <f t="shared" si="15"/>
        <v>0</v>
      </c>
      <c r="M129" s="199">
        <f t="shared" si="14"/>
        <v>0</v>
      </c>
    </row>
    <row r="130" spans="5:13" x14ac:dyDescent="0.45">
      <c r="E130" s="154" t="s">
        <v>471</v>
      </c>
      <c r="F130" s="154">
        <f t="shared" ref="F130:L139" si="16">F23-F87</f>
        <v>2501330.8999999985</v>
      </c>
      <c r="G130" s="154">
        <f t="shared" si="16"/>
        <v>1760240.2300000004</v>
      </c>
      <c r="H130" s="154">
        <f t="shared" si="16"/>
        <v>5200000</v>
      </c>
      <c r="I130" s="154">
        <f t="shared" si="16"/>
        <v>0</v>
      </c>
      <c r="J130" s="154">
        <f t="shared" si="16"/>
        <v>0</v>
      </c>
      <c r="K130" s="154">
        <f t="shared" si="16"/>
        <v>0</v>
      </c>
      <c r="L130" s="154">
        <f t="shared" si="16"/>
        <v>1098037.0699999998</v>
      </c>
      <c r="M130" s="199">
        <f t="shared" si="14"/>
        <v>-5.1320302490189817E-2</v>
      </c>
    </row>
    <row r="131" spans="5:13" x14ac:dyDescent="0.45">
      <c r="E131" s="154" t="s">
        <v>596</v>
      </c>
      <c r="F131" s="154">
        <f t="shared" si="16"/>
        <v>-726179.97865913063</v>
      </c>
      <c r="G131" s="154">
        <f t="shared" si="16"/>
        <v>504567.61161805008</v>
      </c>
      <c r="H131" s="154">
        <f t="shared" si="16"/>
        <v>-2515801.2799999993</v>
      </c>
      <c r="I131" s="154">
        <f t="shared" si="16"/>
        <v>0</v>
      </c>
      <c r="J131" s="154">
        <f t="shared" si="16"/>
        <v>0</v>
      </c>
      <c r="K131" s="154">
        <f t="shared" si="16"/>
        <v>472893.77840646915</v>
      </c>
      <c r="L131" s="154">
        <f t="shared" si="16"/>
        <v>193786.58</v>
      </c>
      <c r="M131" s="199" t="str">
        <f t="shared" si="14"/>
        <v>N/A</v>
      </c>
    </row>
    <row r="132" spans="5:13" x14ac:dyDescent="0.45">
      <c r="E132" s="154" t="s">
        <v>617</v>
      </c>
      <c r="F132" s="154">
        <f t="shared" si="16"/>
        <v>-1947152.5500000119</v>
      </c>
      <c r="G132" s="154">
        <f t="shared" si="16"/>
        <v>137244.54049999826</v>
      </c>
      <c r="H132" s="154">
        <f t="shared" si="16"/>
        <v>-250000</v>
      </c>
      <c r="I132" s="154">
        <f t="shared" si="16"/>
        <v>0</v>
      </c>
      <c r="J132" s="154">
        <f t="shared" si="16"/>
        <v>-18750</v>
      </c>
      <c r="K132" s="154">
        <f t="shared" si="16"/>
        <v>-243750</v>
      </c>
      <c r="L132" s="154">
        <f t="shared" si="16"/>
        <v>-903459.97</v>
      </c>
      <c r="M132" s="199">
        <f t="shared" si="14"/>
        <v>-5.773898527716792E-2</v>
      </c>
    </row>
    <row r="133" spans="5:13" x14ac:dyDescent="0.45">
      <c r="E133" s="154" t="s">
        <v>701</v>
      </c>
      <c r="F133" s="154">
        <f t="shared" si="16"/>
        <v>2525881.2500000149</v>
      </c>
      <c r="G133" s="154">
        <f t="shared" si="16"/>
        <v>882265.69000000134</v>
      </c>
      <c r="H133" s="154">
        <f t="shared" si="16"/>
        <v>0</v>
      </c>
      <c r="I133" s="154">
        <f t="shared" si="16"/>
        <v>-616951.8200000003</v>
      </c>
      <c r="J133" s="154">
        <f t="shared" si="16"/>
        <v>0</v>
      </c>
      <c r="K133" s="154">
        <f t="shared" si="16"/>
        <v>-443737.1799999997</v>
      </c>
      <c r="L133" s="154">
        <f t="shared" si="16"/>
        <v>-699164.61000000034</v>
      </c>
      <c r="M133" s="199">
        <f t="shared" si="14"/>
        <v>-0.41056399732609838</v>
      </c>
    </row>
    <row r="134" spans="5:13" x14ac:dyDescent="0.45">
      <c r="E134" s="154" t="s">
        <v>606</v>
      </c>
      <c r="F134" s="154">
        <f t="shared" si="16"/>
        <v>1274423.5200000033</v>
      </c>
      <c r="G134" s="154">
        <f t="shared" si="16"/>
        <v>87302.51999999769</v>
      </c>
      <c r="H134" s="154">
        <f t="shared" si="16"/>
        <v>474375.37999999989</v>
      </c>
      <c r="I134" s="154">
        <f t="shared" si="16"/>
        <v>-175000</v>
      </c>
      <c r="J134" s="154">
        <f t="shared" si="16"/>
        <v>0</v>
      </c>
      <c r="K134" s="154">
        <f t="shared" si="16"/>
        <v>133304.38154712692</v>
      </c>
      <c r="L134" s="154">
        <f t="shared" si="16"/>
        <v>-1828.210000000021</v>
      </c>
      <c r="M134" s="199">
        <f t="shared" si="14"/>
        <v>6.1217086097009599E-3</v>
      </c>
    </row>
    <row r="135" spans="5:13" x14ac:dyDescent="0.45">
      <c r="E135" s="154" t="s">
        <v>707</v>
      </c>
      <c r="F135" s="154">
        <f t="shared" si="16"/>
        <v>-351204</v>
      </c>
      <c r="G135" s="154">
        <f t="shared" si="16"/>
        <v>859122</v>
      </c>
      <c r="H135" s="154">
        <f t="shared" si="16"/>
        <v>0</v>
      </c>
      <c r="I135" s="154">
        <f t="shared" si="16"/>
        <v>4300000.00476282</v>
      </c>
      <c r="J135" s="154">
        <f t="shared" si="16"/>
        <v>0</v>
      </c>
      <c r="K135" s="154">
        <f t="shared" si="16"/>
        <v>4165625.0047628395</v>
      </c>
      <c r="L135" s="154">
        <f t="shared" si="16"/>
        <v>1889351</v>
      </c>
      <c r="M135" s="199">
        <f t="shared" si="14"/>
        <v>0.44743171665692394</v>
      </c>
    </row>
    <row r="136" spans="5:13" x14ac:dyDescent="0.45">
      <c r="E136" s="154" t="s">
        <v>458</v>
      </c>
      <c r="F136" s="154">
        <f t="shared" si="16"/>
        <v>0</v>
      </c>
      <c r="G136" s="154">
        <f t="shared" si="16"/>
        <v>0</v>
      </c>
      <c r="H136" s="154">
        <f t="shared" si="16"/>
        <v>0</v>
      </c>
      <c r="I136" s="154">
        <f t="shared" si="16"/>
        <v>0</v>
      </c>
      <c r="J136" s="154">
        <f t="shared" si="16"/>
        <v>0</v>
      </c>
      <c r="K136" s="154">
        <f t="shared" si="16"/>
        <v>43798997.529379718</v>
      </c>
      <c r="L136" s="154">
        <f t="shared" si="16"/>
        <v>0</v>
      </c>
      <c r="M136" s="199" t="str">
        <f t="shared" si="14"/>
        <v>N/A</v>
      </c>
    </row>
    <row r="137" spans="5:13" x14ac:dyDescent="0.45">
      <c r="E137" s="154" t="s">
        <v>702</v>
      </c>
      <c r="F137" s="154">
        <f t="shared" si="16"/>
        <v>1970833.6500000134</v>
      </c>
      <c r="G137" s="154">
        <f t="shared" si="16"/>
        <v>1061995.46</v>
      </c>
      <c r="H137" s="154">
        <f t="shared" si="16"/>
        <v>-1300000</v>
      </c>
      <c r="I137" s="154">
        <f t="shared" si="16"/>
        <v>0</v>
      </c>
      <c r="J137" s="154">
        <f t="shared" si="16"/>
        <v>0</v>
      </c>
      <c r="K137" s="154">
        <f t="shared" si="16"/>
        <v>82703.009248199873</v>
      </c>
      <c r="L137" s="154">
        <f t="shared" si="16"/>
        <v>-571347.7799999998</v>
      </c>
      <c r="M137" s="199">
        <f t="shared" si="14"/>
        <v>-0.3390167224496432</v>
      </c>
    </row>
    <row r="138" spans="5:13" x14ac:dyDescent="0.45">
      <c r="E138" s="154" t="s">
        <v>602</v>
      </c>
      <c r="F138" s="154">
        <f t="shared" si="16"/>
        <v>0</v>
      </c>
      <c r="G138" s="154">
        <f t="shared" si="16"/>
        <v>0</v>
      </c>
      <c r="H138" s="154">
        <f t="shared" si="16"/>
        <v>0</v>
      </c>
      <c r="I138" s="154">
        <f t="shared" si="16"/>
        <v>0</v>
      </c>
      <c r="J138" s="154">
        <f t="shared" si="16"/>
        <v>0</v>
      </c>
      <c r="K138" s="154">
        <f t="shared" si="16"/>
        <v>-9250.0000074878335</v>
      </c>
      <c r="L138" s="154">
        <f t="shared" si="16"/>
        <v>0</v>
      </c>
      <c r="M138" s="199">
        <f t="shared" si="14"/>
        <v>-4.9681584054583894E-4</v>
      </c>
    </row>
    <row r="139" spans="5:13" x14ac:dyDescent="0.45">
      <c r="E139" s="154" t="s">
        <v>624</v>
      </c>
      <c r="F139" s="154">
        <f t="shared" si="16"/>
        <v>0</v>
      </c>
      <c r="G139" s="154">
        <f t="shared" si="16"/>
        <v>0</v>
      </c>
      <c r="H139" s="154">
        <f t="shared" si="16"/>
        <v>0</v>
      </c>
      <c r="I139" s="154">
        <f t="shared" si="16"/>
        <v>0</v>
      </c>
      <c r="J139" s="154">
        <f t="shared" si="16"/>
        <v>0</v>
      </c>
      <c r="K139" s="154">
        <f t="shared" si="16"/>
        <v>93728.282145150006</v>
      </c>
      <c r="L139" s="154">
        <f t="shared" si="16"/>
        <v>0</v>
      </c>
      <c r="M139" s="199">
        <f t="shared" si="14"/>
        <v>4.4275780703669554E-2</v>
      </c>
    </row>
    <row r="140" spans="5:13" x14ac:dyDescent="0.45">
      <c r="E140" s="154" t="s">
        <v>603</v>
      </c>
      <c r="F140" s="154">
        <f t="shared" ref="F140:L149" si="17">F33-F97</f>
        <v>-1619000</v>
      </c>
      <c r="G140" s="154">
        <f t="shared" si="17"/>
        <v>-2204000</v>
      </c>
      <c r="H140" s="154">
        <f t="shared" si="17"/>
        <v>2766000</v>
      </c>
      <c r="I140" s="154">
        <f t="shared" si="17"/>
        <v>0</v>
      </c>
      <c r="J140" s="154">
        <f t="shared" si="17"/>
        <v>0</v>
      </c>
      <c r="K140" s="154">
        <f t="shared" si="17"/>
        <v>-712079.59273910522</v>
      </c>
      <c r="L140" s="154">
        <f t="shared" si="17"/>
        <v>124000</v>
      </c>
      <c r="M140" s="199">
        <f t="shared" si="14"/>
        <v>0.77822984334340539</v>
      </c>
    </row>
    <row r="141" spans="5:13" x14ac:dyDescent="0.45">
      <c r="E141" s="154" t="s">
        <v>623</v>
      </c>
      <c r="F141" s="154">
        <f t="shared" si="17"/>
        <v>173376.4141280055</v>
      </c>
      <c r="G141" s="154">
        <f t="shared" si="17"/>
        <v>-3001329.0570770204</v>
      </c>
      <c r="H141" s="154">
        <f t="shared" si="17"/>
        <v>0</v>
      </c>
      <c r="I141" s="154">
        <f t="shared" si="17"/>
        <v>-1256563</v>
      </c>
      <c r="J141" s="154">
        <f t="shared" si="17"/>
        <v>0</v>
      </c>
      <c r="K141" s="154">
        <f t="shared" si="17"/>
        <v>177267.29437090456</v>
      </c>
      <c r="L141" s="154">
        <f t="shared" si="17"/>
        <v>952612.02669200068</v>
      </c>
      <c r="M141" s="199">
        <f t="shared" si="14"/>
        <v>0.97778672638196795</v>
      </c>
    </row>
    <row r="142" spans="5:13" x14ac:dyDescent="0.45">
      <c r="E142" s="154" t="s">
        <v>700</v>
      </c>
      <c r="F142" s="154">
        <f t="shared" si="17"/>
        <v>278464</v>
      </c>
      <c r="G142" s="154">
        <f t="shared" si="17"/>
        <v>-924789.50999999978</v>
      </c>
      <c r="H142" s="154">
        <f t="shared" si="17"/>
        <v>400000</v>
      </c>
      <c r="I142" s="154">
        <f t="shared" si="17"/>
        <v>0</v>
      </c>
      <c r="J142" s="154">
        <f t="shared" si="17"/>
        <v>-78552.233083300292</v>
      </c>
      <c r="K142" s="154">
        <f t="shared" si="17"/>
        <v>-61447.768750000745</v>
      </c>
      <c r="L142" s="154">
        <f t="shared" si="17"/>
        <v>-79755.520000000019</v>
      </c>
      <c r="M142" s="199">
        <f t="shared" si="14"/>
        <v>0.22544242101121315</v>
      </c>
    </row>
    <row r="143" spans="5:13" x14ac:dyDescent="0.45">
      <c r="E143" s="154" t="s">
        <v>598</v>
      </c>
      <c r="F143" s="154">
        <f t="shared" si="17"/>
        <v>639272.06000000238</v>
      </c>
      <c r="G143" s="154">
        <f t="shared" si="17"/>
        <v>154916.14999999991</v>
      </c>
      <c r="H143" s="154">
        <f t="shared" si="17"/>
        <v>0</v>
      </c>
      <c r="I143" s="154">
        <f t="shared" si="17"/>
        <v>-250000</v>
      </c>
      <c r="J143" s="154">
        <f t="shared" si="17"/>
        <v>0</v>
      </c>
      <c r="K143" s="154">
        <f t="shared" si="17"/>
        <v>0</v>
      </c>
      <c r="L143" s="154">
        <f t="shared" si="17"/>
        <v>-91313.310000000056</v>
      </c>
      <c r="M143" s="199">
        <f t="shared" si="14"/>
        <v>-0.61008502938277775</v>
      </c>
    </row>
    <row r="144" spans="5:13" x14ac:dyDescent="0.45">
      <c r="E144" s="154" t="s">
        <v>704</v>
      </c>
      <c r="F144" s="154">
        <f t="shared" si="17"/>
        <v>269581.37585121393</v>
      </c>
      <c r="G144" s="154">
        <f t="shared" si="17"/>
        <v>1536996.7099999897</v>
      </c>
      <c r="H144" s="154">
        <f t="shared" si="17"/>
        <v>1298612.7799999993</v>
      </c>
      <c r="I144" s="154">
        <f t="shared" si="17"/>
        <v>-224125</v>
      </c>
      <c r="J144" s="154">
        <f t="shared" si="17"/>
        <v>0</v>
      </c>
      <c r="K144" s="154">
        <f t="shared" si="17"/>
        <v>6129999.9950000122</v>
      </c>
      <c r="L144" s="154">
        <f t="shared" si="17"/>
        <v>596479.19999999995</v>
      </c>
      <c r="M144" s="199">
        <f t="shared" si="14"/>
        <v>0.1398681137170632</v>
      </c>
    </row>
    <row r="145" spans="2:15" x14ac:dyDescent="0.45">
      <c r="E145" s="154" t="s">
        <v>703</v>
      </c>
      <c r="F145" s="154">
        <f t="shared" si="17"/>
        <v>-4254402.799999997</v>
      </c>
      <c r="G145" s="154">
        <f t="shared" si="17"/>
        <v>-204407.1999999918</v>
      </c>
      <c r="H145" s="154">
        <f t="shared" si="17"/>
        <v>0</v>
      </c>
      <c r="I145" s="154">
        <f t="shared" si="17"/>
        <v>-287796.875</v>
      </c>
      <c r="J145" s="154">
        <f t="shared" si="17"/>
        <v>0</v>
      </c>
      <c r="K145" s="154">
        <f t="shared" si="17"/>
        <v>0</v>
      </c>
      <c r="L145" s="154">
        <f t="shared" si="17"/>
        <v>1543837</v>
      </c>
      <c r="M145" s="199">
        <f t="shared" si="14"/>
        <v>-0.10279042547694212</v>
      </c>
    </row>
    <row r="146" spans="2:15" x14ac:dyDescent="0.45">
      <c r="E146" s="154" t="s">
        <v>708</v>
      </c>
      <c r="F146" s="154">
        <f t="shared" si="17"/>
        <v>210840543.79999995</v>
      </c>
      <c r="G146" s="154">
        <f t="shared" si="17"/>
        <v>15747192.612689629</v>
      </c>
      <c r="H146" s="154">
        <f t="shared" si="17"/>
        <v>0</v>
      </c>
      <c r="I146" s="154">
        <f t="shared" si="17"/>
        <v>21993672.45668751</v>
      </c>
      <c r="J146" s="154">
        <f t="shared" si="17"/>
        <v>3561716.7911249995</v>
      </c>
      <c r="K146" s="154">
        <f t="shared" si="17"/>
        <v>576616.90112500079</v>
      </c>
      <c r="L146" s="154">
        <f t="shared" si="17"/>
        <v>3083347</v>
      </c>
      <c r="M146" s="199">
        <f t="shared" si="14"/>
        <v>-0.31009079364971148</v>
      </c>
    </row>
    <row r="147" spans="2:15" x14ac:dyDescent="0.45">
      <c r="E147" s="154" t="s">
        <v>709</v>
      </c>
      <c r="F147" s="154">
        <f t="shared" si="17"/>
        <v>0</v>
      </c>
      <c r="G147" s="154">
        <f t="shared" si="17"/>
        <v>0</v>
      </c>
      <c r="H147" s="154">
        <f t="shared" si="17"/>
        <v>0</v>
      </c>
      <c r="I147" s="154">
        <f t="shared" si="17"/>
        <v>0</v>
      </c>
      <c r="J147" s="154">
        <f t="shared" si="17"/>
        <v>0</v>
      </c>
      <c r="K147" s="154">
        <f t="shared" si="17"/>
        <v>894817.12298686244</v>
      </c>
      <c r="L147" s="154">
        <f t="shared" si="17"/>
        <v>0</v>
      </c>
      <c r="M147" s="199">
        <f t="shared" si="14"/>
        <v>5.8873420816287769E-3</v>
      </c>
    </row>
    <row r="148" spans="2:15" x14ac:dyDescent="0.45">
      <c r="E148" s="154" t="s">
        <v>705</v>
      </c>
      <c r="F148" s="154">
        <f t="shared" si="17"/>
        <v>-7516512.5700000226</v>
      </c>
      <c r="G148" s="154">
        <f t="shared" si="17"/>
        <v>-1685708.0526935421</v>
      </c>
      <c r="H148" s="154">
        <f t="shared" si="17"/>
        <v>1500000</v>
      </c>
      <c r="I148" s="154">
        <f t="shared" si="17"/>
        <v>-750000</v>
      </c>
      <c r="J148" s="154">
        <f t="shared" si="17"/>
        <v>0</v>
      </c>
      <c r="K148" s="154">
        <f t="shared" si="17"/>
        <v>0</v>
      </c>
      <c r="L148" s="154">
        <f t="shared" si="17"/>
        <v>540343</v>
      </c>
      <c r="M148" s="199">
        <f t="shared" si="14"/>
        <v>0.17608747695383853</v>
      </c>
    </row>
    <row r="149" spans="2:15" x14ac:dyDescent="0.45">
      <c r="E149" s="154" t="s">
        <v>711</v>
      </c>
      <c r="F149" s="154">
        <f t="shared" si="17"/>
        <v>0</v>
      </c>
      <c r="G149" s="154">
        <f t="shared" si="17"/>
        <v>0</v>
      </c>
      <c r="H149" s="154">
        <f t="shared" si="17"/>
        <v>0</v>
      </c>
      <c r="I149" s="154">
        <f t="shared" si="17"/>
        <v>0</v>
      </c>
      <c r="J149" s="154">
        <f t="shared" si="17"/>
        <v>0</v>
      </c>
      <c r="K149" s="154">
        <f t="shared" si="17"/>
        <v>0</v>
      </c>
      <c r="L149" s="154">
        <f t="shared" si="17"/>
        <v>0</v>
      </c>
      <c r="M149" s="199">
        <f t="shared" si="14"/>
        <v>0</v>
      </c>
    </row>
    <row r="150" spans="2:15" x14ac:dyDescent="0.45">
      <c r="E150" s="154" t="s">
        <v>710</v>
      </c>
    </row>
    <row r="158" spans="2:15" x14ac:dyDescent="0.45">
      <c r="B158" s="630" t="s">
        <v>715</v>
      </c>
      <c r="C158" s="155" t="s">
        <v>95</v>
      </c>
      <c r="D158" s="155" t="s">
        <v>716</v>
      </c>
      <c r="E158" s="155" t="s">
        <v>717</v>
      </c>
      <c r="F158" s="155" t="s">
        <v>718</v>
      </c>
      <c r="G158" s="155" t="s">
        <v>719</v>
      </c>
      <c r="H158" s="155" t="s">
        <v>525</v>
      </c>
      <c r="I158" s="155" t="s">
        <v>720</v>
      </c>
      <c r="J158" s="155" t="s">
        <v>721</v>
      </c>
      <c r="K158" s="155" t="s">
        <v>722</v>
      </c>
      <c r="L158" s="155" t="s">
        <v>723</v>
      </c>
      <c r="M158" s="156" t="s">
        <v>688</v>
      </c>
      <c r="N158" s="156" t="s">
        <v>689</v>
      </c>
      <c r="O158" s="156" t="s">
        <v>196</v>
      </c>
    </row>
    <row r="159" spans="2:15" x14ac:dyDescent="0.45">
      <c r="B159" s="611" t="s">
        <v>617</v>
      </c>
      <c r="C159" s="194" t="s">
        <v>239</v>
      </c>
      <c r="D159" s="664">
        <v>6137824.8084000004</v>
      </c>
      <c r="E159" s="668">
        <v>5895687.6197086209</v>
      </c>
      <c r="F159" s="705">
        <v>53554300.419999987</v>
      </c>
      <c r="G159" s="705">
        <v>7595042.7599999979</v>
      </c>
      <c r="H159" s="705">
        <v>4250000</v>
      </c>
      <c r="I159" s="705">
        <v>0</v>
      </c>
      <c r="J159" s="705">
        <v>3525000</v>
      </c>
      <c r="K159" s="705">
        <v>45825000</v>
      </c>
      <c r="L159" s="705">
        <v>190583.81</v>
      </c>
      <c r="M159" s="199">
        <v>7.0321416057439041</v>
      </c>
      <c r="N159" s="199">
        <v>0.53448233515936139</v>
      </c>
      <c r="O159" s="703">
        <v>1.0571748671400001</v>
      </c>
    </row>
  </sheetData>
  <conditionalFormatting sqref="A3:A63">
    <cfRule type="containsText" dxfId="13" priority="6" operator="containsText" text="No">
      <formula>NOT(ISERROR(SEARCH("No",A3)))</formula>
    </cfRule>
  </conditionalFormatting>
  <conditionalFormatting sqref="M3:M50">
    <cfRule type="cellIs" dxfId="12" priority="5" operator="greaterThan">
      <formula>5</formula>
    </cfRule>
  </conditionalFormatting>
  <conditionalFormatting sqref="M67:M107">
    <cfRule type="cellIs" dxfId="11" priority="3" operator="greaterThan">
      <formula>5</formula>
    </cfRule>
  </conditionalFormatting>
  <conditionalFormatting sqref="M110:M149">
    <cfRule type="cellIs" dxfId="10" priority="2" operator="greaterThan">
      <formula>5</formula>
    </cfRule>
  </conditionalFormatting>
  <conditionalFormatting sqref="M159">
    <cfRule type="cellIs" dxfId="9" priority="1" operator="greaterThan">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2"/>
  <sheetViews>
    <sheetView zoomScaleNormal="100" workbookViewId="0">
      <selection activeCell="O50" sqref="O50"/>
    </sheetView>
  </sheetViews>
  <sheetFormatPr defaultColWidth="9.265625" defaultRowHeight="14.25" x14ac:dyDescent="0.45"/>
  <cols>
    <col min="1" max="1" width="2.265625" style="193" customWidth="1"/>
    <col min="2" max="2" width="37.265625" style="193" customWidth="1"/>
    <col min="3" max="5" width="9.265625" style="193" customWidth="1"/>
    <col min="6" max="6" width="10.265625" style="193" bestFit="1" customWidth="1"/>
    <col min="7" max="7" width="13.59765625" style="193" customWidth="1"/>
    <col min="8" max="8" width="10.265625" style="193" bestFit="1" customWidth="1"/>
    <col min="9" max="9" width="17.265625" style="193" customWidth="1"/>
    <col min="10" max="10" width="9.265625" style="193" customWidth="1"/>
    <col min="11" max="11" width="9.265625" style="144" customWidth="1"/>
    <col min="12" max="17" width="9.265625" style="193" customWidth="1"/>
    <col min="18" max="18" width="9.59765625" style="193" bestFit="1" customWidth="1"/>
    <col min="19" max="19" width="9.265625" style="193" customWidth="1"/>
    <col min="20" max="16384" width="9.265625" style="193"/>
  </cols>
  <sheetData>
    <row r="1" spans="1:18" s="302" customFormat="1" ht="12.75" customHeight="1" x14ac:dyDescent="0.35"/>
    <row r="2" spans="1:18" s="302" customFormat="1" ht="12.75" customHeight="1" x14ac:dyDescent="0.35"/>
    <row r="3" spans="1:18" s="302" customFormat="1" ht="12.75" customHeight="1" x14ac:dyDescent="0.45">
      <c r="B3" s="297" t="s">
        <v>0</v>
      </c>
      <c r="F3" s="883" t="s">
        <v>1</v>
      </c>
      <c r="G3" s="884"/>
      <c r="H3" s="884"/>
      <c r="I3" s="885"/>
    </row>
    <row r="4" spans="1:18" s="302" customFormat="1" ht="12.75" customHeight="1" x14ac:dyDescent="0.35"/>
    <row r="5" spans="1:18" s="302" customFormat="1" ht="12.75" customHeight="1" x14ac:dyDescent="0.4">
      <c r="B5" s="297" t="s">
        <v>751</v>
      </c>
      <c r="F5" s="699">
        <v>45930</v>
      </c>
      <c r="G5" s="298"/>
      <c r="I5" s="295"/>
    </row>
    <row r="6" spans="1:18" s="302" customFormat="1" ht="12.75" customHeight="1" x14ac:dyDescent="0.35"/>
    <row r="7" spans="1:18" s="302" customFormat="1" ht="12.75" customHeight="1" x14ac:dyDescent="0.35"/>
    <row r="8" spans="1:18" s="302" customFormat="1" ht="12.75" customHeight="1" x14ac:dyDescent="0.35">
      <c r="I8" s="336" t="s">
        <v>752</v>
      </c>
    </row>
    <row r="9" spans="1:18" s="302" customFormat="1" ht="12.75" customHeight="1" x14ac:dyDescent="0.35"/>
    <row r="10" spans="1:18" s="302" customFormat="1" ht="12.75" customHeight="1" x14ac:dyDescent="0.4">
      <c r="A10" s="295"/>
      <c r="B10" s="337" t="s">
        <v>753</v>
      </c>
      <c r="C10" s="337"/>
      <c r="D10" s="337"/>
      <c r="E10" s="337"/>
      <c r="F10" s="337"/>
      <c r="G10" s="337"/>
      <c r="H10" s="337"/>
      <c r="I10" s="337"/>
      <c r="K10" s="302" t="s">
        <v>754</v>
      </c>
    </row>
    <row r="11" spans="1:18" s="302" customFormat="1" ht="12.75" customHeight="1" x14ac:dyDescent="0.35">
      <c r="B11" s="302" t="s">
        <v>755</v>
      </c>
    </row>
    <row r="12" spans="1:18" s="302" customFormat="1" ht="12.75" customHeight="1" x14ac:dyDescent="0.35"/>
    <row r="13" spans="1:18" s="302" customFormat="1" ht="12.75" customHeight="1" x14ac:dyDescent="0.35">
      <c r="B13" s="302" t="s">
        <v>756</v>
      </c>
      <c r="I13" s="678">
        <v>8485827</v>
      </c>
      <c r="J13" s="547" t="s">
        <v>552</v>
      </c>
      <c r="K13" s="700" t="s">
        <v>757</v>
      </c>
      <c r="L13" s="701"/>
      <c r="M13" s="701"/>
      <c r="N13" s="701"/>
    </row>
    <row r="14" spans="1:18" s="302" customFormat="1" ht="12.75" customHeight="1" x14ac:dyDescent="0.35">
      <c r="B14" s="302" t="s">
        <v>758</v>
      </c>
      <c r="I14" s="678">
        <v>2165975</v>
      </c>
      <c r="J14" s="302" t="s">
        <v>552</v>
      </c>
      <c r="K14" s="700" t="s">
        <v>759</v>
      </c>
      <c r="L14" s="701"/>
      <c r="M14" s="701"/>
      <c r="N14" s="701"/>
      <c r="R14" s="553"/>
    </row>
    <row r="15" spans="1:18" s="302" customFormat="1" ht="13.5" customHeight="1" thickBot="1" x14ac:dyDescent="0.4">
      <c r="H15" s="296"/>
      <c r="I15" s="548">
        <f>IF(I13/I14&gt;1000%, "&gt;1000%",I13/I14)</f>
        <v>3.9177862163690715</v>
      </c>
      <c r="K15" s="701"/>
      <c r="L15" s="701"/>
      <c r="M15" s="701"/>
      <c r="N15" s="701"/>
    </row>
    <row r="16" spans="1:18" s="302" customFormat="1" ht="14.25" customHeight="1" thickTop="1" thickBot="1" x14ac:dyDescent="0.4">
      <c r="H16" s="296" t="s">
        <v>760</v>
      </c>
      <c r="I16" s="549">
        <v>1.5</v>
      </c>
      <c r="K16" s="701"/>
      <c r="L16" s="701"/>
      <c r="M16" s="701"/>
      <c r="N16" s="701"/>
    </row>
    <row r="17" spans="2:14" s="302" customFormat="1" ht="13.5" customHeight="1" thickTop="1" x14ac:dyDescent="0.35">
      <c r="I17" s="554" t="str">
        <f>IF(I15&gt;=I16,"Pass","Fail")</f>
        <v>Pass</v>
      </c>
      <c r="K17" s="701"/>
      <c r="L17" s="701"/>
      <c r="M17" s="701"/>
      <c r="N17" s="701"/>
    </row>
    <row r="18" spans="2:14" s="302" customFormat="1" ht="12.75" customHeight="1" x14ac:dyDescent="0.35">
      <c r="K18" s="701"/>
      <c r="L18" s="701"/>
      <c r="M18" s="701"/>
      <c r="N18" s="701"/>
    </row>
    <row r="19" spans="2:14" s="302" customFormat="1" ht="12.75" customHeight="1" x14ac:dyDescent="0.4">
      <c r="B19" s="337" t="s">
        <v>761</v>
      </c>
      <c r="C19" s="337"/>
      <c r="D19" s="337"/>
      <c r="E19" s="337"/>
      <c r="F19" s="337"/>
      <c r="G19" s="337"/>
      <c r="H19" s="337"/>
      <c r="I19" s="337"/>
      <c r="K19" s="701"/>
      <c r="L19" s="701"/>
      <c r="M19" s="701"/>
      <c r="N19" s="701"/>
    </row>
    <row r="20" spans="2:14" s="302" customFormat="1" ht="59.25" customHeight="1" x14ac:dyDescent="0.35">
      <c r="B20" s="919" t="s">
        <v>762</v>
      </c>
      <c r="C20" s="920"/>
      <c r="D20" s="920"/>
      <c r="E20" s="920"/>
      <c r="F20" s="920"/>
      <c r="G20" s="920"/>
      <c r="H20" s="920"/>
      <c r="I20" s="920"/>
      <c r="K20" s="701"/>
      <c r="L20" s="701"/>
      <c r="M20" s="701"/>
      <c r="N20" s="701"/>
    </row>
    <row r="21" spans="2:14" s="302" customFormat="1" ht="12.75" customHeight="1" x14ac:dyDescent="0.35">
      <c r="B21" s="550"/>
      <c r="C21" s="550"/>
      <c r="D21" s="550"/>
      <c r="E21" s="550"/>
      <c r="F21" s="550"/>
      <c r="G21" s="550"/>
      <c r="H21" s="550"/>
      <c r="I21" s="550"/>
      <c r="K21" s="701"/>
      <c r="L21" s="701"/>
      <c r="M21" s="701"/>
      <c r="N21" s="701"/>
    </row>
    <row r="22" spans="2:14" s="302" customFormat="1" ht="12.75" customHeight="1" x14ac:dyDescent="0.35">
      <c r="B22" s="550" t="s">
        <v>763</v>
      </c>
      <c r="C22" s="550"/>
      <c r="D22" s="550"/>
      <c r="E22" s="550"/>
      <c r="F22" s="550"/>
      <c r="G22" s="550"/>
      <c r="H22" s="550" t="s">
        <v>537</v>
      </c>
      <c r="I22" s="678">
        <v>243972240</v>
      </c>
      <c r="J22" s="547"/>
      <c r="K22" s="700" t="s">
        <v>764</v>
      </c>
      <c r="L22" s="701"/>
      <c r="M22" s="701"/>
      <c r="N22" s="701"/>
    </row>
    <row r="23" spans="2:14" s="302" customFormat="1" ht="12.75" customHeight="1" x14ac:dyDescent="0.35">
      <c r="B23" s="550" t="s">
        <v>765</v>
      </c>
      <c r="C23" s="550"/>
      <c r="D23" s="550"/>
      <c r="E23" s="550"/>
      <c r="F23" s="550"/>
      <c r="G23" s="550"/>
      <c r="H23" s="550"/>
      <c r="I23" s="678">
        <v>0</v>
      </c>
      <c r="K23" s="701"/>
      <c r="L23" s="701"/>
      <c r="M23" s="701"/>
      <c r="N23" s="701"/>
    </row>
    <row r="24" spans="2:14" s="302" customFormat="1" ht="13.5" customHeight="1" thickBot="1" x14ac:dyDescent="0.4">
      <c r="I24" s="551">
        <f>I22-I23</f>
        <v>243972240</v>
      </c>
    </row>
    <row r="25" spans="2:14" s="302" customFormat="1" ht="14.25" customHeight="1" thickTop="1" thickBot="1" x14ac:dyDescent="0.4">
      <c r="H25" s="296" t="s">
        <v>760</v>
      </c>
      <c r="I25" s="552">
        <v>25000000</v>
      </c>
    </row>
    <row r="26" spans="2:14" s="302" customFormat="1" ht="13.5" customHeight="1" thickTop="1" x14ac:dyDescent="0.35">
      <c r="I26" s="554" t="str">
        <f>IF(I24&gt;=I25,"Pass","Fail")</f>
        <v>Pass</v>
      </c>
    </row>
    <row r="27" spans="2:14" s="302" customFormat="1" ht="12.75" customHeight="1" x14ac:dyDescent="0.35"/>
    <row r="28" spans="2:14" s="302" customFormat="1" ht="12" customHeight="1" x14ac:dyDescent="0.4">
      <c r="B28" s="337" t="s">
        <v>766</v>
      </c>
      <c r="C28" s="337"/>
      <c r="D28" s="337"/>
      <c r="E28" s="337"/>
      <c r="F28" s="337"/>
      <c r="G28" s="337"/>
      <c r="H28" s="337"/>
      <c r="I28" s="337"/>
    </row>
    <row r="29" spans="2:14" s="302" customFormat="1" ht="83.25" customHeight="1" x14ac:dyDescent="0.35">
      <c r="B29" s="921" t="s">
        <v>767</v>
      </c>
      <c r="C29" s="920"/>
      <c r="D29" s="920"/>
      <c r="E29" s="920"/>
      <c r="F29" s="920"/>
      <c r="G29" s="920"/>
      <c r="H29" s="920"/>
      <c r="I29" s="920"/>
    </row>
    <row r="30" spans="2:14" s="302" customFormat="1" ht="13.5" customHeight="1" thickBot="1" x14ac:dyDescent="0.4">
      <c r="H30" s="327"/>
      <c r="I30" s="548">
        <f>I15</f>
        <v>3.9177862163690715</v>
      </c>
    </row>
    <row r="31" spans="2:14" s="302" customFormat="1" ht="14.25" customHeight="1" thickTop="1" thickBot="1" x14ac:dyDescent="0.4">
      <c r="H31" s="327" t="s">
        <v>760</v>
      </c>
      <c r="I31" s="549">
        <v>2.25</v>
      </c>
    </row>
    <row r="32" spans="2:14" ht="15.75" customHeight="1" thickTop="1" x14ac:dyDescent="0.45">
      <c r="B32" s="302"/>
      <c r="C32" s="302"/>
      <c r="D32" s="302"/>
      <c r="E32" s="302"/>
      <c r="F32" s="302"/>
      <c r="G32" s="302"/>
      <c r="H32" s="302"/>
      <c r="I32" s="554" t="str">
        <f>IF(I30&gt;=I31,"Pass","Fail")</f>
        <v>Pass</v>
      </c>
    </row>
  </sheetData>
  <sheetProtection algorithmName="SHA-512" hashValue="dZ646OLx9RVittTFIkcW6BnAJMQl+XfXwpOfwEx0ODQVPcRPMQefSuHHFlA/aGQUL9Nxl12WnhBvIz76PmxGQQ==" saltValue="jyLsz8nRTdySllJ+a+oAxA==" spinCount="100000" sheet="1" objects="1" scenarios="1"/>
  <mergeCells count="3">
    <mergeCell ref="F3:I3"/>
    <mergeCell ref="B20:I20"/>
    <mergeCell ref="B29:I29"/>
  </mergeCells>
  <conditionalFormatting sqref="H15:H16">
    <cfRule type="containsText" dxfId="8" priority="7" operator="containsText" text="Pass">
      <formula>NOT(ISERROR(SEARCH("Pass",H15)))</formula>
    </cfRule>
  </conditionalFormatting>
  <conditionalFormatting sqref="H25">
    <cfRule type="containsText" dxfId="7" priority="3" operator="containsText" text="Pass">
      <formula>NOT(ISERROR(SEARCH("Pass",H25)))</formula>
    </cfRule>
  </conditionalFormatting>
  <conditionalFormatting sqref="H30:H31">
    <cfRule type="containsText" dxfId="6" priority="2" operator="containsText" text="Pass">
      <formula>NOT(ISERROR(SEARCH("Pass",H30)))</formula>
    </cfRule>
  </conditionalFormatting>
  <conditionalFormatting sqref="I17">
    <cfRule type="containsText" dxfId="5" priority="6" operator="containsText" text="Fail">
      <formula>NOT(ISERROR(SEARCH("Fail",I17)))</formula>
    </cfRule>
  </conditionalFormatting>
  <conditionalFormatting sqref="I26">
    <cfRule type="containsText" dxfId="4" priority="5" operator="containsText" text="Fail">
      <formula>NOT(ISERROR(SEARCH("Fail",I26)))</formula>
    </cfRule>
  </conditionalFormatting>
  <conditionalFormatting sqref="I32">
    <cfRule type="containsText" dxfId="3" priority="1" operator="containsText" text="Fail">
      <formula>NOT(ISERROR(SEARCH("Fail",I32)))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21"/>
  <sheetViews>
    <sheetView workbookViewId="0">
      <selection activeCell="H13" sqref="H13"/>
    </sheetView>
  </sheetViews>
  <sheetFormatPr defaultColWidth="9.265625" defaultRowHeight="14.25" x14ac:dyDescent="0.45"/>
  <cols>
    <col min="1" max="1" width="2.265625" style="168" customWidth="1"/>
    <col min="2" max="2" width="24.265625" style="168" bestFit="1" customWidth="1"/>
    <col min="3" max="3" width="16.59765625" style="173" bestFit="1" customWidth="1"/>
    <col min="4" max="4" width="33.265625" style="173" bestFit="1" customWidth="1"/>
    <col min="5" max="5" width="17.265625" style="173" bestFit="1" customWidth="1"/>
    <col min="6" max="6" width="13.265625" style="173" bestFit="1" customWidth="1"/>
    <col min="7" max="7" width="50.59765625" style="173" bestFit="1" customWidth="1"/>
    <col min="8" max="8" width="28.59765625" style="173" bestFit="1" customWidth="1"/>
    <col min="9" max="9" width="18.59765625" style="174" bestFit="1" customWidth="1"/>
    <col min="10" max="10" width="49" style="173" bestFit="1" customWidth="1"/>
    <col min="11" max="11" width="23.265625" style="168" bestFit="1" customWidth="1"/>
    <col min="12" max="12" width="21" style="168" bestFit="1" customWidth="1"/>
    <col min="13" max="13" width="140.59765625" style="168" bestFit="1" customWidth="1"/>
    <col min="14" max="14" width="9.265625" style="168" customWidth="1"/>
    <col min="15" max="16384" width="9.265625" style="168"/>
  </cols>
  <sheetData>
    <row r="1" spans="2:13" s="61" customFormat="1" x14ac:dyDescent="0.45">
      <c r="B1" s="159"/>
      <c r="C1" s="160"/>
      <c r="D1" s="161"/>
      <c r="E1" s="162" t="s">
        <v>768</v>
      </c>
      <c r="F1" s="162"/>
      <c r="G1" s="162"/>
      <c r="H1" s="161"/>
      <c r="I1" s="163"/>
      <c r="J1" s="161"/>
      <c r="K1" s="159"/>
      <c r="L1" s="159"/>
      <c r="M1" s="159"/>
    </row>
    <row r="2" spans="2:13" s="61" customFormat="1" ht="45" customHeight="1" x14ac:dyDescent="0.45">
      <c r="B2" s="159" t="s">
        <v>769</v>
      </c>
      <c r="C2" s="161" t="s">
        <v>770</v>
      </c>
      <c r="D2" s="161" t="s">
        <v>771</v>
      </c>
      <c r="E2" s="161" t="s">
        <v>772</v>
      </c>
      <c r="F2" s="161" t="s">
        <v>773</v>
      </c>
      <c r="G2" s="161" t="s">
        <v>774</v>
      </c>
      <c r="H2" s="161" t="s">
        <v>775</v>
      </c>
      <c r="I2" s="163" t="s">
        <v>776</v>
      </c>
      <c r="J2" s="161" t="s">
        <v>777</v>
      </c>
      <c r="K2" s="159" t="s">
        <v>778</v>
      </c>
      <c r="L2" s="163" t="s">
        <v>779</v>
      </c>
      <c r="M2" s="159" t="s">
        <v>780</v>
      </c>
    </row>
    <row r="3" spans="2:13" ht="45" customHeight="1" x14ac:dyDescent="0.45">
      <c r="B3" s="164" t="s">
        <v>443</v>
      </c>
      <c r="C3" s="165">
        <v>5647096.7300000014</v>
      </c>
      <c r="D3" s="166" t="s">
        <v>244</v>
      </c>
      <c r="E3" s="166" t="s">
        <v>243</v>
      </c>
      <c r="F3" s="166" t="s">
        <v>243</v>
      </c>
      <c r="G3" s="166" t="s">
        <v>243</v>
      </c>
      <c r="H3" s="166" t="s">
        <v>243</v>
      </c>
      <c r="I3" s="166" t="s">
        <v>781</v>
      </c>
      <c r="J3" s="166" t="s">
        <v>782</v>
      </c>
      <c r="K3" s="167" t="s">
        <v>783</v>
      </c>
      <c r="L3" s="167" t="s">
        <v>7</v>
      </c>
      <c r="M3" s="164" t="s">
        <v>784</v>
      </c>
    </row>
    <row r="4" spans="2:13" ht="45" customHeight="1" x14ac:dyDescent="0.45">
      <c r="B4" s="164" t="s">
        <v>450</v>
      </c>
      <c r="C4" s="169">
        <v>4181842.4291536999</v>
      </c>
      <c r="D4" s="166" t="s">
        <v>244</v>
      </c>
      <c r="E4" s="166" t="s">
        <v>243</v>
      </c>
      <c r="F4" s="166" t="s">
        <v>243</v>
      </c>
      <c r="G4" s="166" t="s">
        <v>243</v>
      </c>
      <c r="H4" s="166" t="s">
        <v>243</v>
      </c>
      <c r="I4" s="170" t="s">
        <v>243</v>
      </c>
      <c r="J4" s="166" t="s">
        <v>785</v>
      </c>
      <c r="K4" s="167" t="s">
        <v>786</v>
      </c>
      <c r="L4" s="167" t="s">
        <v>787</v>
      </c>
      <c r="M4" s="164" t="s">
        <v>788</v>
      </c>
    </row>
    <row r="5" spans="2:13" ht="45" customHeight="1" x14ac:dyDescent="0.45">
      <c r="B5" s="164" t="s">
        <v>454</v>
      </c>
      <c r="C5" s="169">
        <v>3500000</v>
      </c>
      <c r="D5" s="166" t="s">
        <v>244</v>
      </c>
      <c r="E5" s="166" t="s">
        <v>243</v>
      </c>
      <c r="F5" s="166" t="s">
        <v>243</v>
      </c>
      <c r="G5" s="166" t="s">
        <v>243</v>
      </c>
      <c r="H5" s="166" t="s">
        <v>243</v>
      </c>
      <c r="I5" s="170" t="s">
        <v>243</v>
      </c>
      <c r="J5" s="166" t="s">
        <v>789</v>
      </c>
      <c r="K5" s="167" t="str">
        <f>$K$4</f>
        <v>Independent Sponsor / Family Office</v>
      </c>
      <c r="L5" s="167" t="s">
        <v>787</v>
      </c>
      <c r="M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6" spans="2:13" ht="45" customHeight="1" x14ac:dyDescent="0.45">
      <c r="B6" s="164" t="s">
        <v>458</v>
      </c>
      <c r="C6" s="169">
        <v>2879872.36</v>
      </c>
      <c r="D6" s="166" t="s">
        <v>244</v>
      </c>
      <c r="E6" s="166" t="s">
        <v>243</v>
      </c>
      <c r="F6" s="166" t="s">
        <v>243</v>
      </c>
      <c r="G6" s="166" t="s">
        <v>243</v>
      </c>
      <c r="H6" s="166" t="s">
        <v>243</v>
      </c>
      <c r="I6" s="170" t="s">
        <v>243</v>
      </c>
      <c r="J6" s="166" t="s">
        <v>790</v>
      </c>
      <c r="K6" s="167" t="s">
        <v>791</v>
      </c>
      <c r="L6" s="167" t="s">
        <v>792</v>
      </c>
      <c r="M6" s="164" t="s">
        <v>793</v>
      </c>
    </row>
    <row r="7" spans="2:13" ht="45" customHeight="1" x14ac:dyDescent="0.45">
      <c r="B7" s="164" t="s">
        <v>463</v>
      </c>
      <c r="C7" s="169">
        <v>2855163.6519439509</v>
      </c>
      <c r="D7" s="166" t="s">
        <v>244</v>
      </c>
      <c r="E7" s="166" t="s">
        <v>243</v>
      </c>
      <c r="F7" s="166" t="s">
        <v>243</v>
      </c>
      <c r="G7" s="166" t="s">
        <v>243</v>
      </c>
      <c r="H7" s="166" t="s">
        <v>243</v>
      </c>
      <c r="I7" s="170" t="s">
        <v>243</v>
      </c>
      <c r="J7" s="166" t="s">
        <v>794</v>
      </c>
      <c r="K7" s="167" t="s">
        <v>783</v>
      </c>
      <c r="L7" s="167" t="s">
        <v>7</v>
      </c>
      <c r="M7" s="164" t="s">
        <v>795</v>
      </c>
    </row>
    <row r="8" spans="2:13" ht="45" customHeight="1" x14ac:dyDescent="0.45">
      <c r="B8" s="164" t="s">
        <v>467</v>
      </c>
      <c r="C8" s="169">
        <v>2777778</v>
      </c>
      <c r="D8" s="166" t="s">
        <v>244</v>
      </c>
      <c r="E8" s="166" t="s">
        <v>243</v>
      </c>
      <c r="F8" s="166" t="s">
        <v>243</v>
      </c>
      <c r="G8" s="166" t="s">
        <v>243</v>
      </c>
      <c r="H8" s="166" t="s">
        <v>243</v>
      </c>
      <c r="I8" s="170" t="s">
        <v>243</v>
      </c>
      <c r="J8" s="166" t="s">
        <v>796</v>
      </c>
      <c r="K8" s="167" t="s">
        <v>797</v>
      </c>
      <c r="L8" s="167" t="s">
        <v>798</v>
      </c>
      <c r="M8" s="164" t="s">
        <v>799</v>
      </c>
    </row>
    <row r="9" spans="2:13" ht="45" customHeight="1" x14ac:dyDescent="0.45">
      <c r="B9" s="164" t="s">
        <v>471</v>
      </c>
      <c r="C9" s="169">
        <v>2503133.71</v>
      </c>
      <c r="D9" s="166" t="s">
        <v>244</v>
      </c>
      <c r="E9" s="166" t="s">
        <v>243</v>
      </c>
      <c r="F9" s="166" t="s">
        <v>243</v>
      </c>
      <c r="G9" s="166" t="s">
        <v>243</v>
      </c>
      <c r="H9" s="166" t="s">
        <v>243</v>
      </c>
      <c r="I9" s="170" t="s">
        <v>243</v>
      </c>
      <c r="J9" s="166" t="s">
        <v>800</v>
      </c>
      <c r="K9" s="167" t="s">
        <v>797</v>
      </c>
      <c r="L9" s="167" t="s">
        <v>801</v>
      </c>
      <c r="M9" s="164" t="s">
        <v>802</v>
      </c>
    </row>
    <row r="10" spans="2:13" ht="45" customHeight="1" x14ac:dyDescent="0.45">
      <c r="B10" s="164" t="s">
        <v>474</v>
      </c>
      <c r="C10" s="169">
        <v>2104368.9300000002</v>
      </c>
      <c r="D10" s="166" t="s">
        <v>244</v>
      </c>
      <c r="E10" s="166" t="s">
        <v>243</v>
      </c>
      <c r="F10" s="166" t="s">
        <v>243</v>
      </c>
      <c r="G10" s="166" t="s">
        <v>243</v>
      </c>
      <c r="H10" s="166" t="s">
        <v>243</v>
      </c>
      <c r="I10" s="170" t="s">
        <v>243</v>
      </c>
      <c r="J10" s="166" t="s">
        <v>803</v>
      </c>
      <c r="K10" s="167" t="str">
        <f>$K$4</f>
        <v>Independent Sponsor / Family Office</v>
      </c>
      <c r="L10" s="167" t="s">
        <v>787</v>
      </c>
      <c r="M10"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1" spans="2:13" ht="45" customHeight="1" x14ac:dyDescent="0.45">
      <c r="B11" s="164" t="s">
        <v>499</v>
      </c>
      <c r="C11" s="169">
        <v>2000000</v>
      </c>
      <c r="D11" s="170" t="s">
        <v>243</v>
      </c>
      <c r="E11" s="166" t="s">
        <v>243</v>
      </c>
      <c r="F11" s="166" t="s">
        <v>244</v>
      </c>
      <c r="G11" s="166" t="s">
        <v>804</v>
      </c>
      <c r="H11" s="166" t="s">
        <v>243</v>
      </c>
      <c r="I11" s="166" t="s">
        <v>244</v>
      </c>
      <c r="J11" s="170" t="s">
        <v>805</v>
      </c>
      <c r="K11" s="167" t="s">
        <v>783</v>
      </c>
      <c r="L11" s="167" t="s">
        <v>7</v>
      </c>
      <c r="M11" s="164" t="s">
        <v>806</v>
      </c>
    </row>
    <row r="12" spans="2:13" ht="45" customHeight="1" x14ac:dyDescent="0.45">
      <c r="B12" s="164" t="s">
        <v>479</v>
      </c>
      <c r="C12" s="169">
        <v>2000000</v>
      </c>
      <c r="D12" s="170" t="s">
        <v>243</v>
      </c>
      <c r="E12" s="166" t="s">
        <v>243</v>
      </c>
      <c r="F12" s="166" t="s">
        <v>243</v>
      </c>
      <c r="G12" s="166" t="s">
        <v>243</v>
      </c>
      <c r="H12" s="166" t="s">
        <v>243</v>
      </c>
      <c r="I12" s="170" t="s">
        <v>243</v>
      </c>
      <c r="J12" s="166" t="s">
        <v>807</v>
      </c>
      <c r="K12" s="167" t="s">
        <v>808</v>
      </c>
      <c r="L12" s="167" t="s">
        <v>809</v>
      </c>
      <c r="M12" s="164" t="s">
        <v>810</v>
      </c>
    </row>
    <row r="13" spans="2:13" ht="45" customHeight="1" x14ac:dyDescent="0.45">
      <c r="B13" s="164" t="s">
        <v>476</v>
      </c>
      <c r="C13" s="169">
        <v>2000000</v>
      </c>
      <c r="D13" s="166" t="s">
        <v>244</v>
      </c>
      <c r="E13" s="166" t="s">
        <v>243</v>
      </c>
      <c r="F13" s="166" t="s">
        <v>243</v>
      </c>
      <c r="G13" s="166" t="s">
        <v>243</v>
      </c>
      <c r="H13" s="166" t="s">
        <v>243</v>
      </c>
      <c r="I13" s="170" t="s">
        <v>243</v>
      </c>
      <c r="J13" s="166" t="s">
        <v>811</v>
      </c>
      <c r="K13" s="167" t="s">
        <v>791</v>
      </c>
      <c r="L13" s="167" t="s">
        <v>812</v>
      </c>
      <c r="M13" s="164" t="s">
        <v>813</v>
      </c>
    </row>
    <row r="14" spans="2:13" ht="45" customHeight="1" x14ac:dyDescent="0.45">
      <c r="B14" s="164" t="s">
        <v>482</v>
      </c>
      <c r="C14" s="169">
        <v>1830882.35</v>
      </c>
      <c r="D14" s="166" t="s">
        <v>244</v>
      </c>
      <c r="E14" s="166" t="s">
        <v>243</v>
      </c>
      <c r="F14" s="166" t="s">
        <v>243</v>
      </c>
      <c r="G14" s="166" t="s">
        <v>243</v>
      </c>
      <c r="H14" s="166" t="s">
        <v>243</v>
      </c>
      <c r="I14" s="170" t="s">
        <v>243</v>
      </c>
      <c r="J14" s="166" t="s">
        <v>814</v>
      </c>
      <c r="K14" s="167" t="s">
        <v>786</v>
      </c>
      <c r="L14" s="167" t="s">
        <v>815</v>
      </c>
      <c r="M14" s="164" t="s">
        <v>816</v>
      </c>
    </row>
    <row r="15" spans="2:13" ht="45" customHeight="1" x14ac:dyDescent="0.45">
      <c r="B15" s="164" t="s">
        <v>484</v>
      </c>
      <c r="C15" s="169">
        <v>1729903.06</v>
      </c>
      <c r="D15" s="166" t="s">
        <v>244</v>
      </c>
      <c r="E15" s="166" t="s">
        <v>243</v>
      </c>
      <c r="F15" s="166" t="s">
        <v>243</v>
      </c>
      <c r="G15" s="166" t="s">
        <v>243</v>
      </c>
      <c r="H15" s="166" t="s">
        <v>243</v>
      </c>
      <c r="I15" s="170" t="s">
        <v>243</v>
      </c>
      <c r="J15" s="166" t="s">
        <v>817</v>
      </c>
      <c r="K15" s="167" t="str">
        <f>$K$4</f>
        <v>Independent Sponsor / Family Office</v>
      </c>
      <c r="L15" s="167" t="s">
        <v>787</v>
      </c>
      <c r="M1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6" spans="2:13" ht="45" customHeight="1" x14ac:dyDescent="0.45">
      <c r="B16" s="164" t="s">
        <v>487</v>
      </c>
      <c r="C16" s="169">
        <v>1544590.1271523179</v>
      </c>
      <c r="D16" s="166" t="s">
        <v>244</v>
      </c>
      <c r="E16" s="166" t="s">
        <v>243</v>
      </c>
      <c r="F16" s="166" t="s">
        <v>243</v>
      </c>
      <c r="G16" s="166" t="s">
        <v>243</v>
      </c>
      <c r="H16" s="166" t="s">
        <v>243</v>
      </c>
      <c r="I16" s="170" t="s">
        <v>243</v>
      </c>
      <c r="J16" s="166" t="s">
        <v>818</v>
      </c>
      <c r="K16" s="167" t="s">
        <v>786</v>
      </c>
      <c r="L16" s="167" t="s">
        <v>819</v>
      </c>
      <c r="M16" s="164" t="s">
        <v>820</v>
      </c>
    </row>
    <row r="17" spans="2:13" ht="45" customHeight="1" x14ac:dyDescent="0.45">
      <c r="B17" s="164" t="s">
        <v>490</v>
      </c>
      <c r="C17" s="169">
        <v>1500000</v>
      </c>
      <c r="D17" s="166" t="s">
        <v>244</v>
      </c>
      <c r="E17" s="166" t="s">
        <v>243</v>
      </c>
      <c r="F17" s="166" t="s">
        <v>243</v>
      </c>
      <c r="G17" s="166" t="s">
        <v>243</v>
      </c>
      <c r="H17" s="166" t="s">
        <v>243</v>
      </c>
      <c r="I17" s="170" t="s">
        <v>243</v>
      </c>
      <c r="J17" s="166" t="s">
        <v>821</v>
      </c>
      <c r="K17" s="167" t="s">
        <v>797</v>
      </c>
      <c r="L17" s="167" t="s">
        <v>822</v>
      </c>
      <c r="M17" s="164" t="s">
        <v>823</v>
      </c>
    </row>
    <row r="18" spans="2:13" ht="45" customHeight="1" x14ac:dyDescent="0.45">
      <c r="B18" s="164" t="s">
        <v>493</v>
      </c>
      <c r="C18" s="169">
        <v>1059430.1299999999</v>
      </c>
      <c r="D18" s="166" t="s">
        <v>244</v>
      </c>
      <c r="E18" s="166" t="s">
        <v>243</v>
      </c>
      <c r="F18" s="166" t="s">
        <v>243</v>
      </c>
      <c r="G18" s="166" t="s">
        <v>824</v>
      </c>
      <c r="H18" s="166" t="s">
        <v>243</v>
      </c>
      <c r="I18" s="166" t="s">
        <v>244</v>
      </c>
      <c r="J18" s="166" t="s">
        <v>825</v>
      </c>
      <c r="K18" s="167" t="s">
        <v>783</v>
      </c>
      <c r="L18" s="167" t="s">
        <v>7</v>
      </c>
      <c r="M18" s="164" t="s">
        <v>826</v>
      </c>
    </row>
    <row r="19" spans="2:13" ht="45" customHeight="1" x14ac:dyDescent="0.45">
      <c r="B19" s="164" t="s">
        <v>496</v>
      </c>
      <c r="C19" s="169">
        <v>956937.8</v>
      </c>
      <c r="D19" s="166" t="s">
        <v>244</v>
      </c>
      <c r="E19" s="166" t="s">
        <v>243</v>
      </c>
      <c r="F19" s="166" t="s">
        <v>243</v>
      </c>
      <c r="G19" s="166" t="s">
        <v>243</v>
      </c>
      <c r="H19" s="166" t="s">
        <v>243</v>
      </c>
      <c r="I19" s="170" t="s">
        <v>243</v>
      </c>
      <c r="J19" s="166" t="s">
        <v>827</v>
      </c>
      <c r="K19" s="167" t="s">
        <v>797</v>
      </c>
      <c r="L19" s="167" t="s">
        <v>828</v>
      </c>
      <c r="M19" s="164" t="s">
        <v>829</v>
      </c>
    </row>
    <row r="20" spans="2:13" s="171" customFormat="1" x14ac:dyDescent="0.45">
      <c r="B20" s="879" t="s">
        <v>830</v>
      </c>
      <c r="C20" s="880">
        <f>SUM(C3:C19)</f>
        <v>41070999.278249972</v>
      </c>
      <c r="D20" s="880"/>
      <c r="E20" s="880"/>
      <c r="F20" s="880"/>
      <c r="G20" s="880"/>
      <c r="H20" s="880"/>
      <c r="I20" s="880"/>
      <c r="J20" s="880"/>
      <c r="K20" s="879"/>
      <c r="L20" s="879"/>
      <c r="M20" s="879"/>
    </row>
    <row r="21" spans="2:13" x14ac:dyDescent="0.45">
      <c r="B21" s="172"/>
    </row>
  </sheetData>
  <conditionalFormatting sqref="B3:M19">
    <cfRule type="expression" dxfId="2" priority="1">
      <formula>MOD(ROW(),2)=0</formula>
    </cfRule>
  </conditionalFormatting>
  <pageMargins left="0.7" right="0.7" top="0.75" bottom="0.75" header="0.3" footer="0.3"/>
  <pageSetup scale="28"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workbookViewId="0">
      <selection activeCell="C26" sqref="C26"/>
    </sheetView>
  </sheetViews>
  <sheetFormatPr defaultRowHeight="14.25" x14ac:dyDescent="0.45"/>
  <cols>
    <col min="1" max="1" width="72" bestFit="1" customWidth="1"/>
  </cols>
  <sheetData>
    <row r="1" spans="1:7" ht="18.75" customHeight="1" x14ac:dyDescent="0.55000000000000004">
      <c r="A1" s="922" t="s">
        <v>831</v>
      </c>
      <c r="B1" s="917"/>
      <c r="C1" s="917"/>
      <c r="D1" s="917"/>
      <c r="E1" s="917"/>
      <c r="F1" s="917"/>
      <c r="G1" s="917"/>
    </row>
    <row r="3" spans="1:7" x14ac:dyDescent="0.45">
      <c r="A3" s="720" t="s">
        <v>643</v>
      </c>
      <c r="B3" s="720" t="s">
        <v>832</v>
      </c>
      <c r="C3" s="720" t="s">
        <v>833</v>
      </c>
      <c r="D3" s="720" t="s">
        <v>834</v>
      </c>
      <c r="E3" s="720" t="s">
        <v>835</v>
      </c>
      <c r="F3" s="720" t="s">
        <v>836</v>
      </c>
    </row>
    <row r="5" spans="1:7" x14ac:dyDescent="0.45">
      <c r="A5" s="721" t="s">
        <v>837</v>
      </c>
    </row>
    <row r="6" spans="1:7" x14ac:dyDescent="0.45">
      <c r="A6" t="s">
        <v>838</v>
      </c>
      <c r="B6" s="722"/>
    </row>
    <row r="7" spans="1:7" x14ac:dyDescent="0.45">
      <c r="A7" t="s">
        <v>839</v>
      </c>
      <c r="B7" s="722"/>
    </row>
    <row r="8" spans="1:7" x14ac:dyDescent="0.45">
      <c r="A8">
        <v>46055</v>
      </c>
      <c r="B8" s="722" t="s">
        <v>840</v>
      </c>
      <c r="C8" t="s">
        <v>841</v>
      </c>
      <c r="D8" t="s">
        <v>842</v>
      </c>
      <c r="E8" t="s">
        <v>843</v>
      </c>
      <c r="F8" t="s">
        <v>844</v>
      </c>
    </row>
    <row r="9" spans="1:7" x14ac:dyDescent="0.45">
      <c r="A9" t="s">
        <v>845</v>
      </c>
    </row>
    <row r="10" spans="1:7" x14ac:dyDescent="0.45">
      <c r="A10" s="671" t="s">
        <v>643</v>
      </c>
      <c r="B10" s="671" t="s">
        <v>846</v>
      </c>
      <c r="C10" s="671" t="s">
        <v>833</v>
      </c>
      <c r="D10" s="671" t="s">
        <v>847</v>
      </c>
      <c r="E10" s="671" t="s">
        <v>835</v>
      </c>
      <c r="F10" s="671" t="s">
        <v>836</v>
      </c>
    </row>
    <row r="11" spans="1:7" x14ac:dyDescent="0.45">
      <c r="A11" s="671">
        <v>46090</v>
      </c>
      <c r="B11" s="671" t="s">
        <v>848</v>
      </c>
      <c r="C11" s="671" t="s">
        <v>841</v>
      </c>
      <c r="D11" s="671" t="s">
        <v>849</v>
      </c>
      <c r="E11" s="671" t="s">
        <v>850</v>
      </c>
      <c r="F11" s="671" t="s">
        <v>851</v>
      </c>
    </row>
    <row r="12" spans="1:7" x14ac:dyDescent="0.45">
      <c r="A12" s="723">
        <v>46068</v>
      </c>
      <c r="B12" s="671" t="s">
        <v>852</v>
      </c>
      <c r="C12" s="671" t="s">
        <v>833</v>
      </c>
      <c r="D12" s="671" t="s">
        <v>853</v>
      </c>
      <c r="E12" s="671" t="s">
        <v>854</v>
      </c>
      <c r="F12" s="671" t="s">
        <v>855</v>
      </c>
    </row>
    <row r="13" spans="1:7" x14ac:dyDescent="0.45">
      <c r="A13" s="811">
        <v>46065</v>
      </c>
      <c r="B13" s="809" t="s">
        <v>856</v>
      </c>
      <c r="C13" s="809" t="s">
        <v>841</v>
      </c>
      <c r="D13" s="809" t="s">
        <v>857</v>
      </c>
      <c r="E13" s="809" t="s">
        <v>858</v>
      </c>
      <c r="F13" s="809" t="s">
        <v>859</v>
      </c>
    </row>
    <row r="14" spans="1:7" x14ac:dyDescent="0.45">
      <c r="A14" s="723">
        <v>46068</v>
      </c>
      <c r="B14" s="671" t="s">
        <v>860</v>
      </c>
      <c r="C14" s="671" t="s">
        <v>841</v>
      </c>
      <c r="D14" s="671" t="s">
        <v>861</v>
      </c>
      <c r="E14" s="671" t="s">
        <v>862</v>
      </c>
      <c r="F14" s="671" t="s">
        <v>863</v>
      </c>
    </row>
    <row r="15" spans="1:7" x14ac:dyDescent="0.45">
      <c r="A15" s="723">
        <v>46068</v>
      </c>
      <c r="B15" s="671" t="s">
        <v>864</v>
      </c>
      <c r="C15" s="671" t="s">
        <v>841</v>
      </c>
      <c r="D15" s="671" t="s">
        <v>865</v>
      </c>
      <c r="E15" s="671" t="s">
        <v>866</v>
      </c>
      <c r="F15" s="671" t="s">
        <v>867</v>
      </c>
    </row>
    <row r="16" spans="1:7" x14ac:dyDescent="0.45">
      <c r="A16" s="802">
        <v>46068</v>
      </c>
      <c r="B16" s="723" t="s">
        <v>868</v>
      </c>
      <c r="C16" s="723" t="s">
        <v>841</v>
      </c>
      <c r="D16" s="723" t="s">
        <v>869</v>
      </c>
      <c r="E16" s="723" t="s">
        <v>870</v>
      </c>
      <c r="F16" s="723" t="s">
        <v>871</v>
      </c>
    </row>
    <row r="17" spans="1:6" x14ac:dyDescent="0.45">
      <c r="A17" s="723">
        <v>46063</v>
      </c>
      <c r="B17" s="723" t="s">
        <v>872</v>
      </c>
      <c r="C17" s="723" t="s">
        <v>841</v>
      </c>
      <c r="D17" s="723" t="s">
        <v>873</v>
      </c>
      <c r="E17" s="723" t="s">
        <v>874</v>
      </c>
      <c r="F17" s="723" t="s">
        <v>875</v>
      </c>
    </row>
    <row r="18" spans="1:6" x14ac:dyDescent="0.45">
      <c r="A18">
        <v>46055</v>
      </c>
      <c r="B18" t="s">
        <v>876</v>
      </c>
      <c r="C18" t="s">
        <v>841</v>
      </c>
      <c r="D18" t="s">
        <v>877</v>
      </c>
      <c r="E18" t="s">
        <v>878</v>
      </c>
      <c r="F18" t="s">
        <v>879</v>
      </c>
    </row>
    <row r="19" spans="1:6" x14ac:dyDescent="0.45">
      <c r="A19" s="723">
        <v>46068</v>
      </c>
      <c r="B19" t="s">
        <v>880</v>
      </c>
      <c r="C19" t="s">
        <v>841</v>
      </c>
      <c r="D19" t="s">
        <v>881</v>
      </c>
      <c r="E19" t="s">
        <v>882</v>
      </c>
      <c r="F19" t="s">
        <v>883</v>
      </c>
    </row>
    <row r="20" spans="1:6" x14ac:dyDescent="0.45">
      <c r="A20">
        <v>46068</v>
      </c>
      <c r="B20" t="s">
        <v>852</v>
      </c>
      <c r="C20" t="s">
        <v>884</v>
      </c>
      <c r="D20" t="s">
        <v>885</v>
      </c>
      <c r="E20" t="s">
        <v>886</v>
      </c>
      <c r="F20" t="s">
        <v>887</v>
      </c>
    </row>
    <row r="21" spans="1:6" x14ac:dyDescent="0.45">
      <c r="A21" t="s">
        <v>888</v>
      </c>
    </row>
    <row r="22" spans="1:6" x14ac:dyDescent="0.45">
      <c r="A22" t="s">
        <v>889</v>
      </c>
    </row>
    <row r="23" spans="1:6" x14ac:dyDescent="0.45">
      <c r="A23" t="s">
        <v>890</v>
      </c>
    </row>
    <row r="26" spans="1:6" x14ac:dyDescent="0.45">
      <c r="A26">
        <v>46049</v>
      </c>
      <c r="B26" t="s">
        <v>891</v>
      </c>
      <c r="C26" t="s">
        <v>841</v>
      </c>
      <c r="D26" t="s">
        <v>892</v>
      </c>
      <c r="E26" t="s">
        <v>893</v>
      </c>
      <c r="F26" t="s">
        <v>894</v>
      </c>
    </row>
    <row r="27" spans="1:6" x14ac:dyDescent="0.45">
      <c r="A27" s="724"/>
    </row>
    <row r="29" spans="1:6" x14ac:dyDescent="0.45">
      <c r="A29" s="725" t="s">
        <v>895</v>
      </c>
    </row>
    <row r="30" spans="1:6" x14ac:dyDescent="0.45">
      <c r="A30" s="725"/>
    </row>
    <row r="31" spans="1:6" x14ac:dyDescent="0.45">
      <c r="A31" s="725"/>
    </row>
    <row r="32" spans="1:6" x14ac:dyDescent="0.45">
      <c r="A32" s="725"/>
    </row>
    <row r="33" spans="1:6" x14ac:dyDescent="0.45">
      <c r="A33" s="725">
        <v>46055</v>
      </c>
      <c r="B33" t="s">
        <v>876</v>
      </c>
      <c r="C33" t="s">
        <v>841</v>
      </c>
      <c r="D33" t="s">
        <v>896</v>
      </c>
      <c r="E33" t="s">
        <v>897</v>
      </c>
      <c r="F33" t="s">
        <v>898</v>
      </c>
    </row>
    <row r="34" spans="1:6" x14ac:dyDescent="0.45">
      <c r="A34" s="725">
        <v>46055</v>
      </c>
      <c r="B34" t="s">
        <v>876</v>
      </c>
      <c r="C34" t="s">
        <v>841</v>
      </c>
      <c r="D34" t="s">
        <v>899</v>
      </c>
      <c r="E34" t="s">
        <v>900</v>
      </c>
      <c r="F34" t="s">
        <v>901</v>
      </c>
    </row>
    <row r="36" spans="1:6" x14ac:dyDescent="0.45">
      <c r="A36" s="725">
        <v>46055</v>
      </c>
      <c r="B36" t="s">
        <v>876</v>
      </c>
      <c r="C36" t="s">
        <v>841</v>
      </c>
      <c r="D36" t="s">
        <v>902</v>
      </c>
      <c r="E36" t="s">
        <v>903</v>
      </c>
      <c r="F36" t="s">
        <v>904</v>
      </c>
    </row>
    <row r="37" spans="1:6" x14ac:dyDescent="0.45">
      <c r="A37" s="725">
        <v>46055</v>
      </c>
      <c r="B37" t="s">
        <v>876</v>
      </c>
      <c r="C37" t="s">
        <v>841</v>
      </c>
      <c r="D37" t="s">
        <v>905</v>
      </c>
      <c r="E37" t="s">
        <v>906</v>
      </c>
      <c r="F37" t="s">
        <v>907</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3"/>
  <sheetViews>
    <sheetView topLeftCell="A156" workbookViewId="0">
      <selection activeCell="A130" sqref="A130"/>
    </sheetView>
  </sheetViews>
  <sheetFormatPr defaultRowHeight="14.25" x14ac:dyDescent="0.45"/>
  <cols>
    <col min="1" max="1" width="69" bestFit="1" customWidth="1"/>
    <col min="2" max="2" width="68.73046875" bestFit="1" customWidth="1"/>
    <col min="3" max="3" width="52" bestFit="1" customWidth="1"/>
  </cols>
  <sheetData>
    <row r="1" spans="1:6" ht="18.75" customHeight="1" x14ac:dyDescent="0.55000000000000004">
      <c r="A1" s="922" t="s">
        <v>908</v>
      </c>
      <c r="B1" s="917"/>
      <c r="C1" s="917"/>
      <c r="D1" s="917"/>
      <c r="E1" s="917"/>
      <c r="F1" s="917"/>
    </row>
    <row r="3" spans="1:6" ht="15.75" customHeight="1" x14ac:dyDescent="0.5">
      <c r="A3" s="727" t="s">
        <v>909</v>
      </c>
    </row>
    <row r="5" spans="1:6" x14ac:dyDescent="0.45">
      <c r="A5" t="s">
        <v>910</v>
      </c>
      <c r="B5" t="s">
        <v>911</v>
      </c>
    </row>
    <row r="6" spans="1:6" x14ac:dyDescent="0.45">
      <c r="A6" t="s">
        <v>912</v>
      </c>
      <c r="B6" t="s">
        <v>913</v>
      </c>
    </row>
    <row r="7" spans="1:6" x14ac:dyDescent="0.45">
      <c r="A7" t="s">
        <v>914</v>
      </c>
      <c r="B7" s="725">
        <f ca="1">TODAY()</f>
        <v>46092</v>
      </c>
    </row>
    <row r="8" spans="1:6" x14ac:dyDescent="0.45">
      <c r="A8" t="s">
        <v>915</v>
      </c>
      <c r="B8" s="725">
        <v>46022</v>
      </c>
    </row>
    <row r="9" spans="1:6" x14ac:dyDescent="0.45">
      <c r="A9" t="s">
        <v>0</v>
      </c>
      <c r="B9" t="s">
        <v>1</v>
      </c>
    </row>
    <row r="10" spans="1:6" x14ac:dyDescent="0.45">
      <c r="A10" t="s">
        <v>916</v>
      </c>
      <c r="B10" s="728">
        <f>Availability!$L$16</f>
        <v>200000000</v>
      </c>
    </row>
    <row r="11" spans="1:6" x14ac:dyDescent="0.45">
      <c r="A11" t="s">
        <v>917</v>
      </c>
      <c r="B11" s="728">
        <f>Availability!$L$51</f>
        <v>122300000</v>
      </c>
    </row>
    <row r="12" spans="1:6" x14ac:dyDescent="0.45">
      <c r="A12" t="s">
        <v>918</v>
      </c>
      <c r="B12" s="728">
        <f>Availability!L26</f>
        <v>156397412.42025724</v>
      </c>
    </row>
    <row r="13" spans="1:6" x14ac:dyDescent="0.45">
      <c r="A13" t="s">
        <v>919</v>
      </c>
      <c r="B13" s="728">
        <v>343790191.004408</v>
      </c>
    </row>
    <row r="14" spans="1:6" x14ac:dyDescent="0.45">
      <c r="A14" t="s">
        <v>920</v>
      </c>
      <c r="B14">
        <f>Portfolio!$V$64</f>
        <v>14</v>
      </c>
    </row>
    <row r="16" spans="1:6" x14ac:dyDescent="0.45">
      <c r="A16" s="671" t="s">
        <v>921</v>
      </c>
      <c r="B16" t="s">
        <v>922</v>
      </c>
    </row>
    <row r="17" spans="1:2" x14ac:dyDescent="0.45">
      <c r="A17" t="s">
        <v>923</v>
      </c>
      <c r="B17" t="s">
        <v>924</v>
      </c>
    </row>
    <row r="18" spans="1:2" x14ac:dyDescent="0.45">
      <c r="A18" t="s">
        <v>925</v>
      </c>
      <c r="B18" t="s">
        <v>926</v>
      </c>
    </row>
    <row r="19" spans="1:2" x14ac:dyDescent="0.45">
      <c r="A19" t="s">
        <v>927</v>
      </c>
      <c r="B19" t="s">
        <v>928</v>
      </c>
    </row>
    <row r="20" spans="1:2" x14ac:dyDescent="0.45">
      <c r="A20" t="s">
        <v>929</v>
      </c>
      <c r="B20" t="s">
        <v>930</v>
      </c>
    </row>
    <row r="21" spans="1:2" x14ac:dyDescent="0.45">
      <c r="A21" s="720" t="s">
        <v>931</v>
      </c>
    </row>
    <row r="22" spans="1:2" x14ac:dyDescent="0.45">
      <c r="A22" t="s">
        <v>932</v>
      </c>
      <c r="B22" t="s">
        <v>933</v>
      </c>
    </row>
    <row r="23" spans="1:2" x14ac:dyDescent="0.45">
      <c r="A23" t="s">
        <v>934</v>
      </c>
      <c r="B23" t="s">
        <v>935</v>
      </c>
    </row>
    <row r="25" spans="1:2" x14ac:dyDescent="0.45">
      <c r="A25" s="720" t="s">
        <v>936</v>
      </c>
    </row>
    <row r="26" spans="1:2" x14ac:dyDescent="0.45">
      <c r="A26" t="s">
        <v>937</v>
      </c>
      <c r="B26" t="s">
        <v>938</v>
      </c>
    </row>
    <row r="27" spans="1:2" x14ac:dyDescent="0.45">
      <c r="A27" t="s">
        <v>929</v>
      </c>
      <c r="B27" t="s">
        <v>939</v>
      </c>
    </row>
    <row r="28" spans="1:2" x14ac:dyDescent="0.45">
      <c r="A28" t="s">
        <v>940</v>
      </c>
      <c r="B28" t="s">
        <v>941</v>
      </c>
    </row>
    <row r="29" spans="1:2" x14ac:dyDescent="0.45">
      <c r="A29" t="s">
        <v>925</v>
      </c>
      <c r="B29" t="s">
        <v>942</v>
      </c>
    </row>
    <row r="30" spans="1:2" x14ac:dyDescent="0.45">
      <c r="A30" t="s">
        <v>927</v>
      </c>
      <c r="B30" t="s">
        <v>943</v>
      </c>
    </row>
    <row r="31" spans="1:2" x14ac:dyDescent="0.45">
      <c r="A31" t="s">
        <v>944</v>
      </c>
      <c r="B31" t="s">
        <v>945</v>
      </c>
    </row>
    <row r="32" spans="1:2" x14ac:dyDescent="0.45">
      <c r="A32" t="s">
        <v>923</v>
      </c>
      <c r="B32" t="s">
        <v>946</v>
      </c>
    </row>
    <row r="34" spans="1:3" x14ac:dyDescent="0.45">
      <c r="A34" s="720" t="s">
        <v>947</v>
      </c>
    </row>
    <row r="35" spans="1:3" x14ac:dyDescent="0.45">
      <c r="A35" t="s">
        <v>948</v>
      </c>
    </row>
    <row r="36" spans="1:3" x14ac:dyDescent="0.45">
      <c r="A36" t="s">
        <v>949</v>
      </c>
      <c r="B36" t="s">
        <v>950</v>
      </c>
      <c r="C36" t="s">
        <v>951</v>
      </c>
    </row>
    <row r="37" spans="1:3" x14ac:dyDescent="0.45">
      <c r="A37" t="s">
        <v>952</v>
      </c>
      <c r="B37" t="s">
        <v>953</v>
      </c>
      <c r="C37" t="s">
        <v>954</v>
      </c>
    </row>
    <row r="38" spans="1:3" x14ac:dyDescent="0.45">
      <c r="A38" t="s">
        <v>955</v>
      </c>
      <c r="B38" t="s">
        <v>956</v>
      </c>
      <c r="C38" t="s">
        <v>957</v>
      </c>
    </row>
    <row r="39" spans="1:3" x14ac:dyDescent="0.45">
      <c r="A39" t="s">
        <v>958</v>
      </c>
      <c r="B39" t="s">
        <v>959</v>
      </c>
      <c r="C39" t="s">
        <v>960</v>
      </c>
    </row>
    <row r="40" spans="1:3" x14ac:dyDescent="0.45">
      <c r="A40" t="s">
        <v>961</v>
      </c>
      <c r="B40" t="s">
        <v>962</v>
      </c>
      <c r="C40" t="s">
        <v>963</v>
      </c>
    </row>
    <row r="41" spans="1:3" x14ac:dyDescent="0.45">
      <c r="A41" t="s">
        <v>964</v>
      </c>
      <c r="B41" t="s">
        <v>965</v>
      </c>
      <c r="C41" t="s">
        <v>966</v>
      </c>
    </row>
    <row r="42" spans="1:3" x14ac:dyDescent="0.45">
      <c r="A42" t="s">
        <v>967</v>
      </c>
      <c r="B42" t="s">
        <v>968</v>
      </c>
      <c r="C42" t="s">
        <v>969</v>
      </c>
    </row>
    <row r="43" spans="1:3" x14ac:dyDescent="0.45">
      <c r="A43" t="s">
        <v>970</v>
      </c>
      <c r="B43" t="s">
        <v>971</v>
      </c>
      <c r="C43" t="s">
        <v>972</v>
      </c>
    </row>
    <row r="44" spans="1:3" x14ac:dyDescent="0.45">
      <c r="A44" t="s">
        <v>973</v>
      </c>
      <c r="B44" t="s">
        <v>974</v>
      </c>
      <c r="C44" t="s">
        <v>975</v>
      </c>
    </row>
    <row r="45" spans="1:3" x14ac:dyDescent="0.45">
      <c r="A45" t="s">
        <v>976</v>
      </c>
      <c r="B45" t="s">
        <v>692</v>
      </c>
      <c r="C45" t="s">
        <v>977</v>
      </c>
    </row>
    <row r="46" spans="1:3" x14ac:dyDescent="0.45">
      <c r="A46" t="s">
        <v>978</v>
      </c>
      <c r="B46" t="s">
        <v>245</v>
      </c>
      <c r="C46" t="s">
        <v>979</v>
      </c>
    </row>
    <row r="50" spans="1:3" x14ac:dyDescent="0.45">
      <c r="A50" s="720" t="s">
        <v>980</v>
      </c>
    </row>
    <row r="51" spans="1:3" x14ac:dyDescent="0.45">
      <c r="A51" t="s">
        <v>256</v>
      </c>
      <c r="B51" t="s">
        <v>112</v>
      </c>
      <c r="C51" t="s">
        <v>981</v>
      </c>
    </row>
    <row r="52" spans="1:3" x14ac:dyDescent="0.45">
      <c r="A52" t="s">
        <v>261</v>
      </c>
      <c r="B52" s="667">
        <v>0.625</v>
      </c>
      <c r="C52" t="s">
        <v>982</v>
      </c>
    </row>
    <row r="53" spans="1:3" x14ac:dyDescent="0.45">
      <c r="A53" t="s">
        <v>983</v>
      </c>
      <c r="B53" s="667">
        <v>0.65</v>
      </c>
      <c r="C53" t="s">
        <v>984</v>
      </c>
    </row>
    <row r="54" spans="1:3" x14ac:dyDescent="0.45">
      <c r="A54" t="s">
        <v>264</v>
      </c>
      <c r="B54" s="667">
        <v>0.67500000000000004</v>
      </c>
      <c r="C54" t="s">
        <v>985</v>
      </c>
    </row>
    <row r="55" spans="1:3" x14ac:dyDescent="0.45">
      <c r="A55" t="s">
        <v>265</v>
      </c>
      <c r="B55" s="667">
        <v>0.625</v>
      </c>
      <c r="C55" t="s">
        <v>986</v>
      </c>
    </row>
    <row r="56" spans="1:3" x14ac:dyDescent="0.45">
      <c r="A56" t="s">
        <v>266</v>
      </c>
      <c r="B56" s="667">
        <v>0.57499999999999996</v>
      </c>
      <c r="C56" t="s">
        <v>987</v>
      </c>
    </row>
    <row r="57" spans="1:3" x14ac:dyDescent="0.45">
      <c r="A57" t="s">
        <v>267</v>
      </c>
      <c r="B57" s="667">
        <v>0.45</v>
      </c>
      <c r="C57" t="s">
        <v>988</v>
      </c>
    </row>
    <row r="58" spans="1:3" x14ac:dyDescent="0.45">
      <c r="A58" t="s">
        <v>241</v>
      </c>
      <c r="B58" s="667">
        <v>0.45</v>
      </c>
      <c r="C58" t="s">
        <v>989</v>
      </c>
    </row>
    <row r="60" spans="1:3" x14ac:dyDescent="0.45">
      <c r="A60" s="720" t="s">
        <v>990</v>
      </c>
    </row>
    <row r="61" spans="1:3" x14ac:dyDescent="0.45">
      <c r="A61" t="s">
        <v>991</v>
      </c>
      <c r="B61" t="s">
        <v>992</v>
      </c>
      <c r="C61" t="s">
        <v>981</v>
      </c>
    </row>
    <row r="62" spans="1:3" x14ac:dyDescent="0.45">
      <c r="A62" t="s">
        <v>993</v>
      </c>
      <c r="B62" t="s">
        <v>994</v>
      </c>
      <c r="C62" t="s">
        <v>995</v>
      </c>
    </row>
    <row r="63" spans="1:3" x14ac:dyDescent="0.45">
      <c r="A63" t="s">
        <v>241</v>
      </c>
      <c r="B63" t="s">
        <v>996</v>
      </c>
      <c r="C63" t="s">
        <v>997</v>
      </c>
    </row>
    <row r="64" spans="1:3" x14ac:dyDescent="0.45">
      <c r="A64" t="s">
        <v>998</v>
      </c>
      <c r="B64" t="s">
        <v>999</v>
      </c>
      <c r="C64" t="s">
        <v>1000</v>
      </c>
    </row>
    <row r="66" spans="1:3" x14ac:dyDescent="0.45">
      <c r="A66" s="720" t="s">
        <v>1001</v>
      </c>
    </row>
    <row r="67" spans="1:3" x14ac:dyDescent="0.45">
      <c r="A67" t="s">
        <v>1002</v>
      </c>
      <c r="B67" t="s">
        <v>929</v>
      </c>
      <c r="C67" t="s">
        <v>1003</v>
      </c>
    </row>
    <row r="68" spans="1:3" x14ac:dyDescent="0.45">
      <c r="A68" t="s">
        <v>1004</v>
      </c>
      <c r="B68" t="s">
        <v>1005</v>
      </c>
    </row>
    <row r="70" spans="1:3" x14ac:dyDescent="0.45">
      <c r="A70" t="s">
        <v>1006</v>
      </c>
      <c r="B70" t="s">
        <v>940</v>
      </c>
      <c r="C70" t="s">
        <v>1007</v>
      </c>
    </row>
    <row r="71" spans="1:3" x14ac:dyDescent="0.45">
      <c r="A71" t="s">
        <v>1008</v>
      </c>
      <c r="B71" t="s">
        <v>925</v>
      </c>
      <c r="C71" t="s">
        <v>1009</v>
      </c>
    </row>
    <row r="72" spans="1:3" x14ac:dyDescent="0.45">
      <c r="A72" t="s">
        <v>1010</v>
      </c>
      <c r="B72" t="s">
        <v>1011</v>
      </c>
      <c r="C72" t="s">
        <v>1012</v>
      </c>
    </row>
    <row r="73" spans="1:3" x14ac:dyDescent="0.45">
      <c r="A73" t="s">
        <v>1013</v>
      </c>
      <c r="B73" t="s">
        <v>1014</v>
      </c>
      <c r="C73" t="s">
        <v>1015</v>
      </c>
    </row>
    <row r="74" spans="1:3" x14ac:dyDescent="0.45">
      <c r="A74" t="s">
        <v>1016</v>
      </c>
      <c r="B74" t="s">
        <v>1017</v>
      </c>
      <c r="C74" t="s">
        <v>1018</v>
      </c>
    </row>
    <row r="76" spans="1:3" x14ac:dyDescent="0.45">
      <c r="A76" s="720" t="s">
        <v>1019</v>
      </c>
    </row>
    <row r="77" spans="1:3" x14ac:dyDescent="0.45">
      <c r="A77" t="s">
        <v>1020</v>
      </c>
    </row>
    <row r="78" spans="1:3" x14ac:dyDescent="0.45">
      <c r="A78" t="s">
        <v>1021</v>
      </c>
      <c r="B78" t="s">
        <v>1022</v>
      </c>
      <c r="C78" t="s">
        <v>1023</v>
      </c>
    </row>
    <row r="79" spans="1:3" x14ac:dyDescent="0.45">
      <c r="A79" t="s">
        <v>1024</v>
      </c>
      <c r="B79" t="s">
        <v>687</v>
      </c>
      <c r="C79" t="s">
        <v>1025</v>
      </c>
    </row>
    <row r="80" spans="1:3" x14ac:dyDescent="0.45">
      <c r="A80" t="s">
        <v>1026</v>
      </c>
      <c r="B80" t="s">
        <v>689</v>
      </c>
      <c r="C80" t="s">
        <v>1027</v>
      </c>
    </row>
    <row r="82" spans="1:3" x14ac:dyDescent="0.45">
      <c r="A82" s="720" t="s">
        <v>1028</v>
      </c>
    </row>
    <row r="83" spans="1:3" x14ac:dyDescent="0.45">
      <c r="A83" t="s">
        <v>1029</v>
      </c>
      <c r="B83" t="s">
        <v>1030</v>
      </c>
      <c r="C83" t="s">
        <v>1031</v>
      </c>
    </row>
    <row r="84" spans="1:3" x14ac:dyDescent="0.45">
      <c r="A84" t="s">
        <v>1032</v>
      </c>
      <c r="B84" t="s">
        <v>1033</v>
      </c>
      <c r="C84" t="s">
        <v>1034</v>
      </c>
    </row>
    <row r="85" spans="1:3" x14ac:dyDescent="0.45">
      <c r="A85" t="s">
        <v>1035</v>
      </c>
      <c r="B85" t="s">
        <v>1036</v>
      </c>
    </row>
    <row r="86" spans="1:3" x14ac:dyDescent="0.45">
      <c r="A86" t="s">
        <v>1037</v>
      </c>
      <c r="B86" t="s">
        <v>1038</v>
      </c>
    </row>
    <row r="87" spans="1:3" x14ac:dyDescent="0.45">
      <c r="A87" t="s">
        <v>1039</v>
      </c>
      <c r="B87" t="s">
        <v>1040</v>
      </c>
      <c r="C87" t="s">
        <v>1041</v>
      </c>
    </row>
    <row r="88" spans="1:3" x14ac:dyDescent="0.45">
      <c r="A88" t="s">
        <v>1042</v>
      </c>
      <c r="B88" t="s">
        <v>1043</v>
      </c>
      <c r="C88" t="s">
        <v>1044</v>
      </c>
    </row>
    <row r="89" spans="1:3" x14ac:dyDescent="0.45">
      <c r="A89" t="s">
        <v>1045</v>
      </c>
      <c r="B89" t="s">
        <v>1046</v>
      </c>
      <c r="C89" t="s">
        <v>1047</v>
      </c>
    </row>
    <row r="91" spans="1:3" x14ac:dyDescent="0.45">
      <c r="A91" s="720" t="s">
        <v>1048</v>
      </c>
    </row>
    <row r="92" spans="1:3" x14ac:dyDescent="0.45">
      <c r="A92" t="s">
        <v>1049</v>
      </c>
      <c r="B92">
        <f>MIN(L40, L41, L43)</f>
        <v>0</v>
      </c>
      <c r="C92" t="s">
        <v>1050</v>
      </c>
    </row>
    <row r="94" spans="1:3" x14ac:dyDescent="0.45">
      <c r="A94" s="720" t="s">
        <v>1051</v>
      </c>
    </row>
    <row r="95" spans="1:3" x14ac:dyDescent="0.45">
      <c r="A95" t="s">
        <v>1052</v>
      </c>
    </row>
    <row r="96" spans="1:3" x14ac:dyDescent="0.45">
      <c r="A96" t="s">
        <v>1053</v>
      </c>
      <c r="B96" t="s">
        <v>1054</v>
      </c>
    </row>
    <row r="97" spans="1:3" x14ac:dyDescent="0.45">
      <c r="A97" t="s">
        <v>1055</v>
      </c>
      <c r="B97" t="s">
        <v>1056</v>
      </c>
    </row>
    <row r="98" spans="1:3" x14ac:dyDescent="0.45">
      <c r="A98" t="s">
        <v>1057</v>
      </c>
      <c r="B98" t="s">
        <v>1058</v>
      </c>
    </row>
    <row r="99" spans="1:3" x14ac:dyDescent="0.45">
      <c r="A99" t="s">
        <v>1059</v>
      </c>
      <c r="B99" t="s">
        <v>1060</v>
      </c>
    </row>
    <row r="100" spans="1:3" x14ac:dyDescent="0.45">
      <c r="A100" t="s">
        <v>1061</v>
      </c>
      <c r="B100" t="s">
        <v>1062</v>
      </c>
    </row>
    <row r="102" spans="1:3" x14ac:dyDescent="0.45">
      <c r="A102" s="720" t="s">
        <v>1063</v>
      </c>
    </row>
    <row r="103" spans="1:3" x14ac:dyDescent="0.45">
      <c r="A103" t="s">
        <v>1064</v>
      </c>
    </row>
    <row r="104" spans="1:3" x14ac:dyDescent="0.45">
      <c r="A104" t="s">
        <v>1065</v>
      </c>
    </row>
    <row r="105" spans="1:3" x14ac:dyDescent="0.45">
      <c r="A105" t="s">
        <v>1066</v>
      </c>
    </row>
    <row r="107" spans="1:3" x14ac:dyDescent="0.45">
      <c r="A107" s="720" t="s">
        <v>1067</v>
      </c>
    </row>
    <row r="108" spans="1:3" x14ac:dyDescent="0.45">
      <c r="A108" t="s">
        <v>1068</v>
      </c>
      <c r="B108" t="s">
        <v>981</v>
      </c>
      <c r="C108" t="s">
        <v>922</v>
      </c>
    </row>
    <row r="109" spans="1:3" x14ac:dyDescent="0.45">
      <c r="A109" t="s">
        <v>1069</v>
      </c>
      <c r="B109" t="s">
        <v>1070</v>
      </c>
      <c r="C109" t="s">
        <v>1071</v>
      </c>
    </row>
    <row r="110" spans="1:3" x14ac:dyDescent="0.45">
      <c r="A110" t="s">
        <v>1072</v>
      </c>
      <c r="B110" t="s">
        <v>1073</v>
      </c>
      <c r="C110" t="s">
        <v>1074</v>
      </c>
    </row>
    <row r="111" spans="1:3" x14ac:dyDescent="0.45">
      <c r="A111" t="s">
        <v>1075</v>
      </c>
      <c r="B111" t="s">
        <v>1076</v>
      </c>
      <c r="C111" t="s">
        <v>1077</v>
      </c>
    </row>
    <row r="112" spans="1:3" x14ac:dyDescent="0.45">
      <c r="A112" t="s">
        <v>1078</v>
      </c>
      <c r="B112" t="s">
        <v>1079</v>
      </c>
      <c r="C112" t="s">
        <v>1080</v>
      </c>
    </row>
    <row r="114" spans="1:2" x14ac:dyDescent="0.45">
      <c r="A114" s="720" t="s">
        <v>1081</v>
      </c>
    </row>
    <row r="115" spans="1:2" x14ac:dyDescent="0.45">
      <c r="A115" t="s">
        <v>932</v>
      </c>
      <c r="B115" t="s">
        <v>1082</v>
      </c>
    </row>
    <row r="116" spans="1:2" x14ac:dyDescent="0.45">
      <c r="A116" t="s">
        <v>1083</v>
      </c>
    </row>
    <row r="117" spans="1:2" x14ac:dyDescent="0.45">
      <c r="A117" t="s">
        <v>1084</v>
      </c>
    </row>
    <row r="118" spans="1:2" x14ac:dyDescent="0.45">
      <c r="A118" t="s">
        <v>1085</v>
      </c>
    </row>
    <row r="119" spans="1:2" x14ac:dyDescent="0.45">
      <c r="A119" t="s">
        <v>1086</v>
      </c>
    </row>
    <row r="120" spans="1:2" x14ac:dyDescent="0.45">
      <c r="A120" t="s">
        <v>1087</v>
      </c>
    </row>
    <row r="122" spans="1:2" x14ac:dyDescent="0.45">
      <c r="A122" t="s">
        <v>1088</v>
      </c>
    </row>
    <row r="123" spans="1:2" x14ac:dyDescent="0.45">
      <c r="A123" t="s">
        <v>1089</v>
      </c>
    </row>
    <row r="124" spans="1:2" x14ac:dyDescent="0.45">
      <c r="A124" t="s">
        <v>1090</v>
      </c>
    </row>
    <row r="125" spans="1:2" x14ac:dyDescent="0.45">
      <c r="A125" t="s">
        <v>1091</v>
      </c>
    </row>
    <row r="126" spans="1:2" x14ac:dyDescent="0.45">
      <c r="A126" t="s">
        <v>1092</v>
      </c>
    </row>
    <row r="128" spans="1:2" x14ac:dyDescent="0.45">
      <c r="A128" t="s">
        <v>1093</v>
      </c>
    </row>
    <row r="130" spans="1:2" ht="15.75" customHeight="1" x14ac:dyDescent="0.5">
      <c r="A130" s="726" t="s">
        <v>1094</v>
      </c>
    </row>
    <row r="132" spans="1:2" x14ac:dyDescent="0.45">
      <c r="A132" t="s">
        <v>1095</v>
      </c>
    </row>
    <row r="134" spans="1:2" x14ac:dyDescent="0.45">
      <c r="A134" t="s">
        <v>1096</v>
      </c>
      <c r="B134" t="s">
        <v>1097</v>
      </c>
    </row>
    <row r="135" spans="1:2" x14ac:dyDescent="0.45">
      <c r="A135" t="s">
        <v>639</v>
      </c>
      <c r="B135" t="s">
        <v>1098</v>
      </c>
    </row>
    <row r="137" spans="1:2" x14ac:dyDescent="0.45">
      <c r="A137" t="s">
        <v>1099</v>
      </c>
      <c r="B137" t="s">
        <v>1100</v>
      </c>
    </row>
    <row r="138" spans="1:2" x14ac:dyDescent="0.45">
      <c r="A138" t="s">
        <v>639</v>
      </c>
      <c r="B138" t="s">
        <v>1101</v>
      </c>
    </row>
    <row r="140" spans="1:2" x14ac:dyDescent="0.45">
      <c r="A140" t="s">
        <v>1102</v>
      </c>
      <c r="B140" t="s">
        <v>1103</v>
      </c>
    </row>
    <row r="141" spans="1:2" x14ac:dyDescent="0.45">
      <c r="A141" t="s">
        <v>639</v>
      </c>
      <c r="B141" t="s">
        <v>1104</v>
      </c>
    </row>
    <row r="143" spans="1:2" x14ac:dyDescent="0.45">
      <c r="A143" t="s">
        <v>1105</v>
      </c>
    </row>
    <row r="144" spans="1:2" x14ac:dyDescent="0.45">
      <c r="A144" t="s">
        <v>1106</v>
      </c>
    </row>
    <row r="146" spans="1:2" x14ac:dyDescent="0.45">
      <c r="A146" s="671" t="s">
        <v>1107</v>
      </c>
      <c r="B146" t="s">
        <v>1108</v>
      </c>
    </row>
    <row r="148" spans="1:2" x14ac:dyDescent="0.45">
      <c r="A148" s="671" t="s">
        <v>1109</v>
      </c>
    </row>
    <row r="149" spans="1:2" x14ac:dyDescent="0.45">
      <c r="A149" t="s">
        <v>1110</v>
      </c>
    </row>
    <row r="150" spans="1:2" x14ac:dyDescent="0.45">
      <c r="A150" s="809" t="s">
        <v>1111</v>
      </c>
      <c r="B150" s="810" t="s">
        <v>1112</v>
      </c>
    </row>
    <row r="151" spans="1:2" x14ac:dyDescent="0.45">
      <c r="A151" s="810"/>
      <c r="B151" s="810"/>
    </row>
    <row r="152" spans="1:2" x14ac:dyDescent="0.45">
      <c r="A152" s="671" t="s">
        <v>1113</v>
      </c>
      <c r="B152" t="s">
        <v>1114</v>
      </c>
    </row>
    <row r="153" spans="1:2" x14ac:dyDescent="0.45">
      <c r="A153" s="671" t="s">
        <v>1115</v>
      </c>
      <c r="B153" t="s">
        <v>1116</v>
      </c>
    </row>
    <row r="154" spans="1:2" x14ac:dyDescent="0.45">
      <c r="A154" s="671" t="s">
        <v>1117</v>
      </c>
      <c r="B154" t="s">
        <v>1118</v>
      </c>
    </row>
    <row r="155" spans="1:2" x14ac:dyDescent="0.45">
      <c r="A155" s="671" t="s">
        <v>1119</v>
      </c>
      <c r="B155" t="s">
        <v>1120</v>
      </c>
    </row>
    <row r="156" spans="1:2" x14ac:dyDescent="0.45">
      <c r="A156" s="671" t="s">
        <v>1121</v>
      </c>
      <c r="B156" t="s">
        <v>1122</v>
      </c>
    </row>
    <row r="157" spans="1:2" x14ac:dyDescent="0.45">
      <c r="A157" s="671" t="s">
        <v>1123</v>
      </c>
      <c r="B157" t="s">
        <v>1124</v>
      </c>
    </row>
    <row r="158" spans="1:2" x14ac:dyDescent="0.45">
      <c r="A158" s="671" t="s">
        <v>1125</v>
      </c>
      <c r="B158" t="s">
        <v>1126</v>
      </c>
    </row>
    <row r="159" spans="1:2" x14ac:dyDescent="0.45">
      <c r="A159" s="809" t="s">
        <v>1127</v>
      </c>
      <c r="B159" s="810" t="s">
        <v>1128</v>
      </c>
    </row>
    <row r="160" spans="1:2" x14ac:dyDescent="0.45">
      <c r="A160" s="671" t="s">
        <v>1129</v>
      </c>
      <c r="B160" t="s">
        <v>1130</v>
      </c>
    </row>
    <row r="161" spans="1:2" x14ac:dyDescent="0.45">
      <c r="A161" s="671"/>
    </row>
    <row r="162" spans="1:2" x14ac:dyDescent="0.45">
      <c r="A162" s="671" t="s">
        <v>1131</v>
      </c>
      <c r="B162" t="s">
        <v>1132</v>
      </c>
    </row>
    <row r="163" spans="1:2" x14ac:dyDescent="0.45">
      <c r="A163" s="671" t="s">
        <v>650</v>
      </c>
      <c r="B163" t="s">
        <v>1133</v>
      </c>
    </row>
    <row r="164" spans="1:2" x14ac:dyDescent="0.45">
      <c r="A164" t="s">
        <v>718</v>
      </c>
      <c r="B164" t="s">
        <v>1134</v>
      </c>
    </row>
    <row r="165" spans="1:2" x14ac:dyDescent="0.45">
      <c r="A165" s="671" t="s">
        <v>719</v>
      </c>
      <c r="B165" t="s">
        <v>1135</v>
      </c>
    </row>
    <row r="166" spans="1:2" x14ac:dyDescent="0.45">
      <c r="A166" t="s">
        <v>1136</v>
      </c>
      <c r="B166" t="s">
        <v>1137</v>
      </c>
    </row>
    <row r="167" spans="1:2" x14ac:dyDescent="0.45">
      <c r="A167" s="671" t="s">
        <v>1138</v>
      </c>
      <c r="B167" t="s">
        <v>1139</v>
      </c>
    </row>
    <row r="168" spans="1:2" x14ac:dyDescent="0.45">
      <c r="A168" t="s">
        <v>721</v>
      </c>
      <c r="B168" t="s">
        <v>1140</v>
      </c>
    </row>
    <row r="169" spans="1:2" x14ac:dyDescent="0.45">
      <c r="A169" s="671" t="s">
        <v>1141</v>
      </c>
      <c r="B169" t="s">
        <v>1142</v>
      </c>
    </row>
    <row r="170" spans="1:2" x14ac:dyDescent="0.45">
      <c r="A170" t="s">
        <v>723</v>
      </c>
      <c r="B170" t="s">
        <v>1143</v>
      </c>
    </row>
    <row r="171" spans="1:2" x14ac:dyDescent="0.45">
      <c r="A171" s="671" t="s">
        <v>66</v>
      </c>
      <c r="B171" t="s">
        <v>1144</v>
      </c>
    </row>
    <row r="172" spans="1:2" x14ac:dyDescent="0.45">
      <c r="A172" t="s">
        <v>1145</v>
      </c>
      <c r="B172" t="s">
        <v>1146</v>
      </c>
    </row>
    <row r="173" spans="1:2" x14ac:dyDescent="0.45">
      <c r="A173" s="671" t="s">
        <v>1147</v>
      </c>
      <c r="B173" t="s">
        <v>1132</v>
      </c>
    </row>
    <row r="174" spans="1:2" x14ac:dyDescent="0.45">
      <c r="A174" s="671" t="s">
        <v>651</v>
      </c>
      <c r="B174" t="s">
        <v>1148</v>
      </c>
    </row>
    <row r="175" spans="1:2" x14ac:dyDescent="0.45">
      <c r="A175" t="s">
        <v>655</v>
      </c>
      <c r="B175" t="s">
        <v>1149</v>
      </c>
    </row>
    <row r="176" spans="1:2" x14ac:dyDescent="0.45">
      <c r="A176" t="s">
        <v>1150</v>
      </c>
      <c r="B176" t="s">
        <v>1151</v>
      </c>
    </row>
    <row r="177" spans="1:2" x14ac:dyDescent="0.45">
      <c r="A177" t="s">
        <v>658</v>
      </c>
      <c r="B177" t="s">
        <v>1152</v>
      </c>
    </row>
    <row r="178" spans="1:2" x14ac:dyDescent="0.45">
      <c r="A178" t="s">
        <v>141</v>
      </c>
      <c r="B178" t="s">
        <v>1153</v>
      </c>
    </row>
    <row r="179" spans="1:2" x14ac:dyDescent="0.45">
      <c r="A179" t="s">
        <v>1154</v>
      </c>
      <c r="B179" t="s">
        <v>1155</v>
      </c>
    </row>
    <row r="180" spans="1:2" x14ac:dyDescent="0.45">
      <c r="A180" t="s">
        <v>1156</v>
      </c>
      <c r="B180" t="s">
        <v>1157</v>
      </c>
    </row>
    <row r="181" spans="1:2" x14ac:dyDescent="0.45">
      <c r="A181" t="s">
        <v>661</v>
      </c>
      <c r="B181" t="s">
        <v>1158</v>
      </c>
    </row>
    <row r="182" spans="1:2" x14ac:dyDescent="0.45">
      <c r="A182" t="s">
        <v>1159</v>
      </c>
      <c r="B182" t="s">
        <v>1160</v>
      </c>
    </row>
    <row r="183" spans="1:2" x14ac:dyDescent="0.45">
      <c r="A183" t="s">
        <v>1161</v>
      </c>
      <c r="B183" t="s">
        <v>1162</v>
      </c>
    </row>
    <row r="184" spans="1:2" x14ac:dyDescent="0.45">
      <c r="A184" t="s">
        <v>1163</v>
      </c>
      <c r="B184" t="s">
        <v>1164</v>
      </c>
    </row>
    <row r="185" spans="1:2" x14ac:dyDescent="0.45">
      <c r="A185" t="s">
        <v>1165</v>
      </c>
      <c r="B185" t="s">
        <v>1166</v>
      </c>
    </row>
    <row r="186" spans="1:2" x14ac:dyDescent="0.45">
      <c r="A186" t="s">
        <v>1167</v>
      </c>
      <c r="B186" t="s">
        <v>1168</v>
      </c>
    </row>
    <row r="187" spans="1:2" x14ac:dyDescent="0.45">
      <c r="A187" t="s">
        <v>1169</v>
      </c>
    </row>
    <row r="188" spans="1:2" x14ac:dyDescent="0.45">
      <c r="A188" s="755" t="s">
        <v>1170</v>
      </c>
    </row>
    <row r="189" spans="1:2" x14ac:dyDescent="0.45">
      <c r="A189" s="671" t="s">
        <v>1171</v>
      </c>
    </row>
    <row r="190" spans="1:2" x14ac:dyDescent="0.45">
      <c r="A190" t="s">
        <v>1172</v>
      </c>
    </row>
    <row r="191" spans="1:2" x14ac:dyDescent="0.45">
      <c r="A191" t="s">
        <v>1173</v>
      </c>
    </row>
    <row r="192" spans="1:2" x14ac:dyDescent="0.45">
      <c r="A192" t="s">
        <v>1174</v>
      </c>
    </row>
    <row r="193" spans="1:1" x14ac:dyDescent="0.45">
      <c r="A193" t="s">
        <v>1175</v>
      </c>
    </row>
    <row r="194" spans="1:1" x14ac:dyDescent="0.45">
      <c r="A194" t="s">
        <v>1176</v>
      </c>
    </row>
    <row r="195" spans="1:1" x14ac:dyDescent="0.45">
      <c r="A195" t="s">
        <v>1177</v>
      </c>
    </row>
    <row r="196" spans="1:1" x14ac:dyDescent="0.45">
      <c r="A196" t="s">
        <v>1178</v>
      </c>
    </row>
    <row r="197" spans="1:1" x14ac:dyDescent="0.45">
      <c r="A197" t="s">
        <v>1179</v>
      </c>
    </row>
    <row r="198" spans="1:1" x14ac:dyDescent="0.45">
      <c r="A198" t="s">
        <v>1180</v>
      </c>
    </row>
    <row r="199" spans="1:1" x14ac:dyDescent="0.45">
      <c r="A199" t="s">
        <v>1181</v>
      </c>
    </row>
    <row r="200" spans="1:1" x14ac:dyDescent="0.45">
      <c r="A200" t="s">
        <v>1182</v>
      </c>
    </row>
    <row r="201" spans="1:1" x14ac:dyDescent="0.45">
      <c r="A201" t="s">
        <v>1183</v>
      </c>
    </row>
    <row r="202" spans="1:1" x14ac:dyDescent="0.45">
      <c r="A202" t="s">
        <v>1184</v>
      </c>
    </row>
    <row r="203" spans="1:1" x14ac:dyDescent="0.45">
      <c r="A203" t="s">
        <v>1185</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23"/>
  <sheetViews>
    <sheetView showGridLines="0" tabSelected="1" topLeftCell="A3" zoomScale="115" zoomScaleNormal="115" zoomScaleSheetLayoutView="85" workbookViewId="0">
      <selection activeCell="B22" sqref="B22"/>
    </sheetView>
  </sheetViews>
  <sheetFormatPr defaultRowHeight="14.25" x14ac:dyDescent="0.45"/>
  <cols>
    <col min="1" max="1" width="62.86328125" customWidth="1"/>
    <col min="2" max="2" width="19.3984375" bestFit="1" customWidth="1"/>
    <col min="3" max="3" width="19.3984375" customWidth="1"/>
    <col min="4" max="4" width="39.86328125" bestFit="1" customWidth="1"/>
    <col min="5" max="5" width="20.1328125" bestFit="1" customWidth="1"/>
    <col min="6" max="6" width="27.86328125" bestFit="1" customWidth="1"/>
    <col min="7" max="7" width="32.73046875" customWidth="1"/>
    <col min="8" max="8" width="51.265625" bestFit="1" customWidth="1"/>
    <col min="9" max="9" width="32.73046875" customWidth="1"/>
    <col min="10" max="10" width="32" customWidth="1"/>
    <col min="11" max="11" width="49.86328125" customWidth="1"/>
  </cols>
  <sheetData>
    <row r="1" spans="1:26" ht="36" customHeight="1" x14ac:dyDescent="0.45"/>
    <row r="2" spans="1:26" ht="6" customHeight="1" x14ac:dyDescent="0.45"/>
    <row r="3" spans="1:26" ht="18.75" customHeight="1" x14ac:dyDescent="0.55000000000000004">
      <c r="A3" s="750" t="s">
        <v>1186</v>
      </c>
      <c r="J3" s="813" t="s">
        <v>1187</v>
      </c>
      <c r="L3" s="803"/>
      <c r="M3" s="803"/>
      <c r="N3" s="803"/>
      <c r="O3" s="803"/>
      <c r="P3" s="803"/>
      <c r="Z3" s="768" t="s">
        <v>1188</v>
      </c>
    </row>
    <row r="4" spans="1:26" x14ac:dyDescent="0.45">
      <c r="A4" s="671" t="s">
        <v>1189</v>
      </c>
      <c r="B4" s="775" t="str">
        <f>IF(AND(B7&lt;&gt;"",B14&gt;0,B15&gt;0,B19&gt;0,B20&gt;0,B29&lt;&gt;"",B34&lt;&gt;"",B39&gt;0),"✓ READY TO RUN","⚠ Fill Required Fields")</f>
        <v>✓ READY TO RUN</v>
      </c>
      <c r="C4" s="775"/>
      <c r="J4" t="s">
        <v>1190</v>
      </c>
      <c r="K4" t="s">
        <v>1191</v>
      </c>
      <c r="L4" s="804"/>
      <c r="M4" s="804"/>
      <c r="N4" s="804"/>
      <c r="O4" s="804"/>
      <c r="Z4" s="754"/>
    </row>
    <row r="5" spans="1:26" ht="15.75" customHeight="1" x14ac:dyDescent="0.5">
      <c r="A5" s="751" t="s">
        <v>1192</v>
      </c>
      <c r="L5" s="804"/>
      <c r="M5" s="804"/>
      <c r="N5" s="804"/>
      <c r="O5" s="804"/>
    </row>
    <row r="6" spans="1:26" x14ac:dyDescent="0.45">
      <c r="J6" s="813" t="s">
        <v>1193</v>
      </c>
      <c r="L6" s="804"/>
      <c r="M6" s="804"/>
      <c r="N6" s="804"/>
      <c r="O6" s="804"/>
      <c r="Z6" s="753" t="s">
        <v>314</v>
      </c>
    </row>
    <row r="7" spans="1:26" x14ac:dyDescent="0.45">
      <c r="A7" s="671" t="s">
        <v>1194</v>
      </c>
      <c r="B7" s="769" t="s">
        <v>2603</v>
      </c>
      <c r="C7" s="769"/>
      <c r="J7" t="s">
        <v>1190</v>
      </c>
      <c r="K7" t="s">
        <v>1195</v>
      </c>
      <c r="L7" s="804"/>
      <c r="M7" s="804"/>
      <c r="N7" s="804"/>
      <c r="O7" s="804"/>
      <c r="Z7" s="753" t="s">
        <v>315</v>
      </c>
    </row>
    <row r="8" spans="1:26" x14ac:dyDescent="0.45">
      <c r="A8" s="671" t="s">
        <v>1196</v>
      </c>
      <c r="B8" s="769" t="s">
        <v>240</v>
      </c>
      <c r="C8" s="769"/>
      <c r="D8" t="s">
        <v>1197</v>
      </c>
      <c r="K8" t="s">
        <v>1198</v>
      </c>
      <c r="L8" s="803"/>
      <c r="M8" s="803"/>
      <c r="N8" s="803"/>
      <c r="O8" s="803"/>
      <c r="Z8" s="753" t="s">
        <v>316</v>
      </c>
    </row>
    <row r="9" spans="1:26" x14ac:dyDescent="0.45">
      <c r="J9" t="s">
        <v>1199</v>
      </c>
      <c r="K9" t="s">
        <v>1200</v>
      </c>
      <c r="L9" s="805"/>
      <c r="M9" s="805"/>
      <c r="N9" s="805"/>
      <c r="O9" s="805"/>
      <c r="Z9" s="753" t="s">
        <v>317</v>
      </c>
    </row>
    <row r="10" spans="1:26" x14ac:dyDescent="0.45">
      <c r="Z10" s="753" t="s">
        <v>318</v>
      </c>
    </row>
    <row r="11" spans="1:26" ht="15.75" customHeight="1" x14ac:dyDescent="0.5">
      <c r="A11" s="751" t="s">
        <v>1201</v>
      </c>
      <c r="J11" s="813" t="s">
        <v>1202</v>
      </c>
      <c r="Z11" s="753" t="s">
        <v>319</v>
      </c>
    </row>
    <row r="12" spans="1:26" x14ac:dyDescent="0.45">
      <c r="A12" s="720" t="s">
        <v>1203</v>
      </c>
      <c r="B12" s="720" t="s">
        <v>1204</v>
      </c>
      <c r="C12" s="720"/>
      <c r="D12" s="720" t="s">
        <v>1205</v>
      </c>
      <c r="J12" t="s">
        <v>1190</v>
      </c>
      <c r="K12" t="s">
        <v>1206</v>
      </c>
      <c r="Z12" s="753" t="s">
        <v>320</v>
      </c>
    </row>
    <row r="13" spans="1:26" x14ac:dyDescent="0.45">
      <c r="K13" t="s">
        <v>1207</v>
      </c>
      <c r="Z13" s="753" t="s">
        <v>321</v>
      </c>
    </row>
    <row r="14" spans="1:26" x14ac:dyDescent="0.45">
      <c r="A14" s="671" t="s">
        <v>1208</v>
      </c>
      <c r="B14" s="770">
        <v>56000000</v>
      </c>
      <c r="C14" s="770"/>
      <c r="D14" t="s">
        <v>1209</v>
      </c>
      <c r="K14" t="s">
        <v>1210</v>
      </c>
      <c r="Z14" s="753" t="s">
        <v>322</v>
      </c>
    </row>
    <row r="15" spans="1:26" x14ac:dyDescent="0.45">
      <c r="A15" s="671" t="s">
        <v>1211</v>
      </c>
      <c r="B15" s="770">
        <v>20000000</v>
      </c>
      <c r="C15" s="770"/>
      <c r="D15" t="s">
        <v>1212</v>
      </c>
      <c r="K15" t="s">
        <v>1213</v>
      </c>
      <c r="Z15" s="753" t="s">
        <v>323</v>
      </c>
    </row>
    <row r="16" spans="1:26" x14ac:dyDescent="0.45">
      <c r="A16" s="671" t="s">
        <v>1214</v>
      </c>
      <c r="B16" s="770">
        <v>0</v>
      </c>
      <c r="C16" s="770"/>
      <c r="D16" t="s">
        <v>1215</v>
      </c>
      <c r="J16" t="s">
        <v>1216</v>
      </c>
      <c r="K16" t="s">
        <v>1217</v>
      </c>
      <c r="Z16" s="753" t="s">
        <v>324</v>
      </c>
    </row>
    <row r="17" spans="1:26" x14ac:dyDescent="0.45">
      <c r="A17" s="671" t="s">
        <v>1218</v>
      </c>
      <c r="B17" s="770">
        <v>15000000</v>
      </c>
      <c r="C17" s="770"/>
      <c r="D17" t="s">
        <v>1215</v>
      </c>
      <c r="K17" t="s">
        <v>1219</v>
      </c>
      <c r="Z17" s="753" t="s">
        <v>325</v>
      </c>
    </row>
    <row r="18" spans="1:26" x14ac:dyDescent="0.45">
      <c r="A18" s="671" t="s">
        <v>1220</v>
      </c>
      <c r="B18" s="770">
        <v>0</v>
      </c>
      <c r="C18" s="770"/>
      <c r="D18" t="s">
        <v>1221</v>
      </c>
      <c r="Z18" s="753" t="s">
        <v>326</v>
      </c>
    </row>
    <row r="19" spans="1:26" x14ac:dyDescent="0.45">
      <c r="A19" s="752" t="s">
        <v>1222</v>
      </c>
      <c r="B19" s="770">
        <v>15000000</v>
      </c>
      <c r="C19" s="770"/>
      <c r="D19" t="s">
        <v>1223</v>
      </c>
      <c r="J19" s="813" t="s">
        <v>1224</v>
      </c>
      <c r="Z19" s="753" t="s">
        <v>327</v>
      </c>
    </row>
    <row r="20" spans="1:26" x14ac:dyDescent="0.45">
      <c r="A20" s="671" t="s">
        <v>1225</v>
      </c>
      <c r="B20" s="770">
        <v>60000000</v>
      </c>
      <c r="C20" s="770"/>
      <c r="D20" t="s">
        <v>1226</v>
      </c>
      <c r="J20" t="s">
        <v>1190</v>
      </c>
      <c r="K20" t="s">
        <v>1227</v>
      </c>
      <c r="Z20" s="753" t="s">
        <v>328</v>
      </c>
    </row>
    <row r="21" spans="1:26" x14ac:dyDescent="0.45">
      <c r="A21" s="671" t="s">
        <v>1228</v>
      </c>
      <c r="B21" s="770">
        <v>0</v>
      </c>
      <c r="C21" s="770"/>
      <c r="D21" t="s">
        <v>1229</v>
      </c>
      <c r="K21" t="s">
        <v>1230</v>
      </c>
      <c r="Z21" s="753" t="s">
        <v>329</v>
      </c>
    </row>
    <row r="22" spans="1:26" x14ac:dyDescent="0.45">
      <c r="A22" s="671" t="s">
        <v>1231</v>
      </c>
      <c r="B22" s="771">
        <v>3</v>
      </c>
      <c r="C22" s="771"/>
      <c r="D22" t="s">
        <v>1232</v>
      </c>
      <c r="K22" t="s">
        <v>1233</v>
      </c>
      <c r="Z22" s="753" t="s">
        <v>330</v>
      </c>
    </row>
    <row r="23" spans="1:26" x14ac:dyDescent="0.45">
      <c r="Z23" s="753" t="s">
        <v>331</v>
      </c>
    </row>
    <row r="24" spans="1:26" x14ac:dyDescent="0.45">
      <c r="J24" s="813" t="s">
        <v>1234</v>
      </c>
      <c r="Z24" s="753" t="s">
        <v>332</v>
      </c>
    </row>
    <row r="25" spans="1:26" ht="15.75" customHeight="1" x14ac:dyDescent="0.5">
      <c r="A25" s="751" t="s">
        <v>1235</v>
      </c>
      <c r="J25" t="s">
        <v>1190</v>
      </c>
      <c r="K25" t="s">
        <v>1195</v>
      </c>
      <c r="Z25" s="753" t="s">
        <v>333</v>
      </c>
    </row>
    <row r="26" spans="1:26" x14ac:dyDescent="0.45">
      <c r="A26" s="720" t="s">
        <v>1203</v>
      </c>
      <c r="B26" s="720" t="s">
        <v>1204</v>
      </c>
      <c r="C26" s="720"/>
      <c r="D26" s="720" t="s">
        <v>1205</v>
      </c>
      <c r="K26" t="s">
        <v>1236</v>
      </c>
      <c r="Z26" s="753" t="s">
        <v>334</v>
      </c>
    </row>
    <row r="27" spans="1:26" x14ac:dyDescent="0.45">
      <c r="Z27" s="753" t="s">
        <v>335</v>
      </c>
    </row>
    <row r="28" spans="1:26" x14ac:dyDescent="0.45">
      <c r="A28" s="671" t="s">
        <v>1237</v>
      </c>
      <c r="B28" s="769" t="s">
        <v>102</v>
      </c>
      <c r="C28" s="769"/>
      <c r="D28" t="s">
        <v>1238</v>
      </c>
      <c r="J28" s="814" t="s">
        <v>1239</v>
      </c>
      <c r="Z28" s="753" t="s">
        <v>336</v>
      </c>
    </row>
    <row r="29" spans="1:26" x14ac:dyDescent="0.45">
      <c r="A29" s="671" t="s">
        <v>1240</v>
      </c>
      <c r="B29" s="772">
        <v>1</v>
      </c>
      <c r="C29" s="772"/>
      <c r="D29" t="s">
        <v>1241</v>
      </c>
      <c r="K29" t="s">
        <v>1242</v>
      </c>
      <c r="Z29" s="753" t="s">
        <v>337</v>
      </c>
    </row>
    <row r="30" spans="1:26" x14ac:dyDescent="0.45">
      <c r="A30" s="671" t="s">
        <v>1243</v>
      </c>
      <c r="B30" s="769" t="s">
        <v>393</v>
      </c>
      <c r="C30" s="769"/>
      <c r="D30" t="s">
        <v>393</v>
      </c>
      <c r="K30" t="s">
        <v>1244</v>
      </c>
      <c r="Z30" s="753" t="s">
        <v>338</v>
      </c>
    </row>
    <row r="31" spans="1:26" x14ac:dyDescent="0.45">
      <c r="A31" s="671" t="s">
        <v>1245</v>
      </c>
      <c r="B31" s="773">
        <v>46092</v>
      </c>
      <c r="C31" s="773"/>
      <c r="D31" t="s">
        <v>1246</v>
      </c>
      <c r="K31" t="s">
        <v>1247</v>
      </c>
      <c r="Z31" s="753" t="s">
        <v>339</v>
      </c>
    </row>
    <row r="32" spans="1:26" x14ac:dyDescent="0.45">
      <c r="A32" s="671" t="s">
        <v>1248</v>
      </c>
      <c r="B32" s="773">
        <v>47918</v>
      </c>
      <c r="C32" s="773"/>
      <c r="D32" t="s">
        <v>1249</v>
      </c>
      <c r="K32" t="s">
        <v>1250</v>
      </c>
      <c r="Z32" s="753" t="s">
        <v>340</v>
      </c>
    </row>
    <row r="33" spans="1:26" x14ac:dyDescent="0.45">
      <c r="A33" s="671" t="s">
        <v>1251</v>
      </c>
      <c r="B33" s="769" t="s">
        <v>691</v>
      </c>
      <c r="C33" s="769"/>
      <c r="D33" t="s">
        <v>1252</v>
      </c>
      <c r="K33" t="s">
        <v>1253</v>
      </c>
      <c r="Z33" s="753" t="s">
        <v>341</v>
      </c>
    </row>
    <row r="34" spans="1:26" x14ac:dyDescent="0.45">
      <c r="A34" s="671" t="s">
        <v>1254</v>
      </c>
      <c r="B34" s="769" t="s">
        <v>324</v>
      </c>
      <c r="C34" s="769"/>
      <c r="D34" t="s">
        <v>1255</v>
      </c>
      <c r="K34" t="s">
        <v>1256</v>
      </c>
      <c r="Z34" s="753" t="s">
        <v>342</v>
      </c>
    </row>
    <row r="35" spans="1:26" x14ac:dyDescent="0.45">
      <c r="A35" s="671" t="s">
        <v>1257</v>
      </c>
      <c r="B35" s="769" t="s">
        <v>692</v>
      </c>
      <c r="C35" s="769"/>
      <c r="D35" t="s">
        <v>1258</v>
      </c>
      <c r="Z35" s="753" t="s">
        <v>343</v>
      </c>
    </row>
    <row r="36" spans="1:26" x14ac:dyDescent="0.45">
      <c r="A36" s="671" t="s">
        <v>1259</v>
      </c>
      <c r="B36" s="772">
        <v>0</v>
      </c>
      <c r="C36" s="772"/>
      <c r="D36" t="s">
        <v>1260</v>
      </c>
      <c r="Z36" s="753" t="s">
        <v>344</v>
      </c>
    </row>
    <row r="37" spans="1:26" x14ac:dyDescent="0.45">
      <c r="A37" s="671" t="s">
        <v>1261</v>
      </c>
      <c r="B37" s="772">
        <v>7.4999999999999997E-2</v>
      </c>
      <c r="C37" s="772"/>
      <c r="D37" t="s">
        <v>1262</v>
      </c>
      <c r="Z37" s="753" t="s">
        <v>345</v>
      </c>
    </row>
    <row r="38" spans="1:26" x14ac:dyDescent="0.45">
      <c r="A38" s="671" t="s">
        <v>1263</v>
      </c>
      <c r="B38" s="772">
        <v>0.02</v>
      </c>
      <c r="C38" s="772"/>
      <c r="D38" t="s">
        <v>1264</v>
      </c>
      <c r="Z38" s="753" t="s">
        <v>346</v>
      </c>
    </row>
    <row r="39" spans="1:26" x14ac:dyDescent="0.45">
      <c r="A39" s="671" t="s">
        <v>1265</v>
      </c>
      <c r="B39" s="771">
        <v>0.75</v>
      </c>
      <c r="C39" s="771"/>
      <c r="D39" t="s">
        <v>1266</v>
      </c>
      <c r="Z39" s="753" t="s">
        <v>347</v>
      </c>
    </row>
    <row r="40" spans="1:26" x14ac:dyDescent="0.45">
      <c r="Z40" s="753" t="s">
        <v>348</v>
      </c>
    </row>
    <row r="41" spans="1:26" x14ac:dyDescent="0.45">
      <c r="Z41" s="753" t="s">
        <v>349</v>
      </c>
    </row>
    <row r="42" spans="1:26" x14ac:dyDescent="0.45">
      <c r="Z42" s="753" t="s">
        <v>350</v>
      </c>
    </row>
    <row r="43" spans="1:26" x14ac:dyDescent="0.45">
      <c r="Z43" s="753" t="s">
        <v>351</v>
      </c>
    </row>
    <row r="44" spans="1:26" x14ac:dyDescent="0.45">
      <c r="Z44" s="753" t="s">
        <v>352</v>
      </c>
    </row>
    <row r="45" spans="1:26" ht="18.75" customHeight="1" x14ac:dyDescent="0.55000000000000004">
      <c r="A45" s="750" t="s">
        <v>1267</v>
      </c>
      <c r="Z45" s="753" t="s">
        <v>353</v>
      </c>
    </row>
    <row r="46" spans="1:26" ht="15.75" customHeight="1" thickBot="1" x14ac:dyDescent="0.5">
      <c r="Z46" s="753" t="s">
        <v>354</v>
      </c>
    </row>
    <row r="47" spans="1:26" ht="15.75" customHeight="1" x14ac:dyDescent="0.5">
      <c r="A47" s="815" t="s">
        <v>1268</v>
      </c>
      <c r="Z47" s="753" t="s">
        <v>355</v>
      </c>
    </row>
    <row r="48" spans="1:26" x14ac:dyDescent="0.45">
      <c r="Z48" s="753" t="s">
        <v>356</v>
      </c>
    </row>
    <row r="49" spans="1:26" x14ac:dyDescent="0.45">
      <c r="A49" s="766" t="s">
        <v>1269</v>
      </c>
      <c r="B49" s="767" t="s">
        <v>278</v>
      </c>
      <c r="C49" s="767"/>
      <c r="D49" s="766" t="s">
        <v>1270</v>
      </c>
      <c r="Z49" s="753" t="s">
        <v>357</v>
      </c>
    </row>
    <row r="50" spans="1:26" x14ac:dyDescent="0.45">
      <c r="Z50" s="753" t="s">
        <v>358</v>
      </c>
    </row>
    <row r="51" spans="1:26" x14ac:dyDescent="0.45">
      <c r="A51" s="671" t="s">
        <v>1271</v>
      </c>
      <c r="B51" s="774">
        <f>B19</f>
        <v>15000000</v>
      </c>
      <c r="C51" s="774"/>
      <c r="D51" t="s">
        <v>1272</v>
      </c>
      <c r="Z51" s="753" t="s">
        <v>359</v>
      </c>
    </row>
    <row r="52" spans="1:26" x14ac:dyDescent="0.45">
      <c r="Z52" s="753" t="s">
        <v>360</v>
      </c>
    </row>
    <row r="53" spans="1:26" x14ac:dyDescent="0.45">
      <c r="A53" s="671" t="s">
        <v>1273</v>
      </c>
      <c r="B53" s="881"/>
      <c r="C53" s="770"/>
      <c r="D53" t="s">
        <v>1274</v>
      </c>
      <c r="Z53" s="753" t="s">
        <v>361</v>
      </c>
    </row>
    <row r="54" spans="1:26" x14ac:dyDescent="0.45">
      <c r="A54" s="671" t="s">
        <v>1275</v>
      </c>
      <c r="B54" s="882">
        <f>Availability!L26</f>
        <v>156397412.42025724</v>
      </c>
      <c r="C54" s="756"/>
      <c r="D54" t="s">
        <v>1276</v>
      </c>
      <c r="Z54" s="753" t="s">
        <v>362</v>
      </c>
    </row>
    <row r="55" spans="1:26" x14ac:dyDescent="0.45">
      <c r="Z55" s="753" t="s">
        <v>363</v>
      </c>
    </row>
    <row r="56" spans="1:26" ht="17.25" customHeight="1" x14ac:dyDescent="0.5">
      <c r="A56" s="757" t="s">
        <v>1277</v>
      </c>
      <c r="B56" s="816" t="str">
        <f>IF(B53="","",B54-B53)</f>
        <v/>
      </c>
      <c r="C56" s="817"/>
      <c r="D56" t="str">
        <f t="array" ref="D56">IFERROR( After - Before,"")</f>
        <v/>
      </c>
      <c r="Z56" s="753" t="s">
        <v>364</v>
      </c>
    </row>
    <row r="57" spans="1:26" x14ac:dyDescent="0.45">
      <c r="A57" s="671" t="s">
        <v>1278</v>
      </c>
      <c r="B57" s="758" t="str">
        <f>IF(AND(B51&gt;0,B53&lt;&gt;""),B56/B51,"")</f>
        <v/>
      </c>
      <c r="C57" s="758"/>
      <c r="D57" t="s">
        <v>1279</v>
      </c>
      <c r="Z57" s="753" t="s">
        <v>365</v>
      </c>
    </row>
    <row r="58" spans="1:26" x14ac:dyDescent="0.45">
      <c r="Z58" s="753" t="s">
        <v>366</v>
      </c>
    </row>
    <row r="59" spans="1:26" ht="15.75" customHeight="1" thickBot="1" x14ac:dyDescent="0.5">
      <c r="Z59" s="753" t="s">
        <v>367</v>
      </c>
    </row>
    <row r="60" spans="1:26" ht="15.75" customHeight="1" x14ac:dyDescent="0.5">
      <c r="A60" s="812" t="s">
        <v>1280</v>
      </c>
      <c r="Z60" s="753" t="s">
        <v>368</v>
      </c>
    </row>
    <row r="61" spans="1:26" x14ac:dyDescent="0.45">
      <c r="Z61" s="753" t="s">
        <v>369</v>
      </c>
    </row>
    <row r="62" spans="1:26" x14ac:dyDescent="0.45">
      <c r="A62" s="766" t="s">
        <v>1269</v>
      </c>
      <c r="B62" s="767" t="s">
        <v>435</v>
      </c>
      <c r="C62" s="767"/>
      <c r="D62" s="766" t="s">
        <v>1281</v>
      </c>
      <c r="Z62" s="753" t="s">
        <v>370</v>
      </c>
    </row>
    <row r="63" spans="1:26" x14ac:dyDescent="0.45">
      <c r="Z63" s="753" t="s">
        <v>371</v>
      </c>
    </row>
    <row r="64" spans="1:26" x14ac:dyDescent="0.45">
      <c r="A64" s="818" t="s">
        <v>1282</v>
      </c>
      <c r="B64" s="819">
        <f>B20</f>
        <v>60000000</v>
      </c>
      <c r="C64" s="819"/>
      <c r="D64" s="818" t="s">
        <v>1283</v>
      </c>
      <c r="Z64" s="753" t="s">
        <v>372</v>
      </c>
    </row>
    <row r="65" spans="1:26" x14ac:dyDescent="0.45">
      <c r="A65" s="759" t="s">
        <v>1284</v>
      </c>
      <c r="B65" s="760">
        <f>IF(B20&gt;0,B19/B20,"")</f>
        <v>0.25</v>
      </c>
      <c r="C65" s="760"/>
      <c r="D65" t="s">
        <v>1285</v>
      </c>
      <c r="Z65" s="753" t="s">
        <v>373</v>
      </c>
    </row>
    <row r="66" spans="1:26" x14ac:dyDescent="0.45">
      <c r="A66" s="818" t="s">
        <v>1286</v>
      </c>
      <c r="B66" s="820">
        <f>IF(B15&gt;0,(B16+B17+B18+B20-B21)/B15,"")</f>
        <v>3.75</v>
      </c>
      <c r="C66" s="820"/>
      <c r="D66" s="818" t="s">
        <v>1287</v>
      </c>
      <c r="Z66" s="753" t="s">
        <v>374</v>
      </c>
    </row>
    <row r="67" spans="1:26" x14ac:dyDescent="0.45">
      <c r="A67" s="759" t="s">
        <v>688</v>
      </c>
      <c r="B67" s="761">
        <f>IF(B15&gt;0,(B16+B17+B18+B20-B21)/B15,"")</f>
        <v>3.75</v>
      </c>
      <c r="C67" s="761"/>
      <c r="D67" t="s">
        <v>1288</v>
      </c>
      <c r="Z67" s="753" t="s">
        <v>375</v>
      </c>
    </row>
    <row r="68" spans="1:26" x14ac:dyDescent="0.45">
      <c r="A68" s="818" t="s">
        <v>689</v>
      </c>
      <c r="B68" s="820">
        <f>IF(B15&gt;0,(B16+B17-B21)/B15,"")</f>
        <v>0.75</v>
      </c>
      <c r="C68" s="820"/>
      <c r="D68" s="818" t="s">
        <v>1289</v>
      </c>
      <c r="Z68" s="753" t="s">
        <v>376</v>
      </c>
    </row>
    <row r="69" spans="1:26" x14ac:dyDescent="0.45">
      <c r="Z69" s="753" t="s">
        <v>377</v>
      </c>
    </row>
    <row r="70" spans="1:26" x14ac:dyDescent="0.45">
      <c r="Z70" s="753" t="s">
        <v>378</v>
      </c>
    </row>
    <row r="71" spans="1:26" ht="16.5" customHeight="1" thickBot="1" x14ac:dyDescent="0.55000000000000004">
      <c r="A71" s="765" t="s">
        <v>1290</v>
      </c>
      <c r="B71" s="806"/>
      <c r="C71" s="806"/>
      <c r="D71" s="806"/>
      <c r="E71" s="806"/>
      <c r="F71" s="806"/>
      <c r="G71" s="806"/>
    </row>
    <row r="72" spans="1:26" x14ac:dyDescent="0.45">
      <c r="A72" s="821" t="s">
        <v>1291</v>
      </c>
    </row>
    <row r="73" spans="1:26" x14ac:dyDescent="0.45">
      <c r="A73" s="766" t="s">
        <v>991</v>
      </c>
      <c r="B73" s="767" t="s">
        <v>1292</v>
      </c>
      <c r="C73" s="767" t="s">
        <v>1293</v>
      </c>
      <c r="D73" s="767" t="s">
        <v>1294</v>
      </c>
      <c r="E73" s="767" t="s">
        <v>1295</v>
      </c>
      <c r="F73" s="767" t="s">
        <v>1296</v>
      </c>
      <c r="G73" s="767" t="s">
        <v>1297</v>
      </c>
      <c r="H73" s="767" t="s">
        <v>1298</v>
      </c>
      <c r="I73" s="767" t="s">
        <v>1299</v>
      </c>
    </row>
    <row r="74" spans="1:26" x14ac:dyDescent="0.45">
      <c r="A74" s="759" t="s">
        <v>1300</v>
      </c>
      <c r="B74" s="764">
        <f>'Concentration Limits'!H49</f>
        <v>0.2</v>
      </c>
      <c r="C74" s="763">
        <f>'Concentration Limits'!J49</f>
        <v>49599340.729726665</v>
      </c>
      <c r="D74" s="763"/>
      <c r="E74" s="763"/>
      <c r="F74" s="763"/>
      <c r="G74" s="763"/>
      <c r="H74" s="808" t="str">
        <f t="shared" ref="H74:I76" si="0">IF(F74="","",F74-D74)</f>
        <v/>
      </c>
      <c r="I74" s="808" t="str">
        <f t="shared" si="0"/>
        <v/>
      </c>
    </row>
    <row r="75" spans="1:26" x14ac:dyDescent="0.45">
      <c r="A75" s="759" t="s">
        <v>1301</v>
      </c>
      <c r="B75" s="764">
        <f>'Concentration Limits'!H50</f>
        <v>0.1</v>
      </c>
      <c r="C75" s="763">
        <f>'Concentration Limits'!J50</f>
        <v>24799670.364863332</v>
      </c>
      <c r="D75" s="763"/>
      <c r="E75" s="763"/>
      <c r="F75" s="763"/>
      <c r="G75" s="763"/>
      <c r="H75" s="808" t="str">
        <f t="shared" si="0"/>
        <v/>
      </c>
      <c r="I75" s="808" t="str">
        <f t="shared" si="0"/>
        <v/>
      </c>
    </row>
    <row r="76" spans="1:26" ht="15.75" customHeight="1" thickBot="1" x14ac:dyDescent="0.5">
      <c r="A76" s="759" t="s">
        <v>1302</v>
      </c>
      <c r="B76" s="764">
        <f>'Concentration Limits'!H51</f>
        <v>0.3</v>
      </c>
      <c r="C76" s="763">
        <f>'Concentration Limits'!J51</f>
        <v>74399011.094589993</v>
      </c>
      <c r="D76" s="763"/>
      <c r="E76" s="763"/>
      <c r="F76" s="763"/>
      <c r="G76" s="763"/>
      <c r="H76" s="808" t="str">
        <f t="shared" si="0"/>
        <v/>
      </c>
      <c r="I76" s="808" t="str">
        <f t="shared" si="0"/>
        <v/>
      </c>
    </row>
    <row r="77" spans="1:26" x14ac:dyDescent="0.45">
      <c r="A77" s="821" t="s">
        <v>1303</v>
      </c>
      <c r="B77" s="764"/>
      <c r="C77" s="763"/>
      <c r="D77" s="763"/>
      <c r="E77" s="763"/>
      <c r="F77" s="763"/>
      <c r="G77" s="763"/>
      <c r="H77" s="808"/>
      <c r="I77" s="808"/>
    </row>
    <row r="78" spans="1:26" x14ac:dyDescent="0.45">
      <c r="A78" s="759" t="s">
        <v>75</v>
      </c>
      <c r="B78" s="764">
        <f>'Concentration Limits'!H52</f>
        <v>0.15</v>
      </c>
      <c r="C78" s="763">
        <f>'Concentration Limits'!J52</f>
        <v>37199505.547294997</v>
      </c>
      <c r="D78" s="763"/>
      <c r="E78" s="763"/>
      <c r="F78" s="763"/>
      <c r="G78" s="763"/>
      <c r="H78" s="808" t="str">
        <f t="shared" ref="H78:H89" si="1">IF(F78="","",F78-D78)</f>
        <v/>
      </c>
      <c r="I78" s="808" t="str">
        <f t="shared" ref="I78:I89" si="2">IF(G78="","",G78-E78)</f>
        <v/>
      </c>
    </row>
    <row r="79" spans="1:26" x14ac:dyDescent="0.45">
      <c r="A79" s="759" t="s">
        <v>1304</v>
      </c>
      <c r="B79" s="764">
        <f>'Concentration Limits'!H57</f>
        <v>7.4999999999999997E-2</v>
      </c>
      <c r="C79" s="763">
        <f>'Concentration Limits'!J57</f>
        <v>18599752.773647498</v>
      </c>
      <c r="D79" s="763"/>
      <c r="E79" s="763"/>
      <c r="F79" s="763"/>
      <c r="G79" s="763"/>
      <c r="H79" s="808" t="str">
        <f t="shared" si="1"/>
        <v/>
      </c>
      <c r="I79" s="808" t="str">
        <f t="shared" si="2"/>
        <v/>
      </c>
    </row>
    <row r="80" spans="1:26" ht="15.75" customHeight="1" thickBot="1" x14ac:dyDescent="0.5">
      <c r="A80" s="759" t="s">
        <v>1305</v>
      </c>
      <c r="B80" s="764">
        <f>'Concentration Limits'!H58</f>
        <v>0.2</v>
      </c>
      <c r="C80" s="763">
        <f>'Concentration Limits'!J58</f>
        <v>49599340.729726665</v>
      </c>
      <c r="D80" s="763"/>
      <c r="E80" s="763"/>
      <c r="F80" s="763"/>
      <c r="G80" s="763"/>
      <c r="H80" s="808" t="str">
        <f t="shared" si="1"/>
        <v/>
      </c>
      <c r="I80" s="808" t="str">
        <f t="shared" si="2"/>
        <v/>
      </c>
    </row>
    <row r="81" spans="1:9" x14ac:dyDescent="0.45">
      <c r="A81" s="821" t="s">
        <v>1306</v>
      </c>
      <c r="B81" s="764"/>
      <c r="C81" s="763"/>
      <c r="D81" s="763"/>
      <c r="E81" s="763"/>
      <c r="F81" s="763"/>
      <c r="G81" s="763"/>
      <c r="H81" s="808" t="str">
        <f t="shared" si="1"/>
        <v/>
      </c>
      <c r="I81" s="808" t="str">
        <f t="shared" si="2"/>
        <v/>
      </c>
    </row>
    <row r="82" spans="1:9" x14ac:dyDescent="0.45">
      <c r="A82" s="759" t="s">
        <v>1307</v>
      </c>
      <c r="B82" s="764">
        <f>'Concentration Limits'!H59</f>
        <v>0.15</v>
      </c>
      <c r="C82" s="763">
        <f>'Concentration Limits'!J59</f>
        <v>37199505.547294997</v>
      </c>
      <c r="D82" s="763"/>
      <c r="E82" s="763"/>
      <c r="F82" s="763"/>
      <c r="G82" s="763"/>
      <c r="H82" s="808" t="str">
        <f t="shared" si="1"/>
        <v/>
      </c>
      <c r="I82" s="808" t="str">
        <f t="shared" si="2"/>
        <v/>
      </c>
    </row>
    <row r="83" spans="1:9" x14ac:dyDescent="0.45">
      <c r="A83" s="759" t="s">
        <v>1308</v>
      </c>
      <c r="B83" s="764">
        <f>'Concentration Limits'!H61</f>
        <v>0.1</v>
      </c>
      <c r="C83" s="763">
        <f>'Concentration Limits'!J61</f>
        <v>24799670.364863332</v>
      </c>
      <c r="D83" s="763"/>
      <c r="E83" s="763"/>
      <c r="F83" s="763"/>
      <c r="G83" s="763"/>
      <c r="H83" s="808" t="str">
        <f t="shared" si="1"/>
        <v/>
      </c>
      <c r="I83" s="808" t="str">
        <f t="shared" si="2"/>
        <v/>
      </c>
    </row>
    <row r="84" spans="1:9" x14ac:dyDescent="0.45">
      <c r="A84" s="759" t="s">
        <v>80</v>
      </c>
      <c r="B84" s="764">
        <f>'Concentration Limits'!H64</f>
        <v>0.1</v>
      </c>
      <c r="C84" s="763">
        <f>'Concentration Limits'!J64</f>
        <v>24799670.364863332</v>
      </c>
      <c r="D84" s="763"/>
      <c r="E84" s="763"/>
      <c r="F84" s="763"/>
      <c r="G84" s="763"/>
      <c r="H84" s="808" t="str">
        <f t="shared" si="1"/>
        <v/>
      </c>
      <c r="I84" s="808" t="str">
        <f t="shared" si="2"/>
        <v/>
      </c>
    </row>
    <row r="85" spans="1:9" ht="15.75" customHeight="1" thickBot="1" x14ac:dyDescent="0.5">
      <c r="A85" s="759" t="s">
        <v>1309</v>
      </c>
      <c r="B85" s="764">
        <f>'Concentration Limits'!H67</f>
        <v>0.1</v>
      </c>
      <c r="C85" s="763">
        <f>'Concentration Limits'!J67</f>
        <v>24799670.364863332</v>
      </c>
      <c r="D85" s="763"/>
      <c r="E85" s="763"/>
      <c r="F85" s="763"/>
      <c r="G85" s="763"/>
      <c r="H85" s="808" t="str">
        <f t="shared" si="1"/>
        <v/>
      </c>
      <c r="I85" s="808" t="str">
        <f t="shared" si="2"/>
        <v/>
      </c>
    </row>
    <row r="86" spans="1:9" x14ac:dyDescent="0.45">
      <c r="A86" s="821" t="s">
        <v>1310</v>
      </c>
      <c r="B86" s="764"/>
      <c r="C86" s="763"/>
      <c r="D86" s="763"/>
      <c r="E86" s="763"/>
      <c r="F86" s="763"/>
      <c r="G86" s="763"/>
      <c r="H86" s="808" t="str">
        <f t="shared" si="1"/>
        <v/>
      </c>
      <c r="I86" s="808" t="str">
        <f t="shared" si="2"/>
        <v/>
      </c>
    </row>
    <row r="87" spans="1:9" x14ac:dyDescent="0.45">
      <c r="A87" s="807" t="s">
        <v>82</v>
      </c>
      <c r="B87">
        <f>'Concentration Limits'!H68</f>
        <v>0.15</v>
      </c>
      <c r="C87">
        <f>'Concentration Limits'!J68</f>
        <v>37199505.547294997</v>
      </c>
      <c r="D87">
        <f>'Concentration Limits'!L68</f>
        <v>0</v>
      </c>
      <c r="E87">
        <f>'Concentration Limits'!K68</f>
        <v>0</v>
      </c>
      <c r="H87" t="str">
        <f t="shared" si="1"/>
        <v/>
      </c>
      <c r="I87" t="str">
        <f t="shared" si="2"/>
        <v/>
      </c>
    </row>
    <row r="88" spans="1:9" ht="15.75" customHeight="1" x14ac:dyDescent="0.5">
      <c r="A88" s="765" t="s">
        <v>83</v>
      </c>
      <c r="B88">
        <f>'Concentration Limits'!H69</f>
        <v>0.15</v>
      </c>
      <c r="C88">
        <f>'Concentration Limits'!J69</f>
        <v>37199505.547294997</v>
      </c>
      <c r="D88">
        <f>'Concentration Limits'!L69</f>
        <v>12656117.589817706</v>
      </c>
      <c r="E88">
        <f>'Concentration Limits'!K69</f>
        <v>0</v>
      </c>
      <c r="H88" t="str">
        <f t="shared" si="1"/>
        <v/>
      </c>
      <c r="I88" t="str">
        <f t="shared" si="2"/>
        <v/>
      </c>
    </row>
    <row r="89" spans="1:9" x14ac:dyDescent="0.45">
      <c r="A89" t="s">
        <v>1311</v>
      </c>
      <c r="B89">
        <f>'Concentration Limits'!H70</f>
        <v>0.1</v>
      </c>
      <c r="C89">
        <f>'Concentration Limits'!J70</f>
        <v>24799670.364863332</v>
      </c>
      <c r="D89">
        <f>'Concentration Limits'!L70</f>
        <v>0</v>
      </c>
      <c r="E89">
        <f>'Concentration Limits'!K70</f>
        <v>0</v>
      </c>
      <c r="H89" t="str">
        <f t="shared" si="1"/>
        <v/>
      </c>
      <c r="I89" t="str">
        <f t="shared" si="2"/>
        <v/>
      </c>
    </row>
    <row r="90" spans="1:9" ht="15.75" customHeight="1" thickBot="1" x14ac:dyDescent="0.5">
      <c r="A90" s="671" t="s">
        <v>1312</v>
      </c>
      <c r="B90" s="762"/>
      <c r="C90" s="762"/>
    </row>
    <row r="91" spans="1:9" x14ac:dyDescent="0.45">
      <c r="A91" s="821" t="s">
        <v>1313</v>
      </c>
      <c r="B91" s="762"/>
      <c r="C91" s="762"/>
    </row>
    <row r="99" spans="1:1" x14ac:dyDescent="0.45">
      <c r="A99" t="s">
        <v>1314</v>
      </c>
    </row>
    <row r="100" spans="1:1" x14ac:dyDescent="0.45">
      <c r="A100" t="s">
        <v>1315</v>
      </c>
    </row>
    <row r="101" spans="1:1" x14ac:dyDescent="0.45">
      <c r="A101" t="s">
        <v>1316</v>
      </c>
    </row>
    <row r="102" spans="1:1" x14ac:dyDescent="0.45">
      <c r="A102" t="s">
        <v>1317</v>
      </c>
    </row>
    <row r="103" spans="1:1" x14ac:dyDescent="0.45">
      <c r="A103" t="s">
        <v>1318</v>
      </c>
    </row>
    <row r="104" spans="1:1" x14ac:dyDescent="0.45">
      <c r="A104" t="s">
        <v>1319</v>
      </c>
    </row>
    <row r="105" spans="1:1" x14ac:dyDescent="0.45">
      <c r="A105" t="s">
        <v>1320</v>
      </c>
    </row>
    <row r="106" spans="1:1" x14ac:dyDescent="0.45">
      <c r="A106" t="s">
        <v>1321</v>
      </c>
    </row>
    <row r="107" spans="1:1" x14ac:dyDescent="0.45">
      <c r="A107" t="s">
        <v>1322</v>
      </c>
    </row>
    <row r="308" spans="1:1" ht="21" customHeight="1" x14ac:dyDescent="0.65">
      <c r="A308" s="791" t="s">
        <v>1323</v>
      </c>
    </row>
    <row r="310" spans="1:1" x14ac:dyDescent="0.45">
      <c r="A310" s="792" t="s">
        <v>1324</v>
      </c>
    </row>
    <row r="311" spans="1:1" x14ac:dyDescent="0.45">
      <c r="A311" s="793" t="s">
        <v>1325</v>
      </c>
    </row>
    <row r="312" spans="1:1" ht="21" customHeight="1" x14ac:dyDescent="0.65">
      <c r="A312" s="791" t="s">
        <v>1323</v>
      </c>
    </row>
    <row r="313" spans="1:1" x14ac:dyDescent="0.45">
      <c r="A313" s="793" t="s">
        <v>1326</v>
      </c>
    </row>
    <row r="314" spans="1:1" ht="21" customHeight="1" x14ac:dyDescent="0.65">
      <c r="A314" s="791" t="s">
        <v>1323</v>
      </c>
    </row>
    <row r="315" spans="1:1" x14ac:dyDescent="0.45">
      <c r="A315" s="793" t="s">
        <v>1327</v>
      </c>
    </row>
    <row r="316" spans="1:1" ht="21" customHeight="1" x14ac:dyDescent="0.65">
      <c r="A316" s="791" t="s">
        <v>1323</v>
      </c>
    </row>
    <row r="317" spans="1:1" x14ac:dyDescent="0.45">
      <c r="A317" s="793" t="s">
        <v>1328</v>
      </c>
    </row>
    <row r="318" spans="1:1" ht="21" customHeight="1" x14ac:dyDescent="0.65">
      <c r="A318" s="791" t="s">
        <v>1323</v>
      </c>
    </row>
    <row r="320" spans="1:1" x14ac:dyDescent="0.45">
      <c r="A320" s="795" t="s">
        <v>1329</v>
      </c>
    </row>
    <row r="321" spans="1:1" x14ac:dyDescent="0.45">
      <c r="A321" s="796" t="s">
        <v>1330</v>
      </c>
    </row>
    <row r="322" spans="1:1" x14ac:dyDescent="0.45">
      <c r="A322" s="796" t="s">
        <v>1331</v>
      </c>
    </row>
    <row r="323" spans="1:1" x14ac:dyDescent="0.45">
      <c r="A323" s="796" t="s">
        <v>1332</v>
      </c>
    </row>
  </sheetData>
  <conditionalFormatting sqref="B4:C4">
    <cfRule type="containsText" dxfId="1" priority="1" operator="containsText" text="Fill Required Fields">
      <formula>NOT(ISERROR(SEARCH("Fill Required Fields",B4)))</formula>
    </cfRule>
    <cfRule type="containsText" dxfId="0" priority="2" operator="containsText" text="READY TO RUN">
      <formula>NOT(ISERROR(SEARCH("READY TO RUN",B4)))</formula>
    </cfRule>
  </conditionalFormatting>
  <dataValidations count="2">
    <dataValidation type="list" allowBlank="1" showInputMessage="1" showErrorMessage="1" sqref="C34" xr:uid="{00000000-0002-0000-0D00-000000000000}">
      <formula1>$H$6:$H$77</formula1>
    </dataValidation>
    <dataValidation type="list" allowBlank="1" showInputMessage="1" showErrorMessage="1" sqref="B34" xr:uid="{00000000-0002-0000-0D00-000001000000}">
      <formula1>$Z$6:$Z$70</formula1>
    </dataValidation>
  </dataValidations>
  <pageMargins left="0.7" right="0.7" top="0.75" bottom="0.75" header="0.3" footer="0.3"/>
  <pageSetup scale="26"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8"/>
  <sheetViews>
    <sheetView zoomScale="70" zoomScaleNormal="70" workbookViewId="0">
      <selection activeCell="D58" sqref="D58"/>
    </sheetView>
  </sheetViews>
  <sheetFormatPr defaultRowHeight="14.25" x14ac:dyDescent="0.45"/>
  <cols>
    <col min="1" max="1" width="73.86328125" bestFit="1" customWidth="1"/>
    <col min="2" max="2" width="78.1328125" style="797" customWidth="1"/>
    <col min="3" max="3" width="40.1328125" bestFit="1" customWidth="1"/>
    <col min="4" max="4" width="50.1328125" bestFit="1" customWidth="1"/>
    <col min="5" max="5" width="33.265625" bestFit="1" customWidth="1"/>
    <col min="6" max="6" width="55.73046875" bestFit="1" customWidth="1"/>
  </cols>
  <sheetData>
    <row r="1" spans="1:6" ht="18.75" customHeight="1" x14ac:dyDescent="0.55000000000000004">
      <c r="A1" s="776" t="s">
        <v>1333</v>
      </c>
    </row>
    <row r="3" spans="1:6" ht="15.75" customHeight="1" x14ac:dyDescent="0.5">
      <c r="A3" s="751" t="s">
        <v>1334</v>
      </c>
    </row>
    <row r="4" spans="1:6" ht="45" customHeight="1" x14ac:dyDescent="0.45">
      <c r="A4" s="671" t="s">
        <v>1335</v>
      </c>
      <c r="B4" s="797" t="s">
        <v>1336</v>
      </c>
    </row>
    <row r="5" spans="1:6" ht="45" customHeight="1" x14ac:dyDescent="0.45">
      <c r="A5" s="671" t="s">
        <v>1337</v>
      </c>
      <c r="B5" s="797" t="s">
        <v>1338</v>
      </c>
    </row>
    <row r="6" spans="1:6" ht="30" customHeight="1" x14ac:dyDescent="0.45">
      <c r="A6" s="671" t="s">
        <v>1339</v>
      </c>
      <c r="B6" s="797" t="s">
        <v>1340</v>
      </c>
    </row>
    <row r="8" spans="1:6" ht="15.75" customHeight="1" x14ac:dyDescent="0.5">
      <c r="A8" s="751" t="s">
        <v>1341</v>
      </c>
    </row>
    <row r="10" spans="1:6" x14ac:dyDescent="0.45">
      <c r="A10" s="720" t="s">
        <v>1342</v>
      </c>
      <c r="B10" s="798" t="s">
        <v>1343</v>
      </c>
    </row>
    <row r="11" spans="1:6" x14ac:dyDescent="0.45">
      <c r="A11" s="671" t="s">
        <v>1344</v>
      </c>
      <c r="B11" s="799" t="s">
        <v>1345</v>
      </c>
      <c r="C11" s="671" t="s">
        <v>1346</v>
      </c>
      <c r="D11" s="671" t="s">
        <v>1347</v>
      </c>
      <c r="E11" s="671" t="s">
        <v>1348</v>
      </c>
      <c r="F11" s="671" t="s">
        <v>1349</v>
      </c>
    </row>
    <row r="12" spans="1:6" x14ac:dyDescent="0.45">
      <c r="A12" t="s">
        <v>1350</v>
      </c>
      <c r="B12" s="797" t="s">
        <v>1351</v>
      </c>
      <c r="C12" t="s">
        <v>769</v>
      </c>
      <c r="D12" t="s">
        <v>940</v>
      </c>
      <c r="E12" t="s">
        <v>1352</v>
      </c>
      <c r="F12" t="s">
        <v>1353</v>
      </c>
    </row>
    <row r="13" spans="1:6" x14ac:dyDescent="0.45">
      <c r="A13" t="s">
        <v>1350</v>
      </c>
      <c r="B13" s="797" t="s">
        <v>1354</v>
      </c>
      <c r="C13" t="s">
        <v>650</v>
      </c>
      <c r="D13" t="s">
        <v>940</v>
      </c>
      <c r="E13" t="s">
        <v>1355</v>
      </c>
      <c r="F13" t="s">
        <v>1133</v>
      </c>
    </row>
    <row r="14" spans="1:6" x14ac:dyDescent="0.45">
      <c r="D14" t="s">
        <v>1356</v>
      </c>
      <c r="E14" t="s">
        <v>1357</v>
      </c>
      <c r="F14" t="s">
        <v>1358</v>
      </c>
    </row>
    <row r="15" spans="1:6" x14ac:dyDescent="0.45">
      <c r="D15" t="s">
        <v>1356</v>
      </c>
      <c r="E15" t="s">
        <v>1359</v>
      </c>
      <c r="F15" t="s">
        <v>1360</v>
      </c>
    </row>
    <row r="16" spans="1:6" x14ac:dyDescent="0.45">
      <c r="A16" s="777" t="s">
        <v>1361</v>
      </c>
      <c r="B16" s="797" t="s">
        <v>1362</v>
      </c>
      <c r="C16" t="s">
        <v>718</v>
      </c>
      <c r="D16" t="s">
        <v>940</v>
      </c>
      <c r="E16" t="s">
        <v>956</v>
      </c>
      <c r="F16" t="s">
        <v>1363</v>
      </c>
    </row>
    <row r="17" spans="1:6" x14ac:dyDescent="0.45">
      <c r="A17" s="777" t="s">
        <v>1361</v>
      </c>
      <c r="B17" s="797" t="s">
        <v>1364</v>
      </c>
      <c r="C17" t="s">
        <v>719</v>
      </c>
      <c r="D17" t="s">
        <v>940</v>
      </c>
      <c r="E17" t="s">
        <v>959</v>
      </c>
      <c r="F17" t="s">
        <v>1365</v>
      </c>
    </row>
    <row r="18" spans="1:6" x14ac:dyDescent="0.45">
      <c r="A18" s="777" t="s">
        <v>1361</v>
      </c>
      <c r="B18" s="797" t="s">
        <v>1366</v>
      </c>
      <c r="C18" t="s">
        <v>1136</v>
      </c>
      <c r="D18" t="s">
        <v>940</v>
      </c>
      <c r="E18" t="s">
        <v>962</v>
      </c>
      <c r="F18" t="s">
        <v>1367</v>
      </c>
    </row>
    <row r="19" spans="1:6" x14ac:dyDescent="0.45">
      <c r="A19" s="777" t="s">
        <v>1361</v>
      </c>
      <c r="B19" s="797" t="s">
        <v>1368</v>
      </c>
      <c r="C19" t="s">
        <v>1138</v>
      </c>
      <c r="D19" t="s">
        <v>940</v>
      </c>
      <c r="E19" t="s">
        <v>965</v>
      </c>
      <c r="F19" t="s">
        <v>1367</v>
      </c>
    </row>
    <row r="20" spans="1:6" x14ac:dyDescent="0.45">
      <c r="A20" s="777" t="s">
        <v>1361</v>
      </c>
      <c r="B20" s="797" t="s">
        <v>1369</v>
      </c>
      <c r="C20" t="s">
        <v>721</v>
      </c>
      <c r="D20" t="s">
        <v>940</v>
      </c>
      <c r="E20" t="s">
        <v>968</v>
      </c>
      <c r="F20" t="s">
        <v>1363</v>
      </c>
    </row>
    <row r="21" spans="1:6" x14ac:dyDescent="0.45">
      <c r="A21" s="777" t="s">
        <v>1361</v>
      </c>
      <c r="B21" s="797" t="s">
        <v>1370</v>
      </c>
      <c r="C21" t="s">
        <v>1371</v>
      </c>
      <c r="D21" t="s">
        <v>940</v>
      </c>
      <c r="E21" t="s">
        <v>1372</v>
      </c>
      <c r="F21" t="s">
        <v>1373</v>
      </c>
    </row>
    <row r="22" spans="1:6" x14ac:dyDescent="0.45">
      <c r="A22" s="777" t="s">
        <v>1361</v>
      </c>
      <c r="B22" s="797" t="s">
        <v>1374</v>
      </c>
      <c r="C22" t="s">
        <v>1282</v>
      </c>
      <c r="D22" t="s">
        <v>940</v>
      </c>
      <c r="E22" t="s">
        <v>971</v>
      </c>
      <c r="F22" t="s">
        <v>1375</v>
      </c>
    </row>
    <row r="23" spans="1:6" x14ac:dyDescent="0.45">
      <c r="A23" s="777" t="s">
        <v>1361</v>
      </c>
      <c r="B23" s="797" t="s">
        <v>1376</v>
      </c>
      <c r="C23" t="s">
        <v>723</v>
      </c>
      <c r="D23" t="s">
        <v>940</v>
      </c>
      <c r="E23" t="s">
        <v>974</v>
      </c>
      <c r="F23" t="s">
        <v>1367</v>
      </c>
    </row>
    <row r="24" spans="1:6" x14ac:dyDescent="0.45">
      <c r="A24" s="777" t="s">
        <v>1361</v>
      </c>
      <c r="B24" s="797" t="s">
        <v>1377</v>
      </c>
      <c r="C24" t="s">
        <v>66</v>
      </c>
      <c r="D24" t="s">
        <v>940</v>
      </c>
      <c r="E24" t="s">
        <v>1378</v>
      </c>
      <c r="F24" t="s">
        <v>1379</v>
      </c>
    </row>
    <row r="25" spans="1:6" x14ac:dyDescent="0.45">
      <c r="A25" s="778" t="s">
        <v>1380</v>
      </c>
      <c r="B25" s="797" t="s">
        <v>1381</v>
      </c>
      <c r="C25" t="s">
        <v>651</v>
      </c>
      <c r="D25" t="s">
        <v>1356</v>
      </c>
      <c r="E25" t="s">
        <v>974</v>
      </c>
      <c r="F25" t="s">
        <v>1238</v>
      </c>
    </row>
    <row r="26" spans="1:6" x14ac:dyDescent="0.45">
      <c r="A26" s="778" t="s">
        <v>1380</v>
      </c>
      <c r="B26" s="797" t="s">
        <v>1382</v>
      </c>
      <c r="C26" t="s">
        <v>655</v>
      </c>
      <c r="D26" t="s">
        <v>1356</v>
      </c>
      <c r="E26" t="s">
        <v>696</v>
      </c>
      <c r="F26" t="s">
        <v>1383</v>
      </c>
    </row>
    <row r="27" spans="1:6" x14ac:dyDescent="0.45">
      <c r="A27" s="778" t="s">
        <v>1380</v>
      </c>
      <c r="B27" s="797" t="s">
        <v>1384</v>
      </c>
      <c r="C27" t="s">
        <v>1150</v>
      </c>
      <c r="D27" t="s">
        <v>1356</v>
      </c>
      <c r="E27" t="s">
        <v>1385</v>
      </c>
      <c r="F27" t="s">
        <v>393</v>
      </c>
    </row>
    <row r="28" spans="1:6" x14ac:dyDescent="0.45">
      <c r="A28" s="778" t="s">
        <v>1380</v>
      </c>
      <c r="B28" s="797" t="s">
        <v>1386</v>
      </c>
      <c r="C28" t="s">
        <v>658</v>
      </c>
      <c r="D28" t="s">
        <v>1356</v>
      </c>
      <c r="E28" t="s">
        <v>1387</v>
      </c>
      <c r="F28" t="s">
        <v>1388</v>
      </c>
    </row>
    <row r="29" spans="1:6" x14ac:dyDescent="0.45">
      <c r="E29" t="s">
        <v>1389</v>
      </c>
      <c r="F29" t="s">
        <v>1390</v>
      </c>
    </row>
    <row r="30" spans="1:6" x14ac:dyDescent="0.45">
      <c r="A30" s="778" t="s">
        <v>1380</v>
      </c>
      <c r="B30" s="797" t="s">
        <v>1391</v>
      </c>
      <c r="C30" t="s">
        <v>141</v>
      </c>
      <c r="D30" t="s">
        <v>1356</v>
      </c>
      <c r="E30" t="s">
        <v>1392</v>
      </c>
      <c r="F30" t="s">
        <v>1388</v>
      </c>
    </row>
    <row r="31" spans="1:6" x14ac:dyDescent="0.45">
      <c r="A31" s="778" t="s">
        <v>1380</v>
      </c>
      <c r="B31" s="797" t="s">
        <v>1393</v>
      </c>
      <c r="C31" t="s">
        <v>1154</v>
      </c>
      <c r="D31" t="s">
        <v>1356</v>
      </c>
      <c r="E31" t="s">
        <v>1394</v>
      </c>
      <c r="F31" t="s">
        <v>1252</v>
      </c>
    </row>
    <row r="32" spans="1:6" x14ac:dyDescent="0.45">
      <c r="A32" s="778" t="s">
        <v>1380</v>
      </c>
      <c r="B32" s="797" t="s">
        <v>1395</v>
      </c>
      <c r="C32" t="s">
        <v>1396</v>
      </c>
      <c r="D32" t="s">
        <v>1356</v>
      </c>
      <c r="E32" t="s">
        <v>89</v>
      </c>
      <c r="F32" t="s">
        <v>1397</v>
      </c>
    </row>
    <row r="33" spans="1:6" x14ac:dyDescent="0.45">
      <c r="A33" s="778" t="s">
        <v>1380</v>
      </c>
      <c r="B33" s="797" t="s">
        <v>1398</v>
      </c>
      <c r="C33" t="s">
        <v>661</v>
      </c>
      <c r="D33" t="s">
        <v>1356</v>
      </c>
      <c r="E33" t="s">
        <v>1399</v>
      </c>
      <c r="F33" t="s">
        <v>1400</v>
      </c>
    </row>
    <row r="34" spans="1:6" x14ac:dyDescent="0.45">
      <c r="A34" s="778" t="s">
        <v>1380</v>
      </c>
      <c r="B34" s="797" t="s">
        <v>1401</v>
      </c>
      <c r="C34" t="s">
        <v>1159</v>
      </c>
      <c r="D34" t="s">
        <v>1356</v>
      </c>
      <c r="E34" t="s">
        <v>1402</v>
      </c>
      <c r="F34" t="s">
        <v>1403</v>
      </c>
    </row>
    <row r="35" spans="1:6" x14ac:dyDescent="0.45">
      <c r="A35" s="778" t="s">
        <v>1380</v>
      </c>
      <c r="B35" s="797" t="s">
        <v>1404</v>
      </c>
      <c r="C35" t="s">
        <v>1161</v>
      </c>
      <c r="D35" t="s">
        <v>1356</v>
      </c>
      <c r="E35" t="s">
        <v>1405</v>
      </c>
      <c r="F35" t="s">
        <v>1262</v>
      </c>
    </row>
    <row r="36" spans="1:6" x14ac:dyDescent="0.45">
      <c r="A36" s="778" t="s">
        <v>1380</v>
      </c>
      <c r="B36" s="797" t="s">
        <v>1406</v>
      </c>
      <c r="C36" t="s">
        <v>1163</v>
      </c>
      <c r="D36" t="s">
        <v>1356</v>
      </c>
      <c r="E36" t="s">
        <v>1407</v>
      </c>
      <c r="F36" t="s">
        <v>1264</v>
      </c>
    </row>
    <row r="37" spans="1:6" x14ac:dyDescent="0.45">
      <c r="A37" s="778" t="s">
        <v>1380</v>
      </c>
      <c r="B37" s="797" t="s">
        <v>1408</v>
      </c>
      <c r="C37" t="s">
        <v>1165</v>
      </c>
      <c r="D37" t="s">
        <v>1356</v>
      </c>
      <c r="E37" t="s">
        <v>1409</v>
      </c>
      <c r="F37" t="s">
        <v>1410</v>
      </c>
    </row>
    <row r="38" spans="1:6" x14ac:dyDescent="0.45">
      <c r="D38" t="s">
        <v>940</v>
      </c>
      <c r="E38" t="s">
        <v>1411</v>
      </c>
      <c r="F38" t="s">
        <v>1412</v>
      </c>
    </row>
    <row r="40" spans="1:6" x14ac:dyDescent="0.45">
      <c r="A40" s="720" t="s">
        <v>1413</v>
      </c>
    </row>
    <row r="41" spans="1:6" x14ac:dyDescent="0.45">
      <c r="A41" s="671" t="s">
        <v>138</v>
      </c>
      <c r="B41" s="799" t="s">
        <v>1414</v>
      </c>
      <c r="C41" s="671" t="s">
        <v>1415</v>
      </c>
      <c r="D41" s="671" t="s">
        <v>1416</v>
      </c>
    </row>
    <row r="42" spans="1:6" x14ac:dyDescent="0.45">
      <c r="A42" t="s">
        <v>1417</v>
      </c>
      <c r="B42" s="797" t="s">
        <v>1418</v>
      </c>
      <c r="C42" t="s">
        <v>1419</v>
      </c>
      <c r="D42" t="s">
        <v>1420</v>
      </c>
    </row>
    <row r="43" spans="1:6" x14ac:dyDescent="0.45">
      <c r="A43" t="s">
        <v>1421</v>
      </c>
      <c r="B43" s="797" t="s">
        <v>1422</v>
      </c>
      <c r="C43" t="s">
        <v>1423</v>
      </c>
      <c r="D43" t="s">
        <v>1424</v>
      </c>
    </row>
    <row r="44" spans="1:6" x14ac:dyDescent="0.45">
      <c r="A44" t="s">
        <v>1425</v>
      </c>
      <c r="B44" s="797" t="s">
        <v>1426</v>
      </c>
      <c r="C44" t="s">
        <v>1427</v>
      </c>
      <c r="D44" t="s">
        <v>1428</v>
      </c>
    </row>
    <row r="45" spans="1:6" x14ac:dyDescent="0.45">
      <c r="A45" t="s">
        <v>1429</v>
      </c>
      <c r="B45" s="797" t="s">
        <v>1430</v>
      </c>
      <c r="C45" t="s">
        <v>1431</v>
      </c>
      <c r="D45" t="s">
        <v>1432</v>
      </c>
    </row>
    <row r="46" spans="1:6" x14ac:dyDescent="0.45">
      <c r="A46" t="s">
        <v>1433</v>
      </c>
      <c r="B46" s="797" t="s">
        <v>1434</v>
      </c>
      <c r="C46" t="s">
        <v>1435</v>
      </c>
      <c r="D46" t="s">
        <v>1436</v>
      </c>
    </row>
    <row r="48" spans="1:6" x14ac:dyDescent="0.45">
      <c r="A48" s="720" t="s">
        <v>1437</v>
      </c>
      <c r="B48" s="798" t="s">
        <v>1438</v>
      </c>
    </row>
    <row r="49" spans="1:4" x14ac:dyDescent="0.45">
      <c r="A49" s="671" t="s">
        <v>1439</v>
      </c>
      <c r="B49" s="799" t="s">
        <v>847</v>
      </c>
      <c r="C49" s="671" t="s">
        <v>1440</v>
      </c>
      <c r="D49" s="671" t="s">
        <v>1441</v>
      </c>
    </row>
    <row r="50" spans="1:4" x14ac:dyDescent="0.45">
      <c r="A50" t="s">
        <v>1442</v>
      </c>
      <c r="B50" s="797" t="s">
        <v>1443</v>
      </c>
      <c r="C50" t="s">
        <v>923</v>
      </c>
      <c r="D50" t="s">
        <v>1444</v>
      </c>
    </row>
    <row r="51" spans="1:4" x14ac:dyDescent="0.45">
      <c r="B51" s="797" t="s">
        <v>1445</v>
      </c>
      <c r="C51" t="s">
        <v>1446</v>
      </c>
      <c r="D51" t="s">
        <v>1447</v>
      </c>
    </row>
    <row r="52" spans="1:4" x14ac:dyDescent="0.45">
      <c r="A52" t="s">
        <v>1448</v>
      </c>
      <c r="B52" s="797" t="s">
        <v>1449</v>
      </c>
      <c r="C52" t="s">
        <v>940</v>
      </c>
      <c r="D52" t="s">
        <v>1450</v>
      </c>
    </row>
    <row r="53" spans="1:4" x14ac:dyDescent="0.45">
      <c r="A53" t="s">
        <v>1451</v>
      </c>
      <c r="B53" s="797" t="s">
        <v>1452</v>
      </c>
      <c r="C53" t="s">
        <v>929</v>
      </c>
      <c r="D53" t="s">
        <v>1453</v>
      </c>
    </row>
    <row r="54" spans="1:4" x14ac:dyDescent="0.45">
      <c r="A54" t="s">
        <v>1454</v>
      </c>
      <c r="B54" s="797" t="s">
        <v>1455</v>
      </c>
      <c r="C54" t="s">
        <v>925</v>
      </c>
      <c r="D54" t="s">
        <v>1456</v>
      </c>
    </row>
    <row r="55" spans="1:4" x14ac:dyDescent="0.45">
      <c r="A55" t="s">
        <v>1457</v>
      </c>
      <c r="B55" s="797" t="s">
        <v>1458</v>
      </c>
      <c r="C55" t="s">
        <v>925</v>
      </c>
      <c r="D55" t="s">
        <v>1459</v>
      </c>
    </row>
    <row r="56" spans="1:4" x14ac:dyDescent="0.45">
      <c r="B56" s="797" t="s">
        <v>1460</v>
      </c>
      <c r="C56" t="s">
        <v>925</v>
      </c>
      <c r="D56" t="s">
        <v>1461</v>
      </c>
    </row>
    <row r="57" spans="1:4" x14ac:dyDescent="0.45">
      <c r="A57" t="s">
        <v>1462</v>
      </c>
      <c r="B57" s="797" t="s">
        <v>1463</v>
      </c>
      <c r="C57" t="s">
        <v>923</v>
      </c>
      <c r="D57" t="s">
        <v>1464</v>
      </c>
    </row>
    <row r="58" spans="1:4" x14ac:dyDescent="0.45">
      <c r="B58" s="797" t="s">
        <v>1465</v>
      </c>
      <c r="C58" t="s">
        <v>1446</v>
      </c>
      <c r="D58" t="s">
        <v>1466</v>
      </c>
    </row>
    <row r="59" spans="1:4" x14ac:dyDescent="0.45">
      <c r="A59" t="s">
        <v>1467</v>
      </c>
      <c r="B59" s="797" t="s">
        <v>1468</v>
      </c>
      <c r="C59" t="s">
        <v>1446</v>
      </c>
      <c r="D59" t="s">
        <v>1469</v>
      </c>
    </row>
    <row r="60" spans="1:4" x14ac:dyDescent="0.45">
      <c r="A60" t="s">
        <v>1470</v>
      </c>
      <c r="B60" s="797" t="s">
        <v>1471</v>
      </c>
      <c r="C60" t="s">
        <v>1472</v>
      </c>
      <c r="D60" t="s">
        <v>1473</v>
      </c>
    </row>
    <row r="62" spans="1:4" x14ac:dyDescent="0.45">
      <c r="A62" s="720" t="s">
        <v>1474</v>
      </c>
      <c r="B62" s="798" t="s">
        <v>1475</v>
      </c>
    </row>
    <row r="63" spans="1:4" x14ac:dyDescent="0.45">
      <c r="A63" s="671" t="s">
        <v>1476</v>
      </c>
      <c r="B63" s="799" t="s">
        <v>1477</v>
      </c>
      <c r="C63" s="671" t="s">
        <v>1478</v>
      </c>
      <c r="D63" s="671" t="s">
        <v>1479</v>
      </c>
    </row>
    <row r="64" spans="1:4" x14ac:dyDescent="0.45">
      <c r="A64" t="s">
        <v>953</v>
      </c>
      <c r="B64" s="797" t="s">
        <v>97</v>
      </c>
      <c r="C64" t="s">
        <v>1480</v>
      </c>
      <c r="D64" t="s">
        <v>1481</v>
      </c>
    </row>
    <row r="65" spans="1:4" x14ac:dyDescent="0.45">
      <c r="A65" t="s">
        <v>956</v>
      </c>
      <c r="B65" s="797" t="s">
        <v>1482</v>
      </c>
      <c r="C65" t="s">
        <v>1483</v>
      </c>
      <c r="D65" t="s">
        <v>1484</v>
      </c>
    </row>
    <row r="66" spans="1:4" x14ac:dyDescent="0.45">
      <c r="A66" t="s">
        <v>959</v>
      </c>
      <c r="B66" s="797" t="s">
        <v>437</v>
      </c>
      <c r="C66" t="s">
        <v>1485</v>
      </c>
      <c r="D66" t="s">
        <v>1486</v>
      </c>
    </row>
    <row r="67" spans="1:4" x14ac:dyDescent="0.45">
      <c r="A67" t="s">
        <v>962</v>
      </c>
      <c r="B67" s="797" t="s">
        <v>1487</v>
      </c>
      <c r="C67" t="s">
        <v>1488</v>
      </c>
      <c r="D67" t="s">
        <v>1489</v>
      </c>
    </row>
    <row r="68" spans="1:4" x14ac:dyDescent="0.45">
      <c r="A68" t="s">
        <v>965</v>
      </c>
      <c r="B68" s="797" t="s">
        <v>655</v>
      </c>
      <c r="C68" t="s">
        <v>1490</v>
      </c>
      <c r="D68" t="s">
        <v>1491</v>
      </c>
    </row>
    <row r="69" spans="1:4" x14ac:dyDescent="0.45">
      <c r="A69" t="s">
        <v>968</v>
      </c>
      <c r="B69" s="797" t="s">
        <v>1492</v>
      </c>
      <c r="C69" t="s">
        <v>1493</v>
      </c>
      <c r="D69" t="s">
        <v>1494</v>
      </c>
    </row>
    <row r="70" spans="1:4" x14ac:dyDescent="0.45">
      <c r="A70" t="s">
        <v>971</v>
      </c>
      <c r="B70" s="797" t="s">
        <v>103</v>
      </c>
      <c r="C70" t="s">
        <v>1495</v>
      </c>
      <c r="D70" t="s">
        <v>1496</v>
      </c>
    </row>
    <row r="71" spans="1:4" x14ac:dyDescent="0.45">
      <c r="A71" t="s">
        <v>974</v>
      </c>
      <c r="B71" s="797" t="s">
        <v>104</v>
      </c>
      <c r="C71" t="s">
        <v>1497</v>
      </c>
      <c r="D71" t="s">
        <v>1498</v>
      </c>
    </row>
    <row r="72" spans="1:4" x14ac:dyDescent="0.45">
      <c r="A72" t="s">
        <v>692</v>
      </c>
      <c r="B72" s="797" t="s">
        <v>406</v>
      </c>
      <c r="C72" t="s">
        <v>1499</v>
      </c>
      <c r="D72" t="s">
        <v>1500</v>
      </c>
    </row>
    <row r="73" spans="1:4" x14ac:dyDescent="0.45">
      <c r="A73" t="s">
        <v>245</v>
      </c>
      <c r="B73" s="797" t="s">
        <v>625</v>
      </c>
      <c r="C73" t="s">
        <v>1501</v>
      </c>
      <c r="D73" t="s">
        <v>1502</v>
      </c>
    </row>
    <row r="74" spans="1:4" x14ac:dyDescent="0.45">
      <c r="A74" t="s">
        <v>1503</v>
      </c>
      <c r="B74" s="797" t="s">
        <v>1504</v>
      </c>
      <c r="C74" t="s">
        <v>1505</v>
      </c>
      <c r="D74" t="s">
        <v>1506</v>
      </c>
    </row>
    <row r="76" spans="1:4" x14ac:dyDescent="0.45">
      <c r="A76" s="779" t="s">
        <v>1507</v>
      </c>
    </row>
    <row r="77" spans="1:4" x14ac:dyDescent="0.45">
      <c r="A77" s="671" t="s">
        <v>1029</v>
      </c>
      <c r="B77" s="799" t="s">
        <v>1508</v>
      </c>
      <c r="C77" s="671" t="s">
        <v>1509</v>
      </c>
      <c r="D77" s="671" t="s">
        <v>1510</v>
      </c>
    </row>
    <row r="78" spans="1:4" x14ac:dyDescent="0.45">
      <c r="A78" t="s">
        <v>1511</v>
      </c>
      <c r="B78" s="797" t="s">
        <v>1512</v>
      </c>
      <c r="C78" t="s">
        <v>1513</v>
      </c>
      <c r="D78" t="s">
        <v>1514</v>
      </c>
    </row>
    <row r="79" spans="1:4" x14ac:dyDescent="0.45">
      <c r="A79" t="s">
        <v>1515</v>
      </c>
      <c r="B79" s="797" t="s">
        <v>1516</v>
      </c>
      <c r="C79" t="s">
        <v>1517</v>
      </c>
      <c r="D79" t="s">
        <v>1518</v>
      </c>
    </row>
    <row r="80" spans="1:4" x14ac:dyDescent="0.45">
      <c r="A80" t="s">
        <v>1519</v>
      </c>
      <c r="B80" s="797" t="s">
        <v>1520</v>
      </c>
      <c r="C80" t="s">
        <v>1521</v>
      </c>
      <c r="D80" t="s">
        <v>1522</v>
      </c>
    </row>
    <row r="81" spans="1:5" x14ac:dyDescent="0.45">
      <c r="A81" t="s">
        <v>1523</v>
      </c>
      <c r="B81" s="797" t="s">
        <v>1524</v>
      </c>
      <c r="C81" t="s">
        <v>1525</v>
      </c>
      <c r="D81" t="s">
        <v>1526</v>
      </c>
    </row>
    <row r="83" spans="1:5" ht="15.75" customHeight="1" x14ac:dyDescent="0.5">
      <c r="A83" s="780" t="s">
        <v>1527</v>
      </c>
    </row>
    <row r="85" spans="1:5" x14ac:dyDescent="0.45">
      <c r="A85" s="781" t="s">
        <v>1528</v>
      </c>
    </row>
    <row r="87" spans="1:5" ht="45" customHeight="1" x14ac:dyDescent="0.45">
      <c r="A87" s="671" t="s">
        <v>1529</v>
      </c>
      <c r="B87" s="797" t="s">
        <v>1530</v>
      </c>
    </row>
    <row r="89" spans="1:5" ht="45" customHeight="1" x14ac:dyDescent="0.45">
      <c r="A89" s="782" t="s">
        <v>1531</v>
      </c>
      <c r="B89" s="797" t="s">
        <v>1532</v>
      </c>
    </row>
    <row r="91" spans="1:5" ht="45" customHeight="1" x14ac:dyDescent="0.45">
      <c r="A91" s="671" t="s">
        <v>1533</v>
      </c>
      <c r="B91" s="797" t="s">
        <v>1534</v>
      </c>
    </row>
    <row r="93" spans="1:5" x14ac:dyDescent="0.45">
      <c r="A93" s="781" t="s">
        <v>1535</v>
      </c>
    </row>
    <row r="95" spans="1:5" x14ac:dyDescent="0.45">
      <c r="A95" s="671" t="s">
        <v>1440</v>
      </c>
      <c r="B95" s="799" t="s">
        <v>1536</v>
      </c>
      <c r="C95" s="671" t="s">
        <v>1537</v>
      </c>
      <c r="D95" s="671" t="s">
        <v>1538</v>
      </c>
      <c r="E95" s="671" t="s">
        <v>1539</v>
      </c>
    </row>
    <row r="96" spans="1:5" x14ac:dyDescent="0.45">
      <c r="A96" s="778" t="s">
        <v>1446</v>
      </c>
      <c r="B96" s="797" t="s">
        <v>1540</v>
      </c>
      <c r="C96" t="s">
        <v>1541</v>
      </c>
      <c r="D96" t="s">
        <v>1542</v>
      </c>
      <c r="E96" t="s">
        <v>1543</v>
      </c>
    </row>
    <row r="97" spans="1:6" x14ac:dyDescent="0.45">
      <c r="A97" s="777" t="s">
        <v>940</v>
      </c>
      <c r="B97" s="797" t="s">
        <v>1544</v>
      </c>
      <c r="C97" t="s">
        <v>1545</v>
      </c>
      <c r="D97" t="s">
        <v>1546</v>
      </c>
      <c r="E97" t="s">
        <v>1547</v>
      </c>
    </row>
    <row r="98" spans="1:6" x14ac:dyDescent="0.45">
      <c r="A98" s="777" t="s">
        <v>929</v>
      </c>
      <c r="B98" s="797" t="s">
        <v>1548</v>
      </c>
      <c r="C98" t="s">
        <v>1549</v>
      </c>
      <c r="D98" t="s">
        <v>1546</v>
      </c>
      <c r="E98" t="s">
        <v>1550</v>
      </c>
    </row>
    <row r="99" spans="1:6" x14ac:dyDescent="0.45">
      <c r="A99" s="783" t="s">
        <v>925</v>
      </c>
      <c r="B99" s="797" t="s">
        <v>1551</v>
      </c>
      <c r="C99" t="s">
        <v>1552</v>
      </c>
      <c r="D99" t="s">
        <v>1553</v>
      </c>
      <c r="E99" t="s">
        <v>927</v>
      </c>
    </row>
    <row r="100" spans="1:6" x14ac:dyDescent="0.45">
      <c r="A100" s="783" t="s">
        <v>927</v>
      </c>
      <c r="B100" s="797" t="s">
        <v>1554</v>
      </c>
      <c r="C100" t="s">
        <v>1555</v>
      </c>
      <c r="D100" t="s">
        <v>925</v>
      </c>
      <c r="E100" t="s">
        <v>923</v>
      </c>
    </row>
    <row r="101" spans="1:6" x14ac:dyDescent="0.45">
      <c r="A101" s="784" t="s">
        <v>923</v>
      </c>
      <c r="B101" s="797" t="s">
        <v>1556</v>
      </c>
      <c r="C101" t="s">
        <v>1557</v>
      </c>
      <c r="D101" t="s">
        <v>927</v>
      </c>
      <c r="E101" t="s">
        <v>1558</v>
      </c>
    </row>
    <row r="102" spans="1:6" x14ac:dyDescent="0.45">
      <c r="A102" s="785" t="s">
        <v>1472</v>
      </c>
      <c r="B102" s="797" t="s">
        <v>1559</v>
      </c>
      <c r="C102" t="s">
        <v>1560</v>
      </c>
      <c r="D102" t="s">
        <v>1561</v>
      </c>
      <c r="E102" t="s">
        <v>1562</v>
      </c>
    </row>
    <row r="103" spans="1:6" x14ac:dyDescent="0.45">
      <c r="A103" s="785" t="s">
        <v>1563</v>
      </c>
      <c r="B103" s="797" t="s">
        <v>1564</v>
      </c>
      <c r="C103" t="s">
        <v>1565</v>
      </c>
      <c r="D103" t="s">
        <v>1566</v>
      </c>
      <c r="E103" t="s">
        <v>1567</v>
      </c>
    </row>
    <row r="105" spans="1:6" x14ac:dyDescent="0.45">
      <c r="A105" s="781" t="s">
        <v>1568</v>
      </c>
    </row>
    <row r="107" spans="1:6" x14ac:dyDescent="0.45">
      <c r="A107" s="671" t="s">
        <v>1569</v>
      </c>
      <c r="B107" s="799" t="s">
        <v>1570</v>
      </c>
      <c r="C107" s="671" t="s">
        <v>1571</v>
      </c>
      <c r="D107" s="671" t="s">
        <v>1572</v>
      </c>
      <c r="E107" s="671" t="s">
        <v>1573</v>
      </c>
      <c r="F107" s="671" t="s">
        <v>1574</v>
      </c>
    </row>
    <row r="108" spans="1:6" x14ac:dyDescent="0.45">
      <c r="A108" t="s">
        <v>1351</v>
      </c>
      <c r="B108" s="797" t="s">
        <v>769</v>
      </c>
      <c r="C108" t="s">
        <v>1575</v>
      </c>
      <c r="D108" t="s">
        <v>1576</v>
      </c>
      <c r="F108" t="s">
        <v>1577</v>
      </c>
    </row>
    <row r="109" spans="1:6" x14ac:dyDescent="0.45">
      <c r="A109" t="s">
        <v>1354</v>
      </c>
      <c r="B109" s="797" t="s">
        <v>650</v>
      </c>
      <c r="C109" t="s">
        <v>1578</v>
      </c>
      <c r="D109" t="s">
        <v>1579</v>
      </c>
      <c r="E109" t="s">
        <v>1580</v>
      </c>
      <c r="F109" t="s">
        <v>1581</v>
      </c>
    </row>
    <row r="110" spans="1:6" x14ac:dyDescent="0.45">
      <c r="A110" t="s">
        <v>1362</v>
      </c>
      <c r="B110" s="797" t="s">
        <v>718</v>
      </c>
      <c r="C110" t="s">
        <v>1582</v>
      </c>
      <c r="F110" t="s">
        <v>1577</v>
      </c>
    </row>
    <row r="111" spans="1:6" x14ac:dyDescent="0.45">
      <c r="A111" t="s">
        <v>1364</v>
      </c>
      <c r="B111" s="797" t="s">
        <v>1583</v>
      </c>
      <c r="C111" t="s">
        <v>1584</v>
      </c>
      <c r="D111" t="s">
        <v>1585</v>
      </c>
      <c r="F111" t="s">
        <v>1586</v>
      </c>
    </row>
    <row r="112" spans="1:6" x14ac:dyDescent="0.45">
      <c r="A112" t="s">
        <v>1366</v>
      </c>
      <c r="B112" s="797" t="s">
        <v>525</v>
      </c>
      <c r="C112" t="s">
        <v>1587</v>
      </c>
      <c r="F112" t="s">
        <v>1577</v>
      </c>
    </row>
    <row r="113" spans="1:6" x14ac:dyDescent="0.45">
      <c r="A113" t="s">
        <v>1368</v>
      </c>
      <c r="B113" s="797" t="s">
        <v>720</v>
      </c>
      <c r="C113" t="s">
        <v>1588</v>
      </c>
      <c r="F113" t="s">
        <v>1577</v>
      </c>
    </row>
    <row r="114" spans="1:6" x14ac:dyDescent="0.45">
      <c r="A114" t="s">
        <v>1369</v>
      </c>
      <c r="B114" s="797" t="s">
        <v>721</v>
      </c>
      <c r="C114" t="s">
        <v>1589</v>
      </c>
      <c r="F114" t="s">
        <v>1577</v>
      </c>
    </row>
    <row r="115" spans="1:6" x14ac:dyDescent="0.45">
      <c r="A115" t="s">
        <v>1370</v>
      </c>
      <c r="B115" s="797" t="s">
        <v>1371</v>
      </c>
      <c r="C115" t="s">
        <v>1590</v>
      </c>
      <c r="D115" t="s">
        <v>1591</v>
      </c>
      <c r="E115" t="s">
        <v>1592</v>
      </c>
      <c r="F115" t="s">
        <v>1593</v>
      </c>
    </row>
    <row r="116" spans="1:6" x14ac:dyDescent="0.45">
      <c r="A116" t="s">
        <v>1374</v>
      </c>
      <c r="B116" s="797" t="s">
        <v>1594</v>
      </c>
      <c r="C116" t="s">
        <v>1595</v>
      </c>
      <c r="F116" t="s">
        <v>1596</v>
      </c>
    </row>
    <row r="117" spans="1:6" x14ac:dyDescent="0.45">
      <c r="A117" t="s">
        <v>1376</v>
      </c>
      <c r="B117" s="797" t="s">
        <v>409</v>
      </c>
      <c r="C117" t="s">
        <v>1597</v>
      </c>
      <c r="F117" t="s">
        <v>1577</v>
      </c>
    </row>
    <row r="118" spans="1:6" x14ac:dyDescent="0.45">
      <c r="A118" t="s">
        <v>1377</v>
      </c>
      <c r="B118" s="797" t="s">
        <v>1598</v>
      </c>
      <c r="C118" t="s">
        <v>1599</v>
      </c>
      <c r="F118" t="s">
        <v>1577</v>
      </c>
    </row>
    <row r="119" spans="1:6" x14ac:dyDescent="0.45">
      <c r="A119" t="s">
        <v>1381</v>
      </c>
      <c r="B119" s="797" t="s">
        <v>1600</v>
      </c>
      <c r="C119" t="s">
        <v>1601</v>
      </c>
      <c r="F119" t="s">
        <v>1238</v>
      </c>
    </row>
    <row r="120" spans="1:6" x14ac:dyDescent="0.45">
      <c r="A120" t="s">
        <v>1382</v>
      </c>
      <c r="B120" s="797" t="s">
        <v>655</v>
      </c>
      <c r="C120" t="s">
        <v>1602</v>
      </c>
      <c r="F120" t="s">
        <v>1603</v>
      </c>
    </row>
    <row r="121" spans="1:6" x14ac:dyDescent="0.45">
      <c r="A121" t="s">
        <v>1384</v>
      </c>
      <c r="B121" s="797" t="s">
        <v>1150</v>
      </c>
      <c r="C121" t="s">
        <v>1604</v>
      </c>
      <c r="F121" t="s">
        <v>1577</v>
      </c>
    </row>
    <row r="122" spans="1:6" x14ac:dyDescent="0.45">
      <c r="A122" s="786" t="s">
        <v>1386</v>
      </c>
      <c r="B122" s="800" t="s">
        <v>1605</v>
      </c>
      <c r="C122" s="786" t="s">
        <v>1606</v>
      </c>
      <c r="D122" s="786" t="s">
        <v>1607</v>
      </c>
      <c r="F122" s="786" t="s">
        <v>1608</v>
      </c>
    </row>
    <row r="123" spans="1:6" x14ac:dyDescent="0.45">
      <c r="A123" t="s">
        <v>1391</v>
      </c>
      <c r="B123" s="797" t="s">
        <v>141</v>
      </c>
      <c r="C123" t="s">
        <v>1609</v>
      </c>
      <c r="F123" t="s">
        <v>1610</v>
      </c>
    </row>
    <row r="124" spans="1:6" x14ac:dyDescent="0.45">
      <c r="A124" t="s">
        <v>1393</v>
      </c>
      <c r="B124" s="797" t="s">
        <v>1154</v>
      </c>
      <c r="C124" t="s">
        <v>1611</v>
      </c>
      <c r="F124" t="s">
        <v>1577</v>
      </c>
    </row>
    <row r="125" spans="1:6" x14ac:dyDescent="0.45">
      <c r="A125" s="786" t="s">
        <v>1395</v>
      </c>
      <c r="B125" s="800" t="s">
        <v>1396</v>
      </c>
      <c r="C125" s="786" t="s">
        <v>1612</v>
      </c>
      <c r="F125" s="786" t="s">
        <v>1613</v>
      </c>
    </row>
    <row r="126" spans="1:6" x14ac:dyDescent="0.45">
      <c r="A126" t="s">
        <v>1398</v>
      </c>
      <c r="B126" s="797" t="s">
        <v>1614</v>
      </c>
      <c r="C126" t="s">
        <v>1615</v>
      </c>
      <c r="F126" t="s">
        <v>1400</v>
      </c>
    </row>
    <row r="127" spans="1:6" x14ac:dyDescent="0.45">
      <c r="A127" t="s">
        <v>1401</v>
      </c>
      <c r="B127" s="797" t="s">
        <v>1159</v>
      </c>
      <c r="C127" t="s">
        <v>1616</v>
      </c>
      <c r="F127" t="s">
        <v>1617</v>
      </c>
    </row>
    <row r="128" spans="1:6" x14ac:dyDescent="0.45">
      <c r="A128" t="s">
        <v>1404</v>
      </c>
      <c r="B128" s="797" t="s">
        <v>1161</v>
      </c>
      <c r="C128" t="s">
        <v>1618</v>
      </c>
      <c r="F128" t="s">
        <v>1617</v>
      </c>
    </row>
    <row r="129" spans="1:6" x14ac:dyDescent="0.45">
      <c r="A129" t="s">
        <v>1406</v>
      </c>
      <c r="B129" s="797" t="s">
        <v>1163</v>
      </c>
      <c r="C129" t="s">
        <v>1619</v>
      </c>
      <c r="F129" t="s">
        <v>1617</v>
      </c>
    </row>
    <row r="130" spans="1:6" x14ac:dyDescent="0.45">
      <c r="A130" t="s">
        <v>1408</v>
      </c>
      <c r="B130" s="797" t="s">
        <v>1165</v>
      </c>
      <c r="C130" t="s">
        <v>1620</v>
      </c>
      <c r="F130" t="s">
        <v>1621</v>
      </c>
    </row>
    <row r="132" spans="1:6" x14ac:dyDescent="0.45">
      <c r="A132" s="787" t="s">
        <v>1622</v>
      </c>
    </row>
    <row r="134" spans="1:6" x14ac:dyDescent="0.45">
      <c r="A134" s="721" t="s">
        <v>1623</v>
      </c>
    </row>
    <row r="136" spans="1:6" x14ac:dyDescent="0.45">
      <c r="A136" s="720" t="s">
        <v>1624</v>
      </c>
    </row>
    <row r="137" spans="1:6" x14ac:dyDescent="0.45">
      <c r="A137" s="671" t="s">
        <v>1625</v>
      </c>
      <c r="B137" s="797" t="s">
        <v>1626</v>
      </c>
    </row>
    <row r="138" spans="1:6" x14ac:dyDescent="0.45">
      <c r="A138" s="671" t="s">
        <v>1627</v>
      </c>
      <c r="B138" s="797" t="s">
        <v>1628</v>
      </c>
    </row>
    <row r="139" spans="1:6" x14ac:dyDescent="0.45">
      <c r="A139" s="671" t="s">
        <v>1627</v>
      </c>
      <c r="B139" s="797" t="s">
        <v>1629</v>
      </c>
    </row>
    <row r="140" spans="1:6" x14ac:dyDescent="0.45">
      <c r="A140" s="671" t="s">
        <v>1630</v>
      </c>
      <c r="B140" s="797" t="s">
        <v>1631</v>
      </c>
    </row>
    <row r="141" spans="1:6" x14ac:dyDescent="0.45">
      <c r="A141" s="671" t="s">
        <v>1627</v>
      </c>
      <c r="B141" s="797" t="s">
        <v>1632</v>
      </c>
    </row>
    <row r="143" spans="1:6" x14ac:dyDescent="0.45">
      <c r="A143" s="720" t="s">
        <v>1633</v>
      </c>
    </row>
    <row r="144" spans="1:6" x14ac:dyDescent="0.45">
      <c r="A144" s="671" t="s">
        <v>1625</v>
      </c>
      <c r="B144" s="797" t="s">
        <v>1634</v>
      </c>
    </row>
    <row r="145" spans="1:2" x14ac:dyDescent="0.45">
      <c r="A145" s="671" t="s">
        <v>1625</v>
      </c>
      <c r="B145" s="797" t="s">
        <v>1635</v>
      </c>
    </row>
    <row r="146" spans="1:2" x14ac:dyDescent="0.45">
      <c r="A146" s="671" t="s">
        <v>1337</v>
      </c>
      <c r="B146" s="797" t="s">
        <v>1636</v>
      </c>
    </row>
    <row r="148" spans="1:2" x14ac:dyDescent="0.45">
      <c r="A148" s="720" t="s">
        <v>1637</v>
      </c>
    </row>
    <row r="149" spans="1:2" x14ac:dyDescent="0.45">
      <c r="A149" s="671" t="s">
        <v>1625</v>
      </c>
      <c r="B149" s="797" t="s">
        <v>1638</v>
      </c>
    </row>
    <row r="150" spans="1:2" x14ac:dyDescent="0.45">
      <c r="A150" s="671" t="s">
        <v>1625</v>
      </c>
      <c r="B150" s="797" t="s">
        <v>1639</v>
      </c>
    </row>
    <row r="151" spans="1:2" x14ac:dyDescent="0.45">
      <c r="A151" s="779" t="s">
        <v>1640</v>
      </c>
      <c r="B151" s="800" t="s">
        <v>1641</v>
      </c>
    </row>
    <row r="153" spans="1:2" x14ac:dyDescent="0.45">
      <c r="A153" s="720" t="s">
        <v>1642</v>
      </c>
    </row>
    <row r="154" spans="1:2" x14ac:dyDescent="0.45">
      <c r="A154" s="671" t="s">
        <v>1625</v>
      </c>
      <c r="B154" s="797" t="s">
        <v>1643</v>
      </c>
    </row>
    <row r="155" spans="1:2" x14ac:dyDescent="0.45">
      <c r="A155" s="671" t="s">
        <v>1625</v>
      </c>
      <c r="B155" s="797" t="s">
        <v>1644</v>
      </c>
    </row>
    <row r="156" spans="1:2" x14ac:dyDescent="0.45">
      <c r="A156" s="779" t="s">
        <v>1645</v>
      </c>
      <c r="B156" s="800" t="s">
        <v>1646</v>
      </c>
    </row>
    <row r="157" spans="1:2" x14ac:dyDescent="0.45">
      <c r="A157" s="671" t="s">
        <v>1337</v>
      </c>
      <c r="B157" s="797" t="s">
        <v>1647</v>
      </c>
    </row>
    <row r="159" spans="1:2" x14ac:dyDescent="0.45">
      <c r="A159" s="720" t="s">
        <v>1648</v>
      </c>
    </row>
    <row r="160" spans="1:2" x14ac:dyDescent="0.45">
      <c r="A160" s="671" t="s">
        <v>1625</v>
      </c>
      <c r="B160" s="797" t="s">
        <v>1649</v>
      </c>
    </row>
    <row r="161" spans="1:2" x14ac:dyDescent="0.45">
      <c r="A161" s="671" t="s">
        <v>1625</v>
      </c>
      <c r="B161" s="797" t="s">
        <v>1650</v>
      </c>
    </row>
    <row r="162" spans="1:2" x14ac:dyDescent="0.45">
      <c r="A162" s="671" t="s">
        <v>1625</v>
      </c>
      <c r="B162" s="797" t="s">
        <v>1651</v>
      </c>
    </row>
    <row r="163" spans="1:2" x14ac:dyDescent="0.45">
      <c r="A163" s="671" t="s">
        <v>1625</v>
      </c>
      <c r="B163" s="797" t="s">
        <v>1652</v>
      </c>
    </row>
    <row r="165" spans="1:2" x14ac:dyDescent="0.45">
      <c r="A165" s="720" t="s">
        <v>1653</v>
      </c>
    </row>
    <row r="166" spans="1:2" x14ac:dyDescent="0.45">
      <c r="A166" s="671" t="s">
        <v>1625</v>
      </c>
      <c r="B166" s="797" t="s">
        <v>1654</v>
      </c>
    </row>
    <row r="167" spans="1:2" x14ac:dyDescent="0.45">
      <c r="A167" s="782" t="s">
        <v>1655</v>
      </c>
      <c r="B167" s="797" t="s">
        <v>1656</v>
      </c>
    </row>
    <row r="168" spans="1:2" x14ac:dyDescent="0.45">
      <c r="A168" s="788" t="s">
        <v>1657</v>
      </c>
      <c r="B168" s="797" t="s">
        <v>1658</v>
      </c>
    </row>
    <row r="170" spans="1:2" x14ac:dyDescent="0.45">
      <c r="A170" s="720" t="s">
        <v>1659</v>
      </c>
    </row>
    <row r="171" spans="1:2" x14ac:dyDescent="0.45">
      <c r="A171" s="671" t="s">
        <v>1625</v>
      </c>
      <c r="B171" s="797" t="s">
        <v>1660</v>
      </c>
    </row>
    <row r="172" spans="1:2" x14ac:dyDescent="0.45">
      <c r="A172" s="671" t="s">
        <v>1625</v>
      </c>
      <c r="B172" s="797" t="s">
        <v>1661</v>
      </c>
    </row>
    <row r="173" spans="1:2" x14ac:dyDescent="0.45">
      <c r="A173" s="671" t="s">
        <v>1662</v>
      </c>
      <c r="B173" s="797" t="s">
        <v>1663</v>
      </c>
    </row>
    <row r="174" spans="1:2" x14ac:dyDescent="0.45">
      <c r="A174" s="671" t="s">
        <v>1662</v>
      </c>
      <c r="B174" s="797" t="s">
        <v>1664</v>
      </c>
    </row>
    <row r="176" spans="1:2" x14ac:dyDescent="0.45">
      <c r="A176" s="720" t="s">
        <v>1665</v>
      </c>
    </row>
    <row r="177" spans="1:2" x14ac:dyDescent="0.45">
      <c r="A177" s="671" t="s">
        <v>1666</v>
      </c>
      <c r="B177" s="797" t="s">
        <v>1667</v>
      </c>
    </row>
    <row r="178" spans="1:2" x14ac:dyDescent="0.45">
      <c r="A178" s="671" t="s">
        <v>1668</v>
      </c>
      <c r="B178" s="797" t="s">
        <v>1669</v>
      </c>
    </row>
    <row r="179" spans="1:2" x14ac:dyDescent="0.45">
      <c r="A179" s="671" t="s">
        <v>932</v>
      </c>
      <c r="B179" s="797" t="s">
        <v>1670</v>
      </c>
    </row>
    <row r="182" spans="1:2" ht="15.75" customHeight="1" x14ac:dyDescent="0.5">
      <c r="A182" s="780" t="s">
        <v>1671</v>
      </c>
    </row>
    <row r="184" spans="1:2" x14ac:dyDescent="0.45">
      <c r="A184" s="789" t="s">
        <v>1672</v>
      </c>
    </row>
    <row r="185" spans="1:2" x14ac:dyDescent="0.45">
      <c r="A185" s="790" t="s">
        <v>1673</v>
      </c>
    </row>
    <row r="186" spans="1:2" ht="21" customHeight="1" x14ac:dyDescent="0.65">
      <c r="A186" s="791" t="s">
        <v>1323</v>
      </c>
    </row>
    <row r="188" spans="1:2" x14ac:dyDescent="0.45">
      <c r="A188" s="792" t="s">
        <v>1674</v>
      </c>
    </row>
    <row r="189" spans="1:2" x14ac:dyDescent="0.45">
      <c r="A189" s="793" t="s">
        <v>1675</v>
      </c>
    </row>
    <row r="190" spans="1:2" ht="21" customHeight="1" x14ac:dyDescent="0.65">
      <c r="A190" s="791" t="s">
        <v>1323</v>
      </c>
    </row>
    <row r="192" spans="1:2" x14ac:dyDescent="0.45">
      <c r="A192" s="792" t="s">
        <v>1676</v>
      </c>
    </row>
    <row r="194" spans="1:5" x14ac:dyDescent="0.45">
      <c r="A194" s="723" t="s">
        <v>1677</v>
      </c>
      <c r="B194" s="801" t="s">
        <v>1678</v>
      </c>
      <c r="C194" s="777" t="s">
        <v>1679</v>
      </c>
      <c r="D194" s="794" t="s">
        <v>1678</v>
      </c>
      <c r="E194" s="777" t="s">
        <v>1680</v>
      </c>
    </row>
    <row r="195" spans="1:5" ht="21" customHeight="1" x14ac:dyDescent="0.65">
      <c r="A195" s="791" t="s">
        <v>1323</v>
      </c>
    </row>
    <row r="196" spans="1:5" x14ac:dyDescent="0.45">
      <c r="A196" s="723" t="s">
        <v>1681</v>
      </c>
      <c r="B196" s="801" t="s">
        <v>1678</v>
      </c>
      <c r="C196" s="777" t="s">
        <v>1682</v>
      </c>
      <c r="D196" s="794" t="s">
        <v>1678</v>
      </c>
      <c r="E196" s="777" t="s">
        <v>1683</v>
      </c>
    </row>
    <row r="197" spans="1:5" ht="21" customHeight="1" x14ac:dyDescent="0.65">
      <c r="A197" s="791" t="s">
        <v>1323</v>
      </c>
    </row>
    <row r="198" spans="1:5" x14ac:dyDescent="0.45">
      <c r="A198" s="723" t="s">
        <v>1684</v>
      </c>
      <c r="B198" s="801" t="s">
        <v>1678</v>
      </c>
      <c r="C198" s="777" t="s">
        <v>1685</v>
      </c>
      <c r="D198" s="794" t="s">
        <v>1678</v>
      </c>
      <c r="E198" s="777" t="s">
        <v>1686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0"/>
  <sheetViews>
    <sheetView workbookViewId="0">
      <pane ySplit="2" topLeftCell="A3" activePane="bottomLeft" state="frozen"/>
      <selection pane="bottomLeft" activeCell="A192" sqref="A192:C192"/>
    </sheetView>
  </sheetViews>
  <sheetFormatPr defaultRowHeight="14.25" x14ac:dyDescent="0.45"/>
  <cols>
    <col min="1" max="1" width="10.3984375" customWidth="1"/>
    <col min="2" max="2" width="26.73046875" customWidth="1"/>
    <col min="3" max="3" width="34.265625" customWidth="1"/>
    <col min="4" max="4" width="41.86328125" style="797" customWidth="1"/>
    <col min="5" max="5" width="11.3984375" customWidth="1"/>
    <col min="6" max="6" width="10.3984375" customWidth="1"/>
    <col min="7" max="7" width="32.3984375" style="797" customWidth="1"/>
    <col min="8" max="8" width="19" customWidth="1"/>
    <col min="9" max="9" width="30.3984375" style="797" customWidth="1"/>
    <col min="10" max="10" width="36.1328125" bestFit="1" customWidth="1"/>
    <col min="11" max="11" width="35.265625" bestFit="1" customWidth="1"/>
    <col min="12" max="13" width="12.3984375" customWidth="1"/>
    <col min="14" max="14" width="13.265625" customWidth="1"/>
    <col min="15" max="15" width="14.265625" customWidth="1"/>
    <col min="16" max="16" width="16.1328125" customWidth="1"/>
    <col min="17" max="17" width="14.265625" customWidth="1"/>
    <col min="18" max="18" width="11.3984375" customWidth="1"/>
    <col min="19" max="19" width="47.59765625" style="797" customWidth="1"/>
    <col min="20" max="20" width="13.265625" customWidth="1"/>
    <col min="21" max="21" width="22.86328125" customWidth="1"/>
  </cols>
  <sheetData>
    <row r="1" spans="1:17" ht="21.95" customHeight="1" x14ac:dyDescent="0.55000000000000004">
      <c r="A1" s="924" t="s">
        <v>1687</v>
      </c>
      <c r="B1" s="917"/>
      <c r="C1" s="917"/>
      <c r="D1" s="925"/>
      <c r="E1" s="917"/>
      <c r="F1" s="917"/>
      <c r="G1" s="925"/>
      <c r="H1" s="917"/>
      <c r="I1" s="925"/>
      <c r="J1" s="917"/>
      <c r="K1" s="917"/>
      <c r="L1" s="917"/>
      <c r="M1" s="917"/>
      <c r="N1" s="917"/>
      <c r="O1" s="917"/>
      <c r="P1" s="917"/>
      <c r="Q1" s="917"/>
    </row>
    <row r="2" spans="1:17" x14ac:dyDescent="0.45">
      <c r="A2" s="823" t="s">
        <v>1688</v>
      </c>
    </row>
    <row r="4" spans="1:17" ht="15.75" customHeight="1" x14ac:dyDescent="0.5">
      <c r="A4" s="923" t="s">
        <v>1689</v>
      </c>
      <c r="B4" s="917"/>
      <c r="C4" s="917"/>
    </row>
    <row r="5" spans="1:17" x14ac:dyDescent="0.45">
      <c r="A5" s="759" t="s">
        <v>1690</v>
      </c>
    </row>
    <row r="6" spans="1:17" x14ac:dyDescent="0.45">
      <c r="A6" s="759" t="s">
        <v>1691</v>
      </c>
    </row>
    <row r="7" spans="1:17" x14ac:dyDescent="0.45">
      <c r="A7" s="759" t="s">
        <v>1692</v>
      </c>
    </row>
    <row r="9" spans="1:17" x14ac:dyDescent="0.45">
      <c r="A9" s="824" t="s">
        <v>1693</v>
      </c>
    </row>
    <row r="10" spans="1:17" x14ac:dyDescent="0.45">
      <c r="A10" s="825" t="s">
        <v>1694</v>
      </c>
    </row>
    <row r="12" spans="1:17" x14ac:dyDescent="0.45">
      <c r="A12" s="826" t="s">
        <v>1695</v>
      </c>
    </row>
    <row r="13" spans="1:17" ht="21.95" customHeight="1" x14ac:dyDescent="0.5">
      <c r="A13" s="923" t="s">
        <v>1696</v>
      </c>
      <c r="B13" s="917"/>
      <c r="C13" s="917"/>
    </row>
    <row r="14" spans="1:17" x14ac:dyDescent="0.45">
      <c r="A14" s="827" t="s">
        <v>1697</v>
      </c>
    </row>
    <row r="15" spans="1:17" x14ac:dyDescent="0.45">
      <c r="A15" s="822" t="s">
        <v>1698</v>
      </c>
    </row>
    <row r="17" spans="1:19" ht="15.75" customHeight="1" thickBot="1" x14ac:dyDescent="0.5">
      <c r="A17" s="838" t="s">
        <v>1699</v>
      </c>
      <c r="B17" s="838" t="s">
        <v>1700</v>
      </c>
      <c r="C17" s="838" t="s">
        <v>1701</v>
      </c>
      <c r="D17" s="840" t="s">
        <v>835</v>
      </c>
      <c r="E17" s="838" t="s">
        <v>1702</v>
      </c>
      <c r="F17" s="838" t="s">
        <v>1703</v>
      </c>
      <c r="G17" s="840" t="s">
        <v>1704</v>
      </c>
      <c r="H17" s="838" t="s">
        <v>1705</v>
      </c>
      <c r="I17" s="840" t="s">
        <v>1414</v>
      </c>
      <c r="J17" s="838" t="s">
        <v>1706</v>
      </c>
      <c r="K17" s="838" t="s">
        <v>1707</v>
      </c>
      <c r="L17" s="838" t="s">
        <v>1708</v>
      </c>
      <c r="M17" s="838" t="s">
        <v>1709</v>
      </c>
      <c r="N17" s="838" t="s">
        <v>1710</v>
      </c>
      <c r="O17" s="838" t="s">
        <v>1711</v>
      </c>
      <c r="P17" s="838" t="s">
        <v>1712</v>
      </c>
      <c r="Q17" s="838" t="s">
        <v>1713</v>
      </c>
      <c r="R17" s="838" t="s">
        <v>1714</v>
      </c>
      <c r="S17" s="840" t="s">
        <v>1715</v>
      </c>
    </row>
    <row r="18" spans="1:19" x14ac:dyDescent="0.45">
      <c r="A18" s="828" t="s">
        <v>1716</v>
      </c>
      <c r="B18" s="828" t="s">
        <v>1717</v>
      </c>
      <c r="C18" s="829"/>
      <c r="D18" s="841"/>
      <c r="E18" s="829"/>
      <c r="F18" s="829"/>
      <c r="G18" s="841"/>
      <c r="H18" s="829"/>
      <c r="I18" s="841"/>
      <c r="J18" s="829"/>
      <c r="K18" s="829"/>
      <c r="L18" s="829"/>
      <c r="M18" s="829"/>
      <c r="N18" s="829"/>
      <c r="O18" s="829"/>
      <c r="P18" s="829"/>
      <c r="Q18" s="829"/>
      <c r="R18" s="829"/>
      <c r="S18" s="841"/>
    </row>
    <row r="19" spans="1:19" ht="30" customHeight="1" x14ac:dyDescent="0.45">
      <c r="A19" t="s">
        <v>1718</v>
      </c>
      <c r="B19" t="s">
        <v>769</v>
      </c>
      <c r="C19" t="s">
        <v>1719</v>
      </c>
      <c r="D19" s="797" t="s">
        <v>1720</v>
      </c>
      <c r="E19" t="s">
        <v>1353</v>
      </c>
      <c r="F19" t="s">
        <v>1399</v>
      </c>
      <c r="G19" s="797" t="s">
        <v>1721</v>
      </c>
      <c r="H19" t="s">
        <v>1722</v>
      </c>
      <c r="I19" s="797" t="s">
        <v>1723</v>
      </c>
      <c r="J19" t="s">
        <v>940</v>
      </c>
      <c r="K19" t="s">
        <v>1724</v>
      </c>
      <c r="L19" t="s">
        <v>1725</v>
      </c>
      <c r="M19" t="s">
        <v>245</v>
      </c>
      <c r="N19" t="s">
        <v>245</v>
      </c>
      <c r="O19" t="s">
        <v>245</v>
      </c>
      <c r="P19" t="s">
        <v>245</v>
      </c>
      <c r="Q19" t="s">
        <v>245</v>
      </c>
      <c r="R19" t="s">
        <v>1726</v>
      </c>
      <c r="S19" s="797" t="s">
        <v>1727</v>
      </c>
    </row>
    <row r="20" spans="1:19" ht="30" customHeight="1" x14ac:dyDescent="0.45">
      <c r="A20" t="s">
        <v>1728</v>
      </c>
      <c r="B20" t="s">
        <v>1729</v>
      </c>
      <c r="C20" t="s">
        <v>1730</v>
      </c>
      <c r="D20" s="797" t="s">
        <v>1731</v>
      </c>
      <c r="E20" t="s">
        <v>1353</v>
      </c>
      <c r="F20" t="s">
        <v>1399</v>
      </c>
      <c r="G20" s="797" t="s">
        <v>1721</v>
      </c>
      <c r="H20" t="s">
        <v>1722</v>
      </c>
      <c r="I20" s="797" t="s">
        <v>1732</v>
      </c>
      <c r="J20" t="s">
        <v>940</v>
      </c>
      <c r="K20" t="s">
        <v>1733</v>
      </c>
      <c r="L20" t="s">
        <v>1725</v>
      </c>
      <c r="M20" t="s">
        <v>245</v>
      </c>
      <c r="N20" t="s">
        <v>245</v>
      </c>
      <c r="O20" t="s">
        <v>245</v>
      </c>
      <c r="P20" t="s">
        <v>245</v>
      </c>
      <c r="Q20" t="s">
        <v>245</v>
      </c>
      <c r="R20" t="s">
        <v>1726</v>
      </c>
      <c r="S20" s="797" t="s">
        <v>1734</v>
      </c>
    </row>
    <row r="21" spans="1:19" ht="30" customHeight="1" x14ac:dyDescent="0.45">
      <c r="A21" t="s">
        <v>1735</v>
      </c>
      <c r="B21" t="s">
        <v>650</v>
      </c>
      <c r="C21" t="s">
        <v>1736</v>
      </c>
      <c r="D21" s="797" t="s">
        <v>1737</v>
      </c>
      <c r="E21" t="s">
        <v>1738</v>
      </c>
      <c r="F21" t="s">
        <v>1399</v>
      </c>
      <c r="G21" s="797" t="s">
        <v>1739</v>
      </c>
      <c r="H21" t="s">
        <v>239</v>
      </c>
      <c r="I21" s="797" t="s">
        <v>1740</v>
      </c>
      <c r="J21" t="s">
        <v>929</v>
      </c>
      <c r="K21" t="s">
        <v>1741</v>
      </c>
      <c r="L21" t="s">
        <v>1725</v>
      </c>
      <c r="M21" t="s">
        <v>245</v>
      </c>
      <c r="N21" t="s">
        <v>245</v>
      </c>
      <c r="O21" t="s">
        <v>1742</v>
      </c>
      <c r="P21" t="s">
        <v>1399</v>
      </c>
      <c r="Q21" t="s">
        <v>1399</v>
      </c>
      <c r="R21" t="s">
        <v>1743</v>
      </c>
      <c r="S21" s="847" t="s">
        <v>1744</v>
      </c>
    </row>
    <row r="22" spans="1:19" ht="30" customHeight="1" x14ac:dyDescent="0.45">
      <c r="A22" t="s">
        <v>1745</v>
      </c>
      <c r="B22" t="s">
        <v>96</v>
      </c>
      <c r="C22" t="s">
        <v>1746</v>
      </c>
      <c r="D22" s="797" t="s">
        <v>1747</v>
      </c>
      <c r="E22" t="s">
        <v>1738</v>
      </c>
      <c r="F22" t="s">
        <v>1399</v>
      </c>
      <c r="G22" s="797" t="s">
        <v>1748</v>
      </c>
      <c r="H22" t="s">
        <v>690</v>
      </c>
      <c r="I22" s="797" t="s">
        <v>1749</v>
      </c>
      <c r="J22" t="s">
        <v>929</v>
      </c>
      <c r="K22" t="s">
        <v>1750</v>
      </c>
      <c r="L22" t="s">
        <v>1725</v>
      </c>
      <c r="M22" t="s">
        <v>1399</v>
      </c>
      <c r="N22" t="s">
        <v>245</v>
      </c>
      <c r="O22" t="s">
        <v>245</v>
      </c>
      <c r="P22" t="s">
        <v>1751</v>
      </c>
      <c r="Q22" t="s">
        <v>245</v>
      </c>
      <c r="R22" t="s">
        <v>1743</v>
      </c>
      <c r="S22" s="797" t="s">
        <v>1752</v>
      </c>
    </row>
    <row r="23" spans="1:19" ht="30" customHeight="1" x14ac:dyDescent="0.45">
      <c r="A23" t="s">
        <v>1753</v>
      </c>
      <c r="B23" t="s">
        <v>660</v>
      </c>
      <c r="C23" t="s">
        <v>1754</v>
      </c>
      <c r="D23" s="797" t="s">
        <v>1755</v>
      </c>
      <c r="E23" t="s">
        <v>1738</v>
      </c>
      <c r="F23" t="s">
        <v>1399</v>
      </c>
      <c r="G23" s="797" t="s">
        <v>1756</v>
      </c>
      <c r="H23" t="s">
        <v>1722</v>
      </c>
      <c r="I23" s="797" t="s">
        <v>1757</v>
      </c>
      <c r="J23" t="s">
        <v>929</v>
      </c>
      <c r="K23" t="s">
        <v>1758</v>
      </c>
      <c r="L23" t="s">
        <v>1725</v>
      </c>
      <c r="M23" t="s">
        <v>245</v>
      </c>
      <c r="N23" t="s">
        <v>1759</v>
      </c>
      <c r="O23" t="s">
        <v>245</v>
      </c>
      <c r="P23" t="s">
        <v>1760</v>
      </c>
      <c r="Q23" t="s">
        <v>1399</v>
      </c>
      <c r="R23" t="s">
        <v>1743</v>
      </c>
      <c r="S23" s="797" t="s">
        <v>1761</v>
      </c>
    </row>
    <row r="24" spans="1:19" ht="30" customHeight="1" x14ac:dyDescent="0.45">
      <c r="A24" t="s">
        <v>1762</v>
      </c>
      <c r="B24" t="s">
        <v>1763</v>
      </c>
      <c r="C24" t="s">
        <v>1764</v>
      </c>
      <c r="D24" s="797" t="s">
        <v>1765</v>
      </c>
      <c r="E24" t="s">
        <v>1738</v>
      </c>
      <c r="F24" t="s">
        <v>1399</v>
      </c>
      <c r="G24" s="797" t="s">
        <v>1766</v>
      </c>
      <c r="H24" t="s">
        <v>245</v>
      </c>
      <c r="I24" s="797" t="s">
        <v>1749</v>
      </c>
      <c r="J24" t="s">
        <v>1767</v>
      </c>
      <c r="K24" t="s">
        <v>7</v>
      </c>
      <c r="L24" t="s">
        <v>1768</v>
      </c>
      <c r="M24" t="s">
        <v>1399</v>
      </c>
      <c r="N24" t="s">
        <v>1769</v>
      </c>
      <c r="O24" t="s">
        <v>245</v>
      </c>
      <c r="P24" t="s">
        <v>245</v>
      </c>
      <c r="Q24" t="s">
        <v>245</v>
      </c>
      <c r="R24" t="s">
        <v>1726</v>
      </c>
      <c r="S24" s="797" t="s">
        <v>1770</v>
      </c>
    </row>
    <row r="25" spans="1:19" ht="30" customHeight="1" x14ac:dyDescent="0.45">
      <c r="A25" t="s">
        <v>1771</v>
      </c>
      <c r="B25" t="s">
        <v>1772</v>
      </c>
      <c r="C25" t="s">
        <v>1773</v>
      </c>
      <c r="D25" s="797" t="s">
        <v>1774</v>
      </c>
      <c r="E25" t="s">
        <v>1738</v>
      </c>
      <c r="F25" t="s">
        <v>245</v>
      </c>
      <c r="G25" s="797" t="s">
        <v>1775</v>
      </c>
      <c r="H25" t="s">
        <v>1776</v>
      </c>
      <c r="I25" s="797" t="s">
        <v>1749</v>
      </c>
      <c r="J25" t="s">
        <v>1767</v>
      </c>
      <c r="K25" t="s">
        <v>1777</v>
      </c>
      <c r="L25" t="s">
        <v>1768</v>
      </c>
      <c r="M25" t="s">
        <v>1399</v>
      </c>
      <c r="N25" t="s">
        <v>245</v>
      </c>
      <c r="O25" t="s">
        <v>245</v>
      </c>
      <c r="P25" t="s">
        <v>1778</v>
      </c>
      <c r="Q25" t="s">
        <v>1399</v>
      </c>
      <c r="R25" t="s">
        <v>1779</v>
      </c>
      <c r="S25" s="797" t="s">
        <v>1780</v>
      </c>
    </row>
    <row r="26" spans="1:19" x14ac:dyDescent="0.45">
      <c r="A26" s="828" t="s">
        <v>1716</v>
      </c>
      <c r="B26" s="828" t="s">
        <v>1781</v>
      </c>
      <c r="C26" s="829"/>
      <c r="D26" s="841"/>
      <c r="E26" s="829"/>
      <c r="F26" s="829"/>
      <c r="G26" s="841"/>
      <c r="H26" s="829"/>
      <c r="I26" s="841"/>
      <c r="J26" s="829"/>
      <c r="K26" s="829"/>
      <c r="L26" s="829"/>
      <c r="M26" s="829"/>
      <c r="N26" s="829"/>
      <c r="O26" s="829"/>
      <c r="P26" s="829"/>
      <c r="Q26" s="829"/>
      <c r="R26" s="829"/>
      <c r="S26" s="841"/>
    </row>
    <row r="27" spans="1:19" ht="30" customHeight="1" x14ac:dyDescent="0.45">
      <c r="A27" t="s">
        <v>1782</v>
      </c>
      <c r="B27" t="s">
        <v>718</v>
      </c>
      <c r="C27" t="s">
        <v>1783</v>
      </c>
      <c r="D27" s="797" t="s">
        <v>1784</v>
      </c>
      <c r="E27" t="s">
        <v>1492</v>
      </c>
      <c r="F27" t="s">
        <v>1399</v>
      </c>
      <c r="G27" s="797" t="s">
        <v>1785</v>
      </c>
      <c r="H27" t="s">
        <v>1722</v>
      </c>
      <c r="I27" s="797" t="s">
        <v>1786</v>
      </c>
      <c r="J27" t="s">
        <v>940</v>
      </c>
      <c r="K27" t="s">
        <v>1787</v>
      </c>
      <c r="L27" t="s">
        <v>1725</v>
      </c>
      <c r="M27" t="s">
        <v>245</v>
      </c>
      <c r="N27" t="s">
        <v>245</v>
      </c>
      <c r="O27" t="s">
        <v>245</v>
      </c>
      <c r="P27" t="s">
        <v>245</v>
      </c>
      <c r="Q27" t="s">
        <v>245</v>
      </c>
      <c r="R27" t="s">
        <v>1779</v>
      </c>
      <c r="S27" s="797" t="s">
        <v>1788</v>
      </c>
    </row>
    <row r="28" spans="1:19" ht="45" customHeight="1" x14ac:dyDescent="0.45">
      <c r="A28" t="s">
        <v>1789</v>
      </c>
      <c r="B28" t="s">
        <v>719</v>
      </c>
      <c r="C28" t="s">
        <v>1790</v>
      </c>
      <c r="D28" s="797" t="s">
        <v>1791</v>
      </c>
      <c r="E28" t="s">
        <v>1492</v>
      </c>
      <c r="F28" t="s">
        <v>1399</v>
      </c>
      <c r="G28" s="797" t="s">
        <v>1785</v>
      </c>
      <c r="H28" t="s">
        <v>1722</v>
      </c>
      <c r="I28" s="797" t="s">
        <v>1792</v>
      </c>
      <c r="J28" t="s">
        <v>940</v>
      </c>
      <c r="K28" t="s">
        <v>1793</v>
      </c>
      <c r="L28" t="s">
        <v>1725</v>
      </c>
      <c r="M28" t="s">
        <v>245</v>
      </c>
      <c r="N28" t="s">
        <v>245</v>
      </c>
      <c r="O28" t="s">
        <v>1794</v>
      </c>
      <c r="P28" t="s">
        <v>245</v>
      </c>
      <c r="Q28" t="s">
        <v>1399</v>
      </c>
      <c r="R28" t="s">
        <v>1779</v>
      </c>
      <c r="S28" s="797" t="s">
        <v>1795</v>
      </c>
    </row>
    <row r="29" spans="1:19" ht="30" customHeight="1" x14ac:dyDescent="0.45">
      <c r="A29" t="s">
        <v>1796</v>
      </c>
      <c r="B29" t="s">
        <v>1136</v>
      </c>
      <c r="C29" t="s">
        <v>1797</v>
      </c>
      <c r="D29" s="797" t="s">
        <v>1798</v>
      </c>
      <c r="E29" t="s">
        <v>1492</v>
      </c>
      <c r="F29" t="s">
        <v>1399</v>
      </c>
      <c r="G29" s="797" t="s">
        <v>1799</v>
      </c>
      <c r="H29">
        <v>0</v>
      </c>
      <c r="I29" s="797" t="s">
        <v>1799</v>
      </c>
      <c r="J29" t="s">
        <v>940</v>
      </c>
      <c r="K29" t="s">
        <v>1800</v>
      </c>
      <c r="L29" t="s">
        <v>1725</v>
      </c>
      <c r="M29" t="s">
        <v>245</v>
      </c>
      <c r="N29" t="s">
        <v>245</v>
      </c>
      <c r="O29" t="s">
        <v>245</v>
      </c>
      <c r="P29" t="s">
        <v>245</v>
      </c>
      <c r="Q29" t="s">
        <v>1399</v>
      </c>
      <c r="R29" t="s">
        <v>1779</v>
      </c>
      <c r="S29" s="797" t="s">
        <v>1801</v>
      </c>
    </row>
    <row r="30" spans="1:19" ht="30" customHeight="1" x14ac:dyDescent="0.45">
      <c r="A30" t="s">
        <v>1802</v>
      </c>
      <c r="B30" t="s">
        <v>1138</v>
      </c>
      <c r="C30" t="s">
        <v>1803</v>
      </c>
      <c r="D30" s="797" t="s">
        <v>1804</v>
      </c>
      <c r="E30" t="s">
        <v>1492</v>
      </c>
      <c r="F30" t="s">
        <v>1399</v>
      </c>
      <c r="G30" s="797" t="s">
        <v>1799</v>
      </c>
      <c r="H30">
        <v>0</v>
      </c>
      <c r="I30" s="797" t="s">
        <v>1805</v>
      </c>
      <c r="J30" t="s">
        <v>940</v>
      </c>
      <c r="K30" t="s">
        <v>1806</v>
      </c>
      <c r="L30" t="s">
        <v>1725</v>
      </c>
      <c r="M30" t="s">
        <v>245</v>
      </c>
      <c r="N30" t="s">
        <v>245</v>
      </c>
      <c r="O30" t="s">
        <v>245</v>
      </c>
      <c r="P30" t="s">
        <v>245</v>
      </c>
      <c r="Q30" t="s">
        <v>1399</v>
      </c>
      <c r="R30" t="s">
        <v>1779</v>
      </c>
      <c r="S30" s="797" t="s">
        <v>1807</v>
      </c>
    </row>
    <row r="31" spans="1:19" ht="30" customHeight="1" x14ac:dyDescent="0.45">
      <c r="A31" t="s">
        <v>1808</v>
      </c>
      <c r="B31" t="s">
        <v>721</v>
      </c>
      <c r="C31" t="s">
        <v>1809</v>
      </c>
      <c r="D31" s="797" t="s">
        <v>1810</v>
      </c>
      <c r="E31" t="s">
        <v>1492</v>
      </c>
      <c r="F31" t="s">
        <v>1399</v>
      </c>
      <c r="G31" s="797" t="s">
        <v>1799</v>
      </c>
      <c r="H31">
        <v>0</v>
      </c>
      <c r="I31" s="797" t="s">
        <v>1799</v>
      </c>
      <c r="J31" t="s">
        <v>940</v>
      </c>
      <c r="K31" t="s">
        <v>1750</v>
      </c>
      <c r="L31" t="s">
        <v>1725</v>
      </c>
      <c r="M31" t="s">
        <v>245</v>
      </c>
      <c r="N31" t="s">
        <v>245</v>
      </c>
      <c r="O31" t="s">
        <v>245</v>
      </c>
      <c r="P31" t="s">
        <v>245</v>
      </c>
      <c r="Q31" t="s">
        <v>1399</v>
      </c>
      <c r="R31" t="s">
        <v>1779</v>
      </c>
      <c r="S31" s="797" t="s">
        <v>1811</v>
      </c>
    </row>
    <row r="32" spans="1:19" ht="45" customHeight="1" x14ac:dyDescent="0.45">
      <c r="A32" t="s">
        <v>1812</v>
      </c>
      <c r="B32" t="s">
        <v>1813</v>
      </c>
      <c r="C32" t="s">
        <v>1814</v>
      </c>
      <c r="D32" s="797" t="s">
        <v>1815</v>
      </c>
      <c r="E32" t="s">
        <v>1492</v>
      </c>
      <c r="F32" t="s">
        <v>1399</v>
      </c>
      <c r="G32" s="797" t="s">
        <v>1785</v>
      </c>
      <c r="H32" t="s">
        <v>1722</v>
      </c>
      <c r="I32" s="797" t="s">
        <v>1816</v>
      </c>
      <c r="J32" t="s">
        <v>940</v>
      </c>
      <c r="K32" t="s">
        <v>1817</v>
      </c>
      <c r="L32" t="s">
        <v>1725</v>
      </c>
      <c r="M32" t="s">
        <v>245</v>
      </c>
      <c r="N32" t="s">
        <v>245</v>
      </c>
      <c r="O32" t="s">
        <v>245</v>
      </c>
      <c r="P32" t="s">
        <v>1399</v>
      </c>
      <c r="Q32" t="s">
        <v>1399</v>
      </c>
      <c r="R32" t="s">
        <v>1818</v>
      </c>
      <c r="S32" s="797" t="s">
        <v>1819</v>
      </c>
    </row>
    <row r="33" spans="1:19" ht="30" customHeight="1" x14ac:dyDescent="0.45">
      <c r="A33" t="s">
        <v>1820</v>
      </c>
      <c r="B33" t="s">
        <v>1282</v>
      </c>
      <c r="C33" t="s">
        <v>1821</v>
      </c>
      <c r="D33" s="797" t="s">
        <v>1822</v>
      </c>
      <c r="E33" t="s">
        <v>1492</v>
      </c>
      <c r="F33" t="s">
        <v>1399</v>
      </c>
      <c r="G33" s="797" t="s">
        <v>1785</v>
      </c>
      <c r="H33" t="s">
        <v>1722</v>
      </c>
      <c r="I33" s="797" t="s">
        <v>1823</v>
      </c>
      <c r="J33" t="s">
        <v>940</v>
      </c>
      <c r="K33" t="s">
        <v>1741</v>
      </c>
      <c r="L33" t="s">
        <v>1725</v>
      </c>
      <c r="M33" t="s">
        <v>245</v>
      </c>
      <c r="N33" t="s">
        <v>245</v>
      </c>
      <c r="O33" t="s">
        <v>245</v>
      </c>
      <c r="P33" t="s">
        <v>245</v>
      </c>
      <c r="Q33" t="s">
        <v>245</v>
      </c>
      <c r="R33" t="s">
        <v>1779</v>
      </c>
      <c r="S33" s="797" t="s">
        <v>1824</v>
      </c>
    </row>
    <row r="34" spans="1:19" x14ac:dyDescent="0.45">
      <c r="A34" t="s">
        <v>1825</v>
      </c>
      <c r="B34" t="s">
        <v>723</v>
      </c>
      <c r="C34" t="s">
        <v>1826</v>
      </c>
      <c r="D34" s="797" t="s">
        <v>1827</v>
      </c>
      <c r="E34" t="s">
        <v>1492</v>
      </c>
      <c r="F34" t="s">
        <v>1399</v>
      </c>
      <c r="G34" s="797" t="s">
        <v>1799</v>
      </c>
      <c r="H34">
        <v>0</v>
      </c>
      <c r="I34" s="797" t="s">
        <v>1799</v>
      </c>
      <c r="J34" t="s">
        <v>940</v>
      </c>
      <c r="K34" t="s">
        <v>1828</v>
      </c>
      <c r="L34" t="s">
        <v>1725</v>
      </c>
      <c r="M34" t="s">
        <v>245</v>
      </c>
      <c r="N34" t="s">
        <v>245</v>
      </c>
      <c r="O34" t="s">
        <v>245</v>
      </c>
      <c r="P34" t="s">
        <v>245</v>
      </c>
      <c r="Q34" t="s">
        <v>1399</v>
      </c>
      <c r="R34" t="s">
        <v>1779</v>
      </c>
      <c r="S34" s="797" t="s">
        <v>1829</v>
      </c>
    </row>
    <row r="35" spans="1:19" x14ac:dyDescent="0.45">
      <c r="A35" t="s">
        <v>1830</v>
      </c>
      <c r="B35" t="s">
        <v>66</v>
      </c>
      <c r="C35" t="s">
        <v>1831</v>
      </c>
      <c r="D35" s="797" t="s">
        <v>1832</v>
      </c>
      <c r="E35" t="s">
        <v>1833</v>
      </c>
      <c r="F35" t="s">
        <v>245</v>
      </c>
      <c r="G35" s="797" t="s">
        <v>1785</v>
      </c>
      <c r="H35" t="s">
        <v>1722</v>
      </c>
      <c r="I35" s="797" t="s">
        <v>1834</v>
      </c>
      <c r="J35" t="s">
        <v>940</v>
      </c>
      <c r="K35" t="s">
        <v>1835</v>
      </c>
      <c r="L35" t="s">
        <v>1725</v>
      </c>
      <c r="M35" t="s">
        <v>1399</v>
      </c>
      <c r="N35" t="s">
        <v>245</v>
      </c>
      <c r="O35" t="s">
        <v>245</v>
      </c>
      <c r="P35" t="s">
        <v>245</v>
      </c>
      <c r="Q35" t="s">
        <v>245</v>
      </c>
      <c r="R35" t="s">
        <v>1779</v>
      </c>
      <c r="S35" s="797" t="s">
        <v>1836</v>
      </c>
    </row>
    <row r="36" spans="1:19" x14ac:dyDescent="0.45">
      <c r="A36" s="828" t="s">
        <v>1716</v>
      </c>
      <c r="B36" s="828" t="s">
        <v>1837</v>
      </c>
      <c r="C36" s="829"/>
      <c r="D36" s="841"/>
      <c r="E36" s="829"/>
      <c r="F36" s="829"/>
      <c r="G36" s="841"/>
      <c r="H36" s="829"/>
      <c r="I36" s="841"/>
      <c r="J36" s="829"/>
      <c r="K36" s="829"/>
      <c r="L36" s="829"/>
      <c r="M36" s="829"/>
      <c r="N36" s="829"/>
      <c r="O36" s="829"/>
      <c r="P36" s="829"/>
      <c r="Q36" s="829"/>
      <c r="R36" s="829"/>
      <c r="S36" s="841"/>
    </row>
    <row r="37" spans="1:19" ht="30" customHeight="1" x14ac:dyDescent="0.45">
      <c r="A37" t="s">
        <v>1838</v>
      </c>
      <c r="B37" t="s">
        <v>651</v>
      </c>
      <c r="C37" t="s">
        <v>1839</v>
      </c>
      <c r="D37" s="797" t="s">
        <v>1840</v>
      </c>
      <c r="E37" t="s">
        <v>1738</v>
      </c>
      <c r="F37" t="s">
        <v>1399</v>
      </c>
      <c r="G37" s="797" t="s">
        <v>1841</v>
      </c>
      <c r="H37" t="s">
        <v>102</v>
      </c>
      <c r="I37" s="797" t="s">
        <v>1842</v>
      </c>
      <c r="J37" t="s">
        <v>929</v>
      </c>
      <c r="K37" t="s">
        <v>1828</v>
      </c>
      <c r="L37" t="s">
        <v>1725</v>
      </c>
      <c r="M37" t="s">
        <v>1399</v>
      </c>
      <c r="N37" t="s">
        <v>245</v>
      </c>
      <c r="O37" t="s">
        <v>1843</v>
      </c>
      <c r="P37" t="s">
        <v>245</v>
      </c>
      <c r="Q37" t="s">
        <v>1399</v>
      </c>
      <c r="R37" t="s">
        <v>1743</v>
      </c>
      <c r="S37" s="797" t="s">
        <v>1844</v>
      </c>
    </row>
    <row r="38" spans="1:19" ht="30" customHeight="1" x14ac:dyDescent="0.45">
      <c r="A38" t="s">
        <v>1845</v>
      </c>
      <c r="B38" t="s">
        <v>655</v>
      </c>
      <c r="C38" t="s">
        <v>1846</v>
      </c>
      <c r="D38" s="797" t="s">
        <v>1847</v>
      </c>
      <c r="E38" t="s">
        <v>1848</v>
      </c>
      <c r="F38" t="s">
        <v>1399</v>
      </c>
      <c r="G38" s="797" t="s">
        <v>1849</v>
      </c>
      <c r="H38">
        <v>1</v>
      </c>
      <c r="I38" s="797" t="s">
        <v>1850</v>
      </c>
      <c r="J38" t="s">
        <v>929</v>
      </c>
      <c r="K38" t="s">
        <v>1851</v>
      </c>
      <c r="L38" t="s">
        <v>1725</v>
      </c>
      <c r="M38" t="s">
        <v>245</v>
      </c>
      <c r="N38" t="s">
        <v>245</v>
      </c>
      <c r="O38" t="s">
        <v>1852</v>
      </c>
      <c r="P38" t="s">
        <v>245</v>
      </c>
      <c r="Q38" t="s">
        <v>1399</v>
      </c>
      <c r="R38" t="s">
        <v>1779</v>
      </c>
      <c r="S38" s="797" t="s">
        <v>1853</v>
      </c>
    </row>
    <row r="39" spans="1:19" ht="30" customHeight="1" x14ac:dyDescent="0.45">
      <c r="A39" t="s">
        <v>1854</v>
      </c>
      <c r="B39" t="s">
        <v>1150</v>
      </c>
      <c r="C39" t="s">
        <v>1855</v>
      </c>
      <c r="D39" s="797" t="s">
        <v>1856</v>
      </c>
      <c r="E39" t="s">
        <v>1738</v>
      </c>
      <c r="F39" t="s">
        <v>1399</v>
      </c>
      <c r="G39" s="797" t="s">
        <v>1857</v>
      </c>
      <c r="H39" t="s">
        <v>393</v>
      </c>
      <c r="I39" s="797" t="s">
        <v>1858</v>
      </c>
      <c r="J39" t="s">
        <v>929</v>
      </c>
      <c r="K39" t="s">
        <v>1859</v>
      </c>
      <c r="L39" t="s">
        <v>1725</v>
      </c>
      <c r="M39" t="s">
        <v>1399</v>
      </c>
      <c r="N39" t="s">
        <v>245</v>
      </c>
      <c r="O39" t="s">
        <v>1860</v>
      </c>
      <c r="P39" t="s">
        <v>245</v>
      </c>
      <c r="Q39" t="s">
        <v>1399</v>
      </c>
      <c r="R39" t="s">
        <v>1743</v>
      </c>
      <c r="S39" s="797" t="s">
        <v>1861</v>
      </c>
    </row>
    <row r="40" spans="1:19" ht="45" customHeight="1" x14ac:dyDescent="0.45">
      <c r="A40" t="s">
        <v>1862</v>
      </c>
      <c r="B40" t="s">
        <v>658</v>
      </c>
      <c r="C40" t="s">
        <v>1863</v>
      </c>
      <c r="D40" s="797" t="s">
        <v>1864</v>
      </c>
      <c r="E40" t="s">
        <v>643</v>
      </c>
      <c r="F40" t="s">
        <v>1399</v>
      </c>
      <c r="G40" s="797" t="s">
        <v>1865</v>
      </c>
      <c r="H40" t="s">
        <v>1722</v>
      </c>
      <c r="I40" s="797" t="s">
        <v>1866</v>
      </c>
      <c r="J40" t="s">
        <v>929</v>
      </c>
      <c r="K40" t="s">
        <v>1867</v>
      </c>
      <c r="L40" t="s">
        <v>1725</v>
      </c>
      <c r="M40" t="s">
        <v>245</v>
      </c>
      <c r="N40" t="s">
        <v>245</v>
      </c>
      <c r="O40" t="s">
        <v>1868</v>
      </c>
      <c r="P40" t="s">
        <v>245</v>
      </c>
      <c r="Q40" t="s">
        <v>245</v>
      </c>
      <c r="R40" t="s">
        <v>1779</v>
      </c>
      <c r="S40" s="797" t="s">
        <v>1869</v>
      </c>
    </row>
    <row r="41" spans="1:19" ht="30" customHeight="1" x14ac:dyDescent="0.45">
      <c r="A41" t="s">
        <v>1870</v>
      </c>
      <c r="B41" t="s">
        <v>141</v>
      </c>
      <c r="C41" t="s">
        <v>1871</v>
      </c>
      <c r="D41" s="797" t="s">
        <v>1872</v>
      </c>
      <c r="E41" t="s">
        <v>643</v>
      </c>
      <c r="F41" t="s">
        <v>1399</v>
      </c>
      <c r="G41" s="797" t="s">
        <v>1865</v>
      </c>
      <c r="H41" t="s">
        <v>1722</v>
      </c>
      <c r="I41" s="797" t="s">
        <v>1873</v>
      </c>
      <c r="J41" t="s">
        <v>929</v>
      </c>
      <c r="K41" t="s">
        <v>1874</v>
      </c>
      <c r="L41" t="s">
        <v>1725</v>
      </c>
      <c r="M41" t="s">
        <v>245</v>
      </c>
      <c r="N41" t="s">
        <v>245</v>
      </c>
      <c r="O41" t="s">
        <v>1875</v>
      </c>
      <c r="P41" t="s">
        <v>245</v>
      </c>
      <c r="Q41" t="s">
        <v>245</v>
      </c>
      <c r="R41" t="s">
        <v>1743</v>
      </c>
      <c r="S41" s="797" t="s">
        <v>1876</v>
      </c>
    </row>
    <row r="42" spans="1:19" ht="30" customHeight="1" x14ac:dyDescent="0.45">
      <c r="A42" t="s">
        <v>1877</v>
      </c>
      <c r="B42" t="s">
        <v>1878</v>
      </c>
      <c r="C42" t="s">
        <v>1879</v>
      </c>
      <c r="D42" s="797" t="s">
        <v>1880</v>
      </c>
      <c r="E42" t="s">
        <v>1738</v>
      </c>
      <c r="F42" t="s">
        <v>1399</v>
      </c>
      <c r="G42" s="797" t="s">
        <v>1881</v>
      </c>
      <c r="H42" t="s">
        <v>691</v>
      </c>
      <c r="I42" s="797" t="s">
        <v>1882</v>
      </c>
      <c r="J42" t="s">
        <v>929</v>
      </c>
      <c r="K42" t="s">
        <v>1883</v>
      </c>
      <c r="L42" t="s">
        <v>1725</v>
      </c>
      <c r="M42" t="s">
        <v>1399</v>
      </c>
      <c r="N42" t="s">
        <v>245</v>
      </c>
      <c r="O42" t="s">
        <v>245</v>
      </c>
      <c r="P42" t="s">
        <v>1884</v>
      </c>
      <c r="Q42" t="s">
        <v>1399</v>
      </c>
      <c r="R42" t="s">
        <v>1743</v>
      </c>
      <c r="S42" s="797" t="s">
        <v>1885</v>
      </c>
    </row>
    <row r="43" spans="1:19" ht="30" customHeight="1" x14ac:dyDescent="0.45">
      <c r="A43" t="s">
        <v>1886</v>
      </c>
      <c r="B43" t="s">
        <v>661</v>
      </c>
      <c r="C43" t="s">
        <v>1887</v>
      </c>
      <c r="D43" s="797" t="s">
        <v>1888</v>
      </c>
      <c r="E43" t="s">
        <v>1738</v>
      </c>
      <c r="F43" t="s">
        <v>1399</v>
      </c>
      <c r="G43" s="797" t="s">
        <v>1889</v>
      </c>
      <c r="H43" t="s">
        <v>692</v>
      </c>
      <c r="I43" s="797" t="s">
        <v>1890</v>
      </c>
      <c r="J43" t="s">
        <v>929</v>
      </c>
      <c r="K43" t="s">
        <v>1891</v>
      </c>
      <c r="L43" t="s">
        <v>1725</v>
      </c>
      <c r="M43" t="s">
        <v>1399</v>
      </c>
      <c r="N43" t="s">
        <v>245</v>
      </c>
      <c r="O43" t="s">
        <v>245</v>
      </c>
      <c r="P43" t="s">
        <v>245</v>
      </c>
      <c r="Q43" t="s">
        <v>245</v>
      </c>
      <c r="R43" t="s">
        <v>1743</v>
      </c>
      <c r="S43" s="797" t="s">
        <v>1892</v>
      </c>
    </row>
    <row r="44" spans="1:19" ht="30" customHeight="1" x14ac:dyDescent="0.45">
      <c r="A44" t="s">
        <v>1893</v>
      </c>
      <c r="B44" t="s">
        <v>1159</v>
      </c>
      <c r="C44" t="s">
        <v>1894</v>
      </c>
      <c r="D44" s="797" t="s">
        <v>1895</v>
      </c>
      <c r="E44" t="s">
        <v>1896</v>
      </c>
      <c r="F44" t="s">
        <v>1399</v>
      </c>
      <c r="G44" s="797" t="s">
        <v>1799</v>
      </c>
      <c r="H44">
        <v>0</v>
      </c>
      <c r="I44" s="797" t="s">
        <v>1897</v>
      </c>
      <c r="J44" t="s">
        <v>929</v>
      </c>
      <c r="K44" t="s">
        <v>1898</v>
      </c>
      <c r="L44" t="s">
        <v>1725</v>
      </c>
      <c r="M44" t="s">
        <v>245</v>
      </c>
      <c r="N44" t="s">
        <v>1899</v>
      </c>
      <c r="O44" t="s">
        <v>1900</v>
      </c>
      <c r="P44" t="s">
        <v>245</v>
      </c>
      <c r="Q44" t="s">
        <v>1399</v>
      </c>
      <c r="R44" t="s">
        <v>1743</v>
      </c>
      <c r="S44" s="797" t="s">
        <v>1901</v>
      </c>
    </row>
    <row r="45" spans="1:19" x14ac:dyDescent="0.45">
      <c r="A45" t="s">
        <v>1902</v>
      </c>
      <c r="B45" t="s">
        <v>1161</v>
      </c>
      <c r="C45" t="s">
        <v>1903</v>
      </c>
      <c r="D45" s="797" t="s">
        <v>1904</v>
      </c>
      <c r="E45" t="s">
        <v>1848</v>
      </c>
      <c r="F45" t="s">
        <v>1399</v>
      </c>
      <c r="G45" s="797" t="s">
        <v>1905</v>
      </c>
      <c r="H45" t="s">
        <v>1722</v>
      </c>
      <c r="I45" s="797" t="s">
        <v>1906</v>
      </c>
      <c r="J45" t="s">
        <v>929</v>
      </c>
      <c r="K45" t="s">
        <v>1907</v>
      </c>
      <c r="L45" t="s">
        <v>1725</v>
      </c>
      <c r="M45" t="s">
        <v>245</v>
      </c>
      <c r="N45" t="s">
        <v>245</v>
      </c>
      <c r="O45" t="s">
        <v>245</v>
      </c>
      <c r="P45" t="s">
        <v>245</v>
      </c>
      <c r="Q45" t="s">
        <v>245</v>
      </c>
      <c r="R45" t="s">
        <v>1743</v>
      </c>
      <c r="S45" s="797" t="s">
        <v>1908</v>
      </c>
    </row>
    <row r="46" spans="1:19" ht="30" customHeight="1" x14ac:dyDescent="0.45">
      <c r="A46" t="s">
        <v>1909</v>
      </c>
      <c r="B46" t="s">
        <v>1163</v>
      </c>
      <c r="C46" t="s">
        <v>1910</v>
      </c>
      <c r="D46" s="797" t="s">
        <v>1911</v>
      </c>
      <c r="E46" t="s">
        <v>1848</v>
      </c>
      <c r="F46" t="s">
        <v>245</v>
      </c>
      <c r="G46" s="797" t="s">
        <v>1799</v>
      </c>
      <c r="H46">
        <v>0</v>
      </c>
      <c r="I46" s="797" t="s">
        <v>1799</v>
      </c>
      <c r="J46" t="s">
        <v>929</v>
      </c>
      <c r="K46" t="s">
        <v>1912</v>
      </c>
      <c r="L46" t="s">
        <v>1725</v>
      </c>
      <c r="M46" t="s">
        <v>1399</v>
      </c>
      <c r="N46" t="s">
        <v>245</v>
      </c>
      <c r="O46" t="s">
        <v>245</v>
      </c>
      <c r="P46" t="s">
        <v>245</v>
      </c>
      <c r="Q46" t="s">
        <v>245</v>
      </c>
      <c r="R46" t="s">
        <v>1743</v>
      </c>
      <c r="S46" s="797" t="s">
        <v>1913</v>
      </c>
    </row>
    <row r="47" spans="1:19" ht="30" customHeight="1" x14ac:dyDescent="0.45">
      <c r="A47" t="s">
        <v>1914</v>
      </c>
      <c r="B47" t="s">
        <v>1165</v>
      </c>
      <c r="C47" t="s">
        <v>1915</v>
      </c>
      <c r="D47" s="797" t="s">
        <v>1916</v>
      </c>
      <c r="E47" t="s">
        <v>1848</v>
      </c>
      <c r="F47" t="s">
        <v>1399</v>
      </c>
      <c r="G47" s="797" t="s">
        <v>1799</v>
      </c>
      <c r="H47" t="s">
        <v>1722</v>
      </c>
      <c r="I47" s="797" t="s">
        <v>1917</v>
      </c>
      <c r="J47" t="s">
        <v>929</v>
      </c>
      <c r="K47" t="s">
        <v>1918</v>
      </c>
      <c r="L47" t="s">
        <v>1725</v>
      </c>
      <c r="M47" t="s">
        <v>245</v>
      </c>
      <c r="N47" t="s">
        <v>245</v>
      </c>
      <c r="O47" t="s">
        <v>245</v>
      </c>
      <c r="P47" t="s">
        <v>1919</v>
      </c>
      <c r="Q47" t="s">
        <v>1399</v>
      </c>
      <c r="R47" t="s">
        <v>1779</v>
      </c>
      <c r="S47" s="797" t="s">
        <v>1920</v>
      </c>
    </row>
    <row r="48" spans="1:19" ht="30" customHeight="1" x14ac:dyDescent="0.45">
      <c r="A48" t="s">
        <v>1921</v>
      </c>
      <c r="B48" t="s">
        <v>1922</v>
      </c>
      <c r="C48" t="s">
        <v>1923</v>
      </c>
      <c r="D48" s="797" t="s">
        <v>1924</v>
      </c>
      <c r="E48" t="s">
        <v>1738</v>
      </c>
      <c r="F48" t="s">
        <v>1399</v>
      </c>
      <c r="G48" s="797" t="s">
        <v>1925</v>
      </c>
      <c r="H48" t="s">
        <v>244</v>
      </c>
      <c r="I48" s="797" t="s">
        <v>1926</v>
      </c>
      <c r="J48" t="s">
        <v>1767</v>
      </c>
      <c r="K48" t="s">
        <v>1927</v>
      </c>
      <c r="L48" t="s">
        <v>1768</v>
      </c>
      <c r="M48" t="s">
        <v>1399</v>
      </c>
      <c r="N48" t="s">
        <v>1928</v>
      </c>
      <c r="O48" t="s">
        <v>1929</v>
      </c>
      <c r="P48" t="s">
        <v>245</v>
      </c>
      <c r="Q48" t="s">
        <v>1399</v>
      </c>
      <c r="R48" t="s">
        <v>1726</v>
      </c>
      <c r="S48" s="797" t="s">
        <v>1930</v>
      </c>
    </row>
    <row r="49" spans="1:19" x14ac:dyDescent="0.45">
      <c r="A49" s="828" t="s">
        <v>1716</v>
      </c>
      <c r="B49" s="828" t="s">
        <v>1931</v>
      </c>
      <c r="C49" s="829"/>
      <c r="D49" s="841"/>
      <c r="E49" s="829"/>
      <c r="F49" s="829"/>
      <c r="G49" s="841"/>
      <c r="H49" s="829"/>
      <c r="I49" s="841"/>
      <c r="J49" s="829"/>
      <c r="K49" s="829"/>
      <c r="L49" s="829"/>
      <c r="M49" s="829"/>
      <c r="N49" s="829"/>
      <c r="O49" s="829"/>
      <c r="P49" s="829"/>
      <c r="Q49" s="829"/>
      <c r="R49" s="829"/>
      <c r="S49" s="841"/>
    </row>
    <row r="50" spans="1:19" ht="30" customHeight="1" x14ac:dyDescent="0.45">
      <c r="A50" t="s">
        <v>1932</v>
      </c>
      <c r="B50" t="s">
        <v>140</v>
      </c>
      <c r="C50" t="s">
        <v>1933</v>
      </c>
      <c r="D50" s="797" t="s">
        <v>1934</v>
      </c>
      <c r="E50" t="s">
        <v>643</v>
      </c>
      <c r="F50" t="s">
        <v>1935</v>
      </c>
      <c r="G50" s="797" t="s">
        <v>1936</v>
      </c>
      <c r="H50" t="s">
        <v>1937</v>
      </c>
      <c r="I50" s="797" t="s">
        <v>1938</v>
      </c>
      <c r="J50" t="s">
        <v>929</v>
      </c>
      <c r="K50" t="s">
        <v>1939</v>
      </c>
      <c r="L50" t="s">
        <v>1940</v>
      </c>
      <c r="M50" t="s">
        <v>1399</v>
      </c>
      <c r="N50" t="s">
        <v>245</v>
      </c>
      <c r="O50" t="s">
        <v>1875</v>
      </c>
      <c r="P50" t="s">
        <v>245</v>
      </c>
      <c r="Q50" t="s">
        <v>1399</v>
      </c>
      <c r="R50" t="s">
        <v>1779</v>
      </c>
      <c r="S50" s="797" t="s">
        <v>1941</v>
      </c>
    </row>
    <row r="51" spans="1:19" ht="30" customHeight="1" x14ac:dyDescent="0.45">
      <c r="A51" t="s">
        <v>1942</v>
      </c>
      <c r="B51" t="s">
        <v>1943</v>
      </c>
      <c r="C51" t="s">
        <v>1933</v>
      </c>
      <c r="D51" s="797" t="s">
        <v>1944</v>
      </c>
      <c r="E51" t="s">
        <v>1492</v>
      </c>
      <c r="F51" t="s">
        <v>1935</v>
      </c>
      <c r="G51" s="797" t="s">
        <v>1945</v>
      </c>
      <c r="H51" t="s">
        <v>1946</v>
      </c>
      <c r="I51" s="797" t="s">
        <v>1947</v>
      </c>
      <c r="J51" t="s">
        <v>929</v>
      </c>
      <c r="K51" t="s">
        <v>1948</v>
      </c>
      <c r="L51" t="s">
        <v>1940</v>
      </c>
      <c r="M51" t="s">
        <v>1399</v>
      </c>
      <c r="N51" t="s">
        <v>245</v>
      </c>
      <c r="O51" t="s">
        <v>245</v>
      </c>
      <c r="P51" t="s">
        <v>245</v>
      </c>
      <c r="Q51" t="s">
        <v>1399</v>
      </c>
      <c r="R51" t="s">
        <v>1779</v>
      </c>
      <c r="S51" s="797" t="s">
        <v>1949</v>
      </c>
    </row>
    <row r="52" spans="1:19" ht="30" customHeight="1" x14ac:dyDescent="0.45">
      <c r="A52" t="s">
        <v>1950</v>
      </c>
      <c r="B52" t="s">
        <v>717</v>
      </c>
      <c r="C52" t="s">
        <v>1933</v>
      </c>
      <c r="D52" s="797" t="s">
        <v>1951</v>
      </c>
      <c r="E52" t="s">
        <v>1492</v>
      </c>
      <c r="F52" t="s">
        <v>1935</v>
      </c>
      <c r="G52" s="797" t="s">
        <v>1945</v>
      </c>
      <c r="H52" t="s">
        <v>1946</v>
      </c>
      <c r="I52" s="797" t="s">
        <v>1952</v>
      </c>
      <c r="J52" t="s">
        <v>940</v>
      </c>
      <c r="K52" t="s">
        <v>1953</v>
      </c>
      <c r="L52" t="s">
        <v>1940</v>
      </c>
      <c r="M52" t="s">
        <v>1399</v>
      </c>
      <c r="N52" t="s">
        <v>245</v>
      </c>
      <c r="O52" t="s">
        <v>245</v>
      </c>
      <c r="P52" t="s">
        <v>245</v>
      </c>
      <c r="Q52" t="s">
        <v>245</v>
      </c>
      <c r="R52" t="s">
        <v>1779</v>
      </c>
      <c r="S52" s="797" t="s">
        <v>1954</v>
      </c>
    </row>
    <row r="53" spans="1:19" x14ac:dyDescent="0.45">
      <c r="A53" t="s">
        <v>1955</v>
      </c>
      <c r="B53" t="s">
        <v>93</v>
      </c>
      <c r="C53" t="s">
        <v>1933</v>
      </c>
      <c r="D53" s="797" t="s">
        <v>1956</v>
      </c>
      <c r="E53" t="s">
        <v>1353</v>
      </c>
      <c r="F53" t="s">
        <v>1935</v>
      </c>
      <c r="G53" s="797" t="s">
        <v>1957</v>
      </c>
      <c r="H53" t="s">
        <v>1958</v>
      </c>
      <c r="I53" s="797" t="s">
        <v>1959</v>
      </c>
      <c r="J53" t="s">
        <v>925</v>
      </c>
      <c r="K53" t="s">
        <v>1960</v>
      </c>
      <c r="L53" t="s">
        <v>1940</v>
      </c>
      <c r="M53" t="s">
        <v>1399</v>
      </c>
      <c r="N53" t="s">
        <v>245</v>
      </c>
      <c r="O53" t="s">
        <v>245</v>
      </c>
      <c r="P53" t="s">
        <v>245</v>
      </c>
      <c r="Q53" t="s">
        <v>245</v>
      </c>
      <c r="R53" t="s">
        <v>1779</v>
      </c>
      <c r="S53" s="797" t="s">
        <v>1961</v>
      </c>
    </row>
    <row r="54" spans="1:19" ht="42.75" x14ac:dyDescent="0.45">
      <c r="A54" t="s">
        <v>1962</v>
      </c>
      <c r="B54" t="s">
        <v>1963</v>
      </c>
      <c r="C54" t="s">
        <v>1933</v>
      </c>
      <c r="D54" s="797" t="s">
        <v>1964</v>
      </c>
      <c r="E54" t="s">
        <v>1353</v>
      </c>
      <c r="F54" t="s">
        <v>1935</v>
      </c>
      <c r="G54" s="797" t="s">
        <v>1925</v>
      </c>
      <c r="H54" t="s">
        <v>244</v>
      </c>
      <c r="I54" s="797" t="s">
        <v>1965</v>
      </c>
      <c r="J54" t="s">
        <v>925</v>
      </c>
      <c r="K54" t="s">
        <v>1966</v>
      </c>
      <c r="L54" t="s">
        <v>1967</v>
      </c>
      <c r="M54" t="s">
        <v>1399</v>
      </c>
      <c r="N54" t="s">
        <v>245</v>
      </c>
      <c r="O54" t="s">
        <v>1900</v>
      </c>
      <c r="P54" t="s">
        <v>245</v>
      </c>
      <c r="Q54" t="s">
        <v>245</v>
      </c>
      <c r="R54" t="s">
        <v>1779</v>
      </c>
      <c r="S54" s="797" t="s">
        <v>1968</v>
      </c>
    </row>
    <row r="55" spans="1:19" ht="42.75" x14ac:dyDescent="0.45">
      <c r="A55" t="s">
        <v>1969</v>
      </c>
      <c r="B55" t="s">
        <v>1970</v>
      </c>
      <c r="C55" t="s">
        <v>1933</v>
      </c>
      <c r="D55" s="797" t="s">
        <v>1971</v>
      </c>
      <c r="E55" t="s">
        <v>1353</v>
      </c>
      <c r="F55" t="s">
        <v>1935</v>
      </c>
      <c r="G55" s="797" t="s">
        <v>1925</v>
      </c>
      <c r="H55" t="s">
        <v>244</v>
      </c>
      <c r="I55" s="797" t="s">
        <v>1972</v>
      </c>
      <c r="J55" t="s">
        <v>925</v>
      </c>
      <c r="K55" t="s">
        <v>1973</v>
      </c>
      <c r="L55" t="s">
        <v>1967</v>
      </c>
      <c r="M55" t="s">
        <v>1399</v>
      </c>
      <c r="N55" t="s">
        <v>1974</v>
      </c>
      <c r="O55" t="s">
        <v>1900</v>
      </c>
      <c r="P55" t="s">
        <v>245</v>
      </c>
      <c r="Q55" t="s">
        <v>245</v>
      </c>
      <c r="R55" t="s">
        <v>1779</v>
      </c>
      <c r="S55" s="797" t="s">
        <v>1975</v>
      </c>
    </row>
    <row r="56" spans="1:19" x14ac:dyDescent="0.45">
      <c r="A56" t="s">
        <v>1976</v>
      </c>
      <c r="B56" t="s">
        <v>644</v>
      </c>
      <c r="C56" t="s">
        <v>1933</v>
      </c>
      <c r="D56" s="797" t="s">
        <v>1977</v>
      </c>
      <c r="E56" t="s">
        <v>1353</v>
      </c>
      <c r="F56" t="s">
        <v>1935</v>
      </c>
      <c r="G56" s="797" t="s">
        <v>1978</v>
      </c>
      <c r="H56" t="s">
        <v>1979</v>
      </c>
      <c r="I56" s="797" t="s">
        <v>1980</v>
      </c>
      <c r="J56" t="s">
        <v>929</v>
      </c>
      <c r="K56" t="s">
        <v>1981</v>
      </c>
      <c r="L56" t="s">
        <v>1940</v>
      </c>
      <c r="M56" t="s">
        <v>1399</v>
      </c>
      <c r="N56" t="s">
        <v>245</v>
      </c>
      <c r="O56" t="s">
        <v>245</v>
      </c>
      <c r="P56" t="s">
        <v>245</v>
      </c>
      <c r="Q56" t="s">
        <v>245</v>
      </c>
      <c r="R56" t="s">
        <v>1779</v>
      </c>
      <c r="S56" s="797" t="s">
        <v>1982</v>
      </c>
    </row>
    <row r="57" spans="1:19" x14ac:dyDescent="0.45">
      <c r="A57" t="s">
        <v>1983</v>
      </c>
      <c r="B57" t="s">
        <v>1984</v>
      </c>
      <c r="C57" t="s">
        <v>1933</v>
      </c>
      <c r="D57" s="797" t="s">
        <v>1985</v>
      </c>
      <c r="E57" t="s">
        <v>1738</v>
      </c>
      <c r="F57" t="s">
        <v>1935</v>
      </c>
      <c r="G57" s="797" t="s">
        <v>1986</v>
      </c>
      <c r="H57" t="s">
        <v>244</v>
      </c>
      <c r="I57" s="797" t="s">
        <v>1987</v>
      </c>
      <c r="J57" t="s">
        <v>929</v>
      </c>
      <c r="K57" t="s">
        <v>1988</v>
      </c>
      <c r="L57" t="s">
        <v>1940</v>
      </c>
      <c r="M57" t="s">
        <v>1399</v>
      </c>
      <c r="N57" t="s">
        <v>1989</v>
      </c>
      <c r="O57" t="s">
        <v>1990</v>
      </c>
      <c r="P57" t="s">
        <v>245</v>
      </c>
      <c r="Q57" t="s">
        <v>245</v>
      </c>
      <c r="R57" t="s">
        <v>1779</v>
      </c>
      <c r="S57" s="797" t="s">
        <v>1991</v>
      </c>
    </row>
    <row r="59" spans="1:19" x14ac:dyDescent="0.45">
      <c r="A59" s="826" t="s">
        <v>1695</v>
      </c>
    </row>
    <row r="60" spans="1:19" ht="21.95" customHeight="1" x14ac:dyDescent="0.5">
      <c r="A60" s="923" t="s">
        <v>1992</v>
      </c>
      <c r="B60" s="917"/>
      <c r="C60" s="917"/>
    </row>
    <row r="61" spans="1:19" x14ac:dyDescent="0.45">
      <c r="A61" s="827" t="s">
        <v>1993</v>
      </c>
    </row>
    <row r="63" spans="1:19" ht="15.75" customHeight="1" thickBot="1" x14ac:dyDescent="0.5">
      <c r="A63" s="838" t="s">
        <v>1994</v>
      </c>
      <c r="B63" s="838" t="s">
        <v>1995</v>
      </c>
      <c r="C63" s="838" t="s">
        <v>1996</v>
      </c>
      <c r="D63" s="840" t="s">
        <v>1997</v>
      </c>
      <c r="E63" s="838" t="s">
        <v>1998</v>
      </c>
      <c r="F63" s="838" t="s">
        <v>1999</v>
      </c>
      <c r="G63" s="840" t="s">
        <v>2000</v>
      </c>
      <c r="H63" s="838" t="s">
        <v>2001</v>
      </c>
      <c r="I63" s="840" t="s">
        <v>2002</v>
      </c>
      <c r="J63" s="838" t="s">
        <v>2003</v>
      </c>
      <c r="K63" s="838" t="s">
        <v>1270</v>
      </c>
    </row>
    <row r="64" spans="1:19" x14ac:dyDescent="0.45">
      <c r="A64" s="830" t="s">
        <v>2004</v>
      </c>
      <c r="B64" s="830" t="s">
        <v>2005</v>
      </c>
      <c r="C64" s="830"/>
      <c r="D64" s="842"/>
      <c r="E64" s="830"/>
      <c r="F64" s="830"/>
      <c r="G64" s="842"/>
      <c r="H64" s="830"/>
      <c r="I64" s="842"/>
      <c r="J64" s="830"/>
      <c r="K64" s="830"/>
    </row>
    <row r="65" spans="1:11" x14ac:dyDescent="0.45">
      <c r="A65" t="s">
        <v>2006</v>
      </c>
      <c r="B65" t="s">
        <v>1273</v>
      </c>
      <c r="C65" t="s">
        <v>2007</v>
      </c>
      <c r="D65" s="797" t="s">
        <v>923</v>
      </c>
      <c r="E65" t="s">
        <v>2008</v>
      </c>
      <c r="F65" t="s">
        <v>1492</v>
      </c>
      <c r="G65" s="797" t="s">
        <v>1399</v>
      </c>
      <c r="H65" t="s">
        <v>2009</v>
      </c>
      <c r="I65" s="797" t="s">
        <v>2010</v>
      </c>
      <c r="J65" t="s">
        <v>2011</v>
      </c>
      <c r="K65" t="s">
        <v>2012</v>
      </c>
    </row>
    <row r="66" spans="1:11" x14ac:dyDescent="0.45">
      <c r="A66" t="s">
        <v>2013</v>
      </c>
      <c r="B66" t="s">
        <v>2014</v>
      </c>
      <c r="C66" t="s">
        <v>2015</v>
      </c>
      <c r="D66" s="797" t="s">
        <v>923</v>
      </c>
      <c r="E66" t="s">
        <v>2008</v>
      </c>
      <c r="F66" t="s">
        <v>1492</v>
      </c>
      <c r="G66" s="797" t="s">
        <v>1399</v>
      </c>
      <c r="H66" t="s">
        <v>2016</v>
      </c>
      <c r="I66" s="797" t="s">
        <v>2010</v>
      </c>
      <c r="J66" t="s">
        <v>2017</v>
      </c>
      <c r="K66" t="s">
        <v>2018</v>
      </c>
    </row>
    <row r="67" spans="1:11" x14ac:dyDescent="0.45">
      <c r="A67" t="s">
        <v>2019</v>
      </c>
      <c r="B67" t="s">
        <v>2020</v>
      </c>
      <c r="C67" t="s">
        <v>2021</v>
      </c>
      <c r="D67" s="797" t="s">
        <v>1446</v>
      </c>
      <c r="E67" t="s">
        <v>2022</v>
      </c>
      <c r="F67" t="s">
        <v>1492</v>
      </c>
      <c r="G67" s="797" t="s">
        <v>1399</v>
      </c>
      <c r="H67" t="s">
        <v>2023</v>
      </c>
      <c r="I67" s="797" t="s">
        <v>2010</v>
      </c>
      <c r="J67" t="s">
        <v>2024</v>
      </c>
      <c r="K67" t="s">
        <v>2025</v>
      </c>
    </row>
    <row r="68" spans="1:11" x14ac:dyDescent="0.45">
      <c r="A68" t="s">
        <v>2026</v>
      </c>
      <c r="B68" t="s">
        <v>1278</v>
      </c>
      <c r="C68" t="s">
        <v>2027</v>
      </c>
      <c r="D68" s="797" t="s">
        <v>1446</v>
      </c>
      <c r="E68" t="s">
        <v>2028</v>
      </c>
      <c r="F68" t="s">
        <v>1896</v>
      </c>
      <c r="G68" s="797" t="s">
        <v>1399</v>
      </c>
      <c r="H68" t="s">
        <v>2023</v>
      </c>
      <c r="I68" s="846">
        <v>0</v>
      </c>
      <c r="J68" t="s">
        <v>2029</v>
      </c>
      <c r="K68" t="s">
        <v>2030</v>
      </c>
    </row>
    <row r="69" spans="1:11" x14ac:dyDescent="0.45">
      <c r="A69" t="s">
        <v>2031</v>
      </c>
      <c r="B69" t="s">
        <v>11</v>
      </c>
      <c r="C69" t="s">
        <v>2032</v>
      </c>
      <c r="D69" s="797" t="s">
        <v>923</v>
      </c>
      <c r="E69" t="s">
        <v>2033</v>
      </c>
      <c r="F69" t="s">
        <v>1492</v>
      </c>
      <c r="G69" s="797" t="s">
        <v>245</v>
      </c>
      <c r="H69" t="s">
        <v>245</v>
      </c>
      <c r="I69" s="797" t="s">
        <v>2010</v>
      </c>
      <c r="J69" t="s">
        <v>2034</v>
      </c>
      <c r="K69" t="s">
        <v>2035</v>
      </c>
    </row>
    <row r="70" spans="1:11" x14ac:dyDescent="0.45">
      <c r="A70" t="s">
        <v>2036</v>
      </c>
      <c r="B70" t="s">
        <v>52</v>
      </c>
      <c r="C70" t="s">
        <v>2037</v>
      </c>
      <c r="D70" s="797" t="s">
        <v>923</v>
      </c>
      <c r="E70" t="s">
        <v>2038</v>
      </c>
      <c r="F70" t="s">
        <v>1896</v>
      </c>
      <c r="G70" s="797" t="s">
        <v>1399</v>
      </c>
      <c r="H70" t="s">
        <v>1399</v>
      </c>
      <c r="I70" s="846">
        <v>0</v>
      </c>
      <c r="J70" t="s">
        <v>2039</v>
      </c>
      <c r="K70" t="s">
        <v>2040</v>
      </c>
    </row>
    <row r="71" spans="1:11" x14ac:dyDescent="0.45">
      <c r="A71" t="s">
        <v>2041</v>
      </c>
      <c r="B71" t="s">
        <v>2042</v>
      </c>
      <c r="C71" t="s">
        <v>2043</v>
      </c>
      <c r="D71" s="797" t="s">
        <v>923</v>
      </c>
      <c r="E71" t="s">
        <v>2044</v>
      </c>
      <c r="F71" t="s">
        <v>1492</v>
      </c>
      <c r="G71" s="797" t="s">
        <v>245</v>
      </c>
      <c r="H71" t="s">
        <v>245</v>
      </c>
      <c r="I71" s="797" t="s">
        <v>2010</v>
      </c>
      <c r="J71" t="s">
        <v>2034</v>
      </c>
      <c r="K71" t="s">
        <v>2045</v>
      </c>
    </row>
    <row r="72" spans="1:11" x14ac:dyDescent="0.45">
      <c r="A72" s="830" t="s">
        <v>2004</v>
      </c>
      <c r="B72" s="830" t="s">
        <v>2046</v>
      </c>
      <c r="C72" s="830"/>
      <c r="D72" s="842"/>
      <c r="E72" s="830"/>
      <c r="F72" s="830"/>
      <c r="G72" s="842"/>
      <c r="H72" s="830"/>
      <c r="I72" s="842"/>
      <c r="J72" s="830"/>
      <c r="K72" s="830"/>
    </row>
    <row r="73" spans="1:11" x14ac:dyDescent="0.45">
      <c r="A73" t="s">
        <v>2047</v>
      </c>
      <c r="B73" t="s">
        <v>2048</v>
      </c>
      <c r="C73" t="s">
        <v>2049</v>
      </c>
      <c r="D73" s="797" t="s">
        <v>923</v>
      </c>
      <c r="E73" t="s">
        <v>2050</v>
      </c>
      <c r="F73" t="s">
        <v>1492</v>
      </c>
      <c r="G73" s="797" t="s">
        <v>1399</v>
      </c>
      <c r="H73" t="s">
        <v>1399</v>
      </c>
      <c r="I73" s="797" t="s">
        <v>2010</v>
      </c>
      <c r="J73" t="s">
        <v>2039</v>
      </c>
      <c r="K73" t="s">
        <v>2051</v>
      </c>
    </row>
    <row r="74" spans="1:11" x14ac:dyDescent="0.45">
      <c r="A74" t="s">
        <v>2052</v>
      </c>
      <c r="B74" t="s">
        <v>2053</v>
      </c>
      <c r="C74" t="s">
        <v>2054</v>
      </c>
      <c r="D74" s="797" t="s">
        <v>923</v>
      </c>
      <c r="E74" t="s">
        <v>2055</v>
      </c>
      <c r="F74" t="s">
        <v>1492</v>
      </c>
      <c r="G74" s="797" t="s">
        <v>1399</v>
      </c>
      <c r="H74" t="s">
        <v>1399</v>
      </c>
      <c r="I74" s="797" t="s">
        <v>2010</v>
      </c>
      <c r="J74" t="s">
        <v>2039</v>
      </c>
      <c r="K74" t="s">
        <v>2056</v>
      </c>
    </row>
    <row r="75" spans="1:11" x14ac:dyDescent="0.45">
      <c r="A75" t="s">
        <v>2057</v>
      </c>
      <c r="B75" t="s">
        <v>2058</v>
      </c>
      <c r="C75" t="s">
        <v>2059</v>
      </c>
      <c r="D75" s="797" t="s">
        <v>923</v>
      </c>
      <c r="E75" t="s">
        <v>2060</v>
      </c>
      <c r="F75" t="s">
        <v>1492</v>
      </c>
      <c r="G75" s="797" t="s">
        <v>1399</v>
      </c>
      <c r="H75" t="s">
        <v>1399</v>
      </c>
      <c r="I75" s="797" t="s">
        <v>2010</v>
      </c>
      <c r="J75" t="s">
        <v>2039</v>
      </c>
      <c r="K75" t="s">
        <v>2061</v>
      </c>
    </row>
    <row r="76" spans="1:11" x14ac:dyDescent="0.45">
      <c r="A76" t="s">
        <v>2062</v>
      </c>
      <c r="B76" t="s">
        <v>2063</v>
      </c>
      <c r="C76" t="s">
        <v>2064</v>
      </c>
      <c r="D76" s="797" t="s">
        <v>923</v>
      </c>
      <c r="E76" t="s">
        <v>2065</v>
      </c>
      <c r="F76" t="s">
        <v>1492</v>
      </c>
      <c r="G76" s="797" t="s">
        <v>1399</v>
      </c>
      <c r="H76" t="s">
        <v>1399</v>
      </c>
      <c r="I76" s="797" t="s">
        <v>2010</v>
      </c>
      <c r="J76" t="s">
        <v>2039</v>
      </c>
      <c r="K76" t="s">
        <v>2066</v>
      </c>
    </row>
    <row r="77" spans="1:11" x14ac:dyDescent="0.45">
      <c r="A77" t="s">
        <v>2067</v>
      </c>
      <c r="B77" t="s">
        <v>2068</v>
      </c>
      <c r="C77" t="s">
        <v>2069</v>
      </c>
      <c r="D77" s="797" t="s">
        <v>923</v>
      </c>
      <c r="E77" t="s">
        <v>2070</v>
      </c>
      <c r="F77" t="s">
        <v>1896</v>
      </c>
      <c r="G77" s="797" t="s">
        <v>1399</v>
      </c>
      <c r="H77" t="s">
        <v>1399</v>
      </c>
      <c r="I77" s="846">
        <v>0</v>
      </c>
      <c r="J77" t="s">
        <v>2039</v>
      </c>
      <c r="K77" t="s">
        <v>2071</v>
      </c>
    </row>
    <row r="78" spans="1:11" x14ac:dyDescent="0.45">
      <c r="A78" s="830" t="s">
        <v>2004</v>
      </c>
      <c r="B78" s="830" t="s">
        <v>2072</v>
      </c>
      <c r="C78" s="830"/>
      <c r="D78" s="842"/>
      <c r="E78" s="830"/>
      <c r="F78" s="830"/>
      <c r="G78" s="842"/>
      <c r="H78" s="830"/>
      <c r="I78" s="842"/>
      <c r="J78" s="830"/>
      <c r="K78" s="830"/>
    </row>
    <row r="79" spans="1:11" x14ac:dyDescent="0.45">
      <c r="A79" t="s">
        <v>2073</v>
      </c>
      <c r="B79" t="s">
        <v>2074</v>
      </c>
      <c r="C79" t="s">
        <v>2075</v>
      </c>
      <c r="D79" s="797" t="s">
        <v>925</v>
      </c>
      <c r="E79" t="s">
        <v>2076</v>
      </c>
      <c r="F79" t="s">
        <v>2077</v>
      </c>
      <c r="G79" s="797" t="s">
        <v>1399</v>
      </c>
      <c r="H79" t="s">
        <v>245</v>
      </c>
      <c r="I79" s="797" t="s">
        <v>2078</v>
      </c>
      <c r="J79" t="s">
        <v>2079</v>
      </c>
      <c r="K79" t="s">
        <v>2080</v>
      </c>
    </row>
    <row r="80" spans="1:11" x14ac:dyDescent="0.45">
      <c r="A80" t="s">
        <v>2081</v>
      </c>
      <c r="B80" t="s">
        <v>2082</v>
      </c>
      <c r="C80" t="s">
        <v>2083</v>
      </c>
      <c r="D80" s="797" t="s">
        <v>925</v>
      </c>
      <c r="E80" t="s">
        <v>2084</v>
      </c>
      <c r="F80" t="s">
        <v>2085</v>
      </c>
      <c r="G80" s="797" t="s">
        <v>2086</v>
      </c>
      <c r="H80" t="s">
        <v>245</v>
      </c>
      <c r="I80" s="797" t="s">
        <v>2087</v>
      </c>
      <c r="J80" t="s">
        <v>2088</v>
      </c>
      <c r="K80" t="s">
        <v>2089</v>
      </c>
    </row>
    <row r="81" spans="1:11" x14ac:dyDescent="0.45">
      <c r="A81" t="s">
        <v>2090</v>
      </c>
      <c r="B81" t="s">
        <v>2091</v>
      </c>
      <c r="C81" t="s">
        <v>2092</v>
      </c>
      <c r="D81" s="797" t="s">
        <v>1563</v>
      </c>
      <c r="E81" t="s">
        <v>1366</v>
      </c>
      <c r="F81" t="s">
        <v>2093</v>
      </c>
      <c r="G81" s="797" t="s">
        <v>245</v>
      </c>
      <c r="H81" t="s">
        <v>1399</v>
      </c>
      <c r="I81" s="797" t="s">
        <v>2094</v>
      </c>
      <c r="J81" t="s">
        <v>2095</v>
      </c>
      <c r="K81" t="s">
        <v>2096</v>
      </c>
    </row>
    <row r="82" spans="1:11" x14ac:dyDescent="0.45">
      <c r="A82" s="830" t="s">
        <v>2004</v>
      </c>
      <c r="B82" s="830" t="s">
        <v>2097</v>
      </c>
      <c r="C82" s="830"/>
      <c r="D82" s="842"/>
      <c r="E82" s="830"/>
      <c r="F82" s="830"/>
      <c r="G82" s="842"/>
      <c r="H82" s="830"/>
      <c r="I82" s="842"/>
      <c r="J82" s="830"/>
      <c r="K82" s="830"/>
    </row>
    <row r="83" spans="1:11" x14ac:dyDescent="0.45">
      <c r="A83" t="s">
        <v>2098</v>
      </c>
      <c r="B83" t="s">
        <v>2099</v>
      </c>
      <c r="C83" t="s">
        <v>2100</v>
      </c>
      <c r="D83" s="797" t="s">
        <v>927</v>
      </c>
      <c r="E83" t="s">
        <v>2101</v>
      </c>
      <c r="F83" t="s">
        <v>2102</v>
      </c>
      <c r="G83" s="797" t="s">
        <v>1399</v>
      </c>
      <c r="H83" t="s">
        <v>2009</v>
      </c>
      <c r="I83" s="797" t="s">
        <v>2010</v>
      </c>
      <c r="J83" t="s">
        <v>2103</v>
      </c>
      <c r="K83" t="s">
        <v>2104</v>
      </c>
    </row>
    <row r="84" spans="1:11" x14ac:dyDescent="0.45">
      <c r="A84" t="s">
        <v>2105</v>
      </c>
      <c r="B84" t="s">
        <v>2106</v>
      </c>
      <c r="C84" t="s">
        <v>2107</v>
      </c>
      <c r="D84" s="797" t="s">
        <v>927</v>
      </c>
      <c r="E84" t="s">
        <v>2108</v>
      </c>
      <c r="F84" t="s">
        <v>2102</v>
      </c>
      <c r="G84" s="797" t="s">
        <v>1399</v>
      </c>
      <c r="H84" t="s">
        <v>2009</v>
      </c>
      <c r="I84" s="797" t="s">
        <v>2010</v>
      </c>
      <c r="J84" t="s">
        <v>2109</v>
      </c>
      <c r="K84" t="s">
        <v>2110</v>
      </c>
    </row>
    <row r="85" spans="1:11" x14ac:dyDescent="0.45">
      <c r="A85" t="s">
        <v>2111</v>
      </c>
      <c r="B85" t="s">
        <v>2112</v>
      </c>
      <c r="C85" t="s">
        <v>2113</v>
      </c>
      <c r="D85" s="797" t="s">
        <v>927</v>
      </c>
      <c r="E85" t="s">
        <v>2101</v>
      </c>
      <c r="F85" t="s">
        <v>2102</v>
      </c>
      <c r="G85" s="797" t="s">
        <v>1399</v>
      </c>
      <c r="H85" t="s">
        <v>2016</v>
      </c>
      <c r="I85" s="797" t="s">
        <v>2010</v>
      </c>
      <c r="J85" t="s">
        <v>2114</v>
      </c>
      <c r="K85" t="s">
        <v>2115</v>
      </c>
    </row>
    <row r="86" spans="1:11" x14ac:dyDescent="0.45">
      <c r="A86" t="s">
        <v>2116</v>
      </c>
      <c r="B86" t="s">
        <v>2117</v>
      </c>
      <c r="C86" t="s">
        <v>2118</v>
      </c>
      <c r="D86" s="797" t="s">
        <v>927</v>
      </c>
      <c r="E86" t="s">
        <v>2108</v>
      </c>
      <c r="F86" t="s">
        <v>2102</v>
      </c>
      <c r="G86" s="797" t="s">
        <v>1399</v>
      </c>
      <c r="H86" t="s">
        <v>2016</v>
      </c>
      <c r="I86" s="797" t="s">
        <v>2010</v>
      </c>
      <c r="J86" t="s">
        <v>2119</v>
      </c>
      <c r="K86" t="s">
        <v>2120</v>
      </c>
    </row>
    <row r="87" spans="1:11" x14ac:dyDescent="0.45">
      <c r="A87" t="s">
        <v>2121</v>
      </c>
      <c r="B87" t="s">
        <v>2122</v>
      </c>
      <c r="C87" t="s">
        <v>2123</v>
      </c>
      <c r="D87" s="797" t="s">
        <v>1446</v>
      </c>
      <c r="E87" t="s">
        <v>2124</v>
      </c>
      <c r="F87" t="s">
        <v>2102</v>
      </c>
      <c r="G87" s="797" t="s">
        <v>1399</v>
      </c>
      <c r="H87" t="s">
        <v>2125</v>
      </c>
      <c r="I87" s="797" t="s">
        <v>2010</v>
      </c>
      <c r="J87" t="s">
        <v>2126</v>
      </c>
      <c r="K87" t="s">
        <v>2127</v>
      </c>
    </row>
    <row r="88" spans="1:11" x14ac:dyDescent="0.45">
      <c r="A88" t="s">
        <v>2128</v>
      </c>
      <c r="B88" t="s">
        <v>2129</v>
      </c>
      <c r="C88" t="s">
        <v>2130</v>
      </c>
      <c r="D88" s="797" t="s">
        <v>1446</v>
      </c>
      <c r="E88" t="s">
        <v>2131</v>
      </c>
      <c r="F88" t="s">
        <v>2102</v>
      </c>
      <c r="G88" s="797" t="s">
        <v>1399</v>
      </c>
      <c r="H88" t="s">
        <v>2125</v>
      </c>
      <c r="I88" s="797" t="s">
        <v>2010</v>
      </c>
      <c r="J88" t="s">
        <v>2132</v>
      </c>
      <c r="K88" t="s">
        <v>2133</v>
      </c>
    </row>
    <row r="89" spans="1:11" x14ac:dyDescent="0.45">
      <c r="A89" s="830" t="s">
        <v>2004</v>
      </c>
      <c r="B89" s="830" t="s">
        <v>2134</v>
      </c>
      <c r="C89" s="830"/>
      <c r="D89" s="842"/>
      <c r="E89" s="830"/>
      <c r="F89" s="830"/>
      <c r="G89" s="842"/>
      <c r="H89" s="830"/>
      <c r="I89" s="842"/>
      <c r="J89" s="830"/>
      <c r="K89" s="830"/>
    </row>
    <row r="90" spans="1:11" x14ac:dyDescent="0.45">
      <c r="A90" t="s">
        <v>2135</v>
      </c>
      <c r="B90" t="s">
        <v>1284</v>
      </c>
      <c r="C90" t="s">
        <v>2136</v>
      </c>
      <c r="D90" s="797" t="s">
        <v>1446</v>
      </c>
      <c r="E90" t="s">
        <v>2137</v>
      </c>
      <c r="F90" t="s">
        <v>1896</v>
      </c>
      <c r="G90" s="797" t="s">
        <v>245</v>
      </c>
      <c r="H90" t="s">
        <v>2023</v>
      </c>
      <c r="I90" s="846">
        <v>0</v>
      </c>
      <c r="J90" t="s">
        <v>2138</v>
      </c>
      <c r="K90" t="s">
        <v>2139</v>
      </c>
    </row>
    <row r="91" spans="1:11" x14ac:dyDescent="0.45">
      <c r="A91" t="s">
        <v>2140</v>
      </c>
      <c r="B91" t="s">
        <v>1286</v>
      </c>
      <c r="C91" t="s">
        <v>2141</v>
      </c>
      <c r="D91" s="797" t="s">
        <v>1446</v>
      </c>
      <c r="E91" t="s">
        <v>2142</v>
      </c>
      <c r="F91" t="s">
        <v>2143</v>
      </c>
      <c r="G91" s="797" t="s">
        <v>245</v>
      </c>
      <c r="H91" t="s">
        <v>2023</v>
      </c>
      <c r="I91" s="797" t="s">
        <v>2144</v>
      </c>
      <c r="J91" t="s">
        <v>2145</v>
      </c>
      <c r="K91" t="s">
        <v>2146</v>
      </c>
    </row>
    <row r="92" spans="1:11" x14ac:dyDescent="0.45">
      <c r="A92" t="s">
        <v>2147</v>
      </c>
      <c r="B92" t="s">
        <v>2148</v>
      </c>
      <c r="C92" t="s">
        <v>2149</v>
      </c>
      <c r="D92" s="797" t="s">
        <v>923</v>
      </c>
      <c r="E92" t="s">
        <v>2150</v>
      </c>
      <c r="F92" t="s">
        <v>1353</v>
      </c>
      <c r="G92" s="797" t="s">
        <v>1399</v>
      </c>
      <c r="H92" t="s">
        <v>1399</v>
      </c>
      <c r="I92" s="797" t="s">
        <v>2151</v>
      </c>
      <c r="J92" t="s">
        <v>2039</v>
      </c>
      <c r="K92" t="s">
        <v>2152</v>
      </c>
    </row>
    <row r="94" spans="1:11" x14ac:dyDescent="0.45">
      <c r="A94" s="826" t="s">
        <v>1695</v>
      </c>
    </row>
    <row r="95" spans="1:11" ht="21.95" customHeight="1" x14ac:dyDescent="0.5">
      <c r="A95" s="923" t="s">
        <v>2153</v>
      </c>
      <c r="B95" s="917"/>
      <c r="C95" s="917"/>
    </row>
    <row r="96" spans="1:11" x14ac:dyDescent="0.45">
      <c r="A96" s="827" t="s">
        <v>2154</v>
      </c>
    </row>
    <row r="98" spans="1:9" ht="15.75" customHeight="1" thickBot="1" x14ac:dyDescent="0.5">
      <c r="A98" s="838" t="s">
        <v>2155</v>
      </c>
      <c r="B98" s="838" t="s">
        <v>2156</v>
      </c>
      <c r="C98" s="838" t="s">
        <v>2157</v>
      </c>
      <c r="D98" s="840" t="s">
        <v>2158</v>
      </c>
      <c r="E98" s="838" t="s">
        <v>2159</v>
      </c>
      <c r="F98" s="838" t="s">
        <v>2160</v>
      </c>
      <c r="G98" s="840" t="s">
        <v>2161</v>
      </c>
      <c r="H98" s="838" t="s">
        <v>2162</v>
      </c>
      <c r="I98" s="840" t="s">
        <v>1270</v>
      </c>
    </row>
    <row r="99" spans="1:9" x14ac:dyDescent="0.45">
      <c r="A99" s="830" t="s">
        <v>2004</v>
      </c>
      <c r="B99" s="830" t="s">
        <v>2163</v>
      </c>
      <c r="C99" s="830"/>
      <c r="D99" s="842"/>
      <c r="E99" s="830"/>
      <c r="F99" s="830"/>
      <c r="G99" s="842"/>
      <c r="H99" s="830"/>
      <c r="I99" s="842"/>
    </row>
    <row r="100" spans="1:9" ht="30" customHeight="1" x14ac:dyDescent="0.45">
      <c r="A100" t="s">
        <v>2164</v>
      </c>
      <c r="B100" t="s">
        <v>1718</v>
      </c>
      <c r="C100" t="s">
        <v>2165</v>
      </c>
      <c r="D100" s="797" t="s">
        <v>2166</v>
      </c>
      <c r="E100" t="s">
        <v>2167</v>
      </c>
      <c r="F100" t="s">
        <v>2168</v>
      </c>
      <c r="G100" s="797" t="s">
        <v>245</v>
      </c>
      <c r="H100" t="s">
        <v>245</v>
      </c>
      <c r="I100" s="797" t="s">
        <v>2169</v>
      </c>
    </row>
    <row r="101" spans="1:9" ht="30" customHeight="1" x14ac:dyDescent="0.45">
      <c r="A101" t="s">
        <v>2170</v>
      </c>
      <c r="B101" t="s">
        <v>1735</v>
      </c>
      <c r="C101" t="s">
        <v>2165</v>
      </c>
      <c r="D101" s="797" t="s">
        <v>2171</v>
      </c>
      <c r="E101" t="s">
        <v>2172</v>
      </c>
      <c r="F101" t="s">
        <v>2168</v>
      </c>
      <c r="G101" s="797" t="s">
        <v>245</v>
      </c>
      <c r="H101" t="s">
        <v>245</v>
      </c>
      <c r="I101" s="797" t="s">
        <v>2173</v>
      </c>
    </row>
    <row r="102" spans="1:9" x14ac:dyDescent="0.45">
      <c r="A102" t="s">
        <v>2174</v>
      </c>
      <c r="B102" t="s">
        <v>1753</v>
      </c>
      <c r="C102" t="s">
        <v>2165</v>
      </c>
      <c r="D102" s="797" t="s">
        <v>2175</v>
      </c>
      <c r="E102" t="s">
        <v>2176</v>
      </c>
      <c r="F102" t="s">
        <v>2168</v>
      </c>
      <c r="G102" s="797" t="s">
        <v>245</v>
      </c>
      <c r="H102" t="s">
        <v>245</v>
      </c>
      <c r="I102" s="797" t="s">
        <v>2177</v>
      </c>
    </row>
    <row r="103" spans="1:9" x14ac:dyDescent="0.45">
      <c r="A103" t="s">
        <v>2178</v>
      </c>
      <c r="B103" t="s">
        <v>1789</v>
      </c>
      <c r="C103" t="s">
        <v>2165</v>
      </c>
      <c r="D103" s="797" t="s">
        <v>2179</v>
      </c>
      <c r="E103" t="s">
        <v>2180</v>
      </c>
      <c r="F103" t="s">
        <v>2168</v>
      </c>
      <c r="G103" s="797" t="s">
        <v>245</v>
      </c>
      <c r="H103" t="s">
        <v>245</v>
      </c>
      <c r="I103" s="797" t="s">
        <v>2181</v>
      </c>
    </row>
    <row r="104" spans="1:9" ht="30" customHeight="1" x14ac:dyDescent="0.45">
      <c r="A104" t="s">
        <v>2182</v>
      </c>
      <c r="B104" t="s">
        <v>1812</v>
      </c>
      <c r="C104" t="s">
        <v>2165</v>
      </c>
      <c r="D104" s="797" t="s">
        <v>2183</v>
      </c>
      <c r="E104" t="s">
        <v>2184</v>
      </c>
      <c r="F104" t="s">
        <v>2168</v>
      </c>
      <c r="G104" s="797" t="s">
        <v>245</v>
      </c>
      <c r="H104" t="s">
        <v>245</v>
      </c>
      <c r="I104" s="797" t="s">
        <v>2185</v>
      </c>
    </row>
    <row r="105" spans="1:9" x14ac:dyDescent="0.45">
      <c r="A105" t="s">
        <v>2186</v>
      </c>
      <c r="B105" t="s">
        <v>1862</v>
      </c>
      <c r="C105" t="s">
        <v>2165</v>
      </c>
      <c r="D105" s="797" t="s">
        <v>2187</v>
      </c>
      <c r="E105" t="s">
        <v>2188</v>
      </c>
      <c r="F105" t="s">
        <v>2168</v>
      </c>
      <c r="G105" s="797" t="s">
        <v>245</v>
      </c>
      <c r="H105" t="s">
        <v>245</v>
      </c>
      <c r="I105" s="797" t="s">
        <v>2189</v>
      </c>
    </row>
    <row r="106" spans="1:9" x14ac:dyDescent="0.45">
      <c r="A106" t="s">
        <v>2190</v>
      </c>
      <c r="B106" t="s">
        <v>1870</v>
      </c>
      <c r="C106" t="s">
        <v>2165</v>
      </c>
      <c r="D106" s="797" t="s">
        <v>2191</v>
      </c>
      <c r="E106" t="s">
        <v>2192</v>
      </c>
      <c r="F106" t="s">
        <v>2168</v>
      </c>
      <c r="G106" s="797" t="s">
        <v>245</v>
      </c>
      <c r="H106" t="s">
        <v>245</v>
      </c>
      <c r="I106" s="797" t="s">
        <v>2193</v>
      </c>
    </row>
    <row r="107" spans="1:9" x14ac:dyDescent="0.45">
      <c r="A107" s="830" t="s">
        <v>2004</v>
      </c>
      <c r="B107" s="830" t="s">
        <v>2194</v>
      </c>
      <c r="C107" s="830"/>
      <c r="D107" s="842"/>
      <c r="E107" s="830"/>
      <c r="F107" s="830"/>
      <c r="G107" s="842"/>
      <c r="H107" s="830"/>
      <c r="I107" s="842"/>
    </row>
    <row r="108" spans="1:9" x14ac:dyDescent="0.45">
      <c r="A108" t="s">
        <v>2195</v>
      </c>
      <c r="B108" t="s">
        <v>1782</v>
      </c>
      <c r="C108" t="s">
        <v>2196</v>
      </c>
      <c r="D108" s="797" t="s">
        <v>2197</v>
      </c>
      <c r="E108" t="s">
        <v>2198</v>
      </c>
      <c r="F108" t="s">
        <v>2168</v>
      </c>
      <c r="G108" s="797" t="s">
        <v>245</v>
      </c>
      <c r="H108" t="s">
        <v>245</v>
      </c>
      <c r="I108" s="797" t="s">
        <v>2199</v>
      </c>
    </row>
    <row r="109" spans="1:9" ht="30" customHeight="1" x14ac:dyDescent="0.45">
      <c r="A109" t="s">
        <v>2200</v>
      </c>
      <c r="B109" t="s">
        <v>1789</v>
      </c>
      <c r="C109" t="s">
        <v>2196</v>
      </c>
      <c r="D109" s="797" t="s">
        <v>2201</v>
      </c>
      <c r="E109" t="s">
        <v>2202</v>
      </c>
      <c r="F109" t="s">
        <v>2168</v>
      </c>
      <c r="G109" s="797" t="s">
        <v>245</v>
      </c>
      <c r="H109" t="s">
        <v>245</v>
      </c>
      <c r="I109" s="797" t="s">
        <v>2203</v>
      </c>
    </row>
    <row r="110" spans="1:9" x14ac:dyDescent="0.45">
      <c r="A110" t="s">
        <v>2204</v>
      </c>
      <c r="B110" t="s">
        <v>1812</v>
      </c>
      <c r="C110" t="s">
        <v>2196</v>
      </c>
      <c r="D110" s="797" t="s">
        <v>2205</v>
      </c>
      <c r="E110" t="s">
        <v>2206</v>
      </c>
      <c r="F110" t="s">
        <v>2168</v>
      </c>
      <c r="G110" s="797" t="s">
        <v>245</v>
      </c>
      <c r="H110" t="s">
        <v>245</v>
      </c>
      <c r="I110" s="797" t="s">
        <v>2207</v>
      </c>
    </row>
    <row r="111" spans="1:9" x14ac:dyDescent="0.45">
      <c r="A111" t="s">
        <v>2208</v>
      </c>
      <c r="B111" t="s">
        <v>1820</v>
      </c>
      <c r="C111" t="s">
        <v>2196</v>
      </c>
      <c r="D111" s="797" t="s">
        <v>2209</v>
      </c>
      <c r="E111" t="s">
        <v>2210</v>
      </c>
      <c r="F111" t="s">
        <v>2168</v>
      </c>
      <c r="G111" s="797" t="s">
        <v>245</v>
      </c>
      <c r="H111" t="s">
        <v>1399</v>
      </c>
      <c r="I111" s="797" t="s">
        <v>2211</v>
      </c>
    </row>
    <row r="112" spans="1:9" x14ac:dyDescent="0.45">
      <c r="A112" t="s">
        <v>2212</v>
      </c>
      <c r="B112" t="s">
        <v>1845</v>
      </c>
      <c r="C112" t="s">
        <v>2196</v>
      </c>
      <c r="D112" s="797" t="s">
        <v>2213</v>
      </c>
      <c r="E112" t="s">
        <v>2214</v>
      </c>
      <c r="F112" t="s">
        <v>2215</v>
      </c>
      <c r="G112" s="797" t="s">
        <v>245</v>
      </c>
      <c r="H112" t="s">
        <v>2216</v>
      </c>
      <c r="I112" s="797" t="s">
        <v>2217</v>
      </c>
    </row>
    <row r="113" spans="1:9" x14ac:dyDescent="0.45">
      <c r="A113" t="s">
        <v>2218</v>
      </c>
      <c r="B113" t="s">
        <v>1902</v>
      </c>
      <c r="C113" t="s">
        <v>2196</v>
      </c>
      <c r="D113" s="797" t="s">
        <v>2219</v>
      </c>
      <c r="E113" t="s">
        <v>2220</v>
      </c>
      <c r="F113" t="s">
        <v>2215</v>
      </c>
      <c r="G113" s="797" t="s">
        <v>245</v>
      </c>
      <c r="H113" t="s">
        <v>2221</v>
      </c>
      <c r="I113" s="797" t="s">
        <v>2222</v>
      </c>
    </row>
    <row r="114" spans="1:9" x14ac:dyDescent="0.45">
      <c r="A114" s="830" t="s">
        <v>2004</v>
      </c>
      <c r="B114" s="830" t="s">
        <v>2223</v>
      </c>
      <c r="C114" s="830"/>
      <c r="D114" s="842"/>
      <c r="E114" s="830"/>
      <c r="F114" s="830"/>
      <c r="G114" s="842"/>
      <c r="H114" s="830"/>
      <c r="I114" s="842"/>
    </row>
    <row r="115" spans="1:9" x14ac:dyDescent="0.45">
      <c r="A115" t="s">
        <v>2224</v>
      </c>
      <c r="B115" t="s">
        <v>1735</v>
      </c>
      <c r="C115" t="s">
        <v>1738</v>
      </c>
      <c r="D115" s="797" t="s">
        <v>2225</v>
      </c>
      <c r="E115" t="s">
        <v>2226</v>
      </c>
      <c r="F115" t="s">
        <v>2168</v>
      </c>
      <c r="G115" s="797" t="s">
        <v>245</v>
      </c>
      <c r="H115" t="s">
        <v>245</v>
      </c>
      <c r="I115" s="797" t="s">
        <v>2227</v>
      </c>
    </row>
    <row r="116" spans="1:9" x14ac:dyDescent="0.45">
      <c r="A116" t="s">
        <v>2228</v>
      </c>
      <c r="B116" t="s">
        <v>1845</v>
      </c>
      <c r="C116" t="s">
        <v>992</v>
      </c>
      <c r="D116" s="797" t="s">
        <v>2229</v>
      </c>
      <c r="E116" t="s">
        <v>2230</v>
      </c>
      <c r="F116" t="s">
        <v>2215</v>
      </c>
      <c r="G116" s="797" t="s">
        <v>245</v>
      </c>
      <c r="H116" t="s">
        <v>1399</v>
      </c>
      <c r="I116" s="797" t="s">
        <v>2231</v>
      </c>
    </row>
    <row r="117" spans="1:9" x14ac:dyDescent="0.45">
      <c r="A117" t="s">
        <v>2232</v>
      </c>
      <c r="B117" t="s">
        <v>1838</v>
      </c>
      <c r="C117" t="s">
        <v>435</v>
      </c>
      <c r="D117" s="797" t="s">
        <v>2233</v>
      </c>
      <c r="E117" t="s">
        <v>2234</v>
      </c>
      <c r="F117" t="s">
        <v>2215</v>
      </c>
      <c r="G117" s="797" t="s">
        <v>245</v>
      </c>
      <c r="H117" t="s">
        <v>1399</v>
      </c>
      <c r="I117" s="797" t="s">
        <v>2235</v>
      </c>
    </row>
    <row r="118" spans="1:9" x14ac:dyDescent="0.45">
      <c r="A118" t="s">
        <v>2236</v>
      </c>
      <c r="B118" t="s">
        <v>1854</v>
      </c>
      <c r="C118" t="s">
        <v>435</v>
      </c>
      <c r="D118" s="797" t="s">
        <v>2237</v>
      </c>
      <c r="E118" t="s">
        <v>2238</v>
      </c>
      <c r="F118" t="s">
        <v>2215</v>
      </c>
      <c r="G118" s="797" t="s">
        <v>245</v>
      </c>
      <c r="H118" t="s">
        <v>1399</v>
      </c>
      <c r="I118" s="797" t="s">
        <v>2239</v>
      </c>
    </row>
    <row r="119" spans="1:9" x14ac:dyDescent="0.45">
      <c r="A119" t="s">
        <v>2240</v>
      </c>
      <c r="B119" t="s">
        <v>2241</v>
      </c>
      <c r="C119" t="s">
        <v>992</v>
      </c>
      <c r="D119" s="797" t="s">
        <v>2242</v>
      </c>
      <c r="E119" t="s">
        <v>2243</v>
      </c>
      <c r="F119" t="s">
        <v>2215</v>
      </c>
      <c r="G119" s="797" t="s">
        <v>245</v>
      </c>
      <c r="H119" t="s">
        <v>1399</v>
      </c>
      <c r="I119" s="797" t="s">
        <v>2244</v>
      </c>
    </row>
    <row r="120" spans="1:9" x14ac:dyDescent="0.45">
      <c r="A120" s="830" t="s">
        <v>2004</v>
      </c>
      <c r="B120" s="830" t="s">
        <v>2245</v>
      </c>
      <c r="C120" s="830"/>
      <c r="D120" s="842"/>
      <c r="E120" s="830"/>
      <c r="F120" s="830"/>
      <c r="G120" s="842"/>
      <c r="H120" s="830"/>
      <c r="I120" s="842"/>
    </row>
    <row r="121" spans="1:9" x14ac:dyDescent="0.45">
      <c r="A121" t="s">
        <v>2246</v>
      </c>
      <c r="B121" t="s">
        <v>2247</v>
      </c>
      <c r="C121" t="s">
        <v>2248</v>
      </c>
      <c r="D121" s="797" t="s">
        <v>2249</v>
      </c>
      <c r="E121" t="s">
        <v>2250</v>
      </c>
      <c r="F121" t="s">
        <v>2168</v>
      </c>
      <c r="G121" s="797" t="s">
        <v>245</v>
      </c>
      <c r="H121" t="s">
        <v>245</v>
      </c>
      <c r="I121" s="797" t="s">
        <v>2251</v>
      </c>
    </row>
    <row r="122" spans="1:9" x14ac:dyDescent="0.45">
      <c r="A122" t="s">
        <v>2252</v>
      </c>
      <c r="B122" t="s">
        <v>2247</v>
      </c>
      <c r="C122" t="s">
        <v>2253</v>
      </c>
      <c r="D122" s="797" t="s">
        <v>2254</v>
      </c>
      <c r="E122" t="s">
        <v>2255</v>
      </c>
      <c r="F122" t="s">
        <v>2215</v>
      </c>
      <c r="G122" s="797" t="s">
        <v>245</v>
      </c>
      <c r="H122" t="s">
        <v>1399</v>
      </c>
      <c r="I122" s="797" t="s">
        <v>2256</v>
      </c>
    </row>
    <row r="123" spans="1:9" x14ac:dyDescent="0.45">
      <c r="A123" t="s">
        <v>2257</v>
      </c>
      <c r="B123" t="s">
        <v>2258</v>
      </c>
      <c r="C123" t="s">
        <v>2259</v>
      </c>
      <c r="D123" s="797" t="s">
        <v>2260</v>
      </c>
      <c r="E123" t="s">
        <v>2261</v>
      </c>
      <c r="F123" t="s">
        <v>2168</v>
      </c>
      <c r="G123" s="797" t="s">
        <v>2262</v>
      </c>
      <c r="H123" t="s">
        <v>245</v>
      </c>
      <c r="I123" s="797" t="s">
        <v>2263</v>
      </c>
    </row>
    <row r="124" spans="1:9" x14ac:dyDescent="0.45">
      <c r="A124" t="s">
        <v>2264</v>
      </c>
      <c r="B124" t="s">
        <v>2265</v>
      </c>
      <c r="C124" t="s">
        <v>2259</v>
      </c>
      <c r="D124" s="797" t="s">
        <v>2266</v>
      </c>
      <c r="E124" t="s">
        <v>2267</v>
      </c>
      <c r="F124" t="s">
        <v>2168</v>
      </c>
      <c r="G124" s="797" t="s">
        <v>2262</v>
      </c>
      <c r="H124" t="s">
        <v>245</v>
      </c>
      <c r="I124" s="797" t="s">
        <v>2268</v>
      </c>
    </row>
    <row r="125" spans="1:9" x14ac:dyDescent="0.45">
      <c r="A125" t="s">
        <v>2269</v>
      </c>
      <c r="B125" t="s">
        <v>2270</v>
      </c>
      <c r="C125" t="s">
        <v>2259</v>
      </c>
      <c r="D125" s="797" t="s">
        <v>2271</v>
      </c>
      <c r="E125" t="s">
        <v>2272</v>
      </c>
      <c r="F125" t="s">
        <v>2168</v>
      </c>
      <c r="G125" s="797" t="s">
        <v>2262</v>
      </c>
      <c r="H125" t="s">
        <v>245</v>
      </c>
      <c r="I125" s="797" t="s">
        <v>2273</v>
      </c>
    </row>
    <row r="126" spans="1:9" x14ac:dyDescent="0.45">
      <c r="A126" t="s">
        <v>2004</v>
      </c>
      <c r="B126" t="s">
        <v>2274</v>
      </c>
    </row>
    <row r="127" spans="1:9" x14ac:dyDescent="0.45">
      <c r="A127" s="830" t="s">
        <v>2275</v>
      </c>
      <c r="B127" s="830" t="s">
        <v>1753</v>
      </c>
      <c r="C127" s="830" t="s">
        <v>2276</v>
      </c>
      <c r="D127" s="842" t="s">
        <v>2277</v>
      </c>
      <c r="E127" s="830" t="s">
        <v>2278</v>
      </c>
      <c r="F127" s="830" t="s">
        <v>2168</v>
      </c>
      <c r="G127" s="842" t="s">
        <v>245</v>
      </c>
      <c r="H127" s="830" t="s">
        <v>1399</v>
      </c>
      <c r="I127" s="842" t="s">
        <v>2279</v>
      </c>
    </row>
    <row r="128" spans="1:9" x14ac:dyDescent="0.45">
      <c r="A128" t="s">
        <v>2280</v>
      </c>
      <c r="B128" t="s">
        <v>1877</v>
      </c>
      <c r="C128" t="s">
        <v>1738</v>
      </c>
      <c r="D128" s="797" t="s">
        <v>1252</v>
      </c>
      <c r="E128" t="s">
        <v>2281</v>
      </c>
      <c r="F128" t="s">
        <v>2168</v>
      </c>
      <c r="G128" s="797" t="s">
        <v>2282</v>
      </c>
      <c r="H128" t="s">
        <v>245</v>
      </c>
      <c r="I128" s="797" t="s">
        <v>2283</v>
      </c>
    </row>
    <row r="129" spans="1:9" x14ac:dyDescent="0.45">
      <c r="A129" t="s">
        <v>2284</v>
      </c>
      <c r="B129" t="s">
        <v>1886</v>
      </c>
      <c r="C129" t="s">
        <v>1738</v>
      </c>
      <c r="D129" s="797" t="s">
        <v>1400</v>
      </c>
      <c r="E129" t="s">
        <v>2285</v>
      </c>
      <c r="F129" t="s">
        <v>2168</v>
      </c>
      <c r="G129" s="797" t="s">
        <v>2286</v>
      </c>
      <c r="H129" t="s">
        <v>245</v>
      </c>
      <c r="I129" s="797" t="s">
        <v>2287</v>
      </c>
    </row>
    <row r="130" spans="1:9" x14ac:dyDescent="0.45">
      <c r="A130" s="830" t="s">
        <v>2004</v>
      </c>
      <c r="B130" s="830" t="s">
        <v>2288</v>
      </c>
      <c r="C130" s="830"/>
      <c r="D130" s="842"/>
      <c r="E130" s="830"/>
      <c r="F130" s="830"/>
      <c r="G130" s="842"/>
      <c r="H130" s="830"/>
      <c r="I130" s="842"/>
    </row>
    <row r="131" spans="1:9" x14ac:dyDescent="0.45">
      <c r="A131" t="s">
        <v>2289</v>
      </c>
      <c r="B131" t="s">
        <v>1893</v>
      </c>
      <c r="C131" t="s">
        <v>2290</v>
      </c>
      <c r="D131" s="797" t="s">
        <v>2291</v>
      </c>
      <c r="E131" t="s">
        <v>2292</v>
      </c>
      <c r="F131" t="s">
        <v>2215</v>
      </c>
      <c r="G131" s="797" t="s">
        <v>245</v>
      </c>
      <c r="H131" t="s">
        <v>1399</v>
      </c>
      <c r="I131" s="797" t="s">
        <v>2293</v>
      </c>
    </row>
    <row r="132" spans="1:9" x14ac:dyDescent="0.45">
      <c r="A132" t="s">
        <v>2294</v>
      </c>
      <c r="B132" t="s">
        <v>1921</v>
      </c>
      <c r="C132" t="s">
        <v>2290</v>
      </c>
      <c r="D132" s="797" t="s">
        <v>2295</v>
      </c>
      <c r="E132" t="s">
        <v>2296</v>
      </c>
      <c r="F132" t="s">
        <v>2215</v>
      </c>
      <c r="G132" s="797" t="s">
        <v>245</v>
      </c>
      <c r="H132" t="s">
        <v>1399</v>
      </c>
      <c r="I132" s="797" t="s">
        <v>2297</v>
      </c>
    </row>
    <row r="133" spans="1:9" x14ac:dyDescent="0.45">
      <c r="A133" t="s">
        <v>2298</v>
      </c>
      <c r="B133" t="s">
        <v>1762</v>
      </c>
      <c r="C133" t="s">
        <v>2290</v>
      </c>
      <c r="D133" s="797" t="s">
        <v>2299</v>
      </c>
      <c r="E133" t="s">
        <v>2300</v>
      </c>
      <c r="F133" t="s">
        <v>2168</v>
      </c>
      <c r="G133" s="797" t="s">
        <v>245</v>
      </c>
      <c r="H133" t="s">
        <v>1399</v>
      </c>
      <c r="I133" s="797" t="s">
        <v>2301</v>
      </c>
    </row>
    <row r="134" spans="1:9" x14ac:dyDescent="0.45">
      <c r="A134" t="s">
        <v>2302</v>
      </c>
      <c r="B134" t="s">
        <v>1762</v>
      </c>
      <c r="C134" t="s">
        <v>2290</v>
      </c>
      <c r="D134" s="797" t="s">
        <v>2303</v>
      </c>
      <c r="E134" t="s">
        <v>2304</v>
      </c>
      <c r="F134" t="s">
        <v>2168</v>
      </c>
      <c r="G134" s="797" t="s">
        <v>245</v>
      </c>
      <c r="H134" t="s">
        <v>1399</v>
      </c>
      <c r="I134" s="797" t="s">
        <v>2305</v>
      </c>
    </row>
    <row r="135" spans="1:9" x14ac:dyDescent="0.45">
      <c r="A135" t="s">
        <v>2306</v>
      </c>
      <c r="B135" t="s">
        <v>2307</v>
      </c>
      <c r="C135" t="s">
        <v>2308</v>
      </c>
      <c r="D135" s="797" t="s">
        <v>2309</v>
      </c>
      <c r="E135" t="s">
        <v>2310</v>
      </c>
      <c r="F135" t="s">
        <v>2215</v>
      </c>
      <c r="G135" s="797" t="s">
        <v>245</v>
      </c>
      <c r="H135" t="s">
        <v>1399</v>
      </c>
      <c r="I135" s="797" t="s">
        <v>2311</v>
      </c>
    </row>
    <row r="136" spans="1:9" x14ac:dyDescent="0.45">
      <c r="A136" t="s">
        <v>2312</v>
      </c>
      <c r="B136" t="s">
        <v>2313</v>
      </c>
      <c r="C136" t="s">
        <v>2314</v>
      </c>
      <c r="D136" s="797" t="s">
        <v>2315</v>
      </c>
      <c r="E136" t="s">
        <v>2316</v>
      </c>
      <c r="F136" t="s">
        <v>2317</v>
      </c>
      <c r="G136" s="797" t="s">
        <v>245</v>
      </c>
      <c r="H136" t="s">
        <v>2318</v>
      </c>
      <c r="I136" s="797" t="s">
        <v>2319</v>
      </c>
    </row>
    <row r="138" spans="1:9" x14ac:dyDescent="0.45">
      <c r="A138" s="826" t="s">
        <v>1695</v>
      </c>
    </row>
    <row r="139" spans="1:9" ht="21.95" customHeight="1" x14ac:dyDescent="0.5">
      <c r="A139" s="923" t="s">
        <v>2320</v>
      </c>
      <c r="B139" s="917"/>
      <c r="C139" s="917"/>
    </row>
    <row r="140" spans="1:9" x14ac:dyDescent="0.45">
      <c r="A140" s="827" t="s">
        <v>2321</v>
      </c>
    </row>
    <row r="142" spans="1:9" ht="15.75" customHeight="1" thickBot="1" x14ac:dyDescent="0.5">
      <c r="A142" s="838" t="s">
        <v>2322</v>
      </c>
      <c r="B142" s="838" t="s">
        <v>2323</v>
      </c>
      <c r="C142" s="838" t="s">
        <v>2324</v>
      </c>
      <c r="D142" s="840" t="s">
        <v>922</v>
      </c>
      <c r="E142" s="838" t="s">
        <v>2325</v>
      </c>
      <c r="F142" s="838" t="s">
        <v>2326</v>
      </c>
      <c r="G142" s="840" t="s">
        <v>1270</v>
      </c>
    </row>
    <row r="143" spans="1:9" ht="30" customHeight="1" x14ac:dyDescent="0.45">
      <c r="A143" t="s">
        <v>940</v>
      </c>
      <c r="B143" s="782" t="s">
        <v>2327</v>
      </c>
      <c r="C143" t="s">
        <v>2328</v>
      </c>
      <c r="D143" s="797" t="s">
        <v>2329</v>
      </c>
      <c r="E143" t="s">
        <v>2330</v>
      </c>
      <c r="F143" t="s">
        <v>2331</v>
      </c>
      <c r="G143" s="797" t="s">
        <v>2332</v>
      </c>
    </row>
    <row r="144" spans="1:9" ht="30" customHeight="1" x14ac:dyDescent="0.45">
      <c r="A144" t="s">
        <v>929</v>
      </c>
      <c r="B144" s="782" t="s">
        <v>2327</v>
      </c>
      <c r="C144" t="s">
        <v>2333</v>
      </c>
      <c r="D144" s="797" t="s">
        <v>2334</v>
      </c>
      <c r="E144" t="s">
        <v>2330</v>
      </c>
      <c r="F144" t="s">
        <v>730</v>
      </c>
      <c r="G144" s="797" t="s">
        <v>2335</v>
      </c>
    </row>
    <row r="145" spans="1:7" ht="30" customHeight="1" x14ac:dyDescent="0.45">
      <c r="A145" t="s">
        <v>925</v>
      </c>
      <c r="B145" s="782" t="s">
        <v>2327</v>
      </c>
      <c r="C145" t="s">
        <v>2336</v>
      </c>
      <c r="D145" s="797" t="s">
        <v>2337</v>
      </c>
      <c r="E145" t="s">
        <v>2338</v>
      </c>
      <c r="F145" t="s">
        <v>730</v>
      </c>
      <c r="G145" s="797" t="s">
        <v>2339</v>
      </c>
    </row>
    <row r="146" spans="1:7" ht="30" customHeight="1" x14ac:dyDescent="0.45">
      <c r="A146" t="s">
        <v>1446</v>
      </c>
      <c r="B146" s="782" t="s">
        <v>2327</v>
      </c>
      <c r="C146" t="s">
        <v>2340</v>
      </c>
      <c r="D146" s="797" t="s">
        <v>2341</v>
      </c>
      <c r="E146" t="s">
        <v>2342</v>
      </c>
      <c r="F146" t="s">
        <v>729</v>
      </c>
      <c r="G146" s="797" t="s">
        <v>2343</v>
      </c>
    </row>
    <row r="147" spans="1:7" ht="30" customHeight="1" x14ac:dyDescent="0.45">
      <c r="A147" t="s">
        <v>1472</v>
      </c>
      <c r="B147" s="782" t="s">
        <v>2327</v>
      </c>
      <c r="C147" t="s">
        <v>2344</v>
      </c>
      <c r="D147" s="797" t="s">
        <v>2345</v>
      </c>
      <c r="E147" t="s">
        <v>2346</v>
      </c>
      <c r="F147" t="s">
        <v>729</v>
      </c>
      <c r="G147" s="797" t="s">
        <v>2347</v>
      </c>
    </row>
    <row r="148" spans="1:7" x14ac:dyDescent="0.45">
      <c r="A148" t="s">
        <v>2348</v>
      </c>
      <c r="B148" s="782" t="s">
        <v>2327</v>
      </c>
      <c r="C148" t="s">
        <v>2349</v>
      </c>
      <c r="D148" s="797" t="s">
        <v>2350</v>
      </c>
      <c r="E148" t="s">
        <v>2351</v>
      </c>
      <c r="F148" t="s">
        <v>729</v>
      </c>
      <c r="G148" s="797" t="s">
        <v>2352</v>
      </c>
    </row>
    <row r="149" spans="1:7" ht="30" customHeight="1" x14ac:dyDescent="0.45">
      <c r="A149" t="s">
        <v>923</v>
      </c>
      <c r="B149" s="831" t="s">
        <v>2353</v>
      </c>
      <c r="C149" t="s">
        <v>7</v>
      </c>
      <c r="D149" s="797" t="s">
        <v>2354</v>
      </c>
      <c r="E149" t="s">
        <v>2355</v>
      </c>
      <c r="F149" t="s">
        <v>2356</v>
      </c>
      <c r="G149" s="797" t="s">
        <v>2357</v>
      </c>
    </row>
    <row r="150" spans="1:7" ht="30" customHeight="1" x14ac:dyDescent="0.45">
      <c r="A150" t="s">
        <v>927</v>
      </c>
      <c r="B150" s="831" t="s">
        <v>2353</v>
      </c>
      <c r="C150" t="s">
        <v>7</v>
      </c>
      <c r="D150" s="797" t="s">
        <v>2358</v>
      </c>
      <c r="E150" t="s">
        <v>2359</v>
      </c>
      <c r="F150" t="s">
        <v>2356</v>
      </c>
      <c r="G150" s="797" t="s">
        <v>2360</v>
      </c>
    </row>
    <row r="151" spans="1:7" ht="30" customHeight="1" x14ac:dyDescent="0.45">
      <c r="A151" t="s">
        <v>2361</v>
      </c>
      <c r="B151" s="832" t="s">
        <v>2362</v>
      </c>
      <c r="C151" t="s">
        <v>2363</v>
      </c>
      <c r="D151" s="797" t="s">
        <v>2364</v>
      </c>
      <c r="E151" t="s">
        <v>2365</v>
      </c>
      <c r="F151" t="s">
        <v>2356</v>
      </c>
      <c r="G151" s="797" t="s">
        <v>2366</v>
      </c>
    </row>
    <row r="152" spans="1:7" ht="30" customHeight="1" x14ac:dyDescent="0.45">
      <c r="A152" t="s">
        <v>944</v>
      </c>
      <c r="B152" s="832" t="s">
        <v>2362</v>
      </c>
      <c r="C152" t="s">
        <v>2367</v>
      </c>
      <c r="D152" s="797" t="s">
        <v>2368</v>
      </c>
      <c r="E152" t="s">
        <v>2369</v>
      </c>
      <c r="F152" t="s">
        <v>2356</v>
      </c>
      <c r="G152" s="797" t="s">
        <v>2370</v>
      </c>
    </row>
    <row r="153" spans="1:7" ht="30" customHeight="1" x14ac:dyDescent="0.45">
      <c r="A153" t="s">
        <v>2371</v>
      </c>
      <c r="B153" s="832" t="s">
        <v>2362</v>
      </c>
      <c r="C153" t="s">
        <v>2372</v>
      </c>
      <c r="D153" s="797" t="s">
        <v>2373</v>
      </c>
      <c r="E153" t="s">
        <v>2374</v>
      </c>
      <c r="F153" t="s">
        <v>2356</v>
      </c>
      <c r="G153" s="797" t="s">
        <v>2375</v>
      </c>
    </row>
    <row r="154" spans="1:7" ht="30" customHeight="1" x14ac:dyDescent="0.45">
      <c r="A154" t="s">
        <v>1563</v>
      </c>
      <c r="B154" s="831" t="s">
        <v>2353</v>
      </c>
      <c r="C154" t="s">
        <v>7</v>
      </c>
      <c r="D154" s="797" t="s">
        <v>2376</v>
      </c>
      <c r="E154" t="s">
        <v>2377</v>
      </c>
      <c r="F154" t="s">
        <v>729</v>
      </c>
      <c r="G154" s="797" t="s">
        <v>2378</v>
      </c>
    </row>
    <row r="155" spans="1:7" ht="30" customHeight="1" x14ac:dyDescent="0.45">
      <c r="A155" t="s">
        <v>2379</v>
      </c>
      <c r="B155" s="831" t="s">
        <v>2353</v>
      </c>
      <c r="C155" t="s">
        <v>7</v>
      </c>
      <c r="D155" s="797" t="s">
        <v>2376</v>
      </c>
      <c r="E155" t="s">
        <v>2377</v>
      </c>
      <c r="F155" t="s">
        <v>729</v>
      </c>
      <c r="G155" s="797" t="s">
        <v>2378</v>
      </c>
    </row>
    <row r="156" spans="1:7" x14ac:dyDescent="0.45">
      <c r="A156" t="s">
        <v>2380</v>
      </c>
      <c r="B156" s="832" t="s">
        <v>2362</v>
      </c>
      <c r="C156" t="s">
        <v>2367</v>
      </c>
      <c r="D156" s="797" t="s">
        <v>2381</v>
      </c>
      <c r="E156" t="s">
        <v>2382</v>
      </c>
      <c r="F156" t="s">
        <v>2356</v>
      </c>
      <c r="G156" s="797" t="s">
        <v>2383</v>
      </c>
    </row>
    <row r="157" spans="1:7" x14ac:dyDescent="0.45">
      <c r="A157" t="s">
        <v>2384</v>
      </c>
      <c r="B157" s="832" t="s">
        <v>2362</v>
      </c>
      <c r="C157" t="s">
        <v>2367</v>
      </c>
      <c r="D157" s="797" t="s">
        <v>2385</v>
      </c>
      <c r="E157" t="s">
        <v>2382</v>
      </c>
      <c r="F157" t="s">
        <v>2356</v>
      </c>
      <c r="G157" s="797" t="s">
        <v>2383</v>
      </c>
    </row>
    <row r="158" spans="1:7" x14ac:dyDescent="0.45">
      <c r="A158" t="s">
        <v>2386</v>
      </c>
      <c r="B158" s="832" t="s">
        <v>2362</v>
      </c>
      <c r="C158" t="s">
        <v>2367</v>
      </c>
      <c r="D158" s="797" t="s">
        <v>2387</v>
      </c>
      <c r="E158" t="s">
        <v>2382</v>
      </c>
      <c r="F158" t="s">
        <v>2356</v>
      </c>
      <c r="G158" s="797" t="s">
        <v>2388</v>
      </c>
    </row>
    <row r="159" spans="1:7" x14ac:dyDescent="0.45">
      <c r="A159" t="s">
        <v>2389</v>
      </c>
      <c r="B159" s="832" t="s">
        <v>2362</v>
      </c>
      <c r="C159" t="s">
        <v>2367</v>
      </c>
      <c r="D159" s="797" t="s">
        <v>2390</v>
      </c>
      <c r="E159" t="s">
        <v>2382</v>
      </c>
      <c r="F159" t="s">
        <v>2356</v>
      </c>
      <c r="G159" s="797" t="s">
        <v>2391</v>
      </c>
    </row>
    <row r="160" spans="1:7" x14ac:dyDescent="0.45">
      <c r="A160" t="s">
        <v>2392</v>
      </c>
      <c r="B160" t="s">
        <v>2393</v>
      </c>
      <c r="C160" t="s">
        <v>7</v>
      </c>
      <c r="D160" t="s">
        <v>2394</v>
      </c>
      <c r="E160" t="s">
        <v>2395</v>
      </c>
      <c r="F160" t="s">
        <v>2356</v>
      </c>
      <c r="G160" t="s">
        <v>2396</v>
      </c>
    </row>
    <row r="161" spans="1:7" x14ac:dyDescent="0.45">
      <c r="A161" s="826" t="s">
        <v>1695</v>
      </c>
    </row>
    <row r="162" spans="1:7" ht="21.95" customHeight="1" x14ac:dyDescent="0.5">
      <c r="A162" s="923" t="s">
        <v>2397</v>
      </c>
      <c r="B162" s="917"/>
      <c r="C162" s="917"/>
    </row>
    <row r="163" spans="1:7" x14ac:dyDescent="0.45">
      <c r="A163" s="827" t="s">
        <v>2398</v>
      </c>
    </row>
    <row r="165" spans="1:7" ht="15.75" customHeight="1" thickBot="1" x14ac:dyDescent="0.5">
      <c r="A165" s="838" t="s">
        <v>2399</v>
      </c>
      <c r="B165" s="838" t="s">
        <v>2400</v>
      </c>
      <c r="C165" s="838" t="s">
        <v>2401</v>
      </c>
      <c r="D165" s="840" t="s">
        <v>2402</v>
      </c>
      <c r="E165" s="838" t="s">
        <v>2403</v>
      </c>
      <c r="F165" s="838" t="s">
        <v>2404</v>
      </c>
      <c r="G165" s="840" t="s">
        <v>2405</v>
      </c>
    </row>
    <row r="166" spans="1:7" ht="30" customHeight="1" x14ac:dyDescent="0.45">
      <c r="A166" t="s">
        <v>2406</v>
      </c>
      <c r="B166" t="s">
        <v>2407</v>
      </c>
      <c r="C166" t="s">
        <v>2408</v>
      </c>
      <c r="D166" s="797" t="s">
        <v>2409</v>
      </c>
      <c r="E166" t="s">
        <v>2410</v>
      </c>
      <c r="F166" t="s">
        <v>2411</v>
      </c>
      <c r="G166" s="797" t="s">
        <v>2412</v>
      </c>
    </row>
    <row r="167" spans="1:7" ht="30" customHeight="1" x14ac:dyDescent="0.45">
      <c r="A167" t="s">
        <v>2413</v>
      </c>
      <c r="B167" t="s">
        <v>2414</v>
      </c>
      <c r="C167" t="s">
        <v>2415</v>
      </c>
      <c r="D167" s="797" t="s">
        <v>2416</v>
      </c>
      <c r="E167" t="s">
        <v>2417</v>
      </c>
      <c r="F167" t="s">
        <v>2418</v>
      </c>
      <c r="G167" s="797" t="s">
        <v>2419</v>
      </c>
    </row>
    <row r="168" spans="1:7" ht="30" customHeight="1" x14ac:dyDescent="0.45">
      <c r="A168" t="s">
        <v>2420</v>
      </c>
      <c r="B168" t="s">
        <v>2421</v>
      </c>
      <c r="C168" t="s">
        <v>2422</v>
      </c>
      <c r="D168" s="797" t="s">
        <v>2423</v>
      </c>
      <c r="E168" t="s">
        <v>2424</v>
      </c>
      <c r="F168" t="s">
        <v>2425</v>
      </c>
      <c r="G168" s="797" t="s">
        <v>2426</v>
      </c>
    </row>
    <row r="169" spans="1:7" ht="30" customHeight="1" x14ac:dyDescent="0.45">
      <c r="A169" t="s">
        <v>2427</v>
      </c>
      <c r="B169" t="s">
        <v>2428</v>
      </c>
      <c r="C169" t="s">
        <v>2429</v>
      </c>
      <c r="D169" s="797" t="s">
        <v>2430</v>
      </c>
      <c r="E169" t="s">
        <v>2431</v>
      </c>
      <c r="F169" t="s">
        <v>2432</v>
      </c>
      <c r="G169" s="797" t="s">
        <v>2433</v>
      </c>
    </row>
    <row r="170" spans="1:7" ht="30" customHeight="1" x14ac:dyDescent="0.45">
      <c r="A170" t="s">
        <v>2434</v>
      </c>
      <c r="B170" t="s">
        <v>2435</v>
      </c>
      <c r="C170" t="s">
        <v>2436</v>
      </c>
      <c r="D170" s="797" t="s">
        <v>2437</v>
      </c>
      <c r="E170" t="s">
        <v>2438</v>
      </c>
      <c r="F170" t="s">
        <v>2439</v>
      </c>
      <c r="G170" s="797" t="s">
        <v>2440</v>
      </c>
    </row>
    <row r="171" spans="1:7" ht="30" customHeight="1" x14ac:dyDescent="0.45">
      <c r="A171" t="s">
        <v>2441</v>
      </c>
      <c r="B171" t="s">
        <v>2442</v>
      </c>
      <c r="C171" t="s">
        <v>2443</v>
      </c>
      <c r="D171" s="797" t="s">
        <v>2444</v>
      </c>
      <c r="E171" t="s">
        <v>2445</v>
      </c>
      <c r="F171" t="s">
        <v>2446</v>
      </c>
      <c r="G171" s="797" t="s">
        <v>2447</v>
      </c>
    </row>
    <row r="172" spans="1:7" ht="30" customHeight="1" x14ac:dyDescent="0.45">
      <c r="A172" t="s">
        <v>2448</v>
      </c>
      <c r="B172" t="s">
        <v>2449</v>
      </c>
      <c r="C172" t="s">
        <v>419</v>
      </c>
      <c r="D172" s="797" t="s">
        <v>2450</v>
      </c>
      <c r="E172" t="s">
        <v>2451</v>
      </c>
      <c r="F172" t="s">
        <v>2452</v>
      </c>
      <c r="G172" s="797" t="s">
        <v>2453</v>
      </c>
    </row>
    <row r="173" spans="1:7" ht="30" customHeight="1" x14ac:dyDescent="0.45">
      <c r="A173" t="s">
        <v>2454</v>
      </c>
      <c r="B173" t="s">
        <v>2455</v>
      </c>
      <c r="C173" t="s">
        <v>419</v>
      </c>
      <c r="D173" s="797" t="s">
        <v>2456</v>
      </c>
      <c r="E173" t="s">
        <v>2457</v>
      </c>
      <c r="F173" t="s">
        <v>2458</v>
      </c>
      <c r="G173" s="797" t="s">
        <v>2459</v>
      </c>
    </row>
    <row r="174" spans="1:7" ht="30" customHeight="1" x14ac:dyDescent="0.45">
      <c r="A174" t="s">
        <v>2460</v>
      </c>
      <c r="B174" t="s">
        <v>2461</v>
      </c>
      <c r="C174" t="s">
        <v>275</v>
      </c>
      <c r="D174" s="797" t="s">
        <v>2462</v>
      </c>
      <c r="E174" t="s">
        <v>2463</v>
      </c>
      <c r="F174" t="s">
        <v>2464</v>
      </c>
      <c r="G174" s="797" t="s">
        <v>2465</v>
      </c>
    </row>
    <row r="175" spans="1:7" ht="30" customHeight="1" x14ac:dyDescent="0.45">
      <c r="A175" t="s">
        <v>2466</v>
      </c>
      <c r="B175" t="s">
        <v>2467</v>
      </c>
      <c r="C175" t="s">
        <v>2468</v>
      </c>
      <c r="D175" s="797" t="s">
        <v>2469</v>
      </c>
      <c r="E175" t="s">
        <v>2470</v>
      </c>
      <c r="F175" t="s">
        <v>2471</v>
      </c>
      <c r="G175" s="797" t="s">
        <v>2472</v>
      </c>
    </row>
    <row r="176" spans="1:7" ht="30" customHeight="1" x14ac:dyDescent="0.45">
      <c r="A176" t="s">
        <v>2473</v>
      </c>
      <c r="B176" t="s">
        <v>2474</v>
      </c>
      <c r="C176" t="s">
        <v>419</v>
      </c>
      <c r="D176" s="797" t="s">
        <v>2475</v>
      </c>
      <c r="E176" t="s">
        <v>2476</v>
      </c>
      <c r="F176" t="s">
        <v>2477</v>
      </c>
      <c r="G176" s="797" t="s">
        <v>2478</v>
      </c>
    </row>
    <row r="177" spans="1:21" ht="30" customHeight="1" x14ac:dyDescent="0.45">
      <c r="A177" t="s">
        <v>2479</v>
      </c>
      <c r="B177" t="s">
        <v>2480</v>
      </c>
      <c r="C177" t="s">
        <v>2481</v>
      </c>
      <c r="D177" s="797" t="s">
        <v>2482</v>
      </c>
      <c r="E177" t="s">
        <v>2483</v>
      </c>
      <c r="F177" t="s">
        <v>2484</v>
      </c>
      <c r="G177" s="797" t="s">
        <v>2485</v>
      </c>
    </row>
    <row r="178" spans="1:21" x14ac:dyDescent="0.45">
      <c r="A178" t="s">
        <v>2486</v>
      </c>
      <c r="B178" t="s">
        <v>2487</v>
      </c>
      <c r="C178" t="s">
        <v>275</v>
      </c>
      <c r="D178" s="797" t="s">
        <v>2488</v>
      </c>
      <c r="E178" t="s">
        <v>2489</v>
      </c>
      <c r="F178" t="s">
        <v>2490</v>
      </c>
      <c r="G178" s="797" t="s">
        <v>2491</v>
      </c>
    </row>
    <row r="179" spans="1:21" ht="30" customHeight="1" x14ac:dyDescent="0.45">
      <c r="A179" t="s">
        <v>2492</v>
      </c>
      <c r="B179" t="s">
        <v>2493</v>
      </c>
      <c r="C179" t="s">
        <v>2494</v>
      </c>
      <c r="D179" s="797" t="s">
        <v>2495</v>
      </c>
      <c r="E179" t="s">
        <v>2496</v>
      </c>
      <c r="F179" t="s">
        <v>2497</v>
      </c>
      <c r="G179" s="797" t="s">
        <v>2498</v>
      </c>
    </row>
    <row r="181" spans="1:21" x14ac:dyDescent="0.45">
      <c r="A181" s="826" t="s">
        <v>1695</v>
      </c>
    </row>
    <row r="182" spans="1:21" ht="21.95" customHeight="1" x14ac:dyDescent="0.5">
      <c r="A182" s="923" t="s">
        <v>2499</v>
      </c>
      <c r="B182" s="917"/>
      <c r="C182" s="917"/>
    </row>
    <row r="183" spans="1:21" x14ac:dyDescent="0.45">
      <c r="A183" s="827" t="s">
        <v>2500</v>
      </c>
    </row>
    <row r="185" spans="1:21" ht="15.75" customHeight="1" thickBot="1" x14ac:dyDescent="0.5">
      <c r="A185" s="838" t="s">
        <v>2501</v>
      </c>
      <c r="B185" s="838" t="s">
        <v>2502</v>
      </c>
      <c r="C185" s="838" t="s">
        <v>2503</v>
      </c>
      <c r="D185" s="840" t="s">
        <v>1763</v>
      </c>
      <c r="E185" s="838" t="s">
        <v>715</v>
      </c>
      <c r="F185" s="838" t="s">
        <v>2504</v>
      </c>
      <c r="G185" s="840" t="s">
        <v>2505</v>
      </c>
      <c r="H185" s="838" t="s">
        <v>2506</v>
      </c>
      <c r="I185" s="840" t="s">
        <v>2507</v>
      </c>
      <c r="J185" s="838" t="s">
        <v>2508</v>
      </c>
      <c r="K185" s="838" t="s">
        <v>2509</v>
      </c>
      <c r="L185" s="838" t="s">
        <v>2510</v>
      </c>
      <c r="M185" s="838" t="s">
        <v>2511</v>
      </c>
      <c r="N185" s="838" t="s">
        <v>2512</v>
      </c>
      <c r="O185" s="838" t="s">
        <v>2513</v>
      </c>
      <c r="P185" s="838" t="s">
        <v>2514</v>
      </c>
      <c r="Q185" s="838" t="s">
        <v>2515</v>
      </c>
      <c r="R185" s="838" t="s">
        <v>2516</v>
      </c>
      <c r="S185" s="840" t="s">
        <v>2517</v>
      </c>
      <c r="T185" s="838" t="s">
        <v>2518</v>
      </c>
      <c r="U185" s="838" t="s">
        <v>1270</v>
      </c>
    </row>
    <row r="186" spans="1:21" x14ac:dyDescent="0.45">
      <c r="A186" s="833" t="s">
        <v>2519</v>
      </c>
      <c r="B186" s="834">
        <v>46090.416666666657</v>
      </c>
      <c r="C186" s="833" t="s">
        <v>2520</v>
      </c>
      <c r="D186" s="843" t="s">
        <v>2521</v>
      </c>
      <c r="E186" s="833" t="s">
        <v>2522</v>
      </c>
      <c r="F186" s="835">
        <v>5000000</v>
      </c>
      <c r="G186" s="843" t="s">
        <v>913</v>
      </c>
      <c r="H186" s="833">
        <v>1</v>
      </c>
      <c r="I186" s="843" t="s">
        <v>1399</v>
      </c>
      <c r="J186" s="833" t="s">
        <v>1399</v>
      </c>
      <c r="K186" s="833" t="s">
        <v>1399</v>
      </c>
      <c r="L186" s="833" t="s">
        <v>2523</v>
      </c>
      <c r="M186" s="833" t="s">
        <v>245</v>
      </c>
      <c r="N186" s="833" t="s">
        <v>1722</v>
      </c>
      <c r="O186" s="835">
        <v>147088763</v>
      </c>
      <c r="P186" s="835">
        <v>150500000</v>
      </c>
      <c r="Q186" s="835">
        <v>3411237</v>
      </c>
      <c r="R186" s="833" t="s">
        <v>1399</v>
      </c>
      <c r="S186" s="843" t="s">
        <v>245</v>
      </c>
      <c r="T186" s="833" t="s">
        <v>2524</v>
      </c>
      <c r="U186" s="833" t="s">
        <v>2525</v>
      </c>
    </row>
    <row r="188" spans="1:21" x14ac:dyDescent="0.45">
      <c r="A188" s="837" t="s">
        <v>2526</v>
      </c>
      <c r="B188" s="836"/>
      <c r="C188" s="836"/>
      <c r="D188" s="844"/>
      <c r="E188" s="836"/>
      <c r="F188" s="836"/>
      <c r="G188" s="844"/>
      <c r="H188" s="836"/>
      <c r="I188" s="844"/>
      <c r="J188" s="836"/>
      <c r="K188" s="836"/>
      <c r="L188" s="836"/>
      <c r="M188" s="836"/>
      <c r="N188" s="836"/>
      <c r="O188" s="836"/>
      <c r="P188" s="836"/>
      <c r="Q188" s="836"/>
      <c r="R188" s="836"/>
      <c r="S188" s="844"/>
      <c r="T188" s="836"/>
      <c r="U188" s="836"/>
    </row>
    <row r="189" spans="1:21" x14ac:dyDescent="0.45">
      <c r="A189" s="836" t="s">
        <v>2527</v>
      </c>
      <c r="B189" s="836" t="s">
        <v>2528</v>
      </c>
      <c r="C189" s="836" t="s">
        <v>2529</v>
      </c>
      <c r="D189" s="844" t="s">
        <v>2530</v>
      </c>
      <c r="E189" s="836" t="s">
        <v>2531</v>
      </c>
      <c r="F189" s="836" t="s">
        <v>2532</v>
      </c>
      <c r="G189" s="844" t="s">
        <v>2533</v>
      </c>
      <c r="H189" s="836" t="s">
        <v>2534</v>
      </c>
      <c r="I189" s="844" t="s">
        <v>2535</v>
      </c>
      <c r="J189" s="836" t="s">
        <v>2536</v>
      </c>
      <c r="K189" s="836" t="s">
        <v>2537</v>
      </c>
      <c r="L189" s="836" t="s">
        <v>2538</v>
      </c>
      <c r="M189" s="836" t="s">
        <v>2539</v>
      </c>
      <c r="N189" s="836" t="s">
        <v>2540</v>
      </c>
      <c r="O189" s="836" t="s">
        <v>2541</v>
      </c>
      <c r="P189" s="836" t="s">
        <v>2542</v>
      </c>
      <c r="Q189" s="836" t="s">
        <v>2543</v>
      </c>
      <c r="R189" s="836" t="s">
        <v>2544</v>
      </c>
      <c r="S189" s="844" t="s">
        <v>2545</v>
      </c>
      <c r="T189" s="836" t="s">
        <v>2546</v>
      </c>
      <c r="U189" s="836" t="s">
        <v>2547</v>
      </c>
    </row>
    <row r="191" spans="1:21" x14ac:dyDescent="0.45">
      <c r="A191" s="826" t="s">
        <v>1695</v>
      </c>
    </row>
    <row r="192" spans="1:21" ht="21.95" customHeight="1" x14ac:dyDescent="0.5">
      <c r="A192" s="923" t="s">
        <v>2548</v>
      </c>
      <c r="B192" s="917"/>
      <c r="C192" s="917"/>
    </row>
    <row r="193" spans="1:4" x14ac:dyDescent="0.45">
      <c r="A193" s="827" t="s">
        <v>2549</v>
      </c>
    </row>
    <row r="195" spans="1:4" ht="15.75" customHeight="1" thickBot="1" x14ac:dyDescent="0.5">
      <c r="A195" s="839" t="s">
        <v>2550</v>
      </c>
      <c r="B195" s="839" t="s">
        <v>2551</v>
      </c>
      <c r="C195" s="839" t="s">
        <v>2552</v>
      </c>
      <c r="D195" s="845" t="s">
        <v>2553</v>
      </c>
    </row>
    <row r="196" spans="1:4" x14ac:dyDescent="0.45">
      <c r="A196" s="671">
        <v>0</v>
      </c>
      <c r="B196" t="s">
        <v>2554</v>
      </c>
      <c r="C196" t="s">
        <v>2555</v>
      </c>
      <c r="D196" s="797" t="s">
        <v>2556</v>
      </c>
    </row>
    <row r="197" spans="1:4" x14ac:dyDescent="0.45">
      <c r="A197" s="671">
        <v>1</v>
      </c>
      <c r="B197" t="s">
        <v>2557</v>
      </c>
      <c r="C197" t="s">
        <v>2558</v>
      </c>
      <c r="D197" s="797" t="s">
        <v>2559</v>
      </c>
    </row>
    <row r="198" spans="1:4" x14ac:dyDescent="0.45">
      <c r="A198" s="671">
        <v>2</v>
      </c>
      <c r="B198" t="s">
        <v>2560</v>
      </c>
      <c r="C198" t="s">
        <v>2561</v>
      </c>
      <c r="D198" s="797" t="s">
        <v>2562</v>
      </c>
    </row>
    <row r="199" spans="1:4" x14ac:dyDescent="0.45">
      <c r="A199" s="671">
        <v>3</v>
      </c>
      <c r="B199" t="s">
        <v>2563</v>
      </c>
      <c r="C199" t="s">
        <v>2564</v>
      </c>
      <c r="D199" s="797" t="s">
        <v>2565</v>
      </c>
    </row>
    <row r="200" spans="1:4" x14ac:dyDescent="0.45">
      <c r="A200" s="671">
        <v>4</v>
      </c>
      <c r="B200" t="s">
        <v>2566</v>
      </c>
      <c r="C200" t="s">
        <v>2567</v>
      </c>
      <c r="D200" s="797" t="s">
        <v>2568</v>
      </c>
    </row>
    <row r="201" spans="1:4" x14ac:dyDescent="0.45">
      <c r="A201" s="671">
        <v>5</v>
      </c>
      <c r="B201" t="s">
        <v>2569</v>
      </c>
      <c r="C201" t="s">
        <v>2570</v>
      </c>
      <c r="D201" s="797" t="s">
        <v>2571</v>
      </c>
    </row>
    <row r="202" spans="1:4" ht="30" customHeight="1" x14ac:dyDescent="0.45">
      <c r="A202" s="671">
        <v>6</v>
      </c>
      <c r="B202" t="s">
        <v>2572</v>
      </c>
      <c r="C202" t="s">
        <v>2573</v>
      </c>
      <c r="D202" s="797" t="s">
        <v>2574</v>
      </c>
    </row>
    <row r="203" spans="1:4" x14ac:dyDescent="0.45">
      <c r="A203" s="671" t="s">
        <v>2575</v>
      </c>
      <c r="B203" t="s">
        <v>2576</v>
      </c>
      <c r="C203" t="s">
        <v>2577</v>
      </c>
      <c r="D203" s="797" t="s">
        <v>2578</v>
      </c>
    </row>
    <row r="204" spans="1:4" x14ac:dyDescent="0.45">
      <c r="A204" s="671" t="s">
        <v>2579</v>
      </c>
      <c r="B204" t="s">
        <v>2580</v>
      </c>
      <c r="C204" t="s">
        <v>2581</v>
      </c>
      <c r="D204" s="797" t="s">
        <v>2582</v>
      </c>
    </row>
    <row r="205" spans="1:4" x14ac:dyDescent="0.45">
      <c r="A205" s="671" t="s">
        <v>2583</v>
      </c>
      <c r="B205" t="s">
        <v>2584</v>
      </c>
      <c r="C205" t="s">
        <v>2585</v>
      </c>
      <c r="D205" s="797" t="s">
        <v>2586</v>
      </c>
    </row>
    <row r="206" spans="1:4" x14ac:dyDescent="0.45">
      <c r="A206" s="671" t="s">
        <v>2587</v>
      </c>
      <c r="B206" t="s">
        <v>2588</v>
      </c>
      <c r="C206" t="s">
        <v>2589</v>
      </c>
      <c r="D206" s="797" t="s">
        <v>2590</v>
      </c>
    </row>
    <row r="207" spans="1:4" x14ac:dyDescent="0.45">
      <c r="A207" s="671">
        <v>7</v>
      </c>
      <c r="B207" t="s">
        <v>2591</v>
      </c>
      <c r="C207" t="s">
        <v>2592</v>
      </c>
      <c r="D207" s="797" t="s">
        <v>2593</v>
      </c>
    </row>
    <row r="208" spans="1:4" x14ac:dyDescent="0.45">
      <c r="A208" s="671">
        <v>8</v>
      </c>
      <c r="B208" t="s">
        <v>2594</v>
      </c>
      <c r="C208" t="s">
        <v>2595</v>
      </c>
      <c r="D208" s="797" t="s">
        <v>2596</v>
      </c>
    </row>
    <row r="209" spans="1:4" x14ac:dyDescent="0.45">
      <c r="A209" s="671">
        <v>9</v>
      </c>
      <c r="B209" t="s">
        <v>2597</v>
      </c>
      <c r="C209" t="s">
        <v>2598</v>
      </c>
      <c r="D209" s="797" t="s">
        <v>2599</v>
      </c>
    </row>
    <row r="210" spans="1:4" x14ac:dyDescent="0.45">
      <c r="A210" s="671">
        <v>10</v>
      </c>
      <c r="B210" t="s">
        <v>2600</v>
      </c>
      <c r="C210" t="s">
        <v>2601</v>
      </c>
      <c r="D210" s="797" t="s">
        <v>2602</v>
      </c>
    </row>
  </sheetData>
  <mergeCells count="9">
    <mergeCell ref="A192:C192"/>
    <mergeCell ref="A4:C4"/>
    <mergeCell ref="A95:C95"/>
    <mergeCell ref="A1:Q1"/>
    <mergeCell ref="A182:C182"/>
    <mergeCell ref="A60:C60"/>
    <mergeCell ref="A13:C13"/>
    <mergeCell ref="A162:C162"/>
    <mergeCell ref="A139:C1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Availability</vt:lpstr>
      <vt:lpstr>Portfolio</vt:lpstr>
      <vt:lpstr>Concentration Limits</vt:lpstr>
      <vt:lpstr>Loan Tape 4.26 _SMC</vt:lpstr>
      <vt:lpstr>AGENT</vt:lpstr>
      <vt:lpstr>VAE</vt:lpstr>
      <vt:lpstr>VAE Reset</vt:lpstr>
      <vt:lpstr>Loan Tape - Settled</vt:lpstr>
      <vt:lpstr>SM Support</vt:lpstr>
      <vt:lpstr>Quarterly Reporting</vt:lpstr>
      <vt:lpstr>ownership</vt:lpstr>
      <vt:lpstr>Memory</vt:lpstr>
      <vt:lpstr>AI_Instructions</vt:lpstr>
      <vt:lpstr>Deal Team Input</vt:lpstr>
      <vt:lpstr>Agentic Layer Workflow</vt:lpstr>
      <vt:lpstr>MAPPING_LAYER</vt:lpstr>
      <vt:lpstr>Cap_1</vt:lpstr>
      <vt:lpstr>Cap_2</vt:lpstr>
      <vt:lpstr>Cap_3</vt:lpstr>
      <vt:lpstr>Availability!Print_Area</vt:lpstr>
      <vt:lpstr>'Deal Team Input'!Print_Area</vt:lpstr>
      <vt:lpstr>'Loan Tape 4.26 _SMC'!Print_Area</vt:lpstr>
      <vt:lpstr>ownership!Print_Area</vt:lpstr>
      <vt:lpstr>Tier_1_1L</vt:lpstr>
      <vt:lpstr>Tier_1_2L</vt:lpstr>
      <vt:lpstr>Tier_1_ApplicableValue</vt:lpstr>
      <vt:lpstr>Tier_2_1L</vt:lpstr>
      <vt:lpstr>Tier_2_2L</vt:lpstr>
      <vt:lpstr>Tier_2_ApplicableValue</vt:lpstr>
      <vt:lpstr>Tier_3_1L</vt:lpstr>
      <vt:lpstr>Tier_3_2L</vt:lpstr>
      <vt:lpstr>Tier_3_ApplicableValue</vt:lpstr>
      <vt:lpstr>Tier_partialzerovalue</vt:lpstr>
      <vt:lpstr>Tier_totalzerovalue</vt:lpstr>
      <vt:lpstr>VAE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Guitard</dc:creator>
  <cp:keywords/>
  <dc:description/>
  <cp:lastModifiedBy>Andres Carrillo</cp:lastModifiedBy>
  <cp:revision/>
  <dcterms:created xsi:type="dcterms:W3CDTF">2020-04-23T17:56:40Z</dcterms:created>
  <dcterms:modified xsi:type="dcterms:W3CDTF">2026-03-11T21:40:28Z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8a4f2945-80a4-43d0-8aa0-ec0f3f91ecbe</vt:lpwstr>
  </property>
  <property fmtid="{D5CDD505-2E9C-101B-9397-08002B2CF9AE}" pid="3" name="AllyClassification">
    <vt:lpwstr>C</vt:lpwstr>
  </property>
  <property fmtid="{D5CDD505-2E9C-101B-9397-08002B2CF9AE}" pid="4" name="MSIP_Label_f2cf77db-5e18-4f62-b122-c745f86f302a_Enabled">
    <vt:lpwstr>true</vt:lpwstr>
  </property>
  <property fmtid="{D5CDD505-2E9C-101B-9397-08002B2CF9AE}" pid="5" name="MSIP_Label_f2cf77db-5e18-4f62-b122-c745f86f302a_SetDate">
    <vt:lpwstr>2023-01-03T15:48:06Z</vt:lpwstr>
  </property>
  <property fmtid="{D5CDD505-2E9C-101B-9397-08002B2CF9AE}" pid="6" name="MSIP_Label_f2cf77db-5e18-4f62-b122-c745f86f302a_Method">
    <vt:lpwstr>Standard</vt:lpwstr>
  </property>
  <property fmtid="{D5CDD505-2E9C-101B-9397-08002B2CF9AE}" pid="7" name="MSIP_Label_f2cf77db-5e18-4f62-b122-c745f86f302a_Name">
    <vt:lpwstr>defa4170-0d19-0005-0004-bc88714345d2</vt:lpwstr>
  </property>
  <property fmtid="{D5CDD505-2E9C-101B-9397-08002B2CF9AE}" pid="8" name="MSIP_Label_f2cf77db-5e18-4f62-b122-c745f86f302a_SiteId">
    <vt:lpwstr>cd42ad31-bf24-4569-91e9-e4e961d2a99c</vt:lpwstr>
  </property>
  <property fmtid="{D5CDD505-2E9C-101B-9397-08002B2CF9AE}" pid="9" name="MSIP_Label_f2cf77db-5e18-4f62-b122-c745f86f302a_ActionId">
    <vt:lpwstr>70d73d7f-a055-43d5-b77b-58e7e5016555</vt:lpwstr>
  </property>
  <property fmtid="{D5CDD505-2E9C-101B-9397-08002B2CF9AE}" pid="10" name="MSIP_Label_f2cf77db-5e18-4f62-b122-c745f86f302a_ContentBits">
    <vt:lpwstr>0</vt:lpwstr>
  </property>
  <property fmtid="{D5CDD505-2E9C-101B-9397-08002B2CF9AE}" pid="11" name="MSIP_Label_7b9ffd17-fb5a-4e08-aa13-e209e660a50e_Enabled">
    <vt:lpwstr>true</vt:lpwstr>
  </property>
  <property fmtid="{D5CDD505-2E9C-101B-9397-08002B2CF9AE}" pid="12" name="MSIP_Label_7b9ffd17-fb5a-4e08-aa13-e209e660a50e_SetDate">
    <vt:lpwstr>2024-07-26T16:21:20Z</vt:lpwstr>
  </property>
  <property fmtid="{D5CDD505-2E9C-101B-9397-08002B2CF9AE}" pid="13" name="MSIP_Label_7b9ffd17-fb5a-4e08-aa13-e209e660a50e_Method">
    <vt:lpwstr>Standard</vt:lpwstr>
  </property>
  <property fmtid="{D5CDD505-2E9C-101B-9397-08002B2CF9AE}" pid="14" name="MSIP_Label_7b9ffd17-fb5a-4e08-aa13-e209e660a50e_Name">
    <vt:lpwstr>Public</vt:lpwstr>
  </property>
  <property fmtid="{D5CDD505-2E9C-101B-9397-08002B2CF9AE}" pid="15" name="MSIP_Label_7b9ffd17-fb5a-4e08-aa13-e209e660a50e_SiteId">
    <vt:lpwstr>45ee1ffd-72de-4bf9-9014-44739bd1cfac</vt:lpwstr>
  </property>
  <property fmtid="{D5CDD505-2E9C-101B-9397-08002B2CF9AE}" pid="16" name="MSIP_Label_7b9ffd17-fb5a-4e08-aa13-e209e660a50e_ActionId">
    <vt:lpwstr>984440fe-32e0-42b4-a946-aa1678e0bc6d</vt:lpwstr>
  </property>
  <property fmtid="{D5CDD505-2E9C-101B-9397-08002B2CF9AE}" pid="17" name="MSIP_Label_7b9ffd17-fb5a-4e08-aa13-e209e660a50e_ContentBits">
    <vt:lpwstr>0</vt:lpwstr>
  </property>
</Properties>
</file>