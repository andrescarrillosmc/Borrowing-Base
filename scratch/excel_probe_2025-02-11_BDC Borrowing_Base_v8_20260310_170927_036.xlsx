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3" documentId="8_{728216CD-0535-40AE-BBA3-1EE4D34659AC}" xr6:coauthVersionLast="47" xr6:coauthVersionMax="47" xr10:uidLastSave="{C216053A-BF78-4B58-B5C5-B88B14490F87}"/>
  <bookViews>
    <workbookView xWindow="1103" yWindow="1103" windowWidth="16200" windowHeight="9307"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14" l="1"/>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D50" i="9" s="1"/>
  <c r="M44" i="8" s="1"/>
  <c r="N50" i="9"/>
  <c r="M50" i="9"/>
  <c r="BI44" i="8" s="1"/>
  <c r="V49" i="9"/>
  <c r="V48" i="9"/>
  <c r="V47" i="9"/>
  <c r="V46" i="9"/>
  <c r="V45" i="9"/>
  <c r="V44" i="9"/>
  <c r="V43" i="9"/>
  <c r="AA42" i="9"/>
  <c r="V42" i="9"/>
  <c r="N42" i="9"/>
  <c r="BJ45" i="8" s="1"/>
  <c r="M42" i="9"/>
  <c r="M149" i="9" s="1"/>
  <c r="D42" i="9"/>
  <c r="E42" i="9" s="1"/>
  <c r="S45" i="8" s="1"/>
  <c r="AA41" i="9"/>
  <c r="V41" i="9"/>
  <c r="D41" i="9" s="1"/>
  <c r="N41" i="9"/>
  <c r="BJ38" i="8" s="1"/>
  <c r="M41" i="9"/>
  <c r="AA40" i="9"/>
  <c r="V40" i="9"/>
  <c r="D40" i="9" s="1"/>
  <c r="N40" i="9"/>
  <c r="BJ43" i="8" s="1"/>
  <c r="M40" i="9"/>
  <c r="BI43" i="8" s="1"/>
  <c r="AA39" i="9"/>
  <c r="V39" i="9"/>
  <c r="D39" i="9" s="1"/>
  <c r="N39" i="9"/>
  <c r="M39" i="9"/>
  <c r="AA38" i="9"/>
  <c r="V38" i="9"/>
  <c r="D38" i="9" s="1"/>
  <c r="M26" i="8" s="1"/>
  <c r="N38" i="9"/>
  <c r="BJ26" i="8" s="1"/>
  <c r="M38" i="9"/>
  <c r="M145" i="9" s="1"/>
  <c r="AA37" i="9"/>
  <c r="V37" i="9"/>
  <c r="D37" i="9" s="1"/>
  <c r="N37" i="9"/>
  <c r="M37" i="9"/>
  <c r="M144" i="9" s="1"/>
  <c r="AA36" i="9"/>
  <c r="V36" i="9"/>
  <c r="D36" i="9" s="1"/>
  <c r="N36" i="9"/>
  <c r="M36" i="9"/>
  <c r="AA35" i="9"/>
  <c r="V35" i="9"/>
  <c r="N35" i="9"/>
  <c r="M35" i="9"/>
  <c r="BC21" i="8" s="1"/>
  <c r="BD21" i="8" s="1"/>
  <c r="D35" i="9"/>
  <c r="E35" i="9" s="1"/>
  <c r="S21" i="8" s="1"/>
  <c r="AA34" i="9"/>
  <c r="V34" i="9"/>
  <c r="D34" i="9" s="1"/>
  <c r="E34" i="9" s="1"/>
  <c r="S13" i="8" s="1"/>
  <c r="N34" i="9"/>
  <c r="M34" i="9"/>
  <c r="AA33" i="9"/>
  <c r="V33" i="9"/>
  <c r="D33" i="9" s="1"/>
  <c r="N33" i="9"/>
  <c r="BJ27" i="8" s="1"/>
  <c r="M33" i="9"/>
  <c r="M140" i="9" s="1"/>
  <c r="AA32" i="9"/>
  <c r="V32" i="9"/>
  <c r="D32" i="9" s="1"/>
  <c r="N32" i="9"/>
  <c r="BJ25" i="8" s="1"/>
  <c r="M32" i="9"/>
  <c r="AA31" i="9"/>
  <c r="V31" i="9"/>
  <c r="D31" i="9" s="1"/>
  <c r="N31" i="9"/>
  <c r="BJ18" i="8" s="1"/>
  <c r="M31" i="9"/>
  <c r="BC18" i="8" s="1"/>
  <c r="BD18" i="8" s="1"/>
  <c r="AA30" i="9"/>
  <c r="V30" i="9"/>
  <c r="D30" i="9" s="1"/>
  <c r="M23" i="8" s="1"/>
  <c r="N30" i="9"/>
  <c r="M30" i="9"/>
  <c r="M137" i="9" s="1"/>
  <c r="AA29" i="9"/>
  <c r="V29" i="9"/>
  <c r="D29" i="9" s="1"/>
  <c r="N29" i="9"/>
  <c r="M29" i="9"/>
  <c r="M136" i="9" s="1"/>
  <c r="AA28" i="9"/>
  <c r="V28" i="9"/>
  <c r="D28" i="9" s="1"/>
  <c r="M28" i="9"/>
  <c r="BC41" i="8" s="1"/>
  <c r="BD41" i="8" s="1"/>
  <c r="AA27" i="9"/>
  <c r="V27" i="9"/>
  <c r="D27" i="9" s="1"/>
  <c r="N27" i="9"/>
  <c r="BJ37" i="8" s="1"/>
  <c r="M27" i="9"/>
  <c r="BI37" i="8" s="1"/>
  <c r="AA26" i="9"/>
  <c r="V26" i="9"/>
  <c r="D26" i="9" s="1"/>
  <c r="N26" i="9"/>
  <c r="M26" i="9"/>
  <c r="AA25" i="9"/>
  <c r="V25" i="9"/>
  <c r="N25" i="9"/>
  <c r="M25" i="9"/>
  <c r="M132" i="9" s="1"/>
  <c r="D25" i="9"/>
  <c r="M31" i="8" s="1"/>
  <c r="AA24" i="9"/>
  <c r="V24" i="9"/>
  <c r="N24" i="9"/>
  <c r="D24" i="9"/>
  <c r="AA23" i="9"/>
  <c r="V23" i="9"/>
  <c r="D23" i="9" s="1"/>
  <c r="N23" i="9"/>
  <c r="BJ7" i="8" s="1"/>
  <c r="M23" i="9"/>
  <c r="BI7" i="8" s="1"/>
  <c r="AA22" i="9"/>
  <c r="V22" i="9"/>
  <c r="D22" i="9" s="1"/>
  <c r="N22" i="9"/>
  <c r="BJ14" i="8" s="1"/>
  <c r="M22" i="9"/>
  <c r="M129" i="9" s="1"/>
  <c r="AA21" i="9"/>
  <c r="V21" i="9"/>
  <c r="D21" i="9" s="1"/>
  <c r="N21" i="9"/>
  <c r="BJ33" i="8" s="1"/>
  <c r="M21" i="9"/>
  <c r="M128" i="9" s="1"/>
  <c r="AA20" i="9"/>
  <c r="V20" i="9"/>
  <c r="N20" i="9"/>
  <c r="M20" i="9"/>
  <c r="M127" i="9" s="1"/>
  <c r="D20" i="9"/>
  <c r="M8" i="8" s="1"/>
  <c r="AA19" i="9"/>
  <c r="V19" i="9"/>
  <c r="D19" i="9" s="1"/>
  <c r="N19" i="9"/>
  <c r="BJ20" i="8" s="1"/>
  <c r="M19" i="9"/>
  <c r="M126" i="9" s="1"/>
  <c r="AA18" i="9"/>
  <c r="V18" i="9"/>
  <c r="D18" i="9" s="1"/>
  <c r="N18" i="9"/>
  <c r="M18" i="9"/>
  <c r="M125" i="9" s="1"/>
  <c r="AA17" i="9"/>
  <c r="V17" i="9"/>
  <c r="D17" i="9" s="1"/>
  <c r="M17" i="9"/>
  <c r="BI40" i="8" s="1"/>
  <c r="AA16" i="9"/>
  <c r="V16" i="9"/>
  <c r="D16" i="9" s="1"/>
  <c r="N16" i="9"/>
  <c r="M16" i="9"/>
  <c r="AA15" i="9"/>
  <c r="V15" i="9"/>
  <c r="D15" i="9" s="1"/>
  <c r="M35" i="8" s="1"/>
  <c r="N15" i="9"/>
  <c r="BJ35" i="8" s="1"/>
  <c r="M15" i="9"/>
  <c r="M122" i="9" s="1"/>
  <c r="AA14" i="9"/>
  <c r="V14" i="9"/>
  <c r="D14" i="9" s="1"/>
  <c r="N14" i="9"/>
  <c r="M14" i="9"/>
  <c r="M121" i="9" s="1"/>
  <c r="AA13" i="9"/>
  <c r="V13" i="9"/>
  <c r="D13" i="9" s="1"/>
  <c r="N13" i="9"/>
  <c r="BJ9" i="8" s="1"/>
  <c r="M13" i="9"/>
  <c r="AA12" i="9"/>
  <c r="V12" i="9"/>
  <c r="N12" i="9"/>
  <c r="M12" i="9"/>
  <c r="BI28" i="8" s="1"/>
  <c r="D12" i="9"/>
  <c r="E12" i="9" s="1"/>
  <c r="S28" i="8" s="1"/>
  <c r="AA11" i="9"/>
  <c r="V11" i="9"/>
  <c r="D11" i="9" s="1"/>
  <c r="E11" i="9" s="1"/>
  <c r="S39" i="8" s="1"/>
  <c r="N11" i="9"/>
  <c r="M11" i="9"/>
  <c r="AA10" i="9"/>
  <c r="V10" i="9"/>
  <c r="D10" i="9" s="1"/>
  <c r="N10" i="9"/>
  <c r="BJ11" i="8" s="1"/>
  <c r="M10" i="9"/>
  <c r="M117" i="9" s="1"/>
  <c r="AA9" i="9"/>
  <c r="U9" i="9"/>
  <c r="N9" i="9"/>
  <c r="BJ12" i="8" s="1"/>
  <c r="M9" i="9"/>
  <c r="AA8" i="9"/>
  <c r="V8" i="9"/>
  <c r="D8" i="9" s="1"/>
  <c r="N8" i="9"/>
  <c r="AA7" i="9"/>
  <c r="V7" i="9"/>
  <c r="D7" i="9" s="1"/>
  <c r="N7" i="9"/>
  <c r="BJ30" i="8" s="1"/>
  <c r="M7" i="9"/>
  <c r="AA6" i="9"/>
  <c r="V6" i="9"/>
  <c r="D6" i="9" s="1"/>
  <c r="N6" i="9"/>
  <c r="M6" i="9"/>
  <c r="M113" i="9" s="1"/>
  <c r="AA5" i="9"/>
  <c r="V5" i="9"/>
  <c r="D5" i="9" s="1"/>
  <c r="M19" i="8" s="1"/>
  <c r="N5" i="9"/>
  <c r="M5" i="9"/>
  <c r="M112" i="9" s="1"/>
  <c r="AA4" i="9"/>
  <c r="V4" i="9"/>
  <c r="D4" i="9" s="1"/>
  <c r="N4" i="9"/>
  <c r="M4" i="9"/>
  <c r="M111" i="9" s="1"/>
  <c r="AA3" i="9"/>
  <c r="V3" i="9"/>
  <c r="D3" i="9" s="1"/>
  <c r="M29" i="8" s="1"/>
  <c r="N3" i="9"/>
  <c r="M3" i="9"/>
  <c r="BF45" i="8"/>
  <c r="BC45" i="8"/>
  <c r="BD45" i="8" s="1"/>
  <c r="AZ45" i="8"/>
  <c r="BA45" i="8" s="1"/>
  <c r="AY45" i="8"/>
  <c r="AW45" i="8"/>
  <c r="BJ44" i="8"/>
  <c r="BF44" i="8"/>
  <c r="BC44" i="8"/>
  <c r="BD44" i="8" s="1"/>
  <c r="AZ44" i="8"/>
  <c r="BA44" i="8" s="1"/>
  <c r="AY44" i="8"/>
  <c r="AW44" i="8"/>
  <c r="BF43" i="8"/>
  <c r="AZ43" i="8"/>
  <c r="BA43" i="8" s="1"/>
  <c r="AY43" i="8"/>
  <c r="AW43" i="8"/>
  <c r="BJ42" i="8"/>
  <c r="BI42" i="8"/>
  <c r="BF42" i="8"/>
  <c r="BC42" i="8"/>
  <c r="BD42" i="8" s="1"/>
  <c r="AZ42" i="8"/>
  <c r="BA42" i="8" s="1"/>
  <c r="AY42" i="8"/>
  <c r="AW42" i="8"/>
  <c r="BJ41" i="8"/>
  <c r="BI41" i="8"/>
  <c r="BF41" i="8"/>
  <c r="AZ41" i="8"/>
  <c r="BA41" i="8" s="1"/>
  <c r="AY41" i="8"/>
  <c r="AW41" i="8"/>
  <c r="BJ40" i="8"/>
  <c r="BF40" i="8"/>
  <c r="BC40" i="8"/>
  <c r="BD40" i="8" s="1"/>
  <c r="AZ40" i="8"/>
  <c r="BA40" i="8" s="1"/>
  <c r="AY40" i="8"/>
  <c r="AW40" i="8"/>
  <c r="BJ39" i="8"/>
  <c r="BI39" i="8"/>
  <c r="BF39" i="8"/>
  <c r="BC39" i="8"/>
  <c r="BD39" i="8" s="1"/>
  <c r="AZ39" i="8"/>
  <c r="BA39" i="8" s="1"/>
  <c r="AY39" i="8"/>
  <c r="AW39" i="8"/>
  <c r="BI38" i="8"/>
  <c r="BF38" i="8"/>
  <c r="BC38" i="8"/>
  <c r="BD38" i="8" s="1"/>
  <c r="AZ38" i="8"/>
  <c r="BA38" i="8" s="1"/>
  <c r="AY38" i="8"/>
  <c r="AW38" i="8"/>
  <c r="BF37" i="8"/>
  <c r="AZ37" i="8"/>
  <c r="BA37" i="8" s="1"/>
  <c r="AY37" i="8"/>
  <c r="AW37" i="8"/>
  <c r="BJ36" i="8"/>
  <c r="BF36" i="8"/>
  <c r="AZ36" i="8"/>
  <c r="BA36" i="8" s="1"/>
  <c r="AY36" i="8"/>
  <c r="AW36" i="8"/>
  <c r="BF35" i="8"/>
  <c r="AZ35" i="8"/>
  <c r="BA35" i="8" s="1"/>
  <c r="AY35" i="8"/>
  <c r="AW35" i="8"/>
  <c r="BJ34" i="8"/>
  <c r="BF34" i="8"/>
  <c r="AZ34" i="8"/>
  <c r="BA34" i="8" s="1"/>
  <c r="AY34" i="8"/>
  <c r="AW34" i="8"/>
  <c r="BF33" i="8"/>
  <c r="AZ33" i="8"/>
  <c r="BA33" i="8" s="1"/>
  <c r="AY33" i="8"/>
  <c r="AW33" i="8"/>
  <c r="BJ32" i="8"/>
  <c r="BI32" i="8"/>
  <c r="BF32" i="8"/>
  <c r="BC32" i="8"/>
  <c r="BD32" i="8" s="1"/>
  <c r="AZ32" i="8"/>
  <c r="BA32" i="8" s="1"/>
  <c r="AY32" i="8"/>
  <c r="AW32" i="8"/>
  <c r="BJ31" i="8"/>
  <c r="BF31" i="8"/>
  <c r="AZ31" i="8"/>
  <c r="BA31" i="8" s="1"/>
  <c r="AY31" i="8"/>
  <c r="AW31" i="8"/>
  <c r="BI30" i="8"/>
  <c r="BF30" i="8"/>
  <c r="BC30" i="8"/>
  <c r="BD30" i="8" s="1"/>
  <c r="AZ30" i="8"/>
  <c r="BA30" i="8" s="1"/>
  <c r="AY30" i="8"/>
  <c r="AW30" i="8"/>
  <c r="BJ29" i="8"/>
  <c r="BI29" i="8"/>
  <c r="BF29" i="8"/>
  <c r="BC29" i="8"/>
  <c r="BD29" i="8" s="1"/>
  <c r="AZ29" i="8"/>
  <c r="BA29" i="8" s="1"/>
  <c r="AY29" i="8"/>
  <c r="AW29" i="8"/>
  <c r="BJ28" i="8"/>
  <c r="BF28" i="8"/>
  <c r="P5" i="7" s="1"/>
  <c r="AZ28" i="8"/>
  <c r="BA28" i="8" s="1"/>
  <c r="I5" i="7" s="1"/>
  <c r="K5" i="7" s="1"/>
  <c r="AY28" i="8"/>
  <c r="AW28" i="8"/>
  <c r="BI27" i="8"/>
  <c r="BF27" i="8"/>
  <c r="AZ27" i="8"/>
  <c r="BA27" i="8" s="1"/>
  <c r="AY27" i="8"/>
  <c r="AW27" i="8"/>
  <c r="BF26" i="8"/>
  <c r="AZ26" i="8"/>
  <c r="BA26" i="8" s="1"/>
  <c r="AY26" i="8"/>
  <c r="AW26" i="8"/>
  <c r="BI25" i="8"/>
  <c r="BF25" i="8"/>
  <c r="BC25" i="8"/>
  <c r="BD25" i="8" s="1"/>
  <c r="AZ25" i="8"/>
  <c r="BA25" i="8" s="1"/>
  <c r="AY25" i="8"/>
  <c r="AW25" i="8"/>
  <c r="BJ24" i="8"/>
  <c r="BF24" i="8"/>
  <c r="BC24" i="8"/>
  <c r="BD24" i="8" s="1"/>
  <c r="AZ24" i="8"/>
  <c r="BA24" i="8" s="1"/>
  <c r="AY24" i="8"/>
  <c r="AW24" i="8"/>
  <c r="BJ23" i="8"/>
  <c r="BF23" i="8"/>
  <c r="AZ23" i="8"/>
  <c r="BA23" i="8" s="1"/>
  <c r="AY23" i="8"/>
  <c r="AW23" i="8"/>
  <c r="BJ22" i="8"/>
  <c r="BI22" i="8"/>
  <c r="BF22" i="8"/>
  <c r="AZ22" i="8"/>
  <c r="BA22" i="8" s="1"/>
  <c r="AY22" i="8"/>
  <c r="AW22" i="8"/>
  <c r="BJ21" i="8"/>
  <c r="BI21" i="8"/>
  <c r="BF21" i="8"/>
  <c r="AZ21" i="8"/>
  <c r="BA21" i="8" s="1"/>
  <c r="AY21" i="8"/>
  <c r="AW21" i="8"/>
  <c r="BI20" i="8"/>
  <c r="BF20" i="8"/>
  <c r="AZ20" i="8"/>
  <c r="BA20" i="8" s="1"/>
  <c r="AY20" i="8"/>
  <c r="AW20" i="8"/>
  <c r="BJ19" i="8"/>
  <c r="BF19" i="8"/>
  <c r="BC19" i="8"/>
  <c r="BD19" i="8" s="1"/>
  <c r="AZ19" i="8"/>
  <c r="BA19" i="8" s="1"/>
  <c r="AY19" i="8"/>
  <c r="AW19" i="8"/>
  <c r="BF18" i="8"/>
  <c r="AZ18" i="8"/>
  <c r="BA18" i="8" s="1"/>
  <c r="AY18" i="8"/>
  <c r="AW18" i="8"/>
  <c r="BJ17" i="8"/>
  <c r="BI17" i="8"/>
  <c r="BF17" i="8"/>
  <c r="BC17" i="8"/>
  <c r="BD17" i="8" s="1"/>
  <c r="AZ17" i="8"/>
  <c r="BA17" i="8" s="1"/>
  <c r="AY17" i="8"/>
  <c r="AW17" i="8"/>
  <c r="BJ16" i="8"/>
  <c r="BI16" i="8"/>
  <c r="BF16" i="8"/>
  <c r="BC16" i="8"/>
  <c r="BD16" i="8" s="1"/>
  <c r="AZ16" i="8"/>
  <c r="BA16" i="8" s="1"/>
  <c r="AY16" i="8"/>
  <c r="AW16" i="8"/>
  <c r="BJ15" i="8"/>
  <c r="BI15" i="8"/>
  <c r="BF15" i="8"/>
  <c r="AZ15" i="8"/>
  <c r="BA15" i="8" s="1"/>
  <c r="AY15" i="8"/>
  <c r="AW15" i="8"/>
  <c r="BI14" i="8"/>
  <c r="BF14" i="8"/>
  <c r="BC14" i="8"/>
  <c r="BD14" i="8" s="1"/>
  <c r="AZ14" i="8"/>
  <c r="BA14" i="8" s="1"/>
  <c r="AY14" i="8"/>
  <c r="AW14" i="8"/>
  <c r="BJ13" i="8"/>
  <c r="BI13" i="8"/>
  <c r="BF13" i="8"/>
  <c r="BC13" i="8"/>
  <c r="BD13" i="8" s="1"/>
  <c r="AZ13" i="8"/>
  <c r="BA13" i="8" s="1"/>
  <c r="AY13" i="8"/>
  <c r="AW13" i="8"/>
  <c r="BI12" i="8"/>
  <c r="BF12" i="8"/>
  <c r="BC12" i="8"/>
  <c r="BD12" i="8" s="1"/>
  <c r="AZ12" i="8"/>
  <c r="BA12" i="8" s="1"/>
  <c r="AY12" i="8"/>
  <c r="AW12" i="8"/>
  <c r="BF11" i="8"/>
  <c r="AZ11" i="8"/>
  <c r="BA11" i="8" s="1"/>
  <c r="AY11" i="8"/>
  <c r="AW11" i="8"/>
  <c r="BJ10" i="8"/>
  <c r="BI10" i="8"/>
  <c r="BF10" i="8"/>
  <c r="AZ10" i="8"/>
  <c r="BA10" i="8" s="1"/>
  <c r="AY10" i="8"/>
  <c r="AW10" i="8"/>
  <c r="BI9" i="8"/>
  <c r="BF9" i="8"/>
  <c r="BC9" i="8"/>
  <c r="BD9" i="8" s="1"/>
  <c r="AZ9" i="8"/>
  <c r="BA9" i="8" s="1"/>
  <c r="AY9" i="8"/>
  <c r="AW9" i="8"/>
  <c r="BJ8" i="8"/>
  <c r="BF8" i="8"/>
  <c r="AZ8" i="8"/>
  <c r="BA8" i="8" s="1"/>
  <c r="AY8" i="8"/>
  <c r="AW8" i="8"/>
  <c r="BF7" i="8"/>
  <c r="AZ7" i="8"/>
  <c r="BA7" i="8" s="1"/>
  <c r="AY7" i="8"/>
  <c r="AW7" i="8"/>
  <c r="BJ6"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BC5" i="8"/>
  <c r="BD5" i="8" s="1"/>
  <c r="AZ5" i="8"/>
  <c r="BA5" i="8" s="1"/>
  <c r="CU9" i="2" s="1"/>
  <c r="AY5" i="8"/>
  <c r="DE9" i="2" s="1"/>
  <c r="H9" i="2" s="1"/>
  <c r="AW5" i="8"/>
  <c r="CL9" i="2" s="1"/>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5" i="8"/>
  <c r="AC9" i="2" s="1"/>
  <c r="A2" i="8"/>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F20" i="4" s="1"/>
  <c r="K20" i="4"/>
  <c r="AB19" i="4"/>
  <c r="U19" i="4"/>
  <c r="P19" i="4"/>
  <c r="F19" i="4" s="1"/>
  <c r="AB18" i="4"/>
  <c r="U18" i="4"/>
  <c r="P18" i="4"/>
  <c r="F18" i="4"/>
  <c r="AB17" i="4"/>
  <c r="U17" i="4"/>
  <c r="P17" i="4"/>
  <c r="F17" i="4" s="1"/>
  <c r="AB16" i="4"/>
  <c r="U16" i="4"/>
  <c r="P16" i="4"/>
  <c r="F16" i="4"/>
  <c r="AB15" i="4"/>
  <c r="U15" i="4"/>
  <c r="P15" i="4"/>
  <c r="F15" i="4" s="1"/>
  <c r="AB14" i="4"/>
  <c r="U14" i="4"/>
  <c r="P14" i="4"/>
  <c r="F14" i="4"/>
  <c r="AB13" i="4"/>
  <c r="U13" i="4"/>
  <c r="P13" i="4"/>
  <c r="F13" i="4" s="1"/>
  <c r="AB12" i="4"/>
  <c r="U12" i="4"/>
  <c r="P12" i="4"/>
  <c r="F12" i="4"/>
  <c r="AB11" i="4"/>
  <c r="U11" i="4"/>
  <c r="P11" i="4"/>
  <c r="F11" i="4" s="1"/>
  <c r="AB10" i="4"/>
  <c r="U10" i="4"/>
  <c r="P10" i="4"/>
  <c r="F10" i="4" s="1"/>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M9" i="2"/>
  <c r="DL9" i="2"/>
  <c r="DI9" i="2"/>
  <c r="DD9" i="2"/>
  <c r="CK9" i="2"/>
  <c r="CS9" i="2" s="1"/>
  <c r="CT9" i="2" s="1"/>
  <c r="CV9" i="2" s="1"/>
  <c r="CF9" i="2"/>
  <c r="CE9" i="2"/>
  <c r="CC9" i="2"/>
  <c r="CB9" i="2"/>
  <c r="BY9" i="2"/>
  <c r="GH9" i="2" s="1"/>
  <c r="BU9" i="2"/>
  <c r="BT9" i="2"/>
  <c r="BS9" i="2"/>
  <c r="L9" i="2" s="1"/>
  <c r="BR9" i="2"/>
  <c r="BM9" i="2"/>
  <c r="M9" i="2" s="1"/>
  <c r="BL9" i="2"/>
  <c r="BK9" i="2"/>
  <c r="N9" i="2"/>
  <c r="K9" i="2"/>
  <c r="J9" i="2"/>
  <c r="I9" i="2"/>
  <c r="F9" i="2"/>
  <c r="D9" i="2"/>
  <c r="C9" i="2"/>
  <c r="B9" i="2"/>
  <c r="L54" i="1"/>
  <c r="Q40" i="1"/>
  <c r="P38" i="1" s="1"/>
  <c r="P39" i="1"/>
  <c r="P32" i="1"/>
  <c r="L22" i="1"/>
  <c r="P33" i="1" l="1"/>
  <c r="R33" i="1" s="1"/>
  <c r="BC7" i="8"/>
  <c r="BD7" i="8" s="1"/>
  <c r="BC28" i="8"/>
  <c r="BD28" i="8" s="1"/>
  <c r="BC33" i="8"/>
  <c r="BD33" i="8" s="1"/>
  <c r="BI34" i="8"/>
  <c r="BC43" i="8"/>
  <c r="BD43" i="8" s="1"/>
  <c r="M123" i="9"/>
  <c r="E24" i="9"/>
  <c r="S17" i="8" s="1"/>
  <c r="M148" i="9"/>
  <c r="P35" i="1"/>
  <c r="R35" i="1" s="1"/>
  <c r="P36" i="1"/>
  <c r="R36" i="1" s="1"/>
  <c r="BC11" i="8"/>
  <c r="BD11" i="8" s="1"/>
  <c r="BI18" i="8"/>
  <c r="BI24" i="8"/>
  <c r="BC37" i="8"/>
  <c r="BD37" i="8" s="1"/>
  <c r="M133" i="9"/>
  <c r="CJ9" i="2"/>
  <c r="BC15" i="8"/>
  <c r="BD15" i="8" s="1"/>
  <c r="BC22" i="8"/>
  <c r="BD22" i="8" s="1"/>
  <c r="BC27" i="8"/>
  <c r="BD27" i="8" s="1"/>
  <c r="BI33" i="8"/>
  <c r="M141" i="9"/>
  <c r="P34" i="1"/>
  <c r="R34" i="1" s="1"/>
  <c r="BI45" i="8"/>
  <c r="P37" i="1"/>
  <c r="R37" i="1" s="1"/>
  <c r="I6" i="7"/>
  <c r="K6" i="7" s="1"/>
  <c r="BI11" i="8"/>
  <c r="BC36" i="8"/>
  <c r="BD36" i="8" s="1"/>
  <c r="E13" i="9"/>
  <c r="S9" i="8" s="1"/>
  <c r="M9" i="8"/>
  <c r="E17" i="9"/>
  <c r="S40" i="8" s="1"/>
  <c r="M40" i="8"/>
  <c r="AQ40" i="8" s="1"/>
  <c r="E19" i="9"/>
  <c r="S20" i="8" s="1"/>
  <c r="M20" i="8"/>
  <c r="E21" i="9"/>
  <c r="S33" i="8" s="1"/>
  <c r="M33" i="8"/>
  <c r="E23" i="9"/>
  <c r="S7" i="8" s="1"/>
  <c r="M7" i="8"/>
  <c r="E29" i="9"/>
  <c r="S6" i="8" s="1"/>
  <c r="AE10" i="2" s="1"/>
  <c r="M6" i="8"/>
  <c r="N6" i="8" s="1"/>
  <c r="AR6" i="8" s="1"/>
  <c r="E40" i="9"/>
  <c r="S43" i="8" s="1"/>
  <c r="M43" i="8"/>
  <c r="E6" i="9"/>
  <c r="S15" i="8" s="1"/>
  <c r="M15" i="8"/>
  <c r="E18" i="9"/>
  <c r="S24" i="8" s="1"/>
  <c r="M24" i="8"/>
  <c r="E37" i="9"/>
  <c r="S36" i="8" s="1"/>
  <c r="M36" i="8"/>
  <c r="AQ36" i="8" s="1"/>
  <c r="E8" i="9"/>
  <c r="S5" i="8" s="1"/>
  <c r="AE9" i="2" s="1"/>
  <c r="M5" i="8"/>
  <c r="E31" i="9"/>
  <c r="S18" i="8" s="1"/>
  <c r="M18" i="8"/>
  <c r="F24" i="4"/>
  <c r="E16" i="9"/>
  <c r="S16" i="8" s="1"/>
  <c r="M16" i="8"/>
  <c r="E22" i="9"/>
  <c r="S14" i="8" s="1"/>
  <c r="M14" i="8"/>
  <c r="E28" i="9"/>
  <c r="S41" i="8" s="1"/>
  <c r="M41" i="8"/>
  <c r="E39" i="9"/>
  <c r="S42" i="8" s="1"/>
  <c r="M42" i="8"/>
  <c r="AQ42" i="8" s="1"/>
  <c r="E41" i="9"/>
  <c r="S38" i="8" s="1"/>
  <c r="M38" i="8"/>
  <c r="N38" i="8" s="1"/>
  <c r="AR38" i="8" s="1"/>
  <c r="E7" i="9"/>
  <c r="S30" i="8" s="1"/>
  <c r="M30" i="8"/>
  <c r="E36" i="9"/>
  <c r="S32" i="8" s="1"/>
  <c r="M32" i="8"/>
  <c r="E4" i="9"/>
  <c r="S10" i="8" s="1"/>
  <c r="M10" i="8"/>
  <c r="AQ10" i="8" s="1"/>
  <c r="E10" i="9"/>
  <c r="S11" i="8" s="1"/>
  <c r="M11" i="8"/>
  <c r="E27" i="9"/>
  <c r="S37" i="8" s="1"/>
  <c r="M37" i="8"/>
  <c r="E33" i="9"/>
  <c r="S27" i="8" s="1"/>
  <c r="M27" i="8"/>
  <c r="E14" i="9"/>
  <c r="S34" i="8" s="1"/>
  <c r="M34" i="8"/>
  <c r="N34" i="8" s="1"/>
  <c r="AR34" i="8" s="1"/>
  <c r="E26" i="9"/>
  <c r="S22" i="8" s="1"/>
  <c r="M22" i="8"/>
  <c r="N22" i="8" s="1"/>
  <c r="AR22" i="8" s="1"/>
  <c r="E32" i="9"/>
  <c r="S25" i="8" s="1"/>
  <c r="M25" i="8"/>
  <c r="HK61" i="2"/>
  <c r="BC31" i="8"/>
  <c r="BD31" i="8" s="1"/>
  <c r="R38" i="1"/>
  <c r="HL61" i="2"/>
  <c r="BC23" i="8"/>
  <c r="BD23" i="8" s="1"/>
  <c r="M28" i="8"/>
  <c r="M45" i="8"/>
  <c r="N45" i="8" s="1"/>
  <c r="AR45" i="8" s="1"/>
  <c r="M118" i="9"/>
  <c r="R39" i="1"/>
  <c r="P24" i="4"/>
  <c r="BC6" i="8"/>
  <c r="BD6" i="8" s="1"/>
  <c r="DM10" i="2" s="1"/>
  <c r="M13" i="8"/>
  <c r="M21" i="8"/>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R32" i="1"/>
  <c r="R40" i="1" s="1"/>
  <c r="L59" i="1"/>
  <c r="AG9" i="2"/>
  <c r="HM9" i="2"/>
  <c r="EV9" i="2"/>
  <c r="EW9" i="2" s="1"/>
  <c r="ER9" i="2"/>
  <c r="EM9" i="2"/>
  <c r="EN9" i="2" s="1"/>
  <c r="EJ9" i="2" a="1"/>
  <c r="EJ9" i="2" s="1"/>
  <c r="EI9" i="2" a="1"/>
  <c r="EI9" i="2" s="1"/>
  <c r="T9" i="2" s="1" a="1"/>
  <c r="T9" i="2" s="1"/>
  <c r="BI9" i="2"/>
  <c r="AF9" i="2" a="1"/>
  <c r="AF9" i="2" s="1"/>
  <c r="G9" i="2"/>
  <c r="E9" i="2"/>
  <c r="P9" i="2" s="1"/>
  <c r="GL9" i="2"/>
  <c r="GM9" i="2" s="1"/>
  <c r="GQ9" i="2"/>
  <c r="GR9" i="2" s="1"/>
  <c r="HB61" i="2"/>
  <c r="L70" i="3" s="1"/>
  <c r="A11" i="2"/>
  <c r="DQ10" i="2"/>
  <c r="DO10" i="2"/>
  <c r="DL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AQ5" i="8"/>
  <c r="N5" i="8"/>
  <c r="AR5" i="8" s="1"/>
  <c r="E8" i="8"/>
  <c r="A7" i="8"/>
  <c r="AQ6" i="8"/>
  <c r="AQ7" i="8"/>
  <c r="N7" i="8"/>
  <c r="AR7" i="8" s="1"/>
  <c r="AQ8" i="8"/>
  <c r="N8" i="8"/>
  <c r="AR8" i="8" s="1"/>
  <c r="AQ9" i="8"/>
  <c r="N9" i="8"/>
  <c r="AR9" i="8" s="1"/>
  <c r="AQ11" i="8"/>
  <c r="N11" i="8"/>
  <c r="AR11" i="8" s="1"/>
  <c r="AQ13" i="8"/>
  <c r="N13" i="8"/>
  <c r="AR13" i="8" s="1"/>
  <c r="AQ14" i="8"/>
  <c r="N14" i="8"/>
  <c r="AR14" i="8" s="1"/>
  <c r="AQ15" i="8"/>
  <c r="N15" i="8"/>
  <c r="AR15" i="8" s="1"/>
  <c r="AQ16" i="8"/>
  <c r="N16" i="8"/>
  <c r="AR16" i="8" s="1"/>
  <c r="AQ17" i="8"/>
  <c r="N17" i="8"/>
  <c r="AR17" i="8" s="1"/>
  <c r="AQ18" i="8"/>
  <c r="N18" i="8"/>
  <c r="AR18" i="8" s="1"/>
  <c r="AQ19" i="8"/>
  <c r="N19" i="8"/>
  <c r="AR19" i="8" s="1"/>
  <c r="AQ20" i="8"/>
  <c r="N20" i="8"/>
  <c r="AR20" i="8" s="1"/>
  <c r="AQ21" i="8"/>
  <c r="N21" i="8"/>
  <c r="AR21" i="8" s="1"/>
  <c r="AQ22" i="8"/>
  <c r="AQ23" i="8"/>
  <c r="N23" i="8"/>
  <c r="AR23" i="8" s="1"/>
  <c r="AQ24" i="8"/>
  <c r="N24" i="8"/>
  <c r="AR24" i="8" s="1"/>
  <c r="AQ25" i="8"/>
  <c r="N25" i="8"/>
  <c r="AR25" i="8" s="1"/>
  <c r="AQ26" i="8"/>
  <c r="N26" i="8"/>
  <c r="AR26" i="8" s="1"/>
  <c r="AQ27" i="8"/>
  <c r="N27" i="8"/>
  <c r="AR27" i="8" s="1"/>
  <c r="AQ28" i="8"/>
  <c r="N28" i="8"/>
  <c r="AR28" i="8" s="1"/>
  <c r="AQ29" i="8"/>
  <c r="N29" i="8"/>
  <c r="AR29" i="8" s="1"/>
  <c r="AQ30" i="8"/>
  <c r="N30" i="8"/>
  <c r="AR30" i="8" s="1"/>
  <c r="AQ31" i="8"/>
  <c r="N31" i="8"/>
  <c r="AR31" i="8" s="1"/>
  <c r="AQ32" i="8"/>
  <c r="N32" i="8"/>
  <c r="AR32" i="8" s="1"/>
  <c r="AQ33" i="8"/>
  <c r="N33" i="8"/>
  <c r="AR33" i="8" s="1"/>
  <c r="AQ34" i="8"/>
  <c r="AQ35" i="8"/>
  <c r="N35" i="8"/>
  <c r="AR35" i="8" s="1"/>
  <c r="N36" i="8"/>
  <c r="AR36" i="8" s="1"/>
  <c r="AQ37" i="8"/>
  <c r="N37" i="8"/>
  <c r="AR37" i="8" s="1"/>
  <c r="AQ38" i="8"/>
  <c r="AQ39" i="8"/>
  <c r="N39" i="8"/>
  <c r="AR39" i="8" s="1"/>
  <c r="AQ41" i="8"/>
  <c r="N41" i="8"/>
  <c r="AR41" i="8" s="1"/>
  <c r="AQ43" i="8"/>
  <c r="N43" i="8"/>
  <c r="AR43" i="8" s="1"/>
  <c r="AQ44" i="8"/>
  <c r="N44" i="8"/>
  <c r="AR44" i="8" s="1"/>
  <c r="C67" i="9"/>
  <c r="E3" i="9"/>
  <c r="M110" i="9"/>
  <c r="U64" i="9"/>
  <c r="V9" i="9"/>
  <c r="K116" i="9"/>
  <c r="M73" i="9"/>
  <c r="M116" i="9" s="1"/>
  <c r="I30" i="10"/>
  <c r="I32" i="10" s="1"/>
  <c r="I17" i="10"/>
  <c r="N40" i="8" l="1"/>
  <c r="AR40" i="8" s="1"/>
  <c r="AQ45" i="8"/>
  <c r="P40" i="1"/>
  <c r="N10" i="8"/>
  <c r="AR10" i="8" s="1"/>
  <c r="N42" i="8"/>
  <c r="AR42" i="8" s="1"/>
  <c r="CY10" i="2"/>
  <c r="FA10" i="2" s="1"/>
  <c r="D9" i="9"/>
  <c r="V64" i="9"/>
  <c r="S29" i="8"/>
  <c r="E9" i="8"/>
  <c r="A8" i="8"/>
  <c r="U27" i="4"/>
  <c r="AG10" i="2"/>
  <c r="HM10" i="2"/>
  <c r="EV10" i="2"/>
  <c r="EW10" i="2" s="1"/>
  <c r="ER10" i="2"/>
  <c r="EM10" i="2"/>
  <c r="EN10" i="2" s="1"/>
  <c r="EJ10" i="2" a="1"/>
  <c r="EJ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AL9" i="2"/>
  <c r="R9" i="2"/>
  <c r="BD9" i="2"/>
  <c r="BA9" i="2"/>
  <c r="AV9" i="2"/>
  <c r="AU9" i="2"/>
  <c r="AO9" i="2"/>
  <c r="U9" i="2"/>
  <c r="AJ9" i="2"/>
  <c r="AI9" i="2" s="1" a="1"/>
  <c r="AI9" i="2" s="1"/>
  <c r="EI10" i="2" l="1" a="1"/>
  <c r="EI10" i="2" s="1"/>
  <c r="T10" i="2" s="1" a="1"/>
  <c r="T10" i="2" s="1"/>
  <c r="U10" i="2" s="1"/>
  <c r="AH9" i="2" a="1"/>
  <c r="AH9" i="2" s="1"/>
  <c r="DS9" i="2"/>
  <c r="DT9" i="2" s="1"/>
  <c r="DP9" i="2" a="1"/>
  <c r="DP9" i="2" s="1"/>
  <c r="DU9" i="2" s="1"/>
  <c r="DK9" i="2" a="1"/>
  <c r="DK9" i="2" s="1"/>
  <c r="DW9" i="2" s="1" a="1"/>
  <c r="DW9" i="2" s="1"/>
  <c r="DJ9" i="2" a="1"/>
  <c r="DJ9" i="2" s="1"/>
  <c r="DV9" i="2" s="1"/>
  <c r="AK9" i="2" a="1"/>
  <c r="AK9" i="2" s="1"/>
  <c r="AQ9" i="2"/>
  <c r="AW9" i="2"/>
  <c r="AG11" i="2"/>
  <c r="HM11" i="2"/>
  <c r="EV11" i="2"/>
  <c r="EW11" i="2" s="1"/>
  <c r="ER11" i="2"/>
  <c r="EM11" i="2"/>
  <c r="EN11" i="2" s="1"/>
  <c r="EJ11" i="2" a="1"/>
  <c r="EJ11" i="2" s="1"/>
  <c r="EI11" i="2" a="1"/>
  <c r="EI11" i="2" s="1"/>
  <c r="T11" i="2" s="1" a="1"/>
  <c r="T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CY12" i="2" l="1"/>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EI12" i="2" a="1"/>
  <c r="EI12" i="2" s="1"/>
  <c r="T12" i="2" s="1" a="1"/>
  <c r="T12" i="2" s="1"/>
  <c r="U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U11" i="2"/>
  <c r="AJ11" i="2"/>
  <c r="AI11" i="2" s="1" a="1"/>
  <c r="AI11" i="2" s="1"/>
  <c r="HG9" i="2"/>
  <c r="HE9" i="2"/>
  <c r="V9" i="2"/>
  <c r="DR9" i="2"/>
  <c r="AH11" i="2" l="1"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EI13" i="2" a="1"/>
  <c r="EI13" i="2" s="1"/>
  <c r="T13" i="2" s="1" a="1"/>
  <c r="T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CY14" i="2" l="1"/>
  <c r="FA14" i="2" s="1"/>
  <c r="D70" i="9"/>
  <c r="E13" i="8"/>
  <c r="A12" i="8"/>
  <c r="HE10" i="2"/>
  <c r="V10" i="2"/>
  <c r="HG10" i="2"/>
  <c r="DR12" i="2"/>
  <c r="R12" i="2"/>
  <c r="AL12" i="2"/>
  <c r="BD12" i="2"/>
  <c r="BA12" i="2"/>
  <c r="AV12" i="2"/>
  <c r="AU12" i="2"/>
  <c r="AP12" i="2"/>
  <c r="AG14" i="2"/>
  <c r="HM14" i="2"/>
  <c r="EV14" i="2"/>
  <c r="EW14" i="2" s="1"/>
  <c r="ER14" i="2"/>
  <c r="EM14" i="2"/>
  <c r="EN14" i="2" s="1"/>
  <c r="EJ14" i="2" a="1"/>
  <c r="EJ14" i="2" s="1"/>
  <c r="EI14" i="2" a="1"/>
  <c r="EI14" i="2" s="1"/>
  <c r="T14" i="2" s="1" a="1"/>
  <c r="T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CY15" i="2" l="1"/>
  <c r="FA15" i="2" s="1"/>
  <c r="FB15" i="2" s="1"/>
  <c r="HE11" i="2"/>
  <c r="V11" i="2"/>
  <c r="DR13" i="2"/>
  <c r="R13" i="2"/>
  <c r="AL13" i="2"/>
  <c r="BD13" i="2"/>
  <c r="BA13" i="2"/>
  <c r="AV13" i="2"/>
  <c r="AU13" i="2"/>
  <c r="AP13" i="2"/>
  <c r="AG15" i="2"/>
  <c r="HM15" i="2"/>
  <c r="EV15" i="2"/>
  <c r="EW15" i="2" s="1"/>
  <c r="ER15" i="2"/>
  <c r="EM15" i="2"/>
  <c r="EN15" i="2" s="1"/>
  <c r="EJ15" i="2" a="1"/>
  <c r="EJ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W12" i="2"/>
  <c r="EK10" i="2"/>
  <c r="A29" i="9"/>
  <c r="E14" i="8"/>
  <c r="A13" i="8"/>
  <c r="AH14" i="2" l="1" a="1"/>
  <c r="AH14" i="2" s="1"/>
  <c r="EI15" i="2" a="1"/>
  <c r="EI15" i="2" s="1"/>
  <c r="T15" i="2" s="1" a="1"/>
  <c r="T15"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T16" i="2" l="1" a="1"/>
  <c r="T16" i="2" s="1"/>
  <c r="U16" i="2" s="1"/>
  <c r="AH15" i="2"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T18" i="2" a="1"/>
  <c r="T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AI17" i="2" l="1" a="1"/>
  <c r="AI17" i="2" s="1"/>
  <c r="DS17" i="2"/>
  <c r="DT17" i="2" s="1"/>
  <c r="DP17" i="2" a="1"/>
  <c r="DP17" i="2" s="1"/>
  <c r="DU17" i="2" s="1"/>
  <c r="DK17" i="2" a="1"/>
  <c r="DK17" i="2" s="1"/>
  <c r="DW17" i="2" s="1" a="1"/>
  <c r="DW17" i="2" s="1"/>
  <c r="DJ17" i="2" a="1"/>
  <c r="DJ17" i="2" s="1"/>
  <c r="DV17" i="2" s="1"/>
  <c r="AK17" i="2" a="1"/>
  <c r="AK17" i="2" s="1"/>
  <c r="R17" i="2"/>
  <c r="AL17" i="2"/>
  <c r="BD17" i="2"/>
  <c r="BA17" i="2"/>
  <c r="AV17" i="2"/>
  <c r="AP17" i="2"/>
  <c r="AO17" i="2"/>
  <c r="AG19" i="2"/>
  <c r="HM19" i="2"/>
  <c r="EV19" i="2"/>
  <c r="EW19" i="2" s="1"/>
  <c r="ER19" i="2"/>
  <c r="EM19" i="2"/>
  <c r="EN19" i="2" s="1"/>
  <c r="EJ19" i="2" a="1"/>
  <c r="EJ19" i="2" s="1"/>
  <c r="EI19" i="2" a="1"/>
  <c r="EI19" i="2" s="1"/>
  <c r="BI19" i="2"/>
  <c r="AF19" i="2" a="1"/>
  <c r="AF19" i="2" s="1"/>
  <c r="T19" i="2" a="1"/>
  <c r="T19" i="2" s="1"/>
  <c r="G19" i="2"/>
  <c r="E19" i="2"/>
  <c r="M19" i="2"/>
  <c r="GL19" i="2"/>
  <c r="GM19" i="2" s="1"/>
  <c r="GQ19" i="2"/>
  <c r="GR19" i="2" s="1"/>
  <c r="A21" i="2"/>
  <c r="DQ20" i="2"/>
  <c r="DO20" i="2"/>
  <c r="DM20" i="2"/>
  <c r="DL20" i="2"/>
  <c r="DI20" i="2"/>
  <c r="DE20" i="2"/>
  <c r="H20" i="2" s="1"/>
  <c r="DD20" i="2"/>
  <c r="CU20" i="2"/>
  <c r="CL20" i="2"/>
  <c r="CK20" i="2"/>
  <c r="CS20" i="2" s="1"/>
  <c r="CT20" i="2" s="1"/>
  <c r="CV20" i="2" s="1"/>
  <c r="CY20" i="2" s="1"/>
  <c r="FA20" i="2" s="1"/>
  <c r="FB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E19" i="8" l="1"/>
  <c r="A18" i="8"/>
  <c r="HE16" i="2"/>
  <c r="DR18" i="2"/>
  <c r="R18" i="2"/>
  <c r="AL18" i="2"/>
  <c r="BD18" i="2"/>
  <c r="BA18" i="2"/>
  <c r="AV18" i="2"/>
  <c r="AU18" i="2"/>
  <c r="AP18" i="2"/>
  <c r="AG20" i="2"/>
  <c r="HM20" i="2"/>
  <c r="EV20" i="2"/>
  <c r="ER20" i="2"/>
  <c r="EM20" i="2"/>
  <c r="EJ20" i="2" a="1"/>
  <c r="EJ20" i="2" s="1"/>
  <c r="EI20" i="2" a="1"/>
  <c r="EI20" i="2" s="1"/>
  <c r="T20" i="2" s="1" a="1"/>
  <c r="T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a="1"/>
  <c r="AI19" i="2" s="1"/>
  <c r="AH19" i="2" a="1"/>
  <c r="AH19" i="2" s="1"/>
  <c r="AQ17" i="2"/>
  <c r="DR17" i="2"/>
  <c r="CY21" i="2" l="1"/>
  <c r="FA21"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T21" i="2" s="1" a="1"/>
  <c r="T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CY22" i="2" l="1"/>
  <c r="FA22" i="2" s="1"/>
  <c r="FB22" i="2" s="1"/>
  <c r="AH20" i="2"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T23" i="2" s="1" a="1"/>
  <c r="T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AH22" i="2" l="1"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T24" i="2" s="1" a="1"/>
  <c r="T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CY25" i="2" l="1"/>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T25" i="2" s="1" a="1"/>
  <c r="T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Y26" i="2" s="1"/>
  <c r="FA26" i="2" s="1"/>
  <c r="FB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AW23" i="2" l="1"/>
  <c r="HG23" i="2" s="1"/>
  <c r="E25" i="8"/>
  <c r="A24" i="8"/>
  <c r="DR24" i="2"/>
  <c r="R24" i="2"/>
  <c r="AL24" i="2"/>
  <c r="BD24" i="2"/>
  <c r="BA24" i="2"/>
  <c r="AV24" i="2"/>
  <c r="AP24" i="2"/>
  <c r="AO24" i="2"/>
  <c r="AG26" i="2"/>
  <c r="HM26" i="2"/>
  <c r="EV26" i="2"/>
  <c r="EW26" i="2" s="1"/>
  <c r="ER26" i="2"/>
  <c r="EM26" i="2"/>
  <c r="EN26" i="2" s="1"/>
  <c r="EJ26" i="2" a="1"/>
  <c r="EJ26" i="2" s="1"/>
  <c r="EI26" i="2" a="1"/>
  <c r="EI26" i="2" s="1"/>
  <c r="T26" i="2" s="1" a="1"/>
  <c r="T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HE23" i="2" l="1"/>
  <c r="V23" i="2"/>
  <c r="DR25" i="2"/>
  <c r="R25" i="2"/>
  <c r="AL25" i="2"/>
  <c r="BD25" i="2"/>
  <c r="BA25" i="2"/>
  <c r="AV25" i="2"/>
  <c r="AU25" i="2"/>
  <c r="AP25" i="2"/>
  <c r="AG27" i="2"/>
  <c r="HM27" i="2"/>
  <c r="EV27" i="2"/>
  <c r="EW27" i="2" s="1"/>
  <c r="ER27" i="2"/>
  <c r="EM27" i="2"/>
  <c r="EN27" i="2" s="1"/>
  <c r="EJ27" i="2" a="1"/>
  <c r="EJ27" i="2" s="1"/>
  <c r="T27" i="2" s="1" a="1"/>
  <c r="T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CY28" i="2" l="1"/>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T28" i="2" a="1"/>
  <c r="T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W27" i="2" s="1"/>
  <c r="HG27" i="2" s="1"/>
  <c r="AO27" i="2"/>
  <c r="AG29" i="2"/>
  <c r="HM29" i="2"/>
  <c r="EV29" i="2"/>
  <c r="EW29" i="2" s="1"/>
  <c r="ER29" i="2"/>
  <c r="EM29" i="2"/>
  <c r="EN29" i="2" s="1"/>
  <c r="EJ29" i="2" a="1"/>
  <c r="EJ29" i="2" s="1"/>
  <c r="EI29" i="2" a="1"/>
  <c r="EI29" i="2" s="1"/>
  <c r="T29" i="2" s="1" a="1"/>
  <c r="T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H28" i="2" l="1"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T31" i="2" s="1" a="1"/>
  <c r="T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CY32" i="2" l="1"/>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T32" i="2" s="1" a="1"/>
  <c r="T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CY33" i="2" l="1"/>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EI33" i="2" a="1"/>
  <c r="EI33" i="2" s="1"/>
  <c r="T33" i="2" s="1" a="1"/>
  <c r="T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AW31" i="2" l="1"/>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T34" i="2" s="1" a="1"/>
  <c r="T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AW32" i="2" l="1"/>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T35" i="2" s="1" a="1"/>
  <c r="T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AH34" i="2" l="1"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T36" i="2" s="1" a="1"/>
  <c r="T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AW34" i="2" l="1"/>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Y39" i="2" s="1"/>
  <c r="FA39" i="2" s="1"/>
  <c r="FB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AH37" i="2" l="1"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BI39" i="2"/>
  <c r="AF39" i="2" a="1"/>
  <c r="AF39" i="2" s="1"/>
  <c r="T39" i="2" a="1"/>
  <c r="T39" i="2" s="1"/>
  <c r="G39" i="2"/>
  <c r="E39" i="2"/>
  <c r="M39" i="2"/>
  <c r="GL39" i="2"/>
  <c r="GM39" i="2" s="1"/>
  <c r="GQ39" i="2"/>
  <c r="GR39" i="2" s="1"/>
  <c r="A41" i="2"/>
  <c r="DQ40" i="2"/>
  <c r="DO40" i="2"/>
  <c r="DM40" i="2"/>
  <c r="DL40" i="2"/>
  <c r="DI40" i="2"/>
  <c r="DE40" i="2"/>
  <c r="H40" i="2" s="1"/>
  <c r="DD40" i="2"/>
  <c r="CU40" i="2"/>
  <c r="CL40" i="2"/>
  <c r="CK40" i="2"/>
  <c r="CS40" i="2" s="1"/>
  <c r="CT40" i="2" s="1"/>
  <c r="CV40" i="2" s="1"/>
  <c r="CY40" i="2" s="1"/>
  <c r="FA40" i="2" s="1"/>
  <c r="FB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Q36" i="2"/>
  <c r="DR36" i="2"/>
  <c r="E38" i="8"/>
  <c r="A37" i="8"/>
  <c r="AI38" i="2" l="1" a="1"/>
  <c r="AI38" i="2" s="1"/>
  <c r="AW37" i="2"/>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W38" i="2" l="1"/>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T42" i="2" s="1" a="1"/>
  <c r="T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H41" i="2" s="1" a="1"/>
  <c r="AH41" i="2" s="1"/>
  <c r="Q6" i="7"/>
  <c r="DR39" i="2"/>
  <c r="EK37" i="2"/>
  <c r="A21" i="9"/>
  <c r="AI41" i="2" l="1" a="1"/>
  <c r="AI41"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EI44" i="2" a="1"/>
  <c r="EI44" i="2" s="1"/>
  <c r="BI44" i="2"/>
  <c r="AF44" i="2" a="1"/>
  <c r="AF44" i="2" s="1"/>
  <c r="T44" i="2" a="1"/>
  <c r="T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HE41" i="2" l="1"/>
  <c r="DR43" i="2"/>
  <c r="R43" i="2"/>
  <c r="AL43" i="2"/>
  <c r="BD43" i="2"/>
  <c r="BA43" i="2"/>
  <c r="AV43" i="2"/>
  <c r="AP43" i="2"/>
  <c r="AO43" i="2"/>
  <c r="AG45" i="2"/>
  <c r="HM45" i="2"/>
  <c r="EV45" i="2"/>
  <c r="EW45" i="2" s="1"/>
  <c r="ER45" i="2"/>
  <c r="EM45" i="2"/>
  <c r="EN45" i="2" s="1"/>
  <c r="EJ45" i="2" a="1"/>
  <c r="EJ45" i="2" s="1"/>
  <c r="EI45" i="2" a="1"/>
  <c r="EI45" i="2" s="1"/>
  <c r="T45" i="2" s="1" a="1"/>
  <c r="T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CY46" i="2" l="1"/>
  <c r="FA46" i="2" s="1"/>
  <c r="FB46" i="2" s="1"/>
  <c r="E45" i="8"/>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BJ43" i="2"/>
  <c r="AQ43" i="2"/>
  <c r="T46" i="2" l="1" a="1"/>
  <c r="T46" i="2" s="1"/>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BI47" i="2"/>
  <c r="AF47" i="2" a="1"/>
  <c r="AF47" i="2" s="1"/>
  <c r="G47" i="2"/>
  <c r="E47" i="2"/>
  <c r="AB47" i="2"/>
  <c r="M47" i="2"/>
  <c r="GL47" i="2"/>
  <c r="GM47" i="2" s="1"/>
  <c r="GQ47" i="2"/>
  <c r="GR47" i="2" s="1"/>
  <c r="A49" i="2"/>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P33" i="2"/>
  <c r="AB33" i="2"/>
  <c r="BJ32" i="2"/>
  <c r="AQ32" i="2"/>
  <c r="AB32" i="2"/>
  <c r="BJ31" i="2"/>
  <c r="AQ31" i="2"/>
  <c r="AB31" i="2"/>
  <c r="AW30" i="2"/>
  <c r="BJ30" i="2"/>
  <c r="AB30" i="2"/>
  <c r="Y29" i="2"/>
  <c r="AB29" i="2" s="1"/>
  <c r="AP29" i="2"/>
  <c r="AW28" i="2"/>
  <c r="BJ28" i="2"/>
  <c r="AB28" i="2"/>
  <c r="Y27" i="2"/>
  <c r="AP27" i="2"/>
  <c r="AB27" i="2"/>
  <c r="AW26" i="2"/>
  <c r="BJ26" i="2"/>
  <c r="AB26" i="2"/>
  <c r="BJ25" i="2"/>
  <c r="AQ25" i="2"/>
  <c r="AB25" i="2"/>
  <c r="AW24" i="2"/>
  <c r="BJ24" i="2"/>
  <c r="AB24" i="2"/>
  <c r="Y23" i="2"/>
  <c r="AB23" i="2" s="1"/>
  <c r="AP23" i="2"/>
  <c r="BJ22" i="2"/>
  <c r="AQ22" i="2"/>
  <c r="AB22" i="2"/>
  <c r="Y21" i="2"/>
  <c r="AB21" i="2" s="1"/>
  <c r="AP21" i="2"/>
  <c r="BJ21" i="2" s="1"/>
  <c r="AW20" i="2"/>
  <c r="BJ20" i="2"/>
  <c r="AB20" i="2"/>
  <c r="Y19" i="2"/>
  <c r="AP19" i="2"/>
  <c r="AB19" i="2"/>
  <c r="BJ18" i="2"/>
  <c r="AQ18" i="2"/>
  <c r="AB18" i="2"/>
  <c r="AW17" i="2"/>
  <c r="BJ17" i="2"/>
  <c r="AB17" i="2"/>
  <c r="AW16" i="2"/>
  <c r="BJ16" i="2"/>
  <c r="AB16" i="2"/>
  <c r="BJ15" i="2"/>
  <c r="AQ15" i="2"/>
  <c r="AB15" i="2"/>
  <c r="Y14" i="2"/>
  <c r="AP14" i="2"/>
  <c r="BJ14" i="2" s="1"/>
  <c r="AB14" i="2"/>
  <c r="BJ13" i="2"/>
  <c r="AQ13" i="2"/>
  <c r="AB13" i="2"/>
  <c r="BJ12" i="2"/>
  <c r="AQ12" i="2"/>
  <c r="AB12" i="2"/>
  <c r="Y11" i="2"/>
  <c r="AP11" i="2"/>
  <c r="AB11" i="2"/>
  <c r="Y9" i="2"/>
  <c r="AP9" i="2"/>
  <c r="A45" i="8"/>
  <c r="W10" i="2"/>
  <c r="Z10" i="2"/>
  <c r="AA10" i="2" s="1"/>
  <c r="EI47" i="2" l="1" a="1"/>
  <c r="EI47" i="2" s="1"/>
  <c r="T47" i="2" s="1" a="1"/>
  <c r="T47" i="2" s="1"/>
  <c r="CY48" i="2"/>
  <c r="FA48" i="2" s="1"/>
  <c r="FB48" i="2" s="1"/>
  <c r="BJ29" i="2"/>
  <c r="BJ37" i="2"/>
  <c r="BJ19" i="2"/>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EI48" i="2" a="1"/>
  <c r="EI48" i="2" s="1"/>
  <c r="T48" i="2" s="1" a="1"/>
  <c r="T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CY49" i="2" l="1"/>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T49" i="2" l="1" a="1"/>
  <c r="T49" i="2" s="1"/>
  <c r="I25" i="3"/>
  <c r="I9" i="3"/>
  <c r="I8" i="3"/>
  <c r="I24" i="3"/>
  <c r="I21" i="3"/>
  <c r="I5" i="3"/>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I29" i="3"/>
  <c r="H29" i="3"/>
  <c r="I27" i="3"/>
  <c r="K26" i="3"/>
  <c r="I26" i="3"/>
  <c r="H25" i="3"/>
  <c r="I23" i="3"/>
  <c r="K22" i="3"/>
  <c r="I22" i="3"/>
  <c r="H21" i="3"/>
  <c r="I19" i="3"/>
  <c r="K18" i="3"/>
  <c r="I18" i="3"/>
  <c r="H17" i="3"/>
  <c r="I15" i="3"/>
  <c r="K14" i="3"/>
  <c r="I14" i="3"/>
  <c r="H13" i="3"/>
  <c r="I11" i="3"/>
  <c r="K10" i="3"/>
  <c r="I10" i="3"/>
  <c r="H9" i="3"/>
  <c r="I7" i="3"/>
  <c r="K6" i="3"/>
  <c r="I6" i="3"/>
  <c r="H5" i="3"/>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H32" i="3" l="1"/>
  <c r="V47" i="2"/>
  <c r="DR49" i="2"/>
  <c r="R49" i="2"/>
  <c r="AL49" i="2"/>
  <c r="BD49" i="2"/>
  <c r="BA49" i="2"/>
  <c r="BA61" i="2" s="1"/>
  <c r="AV49" i="2"/>
  <c r="I20" i="3" s="1"/>
  <c r="AU49" i="2"/>
  <c r="AU61" i="2" s="1"/>
  <c r="AP49" i="2"/>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AP61" i="2"/>
  <c r="I16" i="3"/>
  <c r="AW48" i="2"/>
  <c r="AV61" i="2"/>
  <c r="BD61" i="2"/>
  <c r="AQ48" i="2"/>
  <c r="AL61" i="2"/>
  <c r="L37" i="1" a="1"/>
  <c r="L37" i="1" s="1"/>
  <c r="EK46" i="2"/>
  <c r="A39" i="9"/>
  <c r="GD34" i="2"/>
  <c r="FY34" i="2"/>
  <c r="FZ34" i="2" s="1"/>
  <c r="FT34" i="2"/>
  <c r="FU34" i="2" s="1"/>
  <c r="EN61" i="2"/>
  <c r="L49" i="3" s="1"/>
  <c r="BJ49" i="2" l="1"/>
  <c r="V48" i="2"/>
  <c r="HG48" i="2"/>
  <c r="FU9" i="2"/>
  <c r="FZ9" i="2"/>
  <c r="AW49" i="2"/>
  <c r="I17" i="3"/>
  <c r="AQ49" i="2"/>
  <c r="EK47" i="2"/>
  <c r="A40" i="9"/>
  <c r="F146" i="3"/>
  <c r="HE49" i="2" l="1"/>
  <c r="V49" i="2"/>
  <c r="V64" i="2" s="1"/>
  <c r="B14" i="13" s="1"/>
  <c r="AQ61" i="2"/>
  <c r="I32" i="3"/>
  <c r="AW61" i="2"/>
  <c r="EK48" i="2"/>
  <c r="A50" i="9"/>
  <c r="F94" i="3"/>
  <c r="V61" i="2" l="1"/>
  <c r="M43" i="3"/>
  <c r="L33" i="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H89" i="3" l="1"/>
  <c r="H150" i="3"/>
  <c r="H137" i="3"/>
  <c r="H116" i="3"/>
  <c r="H128" i="3"/>
  <c r="H135" i="3"/>
  <c r="H92" i="3"/>
  <c r="H151" i="3"/>
  <c r="H109" i="3"/>
  <c r="H112" i="3"/>
  <c r="H147" i="3"/>
  <c r="H114" i="3"/>
  <c r="H101" i="3"/>
  <c r="F157" i="3"/>
  <c r="H91" i="3"/>
  <c r="H123" i="3"/>
  <c r="H146" i="3"/>
  <c r="H94" i="3"/>
  <c r="EK61" i="2"/>
  <c r="J32" i="3"/>
  <c r="M63" i="3"/>
  <c r="J63" i="3"/>
  <c r="M62" i="3"/>
  <c r="J62" i="3"/>
  <c r="M56" i="3"/>
  <c r="J56" i="3"/>
  <c r="M55" i="3"/>
  <c r="J55" i="3"/>
  <c r="M54" i="3"/>
  <c r="J54" i="3"/>
  <c r="M53" i="3"/>
  <c r="J53" i="3"/>
  <c r="J49" i="3"/>
  <c r="J50" i="3"/>
  <c r="J51" i="3"/>
  <c r="J52" i="3"/>
  <c r="J57" i="3"/>
  <c r="J58" i="3"/>
  <c r="J59" i="3"/>
  <c r="J61" i="3"/>
  <c r="J64" i="3"/>
  <c r="J67" i="3"/>
  <c r="J68" i="3"/>
  <c r="J69" i="3"/>
  <c r="J70" i="3"/>
  <c r="M70" i="3"/>
  <c r="M50" i="3"/>
  <c r="M68" i="3"/>
  <c r="M49" i="3"/>
  <c r="C89" i="14" l="1"/>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9" i="2"/>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2" i="2"/>
  <c r="ET32" i="2" s="1"/>
  <c r="EY32" i="2" s="1"/>
  <c r="FD32"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ES25" i="2" l="1"/>
  <c r="ET25" i="2" s="1"/>
  <c r="EY25" i="2" s="1"/>
  <c r="FD25" i="2" s="1"/>
  <c r="ES33" i="2"/>
  <c r="ET33" i="2" s="1"/>
  <c r="EY33" i="2" s="1"/>
  <c r="FD33" i="2" s="1"/>
  <c r="ES48" i="2"/>
  <c r="ET48" i="2" s="1"/>
  <c r="EY48" i="2" s="1"/>
  <c r="FD48" i="2" s="1"/>
  <c r="ES14" i="2"/>
  <c r="ET14" i="2" s="1"/>
  <c r="EY14" i="2" s="1"/>
  <c r="ES13" i="2"/>
  <c r="ET13" i="2" s="1"/>
  <c r="EY13" i="2" s="1"/>
  <c r="FD13" i="2" s="1"/>
  <c r="ES31" i="2"/>
  <c r="ET31" i="2" s="1"/>
  <c r="EY31" i="2" s="1"/>
  <c r="FD31" i="2" s="1"/>
  <c r="ES46" i="2"/>
  <c r="ET46" i="2" s="1"/>
  <c r="EY46" i="2" s="1"/>
  <c r="FD46" i="2" s="1"/>
  <c r="ES12" i="2"/>
  <c r="ET12" i="2" s="1"/>
  <c r="EY12" i="2" s="1"/>
  <c r="FD12" i="2" s="1"/>
  <c r="ES39" i="2"/>
  <c r="ET39" i="2" s="1"/>
  <c r="EY39" i="2" s="1"/>
  <c r="FD39" i="2" s="1"/>
  <c r="ES15" i="2"/>
  <c r="ET15" i="2" s="1"/>
  <c r="EY15" i="2" s="1"/>
  <c r="FD15" i="2" s="1"/>
  <c r="ES38" i="2"/>
  <c r="ET38" i="2" s="1"/>
  <c r="EY38" i="2" s="1"/>
  <c r="FD38" i="2" s="1"/>
  <c r="FI38" i="2" s="1"/>
  <c r="FJ38" i="2" s="1"/>
  <c r="ES22" i="2"/>
  <c r="ET22" i="2" s="1"/>
  <c r="EY22" i="2" s="1"/>
  <c r="FD22" i="2" s="1"/>
  <c r="FI22" i="2" s="1"/>
  <c r="FJ22" i="2" s="1"/>
  <c r="ES45" i="2"/>
  <c r="ET45" i="2" s="1"/>
  <c r="EY45" i="2" s="1"/>
  <c r="FD45" i="2" s="1"/>
  <c r="ES29" i="2"/>
  <c r="ET29" i="2" s="1"/>
  <c r="EY29" i="2" s="1"/>
  <c r="ES35" i="2"/>
  <c r="ET35" i="2" s="1"/>
  <c r="EY35" i="2" s="1"/>
  <c r="FD35" i="2" s="1"/>
  <c r="ES27" i="2"/>
  <c r="ET27" i="2" s="1"/>
  <c r="EY27" i="2" s="1"/>
  <c r="FD27" i="2" s="1"/>
  <c r="FI27" i="2" s="1"/>
  <c r="FJ27" i="2" s="1"/>
  <c r="FL27" i="2" s="1"/>
  <c r="FK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18" i="2" s="1"/>
  <c r="FJ18" i="2" s="1"/>
  <c r="FI49" i="2"/>
  <c r="FJ49" i="2" s="1"/>
  <c r="FI48" i="2"/>
  <c r="FJ48" i="2" s="1"/>
  <c r="FI46" i="2"/>
  <c r="FJ46" i="2" s="1"/>
  <c r="FI45" i="2"/>
  <c r="FJ45" i="2" s="1"/>
  <c r="FI42" i="2"/>
  <c r="FJ42" i="2" s="1"/>
  <c r="FI41" i="2"/>
  <c r="FJ41" i="2" s="1"/>
  <c r="FI39" i="2"/>
  <c r="FJ39" i="2" s="1"/>
  <c r="FI35" i="2"/>
  <c r="FJ35" i="2" s="1"/>
  <c r="FI33" i="2"/>
  <c r="FJ33" i="2" s="1"/>
  <c r="FL33" i="2" s="1"/>
  <c r="FK33" i="2" s="1"/>
  <c r="FI32" i="2"/>
  <c r="FJ32" i="2" s="1"/>
  <c r="FI31" i="2"/>
  <c r="FJ31" i="2" s="1"/>
  <c r="FI30" i="2"/>
  <c r="FJ30" i="2" s="1"/>
  <c r="FI28" i="2"/>
  <c r="FJ28" i="2" s="1"/>
  <c r="FL28" i="2" s="1"/>
  <c r="FK28" i="2" s="1"/>
  <c r="FI26" i="2"/>
  <c r="FJ26" i="2" s="1"/>
  <c r="FI25" i="2"/>
  <c r="FJ25" i="2" s="1"/>
  <c r="FI24" i="2"/>
  <c r="FJ24"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3" i="2"/>
  <c r="FJ13" i="2" s="1"/>
  <c r="FI12" i="2"/>
  <c r="FJ12" i="2" s="1"/>
  <c r="FI11" i="2"/>
  <c r="FJ11" i="2" s="1"/>
  <c r="FL11" i="2" s="1"/>
  <c r="FK11" i="2" s="1"/>
  <c r="ET9" i="2"/>
  <c r="ES61" i="2" l="1"/>
  <c r="K50" i="3" s="1"/>
  <c r="ET61" i="2"/>
  <c r="EY9" i="2"/>
  <c r="FP11" i="2"/>
  <c r="FO11" i="2"/>
  <c r="FN11" i="2"/>
  <c r="FM11" i="2"/>
  <c r="FI44" i="2"/>
  <c r="FJ44" i="2" s="1"/>
  <c r="FI43" i="2"/>
  <c r="FJ43" i="2" s="1"/>
  <c r="FI40" i="2"/>
  <c r="FJ40" i="2" s="1"/>
  <c r="FI20" i="2"/>
  <c r="FJ20" i="2" s="1"/>
  <c r="EX17" i="2"/>
  <c r="EW61" i="2"/>
  <c r="L51" i="3" s="1"/>
  <c r="M51" i="3" s="1"/>
  <c r="FP27" i="2"/>
  <c r="FO27" i="2"/>
  <c r="FN27" i="2"/>
  <c r="FM27" i="2"/>
  <c r="FQ27" i="2" s="1"/>
  <c r="FP28" i="2"/>
  <c r="FO28" i="2"/>
  <c r="FN28" i="2"/>
  <c r="FM28" i="2"/>
  <c r="FQ28" i="2" s="1"/>
  <c r="FV28" i="2" s="1"/>
  <c r="GA28" i="2" s="1"/>
  <c r="FP33" i="2"/>
  <c r="FO33" i="2"/>
  <c r="FN33" i="2"/>
  <c r="FM33" i="2"/>
  <c r="FQ33" i="2" s="1"/>
  <c r="FQ11" i="2" l="1"/>
  <c r="FV33" i="2"/>
  <c r="FS33" i="2"/>
  <c r="GE28" i="2"/>
  <c r="GF28" i="2" s="1"/>
  <c r="EX61" i="2"/>
  <c r="K51" i="3" s="1"/>
  <c r="EY17" i="2"/>
  <c r="FD17" i="2" s="1"/>
  <c r="FV11" i="2"/>
  <c r="FS1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EY61" i="2" l="1"/>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Q14" i="2" s="1"/>
  <c r="FP19" i="2"/>
  <c r="FO19" i="2"/>
  <c r="FN19" i="2"/>
  <c r="FM19" i="2"/>
  <c r="FP21" i="2"/>
  <c r="FO21" i="2"/>
  <c r="FN21" i="2"/>
  <c r="FM21" i="2"/>
  <c r="FQ21" i="2" s="1"/>
  <c r="FP23" i="2"/>
  <c r="FO23" i="2"/>
  <c r="FN23" i="2"/>
  <c r="FM23" i="2"/>
  <c r="FP29" i="2"/>
  <c r="FO29" i="2"/>
  <c r="FN29" i="2"/>
  <c r="FM29" i="2"/>
  <c r="FQ29" i="2" s="1"/>
  <c r="FP34" i="2"/>
  <c r="FO34" i="2"/>
  <c r="FN34" i="2"/>
  <c r="FM34" i="2"/>
  <c r="FP36" i="2"/>
  <c r="FO36" i="2"/>
  <c r="FN36" i="2"/>
  <c r="FM36" i="2"/>
  <c r="FQ36" i="2" s="1"/>
  <c r="FP37" i="2"/>
  <c r="FO37" i="2"/>
  <c r="FN37" i="2"/>
  <c r="FM37" i="2"/>
  <c r="FQ37" i="2" l="1"/>
  <c r="FV37" i="2" s="1"/>
  <c r="FQ34" i="2"/>
  <c r="FV34" i="2" s="1"/>
  <c r="FQ23" i="2"/>
  <c r="FQ19" i="2"/>
  <c r="FV19" i="2" s="1"/>
  <c r="GA19" i="2" s="1"/>
  <c r="FQ10" i="2"/>
  <c r="FV10" i="2" s="1"/>
  <c r="FV36" i="2"/>
  <c r="FS34" i="2"/>
  <c r="FV29" i="2"/>
  <c r="FS29" i="2"/>
  <c r="FV23" i="2"/>
  <c r="FV21" i="2"/>
  <c r="FS21" i="2"/>
  <c r="GE19" i="2"/>
  <c r="GF19" i="2" s="1"/>
  <c r="FV14" i="2"/>
  <c r="FS10" i="2"/>
  <c r="FD61" i="2"/>
  <c r="FI9" i="2"/>
  <c r="K53" i="3"/>
  <c r="K52" i="3"/>
  <c r="FS37" i="2" l="1"/>
  <c r="FI61" i="2"/>
  <c r="FJ9" i="2"/>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K49" i="2" s="1"/>
  <c r="FL20" i="2"/>
  <c r="FK20" i="2" s="1"/>
  <c r="FL40" i="2"/>
  <c r="FK40" i="2" s="1"/>
  <c r="FL43" i="2"/>
  <c r="FK43" i="2" s="1"/>
  <c r="FL44" i="2"/>
  <c r="FK44" i="2" s="1"/>
  <c r="FL17" i="2"/>
  <c r="FK17" i="2" s="1"/>
  <c r="FP17" i="2" l="1"/>
  <c r="FO17" i="2"/>
  <c r="FN17" i="2"/>
  <c r="FM17" i="2"/>
  <c r="FQ17" i="2" s="1"/>
  <c r="FP44" i="2"/>
  <c r="FO44" i="2"/>
  <c r="FN44" i="2"/>
  <c r="FM44" i="2"/>
  <c r="FQ44" i="2" s="1"/>
  <c r="FV44" i="2" s="1"/>
  <c r="FP43" i="2"/>
  <c r="FO43" i="2"/>
  <c r="FN43" i="2"/>
  <c r="FM43" i="2"/>
  <c r="FP40" i="2"/>
  <c r="FO40" i="2"/>
  <c r="FN40" i="2"/>
  <c r="FM40" i="2"/>
  <c r="FQ40" i="2" s="1"/>
  <c r="FP20" i="2"/>
  <c r="FO20" i="2"/>
  <c r="FN20" i="2"/>
  <c r="FM20" i="2"/>
  <c r="FP49" i="2"/>
  <c r="FO49" i="2"/>
  <c r="FN49" i="2"/>
  <c r="FM49" i="2"/>
  <c r="FQ49" i="2" s="1"/>
  <c r="FP48" i="2"/>
  <c r="FO48" i="2"/>
  <c r="FN48" i="2"/>
  <c r="FM48" i="2"/>
  <c r="FP47" i="2"/>
  <c r="FO47" i="2"/>
  <c r="FN47" i="2"/>
  <c r="FM47" i="2"/>
  <c r="FQ47" i="2" s="1"/>
  <c r="FP46" i="2"/>
  <c r="FO46" i="2"/>
  <c r="FN46" i="2"/>
  <c r="FM46" i="2"/>
  <c r="FP45" i="2"/>
  <c r="FO45" i="2"/>
  <c r="FN45" i="2"/>
  <c r="FM45" i="2"/>
  <c r="FQ45" i="2" s="1"/>
  <c r="FP42" i="2"/>
  <c r="FO42" i="2"/>
  <c r="FN42" i="2"/>
  <c r="FM42" i="2"/>
  <c r="FP41" i="2"/>
  <c r="FO41" i="2"/>
  <c r="FN41" i="2"/>
  <c r="FM41" i="2"/>
  <c r="FQ41" i="2" s="1"/>
  <c r="FV41" i="2" s="1"/>
  <c r="GA41" i="2" s="1"/>
  <c r="FP39" i="2"/>
  <c r="FO39" i="2"/>
  <c r="FN39" i="2"/>
  <c r="FM39" i="2"/>
  <c r="FP38" i="2"/>
  <c r="FO38" i="2"/>
  <c r="FN38" i="2"/>
  <c r="FM38" i="2"/>
  <c r="FQ38" i="2" s="1"/>
  <c r="FP35" i="2"/>
  <c r="FO35" i="2"/>
  <c r="FN35" i="2"/>
  <c r="FM35" i="2"/>
  <c r="FP32" i="2"/>
  <c r="FO32" i="2"/>
  <c r="FN32" i="2"/>
  <c r="FM32" i="2"/>
  <c r="FQ32" i="2" s="1"/>
  <c r="FP31" i="2"/>
  <c r="FO31" i="2"/>
  <c r="FN31" i="2"/>
  <c r="FM31" i="2"/>
  <c r="FP30" i="2"/>
  <c r="FO30" i="2"/>
  <c r="FN30" i="2"/>
  <c r="FM30" i="2"/>
  <c r="FQ30" i="2" s="1"/>
  <c r="FV30" i="2" s="1"/>
  <c r="FP26" i="2"/>
  <c r="FO26" i="2"/>
  <c r="FN26" i="2"/>
  <c r="FM26" i="2"/>
  <c r="FP25" i="2"/>
  <c r="FO25" i="2"/>
  <c r="FN25" i="2"/>
  <c r="FM25" i="2"/>
  <c r="FQ25" i="2" s="1"/>
  <c r="FP24" i="2"/>
  <c r="FO24" i="2"/>
  <c r="FN24" i="2"/>
  <c r="FM24" i="2"/>
  <c r="FP22" i="2"/>
  <c r="FO22" i="2"/>
  <c r="FN22" i="2"/>
  <c r="FM22" i="2"/>
  <c r="FQ22" i="2" s="1"/>
  <c r="FP18" i="2"/>
  <c r="FO18" i="2"/>
  <c r="FN18" i="2"/>
  <c r="FM18" i="2"/>
  <c r="FP16" i="2"/>
  <c r="FO16" i="2"/>
  <c r="FN16" i="2"/>
  <c r="FM16" i="2"/>
  <c r="FQ16" i="2" s="1"/>
  <c r="FP15" i="2"/>
  <c r="FO15" i="2"/>
  <c r="FN15" i="2"/>
  <c r="FM15" i="2"/>
  <c r="FP13" i="2"/>
  <c r="FO13" i="2"/>
  <c r="FN13" i="2"/>
  <c r="FM13" i="2"/>
  <c r="FQ13" i="2" s="1"/>
  <c r="FP12" i="2"/>
  <c r="FO12" i="2"/>
  <c r="FN12" i="2"/>
  <c r="FM12" i="2"/>
  <c r="FP9" i="2"/>
  <c r="FO9" i="2"/>
  <c r="FO61" i="2" s="1"/>
  <c r="K56" i="3" s="1"/>
  <c r="FN9" i="2"/>
  <c r="FN61" i="2" s="1"/>
  <c r="K55" i="3" s="1"/>
  <c r="FM9" i="2"/>
  <c r="GH23" i="2"/>
  <c r="FQ18" i="2" l="1"/>
  <c r="FQ26" i="2"/>
  <c r="FV26" i="2" s="1"/>
  <c r="GA26" i="2" s="1"/>
  <c r="FQ39" i="2"/>
  <c r="FS14" i="2" s="1"/>
  <c r="FQ42" i="2"/>
  <c r="FV42" i="2" s="1"/>
  <c r="GA42" i="2" s="1"/>
  <c r="FQ48" i="2"/>
  <c r="FQ43" i="2"/>
  <c r="FV43" i="2" s="1"/>
  <c r="FP61" i="2"/>
  <c r="K57" i="3" s="1"/>
  <c r="L57" i="3" s="1"/>
  <c r="M57" i="3" s="1"/>
  <c r="FQ12" i="2"/>
  <c r="FV12" i="2" s="1"/>
  <c r="FQ15" i="2"/>
  <c r="FQ24" i="2"/>
  <c r="FV24" i="2" s="1"/>
  <c r="FQ31" i="2"/>
  <c r="FV31" i="2" s="1"/>
  <c r="FQ35" i="2"/>
  <c r="FV35" i="2" s="1"/>
  <c r="GA35" i="2" s="1"/>
  <c r="FQ46" i="2"/>
  <c r="FS27" i="2" s="1"/>
  <c r="FU27" i="2" s="1"/>
  <c r="FV27" i="2" s="1"/>
  <c r="GA27" i="2" s="1"/>
  <c r="FQ20" i="2"/>
  <c r="GH61" i="2"/>
  <c r="L64" i="3" s="1"/>
  <c r="M64" i="3" s="1"/>
  <c r="FM61" i="2"/>
  <c r="K54" i="3" s="1"/>
  <c r="FQ9" i="2"/>
  <c r="FS13" i="2"/>
  <c r="FS18" i="2"/>
  <c r="FU18" i="2" s="1"/>
  <c r="FV18" i="2" s="1"/>
  <c r="GA18" i="2" s="1"/>
  <c r="FS48" i="2"/>
  <c r="FU48" i="2" s="1"/>
  <c r="FV15" i="2"/>
  <c r="FS15" i="2"/>
  <c r="FS24" i="2"/>
  <c r="FS30" i="2"/>
  <c r="FS44" i="2"/>
  <c r="FV16" i="2"/>
  <c r="FS16" i="2"/>
  <c r="FV22" i="2"/>
  <c r="FS22" i="2"/>
  <c r="FS42" i="2"/>
  <c r="FV25" i="2"/>
  <c r="FS25" i="2"/>
  <c r="FS31" i="2"/>
  <c r="FV32" i="2"/>
  <c r="FS32" i="2"/>
  <c r="FV38" i="2"/>
  <c r="FS23" i="2"/>
  <c r="FS38" i="2"/>
  <c r="FV39" i="2"/>
  <c r="FS28" i="2"/>
  <c r="FS39" i="2"/>
  <c r="FS41" i="2"/>
  <c r="FV45" i="2"/>
  <c r="FS45" i="2"/>
  <c r="FV47" i="2"/>
  <c r="FS36" i="2"/>
  <c r="FS47" i="2"/>
  <c r="FV49" i="2"/>
  <c r="FS49" i="2"/>
  <c r="FV20" i="2"/>
  <c r="FS20" i="2"/>
  <c r="FV17" i="2"/>
  <c r="FS17" i="2"/>
  <c r="FS26" i="2"/>
  <c r="FV48" i="2" l="1"/>
  <c r="GA48" i="2" s="1"/>
  <c r="FS35" i="2"/>
  <c r="FS19" i="2"/>
  <c r="FS12" i="2"/>
  <c r="FS43" i="2"/>
  <c r="FS46" i="2"/>
  <c r="FU46" i="2" s="1"/>
  <c r="FV46" i="2" s="1"/>
  <c r="GA46" i="2" s="1"/>
  <c r="GE46" i="2" s="1"/>
  <c r="GF46" i="2" s="1"/>
  <c r="FS40" i="2"/>
  <c r="FU40" i="2" s="1"/>
  <c r="FV40" i="2" s="1"/>
  <c r="GA40" i="2" s="1"/>
  <c r="GE40" i="2" s="1"/>
  <c r="GF40" i="2" s="1"/>
  <c r="GA17" i="2"/>
  <c r="FX17" i="2"/>
  <c r="FX26" i="2"/>
  <c r="GA43" i="2"/>
  <c r="FX43" i="2"/>
  <c r="GA20" i="2"/>
  <c r="FX20" i="2"/>
  <c r="GA49" i="2"/>
  <c r="FX49" i="2"/>
  <c r="GE48" i="2"/>
  <c r="GF48" i="2" s="1"/>
  <c r="GA47" i="2"/>
  <c r="FX36" i="2"/>
  <c r="FX47" i="2"/>
  <c r="GA45" i="2"/>
  <c r="FX45" i="2"/>
  <c r="GA39" i="2"/>
  <c r="FX14" i="2"/>
  <c r="FX28" i="2"/>
  <c r="FX39" i="2"/>
  <c r="FX41" i="2"/>
  <c r="GA38" i="2"/>
  <c r="FX23" i="2"/>
  <c r="FX38" i="2"/>
  <c r="GA32" i="2"/>
  <c r="FX32" i="2"/>
  <c r="GA31" i="2"/>
  <c r="FX31" i="2"/>
  <c r="GA25" i="2"/>
  <c r="FX25" i="2"/>
  <c r="GA22" i="2"/>
  <c r="FX22" i="2"/>
  <c r="FX42" i="2"/>
  <c r="GE18" i="2"/>
  <c r="GF18" i="2" s="1"/>
  <c r="GA16" i="2"/>
  <c r="FX16" i="2"/>
  <c r="FX15" i="2"/>
  <c r="FX24" i="2"/>
  <c r="FZ24" i="2" s="1"/>
  <c r="GA24" i="2" s="1"/>
  <c r="FX30" i="2"/>
  <c r="FZ30" i="2" s="1"/>
  <c r="GA30" i="2" s="1"/>
  <c r="FX44" i="2"/>
  <c r="FZ44" i="2" s="1"/>
  <c r="GA44" i="2" s="1"/>
  <c r="GE27" i="2"/>
  <c r="GF27" i="2" s="1"/>
  <c r="FS61" i="2"/>
  <c r="L58" i="3" s="1"/>
  <c r="M58" i="3" s="1"/>
  <c r="FU13" i="2"/>
  <c r="GA12" i="2"/>
  <c r="FX12" i="2"/>
  <c r="FX19" i="2"/>
  <c r="FX35" i="2"/>
  <c r="FQ61" i="2"/>
  <c r="FV9" i="2"/>
  <c r="FS9" i="2"/>
  <c r="GA9" i="2" l="1"/>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I40" i="2" s="1"/>
  <c r="GJ40" i="2" s="1"/>
  <c r="GO40" i="2" s="1"/>
  <c r="GT40" i="2" s="1"/>
  <c r="GY40" i="2" s="1"/>
  <c r="HD40" i="2" s="1"/>
  <c r="HG40"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26" i="2" l="1"/>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HN40" i="2"/>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GA61" i="2" s="1"/>
  <c r="FX13" i="2"/>
  <c r="FX18" i="2"/>
  <c r="FX27" i="2"/>
  <c r="FX40" i="2"/>
  <c r="FX46" i="2"/>
  <c r="FX48" i="2"/>
  <c r="FV61" i="2"/>
  <c r="GC61" i="2"/>
  <c r="GE12" i="2"/>
  <c r="GF12" i="2" s="1"/>
  <c r="GE9" i="2"/>
  <c r="GC9" i="2"/>
  <c r="GF9" i="2" l="1"/>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GJ11" i="2"/>
  <c r="GO11" i="2" s="1"/>
  <c r="GT11" i="2" s="1"/>
  <c r="GY11" i="2" s="1"/>
  <c r="HD11" i="2" s="1"/>
  <c r="HN11" i="2" s="1"/>
  <c r="GI61" i="2"/>
  <c r="K64" i="3" s="1"/>
  <c r="HN12" i="2"/>
  <c r="HE61" i="2"/>
  <c r="K13" i="3"/>
  <c r="GJ61" i="2"/>
  <c r="GO9" i="2"/>
  <c r="K17" i="3"/>
  <c r="HG61" i="2"/>
  <c r="HN16" i="2"/>
  <c r="GX10" i="2"/>
  <c r="GW61" i="2"/>
  <c r="L69" i="3" s="1"/>
  <c r="GN21" i="2"/>
  <c r="GM61" i="2"/>
  <c r="L67" i="3" s="1"/>
  <c r="M67" i="3" s="1"/>
  <c r="K32" i="3" l="1"/>
  <c r="L5" i="3" s="1"/>
  <c r="L6" i="3"/>
  <c r="L14" i="3"/>
  <c r="L18" i="3"/>
  <c r="L22" i="3"/>
  <c r="L26" i="3"/>
  <c r="L29" i="3"/>
  <c r="L25" i="3"/>
  <c r="L21" i="3"/>
  <c r="GN61" i="2"/>
  <c r="K67" i="3" s="1"/>
  <c r="M44" i="3" s="1"/>
  <c r="GO21" i="2"/>
  <c r="GT21" i="2" s="1"/>
  <c r="GY21" i="2" s="1"/>
  <c r="HD21" i="2" s="1"/>
  <c r="HN21" i="2" s="1"/>
  <c r="D88" i="14"/>
  <c r="M69" i="3"/>
  <c r="GX61" i="2"/>
  <c r="K69" i="3" s="1"/>
  <c r="E88" i="14" s="1"/>
  <c r="GY10" i="2"/>
  <c r="HD10" i="2" s="1"/>
  <c r="HN10" i="2" s="1"/>
  <c r="L17" i="3"/>
  <c r="GT9" i="2"/>
  <c r="L13" i="3"/>
  <c r="L9" i="3" l="1"/>
  <c r="L10" i="3"/>
  <c r="GO61" i="2"/>
  <c r="L34" i="1"/>
  <c r="L35" i="1" s="1"/>
  <c r="M45" i="3"/>
  <c r="GT61" i="2"/>
  <c r="GY9" i="2"/>
  <c r="L32" i="3"/>
  <c r="G38" i="3"/>
  <c r="G174" i="3" l="1"/>
  <c r="G175" i="3" s="1"/>
  <c r="L48" i="1"/>
  <c r="L23" i="1" s="1"/>
  <c r="L26" i="1" s="1"/>
  <c r="GY61" i="2"/>
  <c r="HD9" i="2"/>
  <c r="B54" i="14" l="1"/>
  <c r="B12" i="13"/>
  <c r="L62" i="1"/>
  <c r="L56" i="1"/>
  <c r="L28" i="1"/>
  <c r="L29" i="1" s="1"/>
  <c r="L58" i="1"/>
  <c r="L42" i="1"/>
  <c r="HD61" i="2"/>
  <c r="HN9" i="2"/>
  <c r="AJ24" i="4"/>
  <c r="AF24" i="4"/>
  <c r="AE24" i="4"/>
  <c r="AD24" i="4"/>
  <c r="AC24" i="4"/>
  <c r="AC29" i="4" s="1"/>
  <c r="AB24" i="4"/>
  <c r="AB29" i="4" s="1"/>
  <c r="AA24" i="4"/>
  <c r="AA29" i="4" s="1"/>
  <c r="Z24" i="4"/>
  <c r="Z29" i="4" s="1"/>
  <c r="Y24" i="4"/>
  <c r="Y29" i="4" s="1"/>
  <c r="X24" i="4"/>
  <c r="X29" i="4" s="1"/>
  <c r="T24" i="4"/>
  <c r="S24" i="4"/>
  <c r="U24" i="4" s="1"/>
  <c r="R24" i="4"/>
  <c r="R29" i="4" s="1"/>
  <c r="Q24" i="4"/>
  <c r="Q29" i="4" s="1"/>
  <c r="K24" i="4"/>
  <c r="K29" i="4" s="1"/>
  <c r="S29" i="4"/>
  <c r="T29" i="4"/>
  <c r="U29" i="4" s="1"/>
  <c r="AD29" i="4"/>
  <c r="AE29" i="4"/>
  <c r="AF29" i="4"/>
  <c r="AJ2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<sst xmlns="http://schemas.openxmlformats.org/spreadsheetml/2006/main" count="5734" uniqueCount="2604">
  <si>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</si>
  <si>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</si>
  <si>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</si>
  <si>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</si>
  <si>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</si>
  <si>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</si>
  <si>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</si>
  <si>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</si>
  <si>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</si>
  <si>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</si>
  <si>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</si>
  <si>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</si>
  <si>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</si>
  <si>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</si>
  <si>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</si>
  <si>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</si>
  <si>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</si>
  <si>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</si>
  <si>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</si>
  <si>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</si>
  <si>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</si>
  <si>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</si>
  <si>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</si>
  <si>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</si>
  <si>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</si>
  <si>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</si>
  <si>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</si>
  <si>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</si>
  <si>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</si>
  <si>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</si>
  <si>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</si>
  <si>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</si>
  <si>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</si>
  <si>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</si>
  <si>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</si>
  <si>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</si>
  <si>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</si>
  <si>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</si>
  <si>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</si>
  <si>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</si>
  <si>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</si>
  <si>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</si>
  <si>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</si>
  <si>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</si>
  <si>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</si>
  <si>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</si>
  <si>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</si>
  <si>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</si>
  <si>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</si>
  <si>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</si>
  <si>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</si>
  <si>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</si>
  <si>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</si>
  <si>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</si>
  <si>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</si>
  <si>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</si>
  <si>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</si>
  <si>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</si>
  <si>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</si>
  <si>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</si>
  <si>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</si>
  <si>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</si>
  <si>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</si>
  <si>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</si>
  <si>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</si>
  <si>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</si>
  <si>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</si>
  <si>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</si>
  <si>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</si>
  <si>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</si>
  <si>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</si>
  <si>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</si>
  <si>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</si>
  <si>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</si>
  <si>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</si>
  <si>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</si>
  <si>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</si>
  <si>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</si>
  <si>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</si>
  <si>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</si>
  <si>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</si>
  <si>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</si>
  <si>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</si>
  <si>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</si>
  <si>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</si>
  <si>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</si>
  <si>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</si>
  <si>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</si>
  <si>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</si>
  <si>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</si>
  <si>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</si>
  <si>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</si>
  <si>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</si>
  <si>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</si>
  <si>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</si>
  <si>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</si>
  <si>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</si>
  <si>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</si>
  <si>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</si>
  <si>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</si>
  <si>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</si>
  <si>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</si>
  <si>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</si>
  <si>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</si>
  <si>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</si>
  <si>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</si>
  <si>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</si>
  <si>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</si>
  <si>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</si>
  <si>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</si>
  <si>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</si>
  <si>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</si>
  <si>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</si>
  <si>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</si>
  <si>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</si>
  <si>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</si>
  <si>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</si>
  <si>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</si>
  <si>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</si>
  <si>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</si>
  <si>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</si>
  <si>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</si>
  <si>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</si>
  <si>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</si>
  <si>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</si>
  <si>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</si>
  <si>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</si>
  <si>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</si>
  <si>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</si>
  <si>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</si>
  <si>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</si>
  <si>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</si>
  <si>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</si>
  <si>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</si>
  <si>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</si>
  <si>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</si>
  <si>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</si>
  <si>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</si>
  <si>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</si>
  <si>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</si>
  <si>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</si>
  <si>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</si>
  <si>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</si>
  <si>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</si>
  <si>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</si>
  <si>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</si>
  <si>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</si>
  <si>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</si>
  <si>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</si>
  <si>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</si>
  <si>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</si>
  <si>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</si>
  <si>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</si>
  <si>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</si>
  <si>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</si>
  <si>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</si>
  <si>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</si>
  <si>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</si>
  <si>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</si>
  <si>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</si>
  <si>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</si>
  <si>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</si>
  <si>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</si>
  <si>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</si>
  <si>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</si>
  <si>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</si>
  <si>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</si>
  <si>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</si>
  <si>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</si>
  <si>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</si>
  <si>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</si>
  <si>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</si>
  <si>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</si>
  <si>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</si>
  <si>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</si>
  <si>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</si>
  <si>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</si>
  <si>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</si>
  <si>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</si>
  <si>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</si>
  <si>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</si>
  <si>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</si>
  <si>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</si>
  <si>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</si>
  <si>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</si>
  <si>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</si>
  <si>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</si>
  <si>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</si>
  <si>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</si>
  <si>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</si>
  <si>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</si>
  <si>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</si>
  <si>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</si>
  <si>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</si>
  <si>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</si>
  <si>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</si>
  <si>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</si>
  <si>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</si>
  <si>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</si>
  <si>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</si>
  <si>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</si>
  <si>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</si>
  <si>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</si>
  <si>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</si>
  <si>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</si>
  <si>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</si>
  <si>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</si>
  <si>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</si>
  <si>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</si>
  <si>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</si>
  <si>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</si>
  <si>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</si>
  <si>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</si>
  <si>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</si>
  <si>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</si>
  <si>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</si>
  <si>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</si>
  <si>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</si>
  <si>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</si>
  <si>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</si>
  <si>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</si>
  <si>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</si>
  <si>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</si>
  <si>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</si>
  <si>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</si>
  <si>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</si>
  <si>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</si>
  <si>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</si>
  <si>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</si>
  <si>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</si>
  <si>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</si>
  <si>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</si>
  <si>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</si>
  <si>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</si>
  <si>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</si>
  <si>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</si>
  <si>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</si>
  <si>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</si>
  <si>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</si>
  <si>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</si>
  <si>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</si>
  <si>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</si>
  <si>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</si>
  <si>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</si>
  <si>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</si>
  <si>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</si>
  <si>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</si>
  <si>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</si>
  <si>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</si>
  <si>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</si>
  <si>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</si>
  <si>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</si>
  <si>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</si>
  <si>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</si>
  <si>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</si>
  <si>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</si>
  <si>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</si>
  <si>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</si>
  <si>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</si>
  <si>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</si>
  <si>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</si>
  <si>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</si>
  <si>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</si>
  <si>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</si>
  <si>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</si>
  <si>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</si>
  <si>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</si>
  <si>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</si>
  <si>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</si>
  <si>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</si>
  <si>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</si>
  <si>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</si>
  <si>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</si>
  <si>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</si>
  <si>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</si>
  <si>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</si>
  <si>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</si>
  <si>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</si>
  <si>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</si>
  <si>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</si>
  <si>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</si>
  <si>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</si>
  <si>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</si>
  <si>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</si>
  <si>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</si>
  <si>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</si>
  <si>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</si>
  <si>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</si>
  <si>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</si>
  <si>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</si>
  <si>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</si>
  <si>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</si>
  <si>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</si>
  <si>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</si>
  <si>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</si>
  <si>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</si>
  <si>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</si>
  <si>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</si>
  <si>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</si>
  <si>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</si>
  <si>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</si>
  <si>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</si>
  <si>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</si>
  <si>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</si>
  <si>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</si>
  <si>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</si>
  <si>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</si>
  <si>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</si>
  <si>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</si>
  <si>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</si>
  <si>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</si>
  <si>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</si>
  <si>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</si>
  <si>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</si>
  <si>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</si>
  <si>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</si>
  <si>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</si>
  <si>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</si>
  <si>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</si>
  <si>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</si>
  <si>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</si>
  <si>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</si>
  <si>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</si>
  <si>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</si>
  <si>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</si>
  <si>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</si>
  <si>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</si>
  <si>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</si>
  <si>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</si>
  <si>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</si>
  <si>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</si>
  <si>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</si>
  <si>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</si>
  <si>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</si>
  <si>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</si>
  <si>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</si>
  <si>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</si>
  <si>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</si>
  <si>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</si>
  <si>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</si>
  <si>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</si>
  <si>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</si>
  <si>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</si>
  <si>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</si>
  <si>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</si>
  <si>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</si>
  <si>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</si>
  <si>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</si>
  <si>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</si>
  <si>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</si>
  <si>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</si>
  <si>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</si>
  <si>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</si>
  <si>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</si>
  <si>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</si>
  <si>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</si>
  <si>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</si>
  <si>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</si>
  <si>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</si>
  <si>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</si>
  <si>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</si>
  <si>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</si>
  <si>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</si>
  <si>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</si>
  <si>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</si>
  <si>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</si>
  <si>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</si>
  <si>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</si>
  <si>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</si>
  <si>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</si>
  <si>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</si>
  <si>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</si>
  <si>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</si>
  <si>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</si>
  <si>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</si>
  <si>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</si>
  <si>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</si>
  <si>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</si>
  <si>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</si>
  <si>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</si>
  <si>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</si>
  <si>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</si>
  <si>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</si>
  <si>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</si>
  <si>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</si>
  <si>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</si>
  <si>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</si>
  <si>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</si>
  <si>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</si>
  <si>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</si>
  <si>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</si>
  <si>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</si>
  <si>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</si>
  <si>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</si>
  <si>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</si>
  <si>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</si>
  <si>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</si>
  <si>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</si>
  <si>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</si>
  <si>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</si>
  <si>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</si>
  <si>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</si>
  <si>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</si>
  <si>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</si>
  <si>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</si>
  <si>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</si>
  <si>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</si>
  <si>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</si>
  <si>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</si>
  <si>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</si>
  <si>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</si>
  <si>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</si>
  <si>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</si>
  <si>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</si>
  <si>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</si>
  <si>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</si>
  <si>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</si>
  <si>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</si>
  <si>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</si>
  <si>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</si>
  <si>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</si>
  <si>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</si>
  <si>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</si>
  <si>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</si>
  <si>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</si>
  <si>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</si>
  <si>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</si>
  <si>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</si>
  <si>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</si>
  <si>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</si>
  <si>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</si>
  <si>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</si>
  <si>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</si>
  <si>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</si>
  <si>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</si>
  <si>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</si>
  <si>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</si>
  <si>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</si>
  <si>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</si>
  <si>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</si>
  <si>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</si>
  <si>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</si>
  <si>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</si>
  <si>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</si>
  <si>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</si>
  <si>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</si>
  <si>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</si>
  <si>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</si>
  <si>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</si>
  <si>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</si>
  <si>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</si>
  <si>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</si>
  <si>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</si>
  <si>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</si>
  <si>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</si>
  <si>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</si>
  <si>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</si>
  <si>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</si>
  <si>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</si>
  <si>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</si>
  <si>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</si>
  <si>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</si>
  <si>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</si>
  <si>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</si>
  <si>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</si>
  <si>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</si>
  <si>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</si>
  <si>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</si>
  <si>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</si>
  <si>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</si>
  <si>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</si>
  <si>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</si>
  <si>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</si>
  <si>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</si>
  <si>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</si>
  <si>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</si>
  <si>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</si>
  <si>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</si>
  <si>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</si>
  <si>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</si>
  <si>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</si>
  <si>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</si>
  <si>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</si>
  <si>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</si>
  <si>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</si>
  <si>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</si>
  <si>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</si>
  <si>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</si>
  <si>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</si>
  <si>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</si>
  <si>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</si>
  <si>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</si>
  <si>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</si>
  <si>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</si>
  <si>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</si>
  <si>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</si>
  <si>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</si>
  <si>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</si>
  <si>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</si>
  <si>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</si>
  <si>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</si>
  <si>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</si>
  <si>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</si>
  <si>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</si>
  <si>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</si>
  <si>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</si>
  <si>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</si>
  <si>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</si>
  <si>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</si>
  <si>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</si>
  <si>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</si>
  <si>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</si>
  <si>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</si>
  <si>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</si>
  <si>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</si>
  <si>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</si>
  <si>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</si>
  <si>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</si>
  <si>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</si>
  <si>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</si>
  <si>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</si>
  <si>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</si>
  <si>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</si>
  <si>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</si>
  <si>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</si>
  <si>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</si>
  <si>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</si>
  <si>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</si>
  <si>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</si>
  <si>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</si>
  <si>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</si>
  <si>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</si>
  <si>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</si>
  <si>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</si>
  <si>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</si>
  <si>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</si>
  <si>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</si>
  <si>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</si>
  <si>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</si>
  <si>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</si>
  <si>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</si>
  <si>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</si>
  <si>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</si>
  <si>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</si>
  <si>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</si>
  <si>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</si>
  <si>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</si>
  <si>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</si>
  <si>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</si>
  <si>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</si>
  <si>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</si>
  <si>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</si>
  <si>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</si>
  <si>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</si>
  <si>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</si>
  <si>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</si>
  <si>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</si>
  <si>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</si>
  <si>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</si>
  <si>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</si>
  <si>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</si>
  <si>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</si>
  <si>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</si>
  <si>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</si>
  <si>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</si>
  <si>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</si>
  <si>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</si>
  <si>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</si>
  <si>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</si>
  <si>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</si>
  <si>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</si>
  <si>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</si>
  <si>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</si>
  <si>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</si>
  <si>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</si>
  <si>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</si>
  <si>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</si>
  <si>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</si>
  <si>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</si>
  <si>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</si>
  <si>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</si>
  <si>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</si>
  <si>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</si>
  <si>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</si>
  <si>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</si>
  <si>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</si>
  <si>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</si>
  <si>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</si>
  <si>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</si>
  <si>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</si>
  <si>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</si>
  <si>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</si>
  <si>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</si>
  <si>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</si>
  <si>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</si>
  <si>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</si>
  <si>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</si>
  <si>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</si>
  <si>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</si>
  <si>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</si>
  <si>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</si>
  <si>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</si>
  <si>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</si>
  <si>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</si>
  <si>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</si>
  <si>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</si>
  <si>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</si>
  <si>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</si>
  <si>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</si>
  <si>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</si>
  <si>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</si>
  <si>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</si>
  <si>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</si>
  <si>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</si>
  <si>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</si>
  <si>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</si>
  <si>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</si>
  <si>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</si>
  <si>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</si>
  <si>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</si>
  <si>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</si>
  <si>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</si>
  <si>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</si>
  <si>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</si>
  <si>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</si>
  <si>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</si>
  <si>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</si>
  <si>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</si>
  <si>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</si>
  <si>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</si>
  <si>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</si>
  <si>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</si>
  <si>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</si>
  <si>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</si>
  <si>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</si>
  <si>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</si>
  <si>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</si>
  <si>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</si>
  <si>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</si>
  <si>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</si>
  <si>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</si>
  <si>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</si>
  <si>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</si>
  <si>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</si>
  <si>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</si>
  <si>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</si>
  <si>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</si>
  <si>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</si>
  <si>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</si>
  <si>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</si>
  <si>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</si>
  <si>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</si>
  <si>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</si>
  <si>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</si>
  <si>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</si>
  <si>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</si>
  <si>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</si>
  <si>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</si>
  <si>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</si>
  <si>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</si>
  <si>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</si>
  <si>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</si>
  <si>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</si>
  <si>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</si>
  <si>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</si>
  <si>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</si>
  <si>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</si>
  <si>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</si>
  <si>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</si>
  <si>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</si>
  <si>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</si>
  <si>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</si>
  <si>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</si>
  <si>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</si>
  <si>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</si>
  <si>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</si>
  <si>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</si>
  <si>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</si>
  <si>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</si>
  <si>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</si>
  <si>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</si>
  <si>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</si>
  <si>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</si>
  <si>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</si>
  <si>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</si>
  <si>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</si>
  <si>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</si>
  <si>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</si>
  <si>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</si>
  <si>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</si>
  <si>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</si>
  <si>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</si>
  <si>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</si>
  <si>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</si>
  <si>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</si>
  <si>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</si>
  <si>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</si>
  <si>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</si>
  <si>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</si>
  <si>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</si>
  <si>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</si>
  <si>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</si>
  <si>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</si>
  <si>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</si>
  <si>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</si>
  <si>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</si>
  <si>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</si>
  <si>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</si>
  <si>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</si>
  <si>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</si>
  <si>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</si>
  <si>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</si>
  <si>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</si>
  <si>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</si>
  <si>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</si>
  <si>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</si>
  <si>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</si>
  <si>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</si>
  <si>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</si>
  <si>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</si>
  <si>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</si>
  <si>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</si>
  <si>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</si>
  <si>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</si>
  <si>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</si>
  <si>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</si>
  <si>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</si>
  <si>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</si>
  <si>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</si>
  <si>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</si>
  <si>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</si>
  <si>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</si>
  <si>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</si>
  <si>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</si>
  <si>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</si>
  <si>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</si>
  <si>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</si>
  <si>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</si>
  <si>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</si>
  <si>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</si>
  <si>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</si>
  <si>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</si>
  <si>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</si>
  <si>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</si>
  <si>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</si>
  <si>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</si>
  <si>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</si>
  <si>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</si>
  <si>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</si>
  <si>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</si>
  <si>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</si>
  <si>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</si>
  <si>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</si>
  <si>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</si>
  <si>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</si>
  <si>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</si>
  <si>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</si>
  <si>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</si>
  <si>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</si>
  <si>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</si>
  <si>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</si>
  <si>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</si>
  <si>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</si>
  <si>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</si>
  <si>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</si>
  <si>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</si>
  <si>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</si>
  <si>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</si>
  <si>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</si>
  <si>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</si>
  <si>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</si>
  <si>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</si>
  <si>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</si>
  <si>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</si>
  <si>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</si>
  <si>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</si>
  <si>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</si>
  <si>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</si>
  <si>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</si>
  <si>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</si>
  <si>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</si>
  <si>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</si>
  <si>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</si>
  <si>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</si>
  <si>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</si>
  <si>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</si>
  <si>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</si>
  <si>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</si>
  <si>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</si>
  <si>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</si>
  <si>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</si>
  <si>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</si>
  <si>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</si>
  <si>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</si>
  <si>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</si>
  <si>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</si>
  <si>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</si>
  <si>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</si>
  <si>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</si>
  <si>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</si>
  <si>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</si>
  <si>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</si>
  <si>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</si>
  <si>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</si>
  <si>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</si>
  <si>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</si>
  <si>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</si>
  <si>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</si>
  <si>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</si>
  <si>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</si>
  <si>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</si>
  <si>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</si>
  <si>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</si>
  <si>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</si>
  <si>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</si>
  <si>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</si>
  <si>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</si>
  <si>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</si>
  <si>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</si>
  <si>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</si>
  <si>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</si>
  <si>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</si>
  <si>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</si>
  <si>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</si>
  <si>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</si>
  <si>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</si>
  <si>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</si>
  <si>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</si>
  <si>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</si>
  <si>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</si>
  <si>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</si>
  <si>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</si>
  <si>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</si>
  <si>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</si>
  <si>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</si>
  <si>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</si>
  <si>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</si>
  <si>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</si>
  <si>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</si>
  <si>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</si>
  <si>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</si>
  <si>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</si>
  <si>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</si>
  <si>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</si>
  <si>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</si>
  <si>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</si>
  <si>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</si>
  <si>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</si>
  <si>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</si>
  <si>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</si>
  <si>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</si>
  <si>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</si>
  <si>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</si>
  <si>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</si>
  <si>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</si>
  <si>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</si>
  <si>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</si>
  <si>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</si>
  <si>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</si>
  <si>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</si>
  <si>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</si>
  <si>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</si>
  <si>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</si>
  <si>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</si>
  <si>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</si>
  <si>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</si>
  <si>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</si>
  <si>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</si>
  <si>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</si>
  <si>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</si>
  <si>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</si>
  <si>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</si>
  <si>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</si>
  <si>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</si>
  <si>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</si>
  <si>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</si>
  <si>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</si>
  <si>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</si>
  <si>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</si>
  <si>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</si>
  <si>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</si>
  <si>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</si>
  <si>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</si>
  <si>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</si>
  <si>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</si>
  <si>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</si>
  <si>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</si>
  <si>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</si>
  <si>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</si>
  <si>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</si>
  <si>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</si>
  <si>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</si>
  <si>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</si>
  <si>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</si>
  <si>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</si>
  <si>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</si>
  <si>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</si>
  <si>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</si>
  <si>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</si>
  <si>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</si>
  <si>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</si>
  <si>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</si>
  <si>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</si>
  <si>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</si>
  <si>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</si>
  <si>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</si>
  <si>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</si>
  <si>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</si>
  <si>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</si>
  <si>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</si>
  <si>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</si>
  <si>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</si>
  <si>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</si>
  <si>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</si>
  <si>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</si>
  <si>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</si>
  <si>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</si>
  <si>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</si>
  <si>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</si>
  <si>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</si>
  <si>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</si>
  <si>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</si>
  <si>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</si>
  <si>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</si>
  <si>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</si>
  <si>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</si>
  <si>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</si>
  <si>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</si>
  <si>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</si>
  <si>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</si>
  <si>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</si>
  <si>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</si>
  <si>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</si>
  <si>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</si>
  <si>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</si>
  <si>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</si>
  <si>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</si>
  <si>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</si>
  <si>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</si>
  <si>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</si>
  <si>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</si>
  <si>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</si>
  <si>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</si>
  <si>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</si>
  <si>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</si>
  <si>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</si>
  <si>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</si>
  <si>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</si>
  <si>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</si>
  <si>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</si>
  <si>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</si>
  <si>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</si>
  <si>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</si>
  <si>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</si>
  <si>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</si>
  <si>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</si>
  <si>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</si>
  <si>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</si>
  <si>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</si>
  <si>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</si>
  <si>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</si>
  <si>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</si>
  <si>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</si>
  <si>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</si>
  <si>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</si>
  <si>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</si>
  <si>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</si>
  <si>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</si>
  <si>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</si>
  <si>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</si>
  <si>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</si>
  <si>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</si>
  <si>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</si>
  <si>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</si>
  <si>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</si>
  <si>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</si>
  <si>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</si>
  <si>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</si>
  <si>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</si>
  <si>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</si>
  <si>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</si>
  <si>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</si>
  <si>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</si>
  <si>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</si>
  <si>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</si>
  <si>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</si>
  <si>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</si>
  <si>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</si>
  <si>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</si>
  <si>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</si>
  <si>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</si>
  <si>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</si>
  <si>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</si>
  <si>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</si>
  <si>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</si>
  <si>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</si>
  <si>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</si>
  <si>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</si>
  <si>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</si>
  <si>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</si>
  <si>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</si>
  <si>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</si>
  <si>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</si>
  <si>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</si>
  <si>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</si>
  <si>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</si>
  <si>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</si>
  <si>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</si>
  <si>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</si>
  <si>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</si>
  <si>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</si>
  <si>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</si>
  <si>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</si>
  <si>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</si>
  <si>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</si>
  <si>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</si>
  <si>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</si>
  <si>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</si>
  <si>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</si>
  <si>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</si>
  <si>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</si>
  <si>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</si>
  <si>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</si>
  <si>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</si>
  <si>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</si>
  <si>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</si>
  <si>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</si>
  <si>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</si>
  <si>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</si>
  <si>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</si>
  <si>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</si>
  <si>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</si>
  <si>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</si>
  <si>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</si>
  <si>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</si>
  <si>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</si>
  <si>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</si>
  <si>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</si>
  <si>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</si>
  <si>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</si>
  <si>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</si>
  <si>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</si>
  <si>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</si>
  <si>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</si>
  <si>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</si>
  <si>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</si>
  <si>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</si>
  <si>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</si>
  <si>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</si>
  <si>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</si>
  <si>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</si>
  <si>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</si>
  <si>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</si>
  <si>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</si>
  <si>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</si>
  <si>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</si>
  <si>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</si>
  <si>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</si>
  <si>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</si>
  <si>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</si>
  <si>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</si>
  <si>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</si>
  <si>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</si>
  <si>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</si>
  <si>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</si>
  <si>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</si>
  <si>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</si>
  <si>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</si>
  <si>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</si>
  <si>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</si>
  <si>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</si>
  <si>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</si>
  <si>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</si>
  <si>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</si>
  <si>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</si>
  <si>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</si>
  <si>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</si>
  <si>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</si>
  <si>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</si>
  <si>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</si>
  <si>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</si>
  <si>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</si>
  <si>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</si>
  <si>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</si>
  <si>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</si>
  <si>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</si>
  <si>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</si>
  <si>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</si>
  <si>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</si>
  <si>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</si>
  <si>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</si>
  <si>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</si>
  <si>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</si>
  <si>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</si>
  <si>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</si>
  <si>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</si>
  <si>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</si>
  <si>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</si>
  <si>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</si>
  <si>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</si>
  <si>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</si>
  <si>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</si>
  <si>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</si>
  <si>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</si>
  <si>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</si>
  <si>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</si>
  <si>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</si>
  <si>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</si>
  <si>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</si>
  <si>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</si>
  <si>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</si>
  <si>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</si>
  <si>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</si>
  <si>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</si>
  <si>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</si>
  <si>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</si>
  <si>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</si>
  <si>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</si>
  <si>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</si>
  <si>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</si>
  <si>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</si>
  <si>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</si>
  <si>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</si>
  <si>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</si>
  <si>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</si>
  <si>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</si>
  <si>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</si>
  <si>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</si>
  <si>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</si>
  <si>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</si>
  <si>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</si>
  <si>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</si>
  <si>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</si>
  <si>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</si>
  <si>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</si>
  <si>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</si>
  <si>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</si>
  <si>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</si>
  <si>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</si>
  <si>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</si>
  <si>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</si>
  <si>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</si>
  <si>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</si>
  <si>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</si>
  <si>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</si>
  <si>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</si>
  <si>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</si>
  <si>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</si>
  <si>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</si>
  <si>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</si>
  <si>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</si>
  <si>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</si>
  <si>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</si>
  <si>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</si>
  <si>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</si>
  <si>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</si>
  <si>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</si>
  <si>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</si>
  <si>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</si>
  <si>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</si>
  <si>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</si>
  <si>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</si>
  <si>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</si>
  <si>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</si>
  <si>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</si>
  <si>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</si>
  <si>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</si>
  <si>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</si>
  <si>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</si>
  <si>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</si>
  <si>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</si>
  <si>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</si>
  <si>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</si>
  <si>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</si>
  <si>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</si>
  <si>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</si>
  <si>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</si>
  <si>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</si>
  <si>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</si>
  <si>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</si>
  <si>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</si>
  <si>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</si>
  <si>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</si>
  <si>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</si>
  <si>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</si>
  <si>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</si>
  <si>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</si>
  <si>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</si>
  <si>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</si>
  <si>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</si>
  <si>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</si>
  <si>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</si>
  <si>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</si>
  <si>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</si>
  <si>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</si>
  <si>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</si>
  <si>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</si>
  <si>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</si>
  <si>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</si>
  <si>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</si>
  <si>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</si>
  <si>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</si>
  <si>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</si>
  <si>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</si>
  <si>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</si>
  <si>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</si>
  <si>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</si>
  <si>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</si>
  <si>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</si>
  <si>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</si>
  <si>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</si>
  <si>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</si>
  <si>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</si>
  <si>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</si>
  <si>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</si>
  <si>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</si>
  <si>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</si>
  <si>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</si>
  <si>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</si>
  <si>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</si>
  <si>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</si>
  <si>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</si>
  <si>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</si>
  <si>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</si>
  <si>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</si>
  <si>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</si>
  <si>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</si>
  <si>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</si>
  <si>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</si>
  <si>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</si>
  <si>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</si>
  <si>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</si>
  <si>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</si>
  <si>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</si>
  <si>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</si>
  <si>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</si>
  <si>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</si>
  <si>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</si>
  <si>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</si>
  <si>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</si>
  <si>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</si>
  <si>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</si>
  <si>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</si>
  <si>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</si>
  <si>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</si>
  <si>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</si>
  <si>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</si>
  <si>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</si>
  <si>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</si>
  <si>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</si>
  <si>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</si>
  <si>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</si>
  <si>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</si>
  <si>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</si>
  <si>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</si>
  <si>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</si>
  <si>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</si>
  <si>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</si>
  <si>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</si>
  <si>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</si>
  <si>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</si>
  <si>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</si>
  <si>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</si>
  <si>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</si>
  <si>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</si>
  <si>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</si>
  <si>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</si>
  <si>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</si>
  <si>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</si>
  <si>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</si>
  <si>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</si>
  <si>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</si>
  <si>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</si>
  <si>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</si>
  <si>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</si>
  <si>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</si>
  <si>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</si>
  <si>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</si>
  <si>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</si>
  <si>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</si>
  <si>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</si>
  <si>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</si>
  <si>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</si>
  <si>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</si>
  <si>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</si>
  <si>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</si>
  <si>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</si>
  <si>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</si>
  <si>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</si>
  <si>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</si>
  <si>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</si>
  <si>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</si>
  <si>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</si>
  <si>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</si>
  <si>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</si>
  <si>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</si>
  <si>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</si>
  <si>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</si>
  <si>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</si>
  <si>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</si>
  <si>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</si>
  <si>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</si>
  <si>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</si>
  <si>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</si>
  <si>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</si>
  <si>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</si>
  <si>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</si>
  <si>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</si>
  <si>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</si>
  <si>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</si>
  <si>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</si>
  <si>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</si>
  <si>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</si>
  <si>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</si>
  <si>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</si>
  <si>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</si>
  <si>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</si>
  <si>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</si>
  <si>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</si>
  <si>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</si>
  <si>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</si>
  <si>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</si>
  <si>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</si>
  <si>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</si>
  <si>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</si>
  <si>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</si>
  <si>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</si>
  <si>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</si>
  <si>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</si>
  <si>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</si>
  <si>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</si>
  <si>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</si>
  <si>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</si>
  <si>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</si>
  <si>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</si>
  <si>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</si>
  <si>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</si>
  <si>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</si>
  <si>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</si>
  <si>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</si>
  <si>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</si>
  <si>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</si>
  <si>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</si>
  <si>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</si>
  <si>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</si>
  <si>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</si>
  <si>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</si>
  <si>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</si>
  <si>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</si>
  <si>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</si>
  <si>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</si>
  <si>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</si>
  <si>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</si>
  <si>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</si>
  <si>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</si>
  <si>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</si>
  <si>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</si>
  <si>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</si>
  <si>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</si>
  <si>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</si>
  <si>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</si>
  <si>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</si>
  <si>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</si>
  <si>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</si>
  <si>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</si>
  <si>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</si>
  <si>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</si>
  <si>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</si>
  <si>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</si>
  <si>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</si>
  <si>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</si>
  <si>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</si>
  <si>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</si>
  <si>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</si>
  <si>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</si>
  <si>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</si>
  <si>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</si>
  <si>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</si>
  <si>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</si>
  <si>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</si>
  <si>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</si>
  <si>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</si>
  <si>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</si>
  <si>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</si>
  <si>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</si>
  <si>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</si>
  <si>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</si>
  <si>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</si>
  <si>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</si>
  <si>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</si>
  <si>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</si>
  <si>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</si>
  <si>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</si>
  <si>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</si>
  <si>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</si>
  <si>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</si>
  <si>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</si>
  <si>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</si>
  <si>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</si>
  <si>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</si>
  <si>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</si>
  <si>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</si>
  <si>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</si>
  <si>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</si>
  <si>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</si>
  <si>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</si>
  <si>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</si>
  <si>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</si>
  <si>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</si>
  <si>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</si>
  <si>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</si>
  <si>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</si>
  <si>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</si>
  <si>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</si>
  <si>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</si>
  <si>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</si>
  <si>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</si>
  <si>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</si>
  <si>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</si>
  <si>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</si>
  <si>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</si>
  <si>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</si>
  <si>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</si>
  <si>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</si>
  <si>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</si>
  <si>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</si>
  <si>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</si>
  <si>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</si>
  <si>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</si>
  <si>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</si>
  <si>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</si>
  <si>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</si>
  <si>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</si>
  <si>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</si>
  <si>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</si>
  <si>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</si>
  <si>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</si>
  <si>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</si>
  <si>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</si>
  <si>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</si>
  <si>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</si>
  <si>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</si>
  <si>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</si>
  <si>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</si>
  <si>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</si>
  <si>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</si>
  <si>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</si>
  <si>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</si>
  <si>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</si>
  <si>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</si>
  <si>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</si>
  <si>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</si>
  <si>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</si>
  <si>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</si>
  <si>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</si>
  <si>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</si>
  <si>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</si>
  <si>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</si>
  <si>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</si>
  <si>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</si>
  <si>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</si>
  <si>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</si>
  <si>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</si>
  <si>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</si>
  <si>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</si>
  <si>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</si>
  <si>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</si>
  <si>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</si>
  <si>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</si>
  <si>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</si>
  <si>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</si>
  <si>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</si>
  <si>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</si>
  <si>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</si>
  <si>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</si>
  <si>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</si>
  <si>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</si>
  <si>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</si>
  <si>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</si>
  <si>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</si>
  <si>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</si>
  <si>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</si>
  <si>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</si>
  <si>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</si>
  <si>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</si>
  <si>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</si>
  <si>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</si>
  <si>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</si>
  <si>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</si>
  <si>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</si>
  <si>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</si>
  <si>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</si>
  <si>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</si>
  <si>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</si>
  <si>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</si>
  <si>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</si>
  <si>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</si>
  <si>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</si>
  <si>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</si>
  <si>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</si>
  <si>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</si>
  <si>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</si>
  <si>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</si>
  <si>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</si>
  <si>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</si>
  <si>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</si>
  <si>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</si>
  <si>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</si>
  <si>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</si>
  <si>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</si>
  <si>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</si>
  <si>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</si>
  <si>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</si>
  <si>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</si>
  <si>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</si>
  <si>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</si>
  <si>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</si>
  <si>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</si>
  <si>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</si>
  <si>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</si>
  <si>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</si>
  <si>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</si>
  <si>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</si>
  <si>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</si>
  <si>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</si>
  <si>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</si>
  <si>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</si>
  <si>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</si>
  <si>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</si>
  <si>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</si>
  <si>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</si>
  <si>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</si>
  <si>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</si>
  <si>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</si>
  <si>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</si>
  <si>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</si>
  <si>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</si>
  <si>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</si>
  <si>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</si>
  <si>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</si>
  <si>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</si>
  <si>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</si>
  <si>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</si>
  <si>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</si>
  <si>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</si>
  <si>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</si>
  <si>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</si>
  <si>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</si>
  <si>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</si>
  <si>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</si>
  <si>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</si>
  <si>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</si>
  <si>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</si>
  <si>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</si>
  <si>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</si>
  <si>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</si>
  <si>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</si>
  <si>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</si>
  <si>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</si>
  <si>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</si>
  <si>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</si>
  <si>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</si>
  <si>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</si>
  <si>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</si>
  <si>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</si>
  <si>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</si>
  <si>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</si>
  <si>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</si>
  <si>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</si>
  <si>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</si>
  <si>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</si>
  <si>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</si>
  <si>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</si>
  <si>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</si>
  <si>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</si>
  <si>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</si>
  <si>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</si>
  <si>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</si>
  <si>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</si>
  <si>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</si>
  <si>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</si>
  <si>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</si>
  <si>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</si>
  <si>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</si>
  <si>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</si>
  <si>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</si>
  <si>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</si>
  <si>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</si>
  <si>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</si>
  <si>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</si>
  <si>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</si>
  <si>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</si>
  <si>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</si>
  <si>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</si>
  <si>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</si>
  <si>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</si>
  <si>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</si>
  <si>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</si>
  <si>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</si>
  <si>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</si>
  <si>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</si>
  <si>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</si>
  <si>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</si>
  <si>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</si>
  <si>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</si>
  <si>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</si>
  <si>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</si>
  <si>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</si>
  <si>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</si>
  <si>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</si>
  <si>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</si>
  <si>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</si>
  <si>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</si>
  <si>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</si>
  <si>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</si>
  <si>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</si>
  <si>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</si>
  <si>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</si>
  <si>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</si>
  <si>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</si>
  <si>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</si>
  <si>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</si>
  <si>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</si>
  <si>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</si>
  <si>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</si>
  <si>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</si>
  <si>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</si>
  <si>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</si>
  <si>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</si>
  <si>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</si>
  <si>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</si>
  <si>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</si>
  <si>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</si>
  <si>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</si>
  <si>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</si>
  <si>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</si>
  <si>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</si>
  <si>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</si>
  <si>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</si>
  <si>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</si>
  <si>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</si>
  <si>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</si>
  <si>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</si>
  <si>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</si>
  <si>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</si>
  <si>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</si>
  <si>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</si>
  <si>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</si>
  <si>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</si>
  <si>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</si>
  <si>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</si>
  <si>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</si>
  <si>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</si>
  <si>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</si>
  <si>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</si>
  <si>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</si>
  <si>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</si>
  <si>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</si>
  <si>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</si>
  <si>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</si>
  <si>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</si>
  <si>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</si>
  <si>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</si>
  <si>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</si>
  <si>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</si>
  <si>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</si>
  <si>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</si>
  <si>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</si>
  <si>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</si>
  <si>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</si>
  <si>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</si>
  <si>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</si>
  <si>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</si>
  <si>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</si>
  <si>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</si>
  <si>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</si>
  <si>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</si>
  <si>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</si>
  <si>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</si>
  <si>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</si>
  <si>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</si>
  <si>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</si>
  <si>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</si>
  <si>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</si>
  <si>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</si>
  <si>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</si>
  <si>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</si>
  <si>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</si>
  <si>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</si>
  <si>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</si>
  <si>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</si>
  <si>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</si>
  <si>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</si>
  <si>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</si>
  <si>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</si>
  <si>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</si>
  <si>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</si>
  <si>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</si>
  <si>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</si>
  <si>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</si>
  <si>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</si>
  <si>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</si>
  <si>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</si>
  <si>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</si>
  <si>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</si>
  <si>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</si>
  <si>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</si>
  <si>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</si>
  <si>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</si>
  <si>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</si>
  <si>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</si>
  <si>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</si>
  <si>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</si>
  <si>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</si>
  <si>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</si>
  <si>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</si>
  <si>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</si>
  <si>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</si>
  <si>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</si>
  <si>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</si>
  <si>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</si>
  <si>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</si>
  <si>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</si>
  <si>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</si>
  <si>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</si>
  <si>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</si>
  <si>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</si>
  <si>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</si>
  <si>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</si>
  <si>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</si>
  <si>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</si>
  <si>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</si>
  <si>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</si>
  <si>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</si>
  <si>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</si>
  <si>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</si>
  <si>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</si>
  <si>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</si>
  <si>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</si>
  <si>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</si>
  <si>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</si>
  <si>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</si>
  <si>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</si>
  <si>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</si>
  <si>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</si>
  <si>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</si>
  <si>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</si>
  <si>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</si>
  <si>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</si>
  <si>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</si>
  <si>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</si>
  <si>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</si>
  <si>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</si>
  <si>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</si>
  <si>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</si>
  <si>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</si>
  <si>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</si>
  <si>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</si>
  <si>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</si>
  <si>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</si>
  <si>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</si>
  <si>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</si>
  <si>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</si>
  <si>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</si>
  <si>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</si>
  <si>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</si>
  <si>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</si>
  <si>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</si>
  <si>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</si>
  <si>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</si>
  <si>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</si>
  <si>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</si>
  <si>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</si>
  <si>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</si>
  <si>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</si>
  <si>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</si>
  <si>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</si>
  <si>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</si>
  <si>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</si>
  <si>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</si>
  <si>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</si>
  <si>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</si>
  <si>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</si>
  <si>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</si>
  <si>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</si>
  <si>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</si>
  <si>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</si>
  <si>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</si>
  <si>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</si>
  <si>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</si>
  <si>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</si>
  <si>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</si>
  <si>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</si>
  <si>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</si>
  <si>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</si>
  <si>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</si>
  <si>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</si>
  <si>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</si>
  <si>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</si>
  <si>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</si>
  <si>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</si>
  <si>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</si>
  <si>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</si>
  <si>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</si>
  <si>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</si>
  <si>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</si>
  <si>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</si>
  <si>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</si>
  <si>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</si>
  <si>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</si>
  <si>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</si>
  <si>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</si>
  <si>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</si>
  <si>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</si>
  <si>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</si>
  <si>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</si>
  <si>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</si>
  <si>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</si>
  <si>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</si>
  <si>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</si>
  <si>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</si>
  <si>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</si>
  <si>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</si>
  <si>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</si>
  <si>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</si>
  <si>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</si>
  <si>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</si>
  <si>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</si>
  <si>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</si>
  <si>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</si>
  <si>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</si>
  <si>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</si>
  <si>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</si>
  <si>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</si>
  <si>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</si>
  <si>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</si>
  <si>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</si>
  <si>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</si>
  <si>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</si>
  <si>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</si>
  <si>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</si>
  <si>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</si>
  <si>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</si>
  <si>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</si>
  <si>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</si>
  <si>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</si>
  <si>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</si>
  <si>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</si>
  <si>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</si>
  <si>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</si>
  <si>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</si>
  <si>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</si>
  <si>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</si>
  <si>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</si>
  <si>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</si>
  <si>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</si>
  <si>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</si>
  <si>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</si>
  <si>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</si>
  <si>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</si>
  <si>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</si>
  <si>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</si>
  <si>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</si>
  <si>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</si>
  <si>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</si>
  <si>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</si>
  <si>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</si>
  <si>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</si>
  <si>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</si>
  <si>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</si>
  <si>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</si>
  <si>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</si>
  <si>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</si>
  <si>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</si>
  <si>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</si>
  <si>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</si>
  <si>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</si>
  <si>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</si>
  <si>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</si>
  <si>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</si>
  <si>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</si>
  <si>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</si>
  <si>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</si>
  <si>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</si>
  <si>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</si>
  <si>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</si>
  <si>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</si>
  <si>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</si>
  <si>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</si>
  <si>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</si>
  <si>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</si>
  <si>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</si>
  <si>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</si>
  <si>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</si>
  <si>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</si>
  <si>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</si>
  <si>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</si>
  <si>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</si>
  <si>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</si>
  <si>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</si>
  <si>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</si>
  <si>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</si>
  <si>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</si>
  <si>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</si>
  <si>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</si>
  <si>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</si>
  <si>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</si>
  <si>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</si>
  <si>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</si>
  <si>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</si>
  <si>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</si>
  <si>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</si>
  <si>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</si>
  <si>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</si>
  <si>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</si>
  <si>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</si>
  <si>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</si>
  <si>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</si>
  <si>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</si>
  <si>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</si>
  <si>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</si>
  <si>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</si>
  <si>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</si>
  <si>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</si>
  <si>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</si>
  <si>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</si>
  <si>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</si>
  <si>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</si>
  <si>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</si>
  <si>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</si>
  <si>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</si>
  <si>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</si>
  <si>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</si>
  <si>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</si>
  <si>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</si>
  <si>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</si>
  <si>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</si>
  <si>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</si>
  <si>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</si>
  <si>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</si>
  <si>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</si>
  <si>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</si>
  <si>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</si>
  <si>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</si>
  <si>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</si>
  <si>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</si>
  <si>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</si>
  <si>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</si>
  <si>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</si>
  <si>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</si>
  <si>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</si>
  <si>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</si>
  <si>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</si>
  <si>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</si>
  <si>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</si>
  <si>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</si>
  <si>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</si>
  <si>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</si>
  <si>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</si>
  <si>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</si>
  <si>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</si>
  <si>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</si>
  <si>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</si>
  <si>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</si>
  <si>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</si>
  <si>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</si>
  <si>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</si>
  <si>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</si>
  <si>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</si>
  <si>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</si>
  <si>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</si>
  <si>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</si>
  <si>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</si>
  <si>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</si>
  <si>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</si>
  <si>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</si>
  <si>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</si>
  <si>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</si>
  <si>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</si>
  <si>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</si>
  <si>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</si>
  <si>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</si>
  <si>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</si>
  <si>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</si>
  <si>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</si>
  <si>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</si>
  <si>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</si>
  <si>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</si>
  <si>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</si>
  <si>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</si>
  <si>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</si>
  <si>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</si>
  <si>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</si>
  <si>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</si>
  <si>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</si>
  <si>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</si>
  <si>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</si>
  <si>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</si>
  <si>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</si>
  <si>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</si>
  <si>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</si>
  <si>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</si>
  <si>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</si>
  <si>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</si>
  <si>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</si>
  <si>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</si>
  <si>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</si>
  <si>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</si>
  <si>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</si>
  <si>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</si>
  <si>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</si>
  <si>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</si>
  <si>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</si>
  <si>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</si>
  <si>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</si>
  <si>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</si>
  <si>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</si>
  <si>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</si>
  <si>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</si>
  <si>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</si>
  <si>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</si>
  <si>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</si>
  <si>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</si>
  <si>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</si>
  <si>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</si>
  <si>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</si>
  <si>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</si>
  <si>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</si>
  <si>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</si>
  <si>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</si>
  <si>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</si>
  <si>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</si>
  <si>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</si>
  <si>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</si>
  <si>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</si>
  <si>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</si>
  <si>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</si>
  <si>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</si>
  <si>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</si>
  <si>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</si>
  <si>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</si>
  <si>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</si>
  <si>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</si>
  <si>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</si>
  <si>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</si>
  <si>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</si>
  <si>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</si>
  <si>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</si>
  <si>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</si>
  <si>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</si>
  <si>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</si>
  <si>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</si>
  <si>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</si>
  <si>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</si>
  <si>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</si>
  <si>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</si>
  <si>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</si>
  <si>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</si>
  <si>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</si>
  <si>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</si>
  <si>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</si>
  <si>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</si>
  <si>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</si>
  <si>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</si>
  <si>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</si>
  <si>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</si>
  <si>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</si>
  <si>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</si>
  <si>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</si>
  <si>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</si>
  <si>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</si>
  <si>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</si>
  <si>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</si>
  <si>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</si>
  <si>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</si>
  <si>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</si>
  <si>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</si>
  <si>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</si>
  <si>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</si>
  <si>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</si>
  <si>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</si>
  <si>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</si>
  <si>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</si>
  <si>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</si>
  <si>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</si>
  <si>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</si>
  <si>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</si>
  <si>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</si>
  <si>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</si>
  <si>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</si>
  <si>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</si>
  <si>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</si>
  <si>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</si>
  <si>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</si>
  <si>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</si>
  <si>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</si>
  <si>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</si>
  <si>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</si>
  <si>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</si>
  <si>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</si>
  <si>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</si>
  <si>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</si>
  <si>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</si>
  <si>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</si>
  <si>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</si>
  <si>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</si>
  <si>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</si>
  <si>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</si>
  <si>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</si>
  <si>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</si>
  <si>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</si>
  <si>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</si>
  <si>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</si>
  <si>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</si>
  <si>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</si>
  <si>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</si>
  <si>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</si>
  <si>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</si>
  <si>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</si>
  <si>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</si>
  <si>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</si>
  <si>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</si>
  <si>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</si>
  <si>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</si>
  <si>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</si>
  <si>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</si>
  <si>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</si>
  <si>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</si>
  <si>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</si>
  <si>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</si>
  <si>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</si>
  <si>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</si>
  <si>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</si>
  <si>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</si>
  <si>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</si>
  <si>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</si>
  <si>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</si>
  <si>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</si>
  <si>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</si>
  <si>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</si>
  <si>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</si>
  <si>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</si>
  <si>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</si>
  <si>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</si>
  <si>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</si>
  <si>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</si>
  <si>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</si>
  <si>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</si>
  <si>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</si>
  <si>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</si>
  <si>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</si>
  <si>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</si>
  <si>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</si>
  <si>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</si>
  <si>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</si>
  <si>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</si>
  <si>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</si>
  <si>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</si>
  <si>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</si>
  <si>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</si>
  <si>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</si>
  <si>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</si>
  <si>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</si>
  <si>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</si>
  <si>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</si>
  <si>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</si>
  <si>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</si>
  <si>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</si>
  <si>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</si>
  <si>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</si>
  <si>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</si>
  <si>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</si>
  <si>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</si>
  <si>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</si>
  <si>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</si>
  <si>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</si>
  <si>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</si>
  <si>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</si>
  <si>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</si>
  <si>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</si>
  <si>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</si>
  <si>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</si>
  <si>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</si>
  <si>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</si>
  <si>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</si>
  <si>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</si>
  <si>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</si>
  <si>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</si>
  <si>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</si>
  <si>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</si>
  <si>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</si>
  <si>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</si>
  <si>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</si>
  <si>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</si>
  <si>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</si>
  <si>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</si>
  <si>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</si>
  <si>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</si>
  <si>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</si>
  <si>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</si>
  <si>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</si>
  <si>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</si>
  <si>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</si>
  <si>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</si>
  <si>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</si>
  <si>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</si>
  <si>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</si>
  <si>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</si>
  <si>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</si>
  <si>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</si>
  <si>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</si>
  <si>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</si>
  <si>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</si>
  <si>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</si>
  <si>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</si>
  <si>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</si>
  <si>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</si>
  <si>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</si>
  <si>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</si>
  <si>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</si>
  <si>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</si>
  <si>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</si>
  <si>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</si>
  <si>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</si>
  <si>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</si>
  <si>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</si>
  <si>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</si>
  <si>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</si>
  <si>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</si>
  <si>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</si>
  <si>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</si>
  <si>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</si>
  <si>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</si>
  <si>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</si>
  <si>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</si>
  <si>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</si>
  <si>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</si>
  <si>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</si>
  <si>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</si>
  <si>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</si>
  <si>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</si>
  <si>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</si>
  <si>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</si>
  <si>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</si>
  <si>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</si>
  <si>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</si>
  <si>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</si>
  <si>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</si>
  <si>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</si>
  <si>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</si>
  <si>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</si>
  <si>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</si>
  <si>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</si>
  <si>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</si>
  <si>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</si>
  <si>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</si>
  <si>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</si>
  <si>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</si>
  <si>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</si>
  <si>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</si>
  <si>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</si>
  <si>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</si>
  <si>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</si>
  <si>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</si>
  <si>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</si>
  <si>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</si>
  <si>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</si>
  <si>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</si>
  <si>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</si>
  <si>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</si>
  <si>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</si>
  <si>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</si>
  <si>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</si>
  <si>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</si>
  <si>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</si>
  <si>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</si>
  <si>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</si>
  <si>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</si>
  <si>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</si>
  <si>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</si>
  <si>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</si>
  <si>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</si>
  <si>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</si>
  <si>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</si>
  <si>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</si>
  <si>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</si>
  <si>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</si>
  <si>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</si>
  <si>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</si>
  <si>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</si>
  <si>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</si>
  <si>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</si>
  <si>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</si>
  <si>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</si>
  <si>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</si>
  <si>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</si>
  <si>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</si>
  <si>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</si>
  <si>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</si>
  <si>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</si>
  <si>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</si>
  <si>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</si>
  <si>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</si>
  <si>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</si>
  <si>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</si>
  <si>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</si>
  <si>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</si>
  <si>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</si>
  <si>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</si>
  <si>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</si>
  <si>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</si>
  <si>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</si>
  <si>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</si>
  <si>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</si>
  <si>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</si>
  <si>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</si>
  <si>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</si>
  <si>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</si>
  <si>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</si>
  <si>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</si>
  <si>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</si>
  <si>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</si>
  <si>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</si>
  <si>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</si>
  <si>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</si>
  <si>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</si>
  <si>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</si>
  <si>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</si>
  <si>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</si>
  <si>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</si>
  <si>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</si>
  <si>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</si>
  <si>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</si>
  <si>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</si>
  <si>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</si>
  <si>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</si>
  <si>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</si>
  <si>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</si>
  <si>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</si>
  <si>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</si>
  <si>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</si>
  <si>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</si>
  <si>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</si>
  <si>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</si>
  <si>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</si>
  <si>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</si>
  <si>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</si>
  <si>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</si>
  <si>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</si>
  <si>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</si>
  <si>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</si>
  <si>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</si>
  <si>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</si>
  <si>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</si>
  <si>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</si>
  <si>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</si>
  <si>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</si>
  <si>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</si>
  <si>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</si>
  <si>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</si>
  <si>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</si>
  <si>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</si>
  <si>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</si>
  <si>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</si>
  <si>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</si>
  <si>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</si>
  <si>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</si>
  <si>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</si>
  <si>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</si>
  <si>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</si>
  <si>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</si>
  <si>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</si>
  <si>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</si>
  <si>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</si>
  <si>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</si>
  <si>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</si>
  <si>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</si>
  <si>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</si>
  <si>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</si>
  <si>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</si>
  <si>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</si>
  <si>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</si>
  <si>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</si>
  <si>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</si>
  <si>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</si>
  <si>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</si>
  <si>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</si>
  <si>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</si>
  <si>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</si>
  <si>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</si>
  <si>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</si>
  <si>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</si>
  <si>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</si>
  <si>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</si>
  <si>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</si>
  <si>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</si>
  <si>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</si>
  <si>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</si>
  <si>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</si>
  <si>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</si>
  <si>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</si>
  <si>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</si>
  <si>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</si>
  <si>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</si>
  <si>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</si>
  <si>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</si>
  <si>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</si>
  <si>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</si>
  <si>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</si>
  <si>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</si>
  <si>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</si>
  <si>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</si>
  <si>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</si>
  <si>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</si>
  <si>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</si>
  <si>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</si>
  <si>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</si>
  <si>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</si>
  <si>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</si>
  <si>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</si>
  <si>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</si>
  <si>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</si>
  <si>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</si>
  <si>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</si>
  <si>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</si>
  <si>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</si>
  <si>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</si>
  <si>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</si>
  <si>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</si>
  <si>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</si>
  <si>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</si>
  <si>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</si>
  <si>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</si>
  <si>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</si>
  <si>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</si>
  <si>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</si>
  <si>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</si>
  <si>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</si>
  <si>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</si>
  <si>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</si>
  <si>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</si>
  <si>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</si>
  <si>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</si>
  <si>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</si>
  <si>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</si>
  <si>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</si>
  <si>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</si>
  <si>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</si>
  <si>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</si>
  <si>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</si>
  <si>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</si>
  <si>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</si>
  <si>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</si>
  <si>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</si>
  <si>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</si>
  <si>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</si>
  <si>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</si>
  <si>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</si>
  <si>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</si>
  <si>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</si>
  <si>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</si>
  <si>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</si>
  <si>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</si>
  <si>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</si>
  <si>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</si>
  <si>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</si>
  <si>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</si>
  <si>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</si>
  <si>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</si>
  <si>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</si>
  <si>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</si>
  <si>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</si>
  <si>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</si>
  <si>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</si>
  <si>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</si>
  <si>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</si>
  <si>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</si>
  <si>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</si>
  <si>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</si>
  <si>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</si>
  <si>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</si>
  <si>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</si>
  <si>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</si>
  <si>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</si>
  <si>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</si>
  <si>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</si>
  <si>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</si>
  <si>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</si>
  <si>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</si>
  <si>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</si>
  <si>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</si>
  <si>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</si>
  <si>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</si>
  <si>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</si>
  <si>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</si>
  <si>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</si>
  <si>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</si>
  <si>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</si>
  <si>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</si>
  <si>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</si>
  <si>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</si>
  <si>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</si>
  <si>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</si>
  <si>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</si>
  <si>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</si>
  <si>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</si>
  <si>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</si>
  <si>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</si>
  <si>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</si>
  <si>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</si>
  <si>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</si>
  <si>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</si>
  <si>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</si>
  <si>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</si>
  <si>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</si>
  <si>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</si>
  <si>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</si>
  <si>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</si>
  <si>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</si>
  <si>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</si>
  <si>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</si>
  <si>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</si>
  <si>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</si>
  <si>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</si>
  <si>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</si>
  <si>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</si>
  <si>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</si>
  <si>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</si>
  <si>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</si>
  <si>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</si>
  <si>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</si>
  <si>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</si>
  <si>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</si>
  <si>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</si>
  <si>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</si>
  <si>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</si>
  <si>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</si>
  <si>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</si>
  <si>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</si>
  <si>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</si>
  <si>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</si>
  <si>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</si>
  <si>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</si>
  <si>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</si>
  <si>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</si>
  <si>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</si>
  <si>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</si>
  <si>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</si>
  <si>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</si>
  <si>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</si>
  <si>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</si>
  <si>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</si>
  <si>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</si>
  <si>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</si>
  <si>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</si>
  <si>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</si>
  <si>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</si>
  <si>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</si>
  <si>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</si>
  <si>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</si>
  <si>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</si>
  <si>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</si>
  <si>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</si>
  <si>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</si>
  <si>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</si>
  <si>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</si>
  <si>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</si>
  <si>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</si>
  <si>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</si>
  <si>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</si>
  <si>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</si>
  <si>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</si>
  <si>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</si>
  <si>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</si>
  <si>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</si>
  <si>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</si>
  <si>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</si>
  <si>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</si>
  <si>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</si>
  <si>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</si>
  <si>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</si>
  <si>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</si>
  <si>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</si>
  <si>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</si>
  <si>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</si>
  <si>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</si>
  <si>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</si>
  <si>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</si>
  <si>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</si>
  <si>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</si>
  <si>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</si>
  <si>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</si>
  <si>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</si>
  <si>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</si>
  <si>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</si>
  <si>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</si>
  <si>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</si>
  <si>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</si>
  <si>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</si>
  <si>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</si>
  <si>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</si>
  <si>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</si>
  <si>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</si>
  <si>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 xml:space="preserve">Redwood Capital Group Holdings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</si>
</sst>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186858244.86484647</v>
      </c>
      <c r="M25" s="309"/>
    </row>
    <row r="26" spans="1:18" s="295" customFormat="1" ht="15" customHeight="1" x14ac:dyDescent="0.45">
      <c r="C26" s="295" t="s">
        <v>21</v>
      </c>
      <c r="L26" s="312">
        <f>MIN(L22,L23,L25)</f>
        <v>147088763.19611225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0.4454114789966917</v>
      </c>
      <c r="N28" s="302"/>
      <c r="P28" s="302"/>
      <c r="Q28" s="314"/>
    </row>
    <row r="29" spans="1:18" s="295" customFormat="1" ht="12.75" x14ac:dyDescent="0.35">
      <c r="K29" s="315" t="s">
        <v>23</v>
      </c>
      <c r="L29" s="317">
        <f>L28/(1-L28)</f>
        <v>0.80313865528788075</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330231191.00440776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232996703.6486333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ht="12.75" x14ac:dyDescent="0.35">
      <c r="B35" s="295" t="s">
        <v>34</v>
      </c>
      <c r="L35" s="296">
        <f>L33-L34</f>
        <v>230701010.61362389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0.83147072109742615</v>
      </c>
    </row>
    <row r="59" spans="2:17" s="295" customFormat="1" ht="12.75" x14ac:dyDescent="0.35">
      <c r="B59" s="295" t="s">
        <v>52</v>
      </c>
      <c r="L59" s="335">
        <f>L54/L16</f>
        <v>0.61150000000000004</v>
      </c>
    </row>
    <row r="60" spans="2:17" s="295" customFormat="1" ht="12.75" x14ac:dyDescent="0.35">
      <c r="B60" s="295" t="s">
        <v>53</v>
      </c>
      <c r="L60" s="335">
        <f>L54/L31</f>
        <v>0.37034660362645028</v>
      </c>
    </row>
    <row r="61" spans="2:17" s="295" customFormat="1" ht="15" customHeight="1" x14ac:dyDescent="0.45">
      <c r="L61" s="296"/>
      <c r="M61" s="707"/>
    </row>
    <row r="62" spans="2:17" s="295" customFormat="1" ht="12.75" x14ac:dyDescent="0.35">
      <c r="L62" s="436">
        <f>L26-L51</f>
        <v>24788763.196112245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49" si="40">SUMIF($B:$B,$B9,$FD:$FD)</f>
        <v>0</v>
      </c>
      <c r="FJ9" s="431">
        <f t="shared" ref="FJ9:FJ49"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49"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291"/>
      <c r="B50" s="404"/>
      <c r="C50" s="404"/>
      <c r="D50" s="405"/>
      <c r="E50" s="406"/>
      <c r="F50" s="406"/>
      <c r="G50" s="406"/>
      <c r="H50" s="406"/>
      <c r="I50" s="406"/>
      <c r="J50" s="406"/>
      <c r="K50" s="406"/>
      <c r="L50" s="406"/>
      <c r="M50" s="406"/>
      <c r="N50" s="406"/>
      <c r="O50" s="453"/>
      <c r="P50" s="709"/>
      <c r="Q50" s="680"/>
      <c r="R50" s="407"/>
      <c r="S50" s="407"/>
      <c r="T50" s="408"/>
      <c r="U50" s="409"/>
      <c r="V50" s="410"/>
      <c r="W50" s="448"/>
      <c r="X50" s="449"/>
      <c r="Y50" s="411"/>
      <c r="Z50" s="449"/>
      <c r="AA50" s="411"/>
      <c r="AB50" s="411"/>
      <c r="AC50" s="450"/>
      <c r="AD50" s="412"/>
      <c r="AE50" s="413"/>
      <c r="AF50" s="413"/>
      <c r="AG50" s="414"/>
      <c r="AH50" s="414"/>
      <c r="AI50" s="414"/>
      <c r="AJ50" s="415"/>
      <c r="AK50" s="416"/>
      <c r="AL50" s="413"/>
      <c r="AM50" s="410"/>
      <c r="AN50" s="410"/>
      <c r="AO50" s="410"/>
      <c r="AP50" s="410"/>
      <c r="AQ50" s="410"/>
      <c r="AR50" s="410"/>
      <c r="AS50" s="410"/>
      <c r="AT50" s="410"/>
      <c r="AU50" s="410"/>
      <c r="AV50" s="410"/>
      <c r="AW50" s="410"/>
      <c r="AX50" s="410"/>
      <c r="AY50" s="410"/>
      <c r="AZ50" s="410"/>
      <c r="BA50" s="410"/>
      <c r="BB50" s="410"/>
      <c r="BC50" s="410"/>
      <c r="BD50" s="410"/>
      <c r="BE50" s="410"/>
      <c r="BF50" s="410"/>
      <c r="BG50" s="410"/>
      <c r="BH50" s="410"/>
      <c r="BI50" s="410"/>
      <c r="BJ50" s="410"/>
      <c r="BK50" s="509"/>
      <c r="BL50" s="509"/>
      <c r="BM50" s="509"/>
      <c r="BN50" s="510"/>
      <c r="BO50" s="510"/>
      <c r="BP50" s="511"/>
      <c r="BQ50" s="510"/>
      <c r="BR50" s="512"/>
      <c r="BS50" s="510"/>
      <c r="BT50" s="513"/>
      <c r="BU50" s="510"/>
      <c r="BV50" s="514"/>
      <c r="BW50" s="514"/>
      <c r="BX50" s="506"/>
      <c r="BY50" s="510"/>
      <c r="BZ50" s="514"/>
      <c r="CA50" s="514"/>
      <c r="CB50" s="510"/>
      <c r="CC50" s="510"/>
      <c r="CD50" s="514"/>
      <c r="CE50" s="510"/>
      <c r="CF50" s="510"/>
      <c r="CG50" s="510"/>
      <c r="CH50" s="510"/>
      <c r="CI50" s="515"/>
      <c r="CJ50" s="508"/>
      <c r="CK50" s="516"/>
      <c r="CL50" s="516"/>
      <c r="CM50" s="417"/>
      <c r="CN50" s="418"/>
      <c r="CO50" s="418"/>
      <c r="CP50" s="419"/>
      <c r="CQ50" s="420"/>
      <c r="CR50" s="419"/>
      <c r="CS50" s="421"/>
      <c r="CT50" s="422"/>
      <c r="CU50" s="516"/>
      <c r="CV50" s="423"/>
      <c r="CW50" s="652"/>
      <c r="CX50" s="517"/>
      <c r="CY50" s="658"/>
      <c r="CZ50" s="656"/>
      <c r="DA50" s="518"/>
      <c r="DB50" s="519"/>
      <c r="DC50" s="853"/>
      <c r="DD50" s="853"/>
      <c r="DE50" s="659"/>
      <c r="DF50" s="656"/>
      <c r="DG50" s="518"/>
      <c r="DH50" s="519"/>
      <c r="DI50" s="424"/>
      <c r="DJ50" s="522"/>
      <c r="DK50" s="649"/>
      <c r="DL50" s="651"/>
      <c r="DM50" s="433"/>
      <c r="DN50" s="425"/>
      <c r="DO50" s="426"/>
      <c r="DP50" s="854"/>
      <c r="DQ50" s="427"/>
      <c r="DR50" s="855"/>
      <c r="DS50" s="428"/>
      <c r="DT50" s="428"/>
      <c r="DU50" s="647"/>
      <c r="DV50" s="648"/>
      <c r="DW50" s="648"/>
      <c r="DX50" s="685"/>
      <c r="DY50" s="685"/>
      <c r="DZ50" s="686"/>
      <c r="EA50" s="686"/>
      <c r="EB50" s="686"/>
      <c r="EC50" s="686"/>
      <c r="ED50" s="686"/>
      <c r="EE50" s="686"/>
      <c r="EF50" s="409"/>
      <c r="EG50" s="686"/>
      <c r="EH50" s="691"/>
      <c r="EI50" s="856"/>
      <c r="EJ50" s="856"/>
      <c r="EK50" s="429"/>
      <c r="EL50" s="429"/>
      <c r="EM50" s="429"/>
      <c r="EN50" s="429"/>
      <c r="EO50" s="429"/>
      <c r="EP50" s="429"/>
      <c r="EQ50" s="429"/>
      <c r="ER50" s="429"/>
      <c r="ES50" s="429"/>
      <c r="ET50" s="429"/>
      <c r="EU50" s="429"/>
      <c r="EV50" s="429"/>
      <c r="EW50" s="429"/>
      <c r="EX50" s="429"/>
      <c r="EY50" s="429"/>
      <c r="EZ50" s="429"/>
      <c r="FA50" s="429"/>
      <c r="FB50" s="429"/>
      <c r="FC50" s="429"/>
      <c r="FD50" s="429"/>
      <c r="FE50" s="430"/>
      <c r="FF50" s="430"/>
      <c r="FG50" s="430"/>
      <c r="FH50" s="431"/>
      <c r="FI50" s="431"/>
      <c r="FJ50" s="431"/>
      <c r="FK50" s="431"/>
      <c r="FL50" s="431"/>
      <c r="FM50" s="430"/>
      <c r="FN50" s="430"/>
      <c r="FO50" s="430"/>
      <c r="FP50" s="431"/>
      <c r="FQ50" s="431"/>
      <c r="FR50" s="431"/>
      <c r="FS50" s="431"/>
      <c r="FT50" s="431"/>
      <c r="FU50" s="431"/>
      <c r="FV50" s="431"/>
      <c r="FW50" s="431"/>
      <c r="FX50" s="431"/>
      <c r="FY50" s="431"/>
      <c r="FZ50" s="431"/>
      <c r="GA50" s="431"/>
      <c r="GB50" s="431"/>
      <c r="GC50" s="431"/>
      <c r="GD50" s="429"/>
      <c r="GE50" s="431"/>
      <c r="GF50" s="431"/>
      <c r="GG50" s="431"/>
      <c r="GH50" s="431"/>
      <c r="GI50" s="431"/>
      <c r="GJ50" s="431"/>
      <c r="GK50" s="431"/>
      <c r="GL50" s="429"/>
      <c r="GM50" s="431"/>
      <c r="GN50" s="431"/>
      <c r="GO50" s="431"/>
      <c r="GP50" s="431"/>
      <c r="GQ50" s="429"/>
      <c r="GR50" s="431"/>
      <c r="GS50" s="431"/>
      <c r="GT50" s="431"/>
      <c r="GU50" s="429"/>
      <c r="GV50" s="429"/>
      <c r="GW50" s="429"/>
      <c r="GX50" s="429"/>
      <c r="GY50" s="429"/>
      <c r="GZ50" s="429"/>
      <c r="HA50" s="429"/>
      <c r="HB50" s="429"/>
      <c r="HC50" s="429"/>
      <c r="HD50" s="429"/>
      <c r="HE50" s="431"/>
      <c r="HF50" s="431"/>
      <c r="HG50" s="431"/>
      <c r="HH50" s="431"/>
      <c r="HI50" s="431"/>
      <c r="HJ50" s="431"/>
      <c r="HK50" s="857"/>
      <c r="HL50" s="431"/>
      <c r="HM50" s="431"/>
      <c r="HN50" s="431"/>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0.61778227639275241</v>
      </c>
      <c r="V61" s="435">
        <f>SUM(V9:V60)</f>
        <v>232996703.6486333</v>
      </c>
      <c r="W61" s="435">
        <f>SUM(W9:W60)</f>
        <v>330231191.00440776</v>
      </c>
      <c r="X61" s="435"/>
      <c r="Y61" s="435">
        <f>SUM(Y9:Y60)</f>
        <v>330231191.00440776</v>
      </c>
      <c r="Z61" s="435"/>
      <c r="AA61" s="435"/>
      <c r="AB61" s="435"/>
      <c r="AC61" s="435"/>
      <c r="AE61" s="436"/>
      <c r="AF61" s="436"/>
      <c r="AG61" s="343"/>
      <c r="AH61" s="343"/>
      <c r="AI61" s="343"/>
      <c r="AJ61" s="343"/>
      <c r="AK61" s="343"/>
      <c r="AL61" s="434">
        <f>AVERAGE(AL9:AL60)</f>
        <v>0.61643846320866857</v>
      </c>
      <c r="AM61" s="436">
        <f t="shared" ref="AM61:BI61" si="85">SUM(AM9:AM60)</f>
        <v>0</v>
      </c>
      <c r="AN61" s="436">
        <f t="shared" si="85"/>
        <v>0</v>
      </c>
      <c r="AO61" s="436">
        <f t="shared" si="85"/>
        <v>153097953.55428821</v>
      </c>
      <c r="AP61" s="436">
        <f t="shared" si="85"/>
        <v>56801870.473609172</v>
      </c>
      <c r="AQ61" s="436">
        <f t="shared" si="85"/>
        <v>134989734.57689992</v>
      </c>
      <c r="AR61" s="436">
        <f t="shared" si="85"/>
        <v>0</v>
      </c>
      <c r="AS61" s="436">
        <f t="shared" si="85"/>
        <v>0</v>
      </c>
      <c r="AT61" s="436">
        <f t="shared" si="85"/>
        <v>0</v>
      </c>
      <c r="AU61" s="436">
        <f t="shared" si="85"/>
        <v>120331366.97651047</v>
      </c>
      <c r="AV61" s="436">
        <f t="shared" si="85"/>
        <v>0</v>
      </c>
      <c r="AW61" s="436">
        <f t="shared" si="85"/>
        <v>98006969.07173337</v>
      </c>
      <c r="AX61" s="436">
        <f t="shared" si="85"/>
        <v>0</v>
      </c>
      <c r="AY61" s="436">
        <f t="shared" si="85"/>
        <v>0</v>
      </c>
      <c r="AZ61" s="436">
        <f t="shared" si="85"/>
        <v>0</v>
      </c>
      <c r="BA61" s="436">
        <f t="shared" si="85"/>
        <v>0</v>
      </c>
      <c r="BB61" s="436">
        <f t="shared" si="85"/>
        <v>0</v>
      </c>
      <c r="BC61" s="436">
        <f t="shared" si="85"/>
        <v>0</v>
      </c>
      <c r="BD61" s="436">
        <f t="shared" si="85"/>
        <v>0</v>
      </c>
      <c r="BE61" s="436">
        <f t="shared" si="85"/>
        <v>0</v>
      </c>
      <c r="BF61" s="436">
        <f t="shared" si="85"/>
        <v>0</v>
      </c>
      <c r="BG61" s="436">
        <f t="shared" si="85"/>
        <v>0</v>
      </c>
      <c r="BH61" s="436">
        <f t="shared" si="85"/>
        <v>0</v>
      </c>
      <c r="BI61" s="436">
        <f t="shared" si="85"/>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Q9:CQ59 CW9:CW59" xr:uid="{00000000-0002-0000-0100-000000000000}">
      <formula1>"N,Y"</formula1>
    </dataValidation>
    <dataValidation type="list" allowBlank="1" showInputMessage="1" showErrorMessage="1" sqref="Q9:Q59 S9:S59 BV9:BX59 BZ9:CA59 CD9:CD59 CG9:CH59 DX9:DY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3.7718211070513097E-2</v>
      </c>
      <c r="K5" s="24">
        <f>SUMIF(Portfolio!$T$9:$T$60, 'Concentration Limits'!D5, Portfolio!$HE$9:$HE$60)</f>
        <v>4666942.9311727853</v>
      </c>
      <c r="L5" s="25">
        <f>K5/K$32</f>
        <v>2.0229399597164934E-2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0.11473370541501508</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0.21225186300662599</v>
      </c>
      <c r="K9" s="24">
        <f>SUMIF(Portfolio!$T$9:$T$60, 'Concentration Limits'!D9, Portfolio!$HE$9:$HE$60)</f>
        <v>62826600.358250052</v>
      </c>
      <c r="L9" s="25">
        <f>K9/K$32</f>
        <v>0.27232910766685597</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0.21363832429563809</v>
      </c>
      <c r="K13" s="24">
        <f>SUMIF(Portfolio!$T$9:$T$60, 'Concentration Limits'!D13, Portfolio!$HE$9:$HE$60)</f>
        <v>67233377.622077093</v>
      </c>
      <c r="L13" s="25">
        <f>K13/K$32</f>
        <v>0.29143078932878624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5.7272670787198374E-2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0.13489571233279274</v>
      </c>
      <c r="K17" s="24">
        <f>SUMIF(Portfolio!$T$9:$T$60, 'Concentration Limits'!D17, Portfolio!$HG$9:$HG$60)</f>
        <v>27598469.639210325</v>
      </c>
      <c r="L17" s="25">
        <f>K17/K$32</f>
        <v>0.11962873316334108</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0.11272875883666196</v>
      </c>
      <c r="K21" s="63">
        <f>SUMIF(Portfolio!$T$9:$T$60, 'Concentration Limits'!$D$21, Portfolio!$HG$9:$HG$60)</f>
        <v>35704429.068376541</v>
      </c>
      <c r="L21" s="64">
        <f>K21/K$32</f>
        <v>0.15476494434683696</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0.1167607542555547</v>
      </c>
      <c r="K25" s="63">
        <f>SUMIF(Portfolio!$T$9:$T$60, 'Concentration Limits'!$D$25, Portfolio!$HG$9:$HG$60)</f>
        <v>32671190.994537078</v>
      </c>
      <c r="L25" s="64">
        <f>K25/K$32</f>
        <v>0.14161702589701489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41</v>
      </c>
      <c r="I32" s="859">
        <f>SUM(I5:I31)</f>
        <v>330231191.00440776</v>
      </c>
      <c r="J32" s="860">
        <f>SUM(J5:J31)</f>
        <v>1</v>
      </c>
      <c r="K32" s="859">
        <f>SUM(K5:K31)</f>
        <v>230701010.61362386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41</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0.61385854040879129</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232996703.6486333</v>
      </c>
    </row>
    <row r="44" spans="2:19" x14ac:dyDescent="0.4">
      <c r="B44" s="12"/>
      <c r="D44" s="1" t="s">
        <v>273</v>
      </c>
      <c r="F44" s="13"/>
      <c r="G44" s="13"/>
      <c r="H44" s="13"/>
      <c r="I44" s="34"/>
      <c r="J44" s="13"/>
      <c r="K44" s="13"/>
      <c r="L44" s="13"/>
      <c r="M44" s="56">
        <f>K49+K50+K51+K52+K57+K58+K59+K61+K64+K67+K68+K69+K70</f>
        <v>2295693.0350094065</v>
      </c>
    </row>
    <row r="45" spans="2:19" x14ac:dyDescent="0.4">
      <c r="B45" s="12"/>
      <c r="D45" s="12"/>
      <c r="I45" s="7"/>
      <c r="L45" s="176"/>
      <c r="M45" s="55">
        <f>M43-M44</f>
        <v>230701010.61362389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4">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4">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4">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4">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4">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4">
      <c r="D68" s="2" t="s">
        <v>304</v>
      </c>
      <c r="E68" s="34" t="s">
        <v>305</v>
      </c>
      <c r="H68" s="40">
        <f>AGENT!D67</f>
        <v>0.15</v>
      </c>
      <c r="I68" s="41"/>
      <c r="J68" s="623">
        <f>MAX(H68*M$43,0)</f>
        <v>34949505.547294997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4">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7.6468151747370204E-3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7.9196403905298973E-2</v>
      </c>
      <c r="H91" s="23">
        <f t="shared" si="4"/>
        <v>4</v>
      </c>
    </row>
    <row r="92" spans="2:8" x14ac:dyDescent="0.4">
      <c r="B92" s="12"/>
      <c r="D92" s="44">
        <f t="shared" si="5"/>
        <v>12</v>
      </c>
      <c r="E92" s="45" t="s">
        <v>325</v>
      </c>
      <c r="F92" s="46">
        <f>SUMIF(Portfolio!$BR$9:$BR$60, 'Concentration Limits'!E92, Portfolio!$V$9:$V$60)</f>
        <v>13322967.211468514</v>
      </c>
      <c r="G92" s="25">
        <f t="shared" si="3"/>
        <v>5.4088117140410369E-2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0.18692364968038938</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4">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4">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246319670.86010182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329363620.89276171</v>
      </c>
      <c r="AR1" s="208">
        <f>SUM(AR6:AR55)</f>
        <v>329363620.89276171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5"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5" si="3">IF($D5=$AQ$3,$M5-$AP5,0)</f>
        <v>867570.11164605082</v>
      </c>
      <c r="AR5" s="249">
        <f t="shared" ref="AR5:AR45"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5"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5" si="10">+E6+1</f>
        <v>3</v>
      </c>
      <c r="F7" s="287">
        <f t="shared" ref="F7:F45"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c r="B46" s="228"/>
      <c r="C46" s="259"/>
      <c r="D46" s="260"/>
      <c r="E46" s="261"/>
      <c r="F46" s="287"/>
      <c r="G46" s="230"/>
      <c r="H46" s="230"/>
      <c r="I46" s="231"/>
      <c r="J46" s="232"/>
      <c r="K46" s="232"/>
      <c r="L46" s="264"/>
      <c r="M46" s="233"/>
      <c r="N46" s="234"/>
      <c r="O46" s="235"/>
      <c r="P46" s="235"/>
      <c r="Q46" s="236"/>
      <c r="R46" s="268"/>
      <c r="S46" s="238"/>
      <c r="T46" s="230"/>
      <c r="U46" s="277"/>
      <c r="V46" s="293"/>
      <c r="W46" s="230"/>
      <c r="X46" s="294"/>
      <c r="Y46" s="230"/>
      <c r="Z46" s="240"/>
      <c r="AA46" s="241"/>
      <c r="AB46" s="241"/>
      <c r="AC46" s="242"/>
      <c r="AD46" s="290"/>
      <c r="AE46" s="290"/>
      <c r="AF46" s="290"/>
      <c r="AG46" s="243"/>
      <c r="AH46" s="243"/>
      <c r="AI46" s="244"/>
      <c r="AJ46" s="245"/>
      <c r="AK46" s="245"/>
      <c r="AL46" s="245"/>
      <c r="AM46" s="245"/>
      <c r="AN46" s="246"/>
      <c r="AO46" s="246"/>
      <c r="AP46" s="247"/>
      <c r="AQ46" s="248"/>
      <c r="AR46" s="249"/>
      <c r="AT46" s="634"/>
      <c r="AU46" s="635"/>
      <c r="AV46" s="634"/>
      <c r="AW46" s="636"/>
      <c r="AX46" s="637"/>
      <c r="AY46" s="638"/>
      <c r="AZ46" s="639"/>
      <c r="BA46" s="636"/>
      <c r="BB46" s="640"/>
      <c r="BC46" s="641"/>
      <c r="BD46" s="638"/>
      <c r="BE46" s="642"/>
      <c r="BF46" s="643"/>
      <c r="BG46" s="640"/>
      <c r="BH46" s="640"/>
      <c r="BI46" s="644"/>
      <c r="BJ46" s="644"/>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729"/>
      <c r="B43" s="730"/>
      <c r="C43" s="731"/>
      <c r="D43" s="732"/>
      <c r="E43" s="733"/>
      <c r="F43" s="734"/>
      <c r="G43" s="734"/>
      <c r="H43" s="734"/>
      <c r="I43" s="734"/>
      <c r="J43" s="734"/>
      <c r="K43" s="734"/>
      <c r="L43" s="734"/>
      <c r="M43" s="735"/>
      <c r="N43" s="735"/>
      <c r="O43" s="736"/>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380231191.00440782</v>
      </c>
      <c r="E64" s="873">
        <f>SUM(E3:E62)</f>
        <v>346151280.98247892</v>
      </c>
      <c r="F64" s="873">
        <f>SUMPRODUCT(F3:F62,$D$3:$D$62)/SUM($D$3:$D$62)</f>
        <v>190543355.06999794</v>
      </c>
      <c r="G64" s="873">
        <f>SUMPRODUCT(G3:G62,$D$3:$D$62)/SUM($D$3:$D$62)</f>
        <v>23207826.485119589</v>
      </c>
      <c r="H64" s="873"/>
      <c r="I64" s="873"/>
      <c r="J64" s="873"/>
      <c r="K64" s="873"/>
      <c r="L64" s="873"/>
      <c r="M64" s="874">
        <f>SUMPRODUCT(M3:M62,$D$3:$D$62)/SUM($D$3:$D$62)</f>
        <v>5.837136208782816</v>
      </c>
      <c r="N64" s="875">
        <f>SUMPRODUCT(N3:N62,$D$3:$D$62)/SUM($D$3:$D$62)</f>
        <v>0.77372000400454544</v>
      </c>
      <c r="O64" s="874">
        <f>SUMPRODUCT(O3:O62,$D$3:$D$62)/SUM($D$3:$D$62)</f>
        <v>1.7140700276902645</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0">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0"/>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0"/>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0"/>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0"/>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0"/>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0"/>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0"/>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0"/>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0"/>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0"/>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0"/>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0"/>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0"/>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0"/>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0"/>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0"/>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0"/>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0"/>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0"/>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0"/>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0"/>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0"/>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0"/>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0"/>
        <v>4.3783963249569178</v>
      </c>
    </row>
    <row r="92" spans="5:13" x14ac:dyDescent="0.45">
      <c r="E92" s="154" t="s">
        <v>707</v>
      </c>
      <c r="F92" s="705">
        <v>30464594</v>
      </c>
      <c r="G92" s="705">
        <v>9544317</v>
      </c>
      <c r="H92" s="705">
        <v>1600000</v>
      </c>
      <c r="I92" s="705">
        <v>0</v>
      </c>
      <c r="J92" s="705">
        <v>0</v>
      </c>
      <c r="K92" s="705">
        <v>21326249.999999981</v>
      </c>
      <c r="L92" s="705">
        <v>1580173</v>
      </c>
      <c r="M92" s="199">
        <f t="shared" si="10"/>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0"/>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0"/>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0"/>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0"/>
        <v>6.2929328994173792</v>
      </c>
    </row>
    <row r="97" spans="5:13" x14ac:dyDescent="0.45">
      <c r="E97" s="154" t="s">
        <v>603</v>
      </c>
      <c r="F97" s="705">
        <v>123242000</v>
      </c>
      <c r="G97" s="705">
        <v>19440000</v>
      </c>
      <c r="H97" s="705">
        <v>13971000</v>
      </c>
      <c r="I97" s="705">
        <v>0</v>
      </c>
      <c r="J97" s="705">
        <v>0</v>
      </c>
      <c r="K97" s="705">
        <v>87544537.166724801</v>
      </c>
      <c r="L97" s="705">
        <v>226000</v>
      </c>
      <c r="M97" s="199">
        <f t="shared" si="10"/>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0"/>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0"/>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0"/>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0"/>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0"/>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0"/>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0"/>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0"/>
        <v>2.541914072624246</v>
      </c>
    </row>
    <row r="106" spans="5:13" x14ac:dyDescent="0.45">
      <c r="E106" s="154" t="s">
        <v>711</v>
      </c>
      <c r="F106" s="705">
        <v>50100000</v>
      </c>
      <c r="G106" s="705">
        <v>11600000</v>
      </c>
      <c r="H106" s="705">
        <v>0</v>
      </c>
      <c r="I106" s="705">
        <v>10000000</v>
      </c>
      <c r="J106" s="705">
        <v>0</v>
      </c>
      <c r="K106" s="705">
        <v>15000000</v>
      </c>
      <c r="L106" s="705">
        <v>2058000</v>
      </c>
      <c r="M106" s="199">
        <f t="shared" si="10"/>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0"/>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1">F3-F67</f>
        <v>-4753682.9936000109</v>
      </c>
      <c r="G110" s="154">
        <f t="shared" si="11"/>
        <v>-8001976.7496334016</v>
      </c>
      <c r="H110" s="154">
        <f t="shared" si="11"/>
        <v>0</v>
      </c>
      <c r="I110" s="154">
        <f t="shared" si="11"/>
        <v>-3271000</v>
      </c>
      <c r="J110" s="154">
        <f t="shared" si="11"/>
        <v>-7165406.0099999905</v>
      </c>
      <c r="K110" s="154">
        <f t="shared" si="11"/>
        <v>-37593.990000000224</v>
      </c>
      <c r="L110" s="154">
        <f t="shared" si="11"/>
        <v>11973000</v>
      </c>
      <c r="M110" s="199">
        <f t="shared" ref="M110:M149" si="12">IFERROR(M3-M67,"N/A")</f>
        <v>1.7477766054810076</v>
      </c>
    </row>
    <row r="111" spans="5:13" x14ac:dyDescent="0.45">
      <c r="E111" s="154" t="s">
        <v>593</v>
      </c>
      <c r="F111" s="154">
        <f t="shared" si="11"/>
        <v>-4076256.4899999946</v>
      </c>
      <c r="G111" s="154">
        <f t="shared" si="11"/>
        <v>-1174009.01999998</v>
      </c>
      <c r="H111" s="154">
        <f t="shared" si="11"/>
        <v>0</v>
      </c>
      <c r="I111" s="154">
        <f t="shared" si="11"/>
        <v>333845.60194622912</v>
      </c>
      <c r="J111" s="154">
        <f t="shared" si="11"/>
        <v>0</v>
      </c>
      <c r="K111" s="154">
        <f t="shared" si="11"/>
        <v>-4631720.2307158709</v>
      </c>
      <c r="L111" s="154">
        <f t="shared" si="11"/>
        <v>134444.43999999994</v>
      </c>
      <c r="M111" s="199">
        <f t="shared" si="12"/>
        <v>5.0933991321100223</v>
      </c>
    </row>
    <row r="112" spans="5:13" x14ac:dyDescent="0.45">
      <c r="E112" s="154" t="s">
        <v>697</v>
      </c>
      <c r="F112" s="154">
        <f t="shared" si="11"/>
        <v>-580012.39999999851</v>
      </c>
      <c r="G112" s="154">
        <f t="shared" si="11"/>
        <v>2062558.3000000019</v>
      </c>
      <c r="H112" s="154">
        <f t="shared" si="11"/>
        <v>-1640137</v>
      </c>
      <c r="I112" s="154">
        <f t="shared" si="11"/>
        <v>0</v>
      </c>
      <c r="J112" s="154">
        <f t="shared" si="11"/>
        <v>3970.7357460758649</v>
      </c>
      <c r="K112" s="154">
        <f t="shared" si="11"/>
        <v>281592.76425391994</v>
      </c>
      <c r="L112" s="154">
        <f t="shared" si="11"/>
        <v>-1103577.0300000003</v>
      </c>
      <c r="M112" s="199" t="str">
        <f t="shared" si="12"/>
        <v>N/A</v>
      </c>
    </row>
    <row r="113" spans="5:13" x14ac:dyDescent="0.45">
      <c r="E113" s="154" t="s">
        <v>607</v>
      </c>
      <c r="F113" s="154">
        <f t="shared" si="11"/>
        <v>-92790.890000000014</v>
      </c>
      <c r="G113" s="154">
        <f t="shared" si="11"/>
        <v>-92790.890000000014</v>
      </c>
      <c r="H113" s="154">
        <f t="shared" si="11"/>
        <v>0</v>
      </c>
      <c r="I113" s="154">
        <f t="shared" si="11"/>
        <v>3190000</v>
      </c>
      <c r="J113" s="154">
        <f t="shared" si="11"/>
        <v>-5.4710488766431808E-3</v>
      </c>
      <c r="K113" s="154">
        <f t="shared" si="11"/>
        <v>2711849.2639373913</v>
      </c>
      <c r="L113" s="154">
        <f t="shared" si="11"/>
        <v>49166</v>
      </c>
      <c r="M113" s="199">
        <f t="shared" si="12"/>
        <v>16.933190341333585</v>
      </c>
    </row>
    <row r="114" spans="5:13" x14ac:dyDescent="0.45">
      <c r="E114" s="154" t="s">
        <v>595</v>
      </c>
      <c r="F114" s="154">
        <f t="shared" si="11"/>
        <v>-509550.60000000149</v>
      </c>
      <c r="G114" s="154">
        <f t="shared" si="11"/>
        <v>-4366861.2319218935</v>
      </c>
      <c r="H114" s="154">
        <f t="shared" si="11"/>
        <v>750000</v>
      </c>
      <c r="I114" s="154">
        <f t="shared" si="11"/>
        <v>-225625</v>
      </c>
      <c r="J114" s="154">
        <f t="shared" si="11"/>
        <v>6628198.2887558835</v>
      </c>
      <c r="K114" s="154">
        <f t="shared" si="11"/>
        <v>406360.51007459685</v>
      </c>
      <c r="L114" s="154">
        <f t="shared" si="11"/>
        <v>-789416.54</v>
      </c>
      <c r="M114" s="199">
        <f t="shared" si="12"/>
        <v>24.774173688936074</v>
      </c>
    </row>
    <row r="115" spans="5:13" x14ac:dyDescent="0.45">
      <c r="E115" s="154" t="s">
        <v>450</v>
      </c>
      <c r="F115" s="154">
        <f t="shared" si="11"/>
        <v>0</v>
      </c>
      <c r="G115" s="154">
        <f t="shared" si="11"/>
        <v>0</v>
      </c>
      <c r="H115" s="154">
        <f t="shared" si="11"/>
        <v>0</v>
      </c>
      <c r="I115" s="154">
        <f t="shared" si="11"/>
        <v>0</v>
      </c>
      <c r="J115" s="154">
        <f t="shared" si="11"/>
        <v>0</v>
      </c>
      <c r="K115" s="154">
        <f t="shared" si="11"/>
        <v>0</v>
      </c>
      <c r="L115" s="154">
        <f t="shared" si="11"/>
        <v>0</v>
      </c>
      <c r="M115" s="199" t="str">
        <f t="shared" si="12"/>
        <v>N/A</v>
      </c>
    </row>
    <row r="116" spans="5:13" x14ac:dyDescent="0.45">
      <c r="E116" s="154" t="s">
        <v>694</v>
      </c>
      <c r="F116" s="154">
        <f t="shared" si="11"/>
        <v>4587240.9500002414</v>
      </c>
      <c r="G116" s="154">
        <f t="shared" si="11"/>
        <v>762882.53248476982</v>
      </c>
      <c r="H116" s="154">
        <f t="shared" si="11"/>
        <v>-500000</v>
      </c>
      <c r="I116" s="154">
        <f t="shared" si="11"/>
        <v>-400000</v>
      </c>
      <c r="J116" s="154">
        <f t="shared" si="11"/>
        <v>0</v>
      </c>
      <c r="K116" s="154">
        <f t="shared" si="11"/>
        <v>-19207999.99999997</v>
      </c>
      <c r="L116" s="154">
        <f t="shared" si="11"/>
        <v>-1201966.5099999821</v>
      </c>
      <c r="M116" s="199">
        <f t="shared" si="12"/>
        <v>-1.3212490323206119</v>
      </c>
    </row>
    <row r="117" spans="5:13" x14ac:dyDescent="0.45">
      <c r="E117" s="154" t="s">
        <v>738</v>
      </c>
      <c r="F117" s="154">
        <f t="shared" si="11"/>
        <v>-19813866.154449016</v>
      </c>
      <c r="G117" s="154">
        <f t="shared" si="11"/>
        <v>-3218999.2417942304</v>
      </c>
      <c r="H117" s="154">
        <f t="shared" si="11"/>
        <v>-1993954.2599999979</v>
      </c>
      <c r="I117" s="154">
        <f t="shared" si="11"/>
        <v>-930944.86000000034</v>
      </c>
      <c r="J117" s="154">
        <f t="shared" si="11"/>
        <v>0</v>
      </c>
      <c r="K117" s="154">
        <f t="shared" si="11"/>
        <v>-200000.00000002235</v>
      </c>
      <c r="L117" s="154">
        <f t="shared" si="11"/>
        <v>-1535637.6357200001</v>
      </c>
      <c r="M117" s="199">
        <f t="shared" si="12"/>
        <v>1.1977305352932275</v>
      </c>
    </row>
    <row r="118" spans="5:13" x14ac:dyDescent="0.45">
      <c r="E118" s="154" t="s">
        <v>706</v>
      </c>
      <c r="F118" s="154">
        <f t="shared" si="11"/>
        <v>-2985000</v>
      </c>
      <c r="G118" s="154">
        <f t="shared" si="11"/>
        <v>-1700000</v>
      </c>
      <c r="H118" s="154">
        <f t="shared" si="11"/>
        <v>200000</v>
      </c>
      <c r="I118" s="154">
        <f t="shared" si="11"/>
        <v>4900069.7204181999</v>
      </c>
      <c r="J118" s="154">
        <f t="shared" si="11"/>
        <v>0</v>
      </c>
      <c r="K118" s="154">
        <f t="shared" si="11"/>
        <v>19719430.279581815</v>
      </c>
      <c r="L118" s="154">
        <f t="shared" si="11"/>
        <v>-568000</v>
      </c>
      <c r="M118" s="199">
        <f t="shared" si="12"/>
        <v>0.987504553782518</v>
      </c>
    </row>
    <row r="119" spans="5:13" x14ac:dyDescent="0.45">
      <c r="E119" s="154" t="s">
        <v>600</v>
      </c>
      <c r="F119" s="154">
        <f t="shared" si="11"/>
        <v>3652385.3800000027</v>
      </c>
      <c r="G119" s="154">
        <f t="shared" si="11"/>
        <v>1299337.9450000003</v>
      </c>
      <c r="H119" s="154">
        <f t="shared" si="11"/>
        <v>0</v>
      </c>
      <c r="I119" s="154">
        <f t="shared" si="11"/>
        <v>0</v>
      </c>
      <c r="J119" s="154">
        <f t="shared" si="11"/>
        <v>7224950</v>
      </c>
      <c r="K119" s="154">
        <f t="shared" si="11"/>
        <v>2375000.0048979595</v>
      </c>
      <c r="L119" s="154">
        <f t="shared" si="11"/>
        <v>-201800</v>
      </c>
      <c r="M119" s="199">
        <f t="shared" si="12"/>
        <v>0.71044026217405909</v>
      </c>
    </row>
    <row r="120" spans="5:13" x14ac:dyDescent="0.45">
      <c r="E120" s="154" t="s">
        <v>482</v>
      </c>
      <c r="F120" s="154">
        <f t="shared" ref="F120:L129" si="13">F13-F77</f>
        <v>4150937.9010000974</v>
      </c>
      <c r="G120" s="154">
        <f t="shared" si="13"/>
        <v>-4126520.5602000393</v>
      </c>
      <c r="H120" s="154">
        <f t="shared" si="13"/>
        <v>-6313.9200000001583</v>
      </c>
      <c r="I120" s="154">
        <f t="shared" si="13"/>
        <v>0</v>
      </c>
      <c r="J120" s="154">
        <f t="shared" si="13"/>
        <v>-234026.63462503254</v>
      </c>
      <c r="K120" s="154">
        <f t="shared" si="13"/>
        <v>-325348.36537500471</v>
      </c>
      <c r="L120" s="154">
        <f t="shared" si="13"/>
        <v>-676056.38999999966</v>
      </c>
      <c r="M120" s="199">
        <f t="shared" si="12"/>
        <v>0.63942863076973477</v>
      </c>
    </row>
    <row r="121" spans="5:13" x14ac:dyDescent="0.45">
      <c r="E121" s="154" t="s">
        <v>605</v>
      </c>
      <c r="F121" s="154">
        <f t="shared" si="13"/>
        <v>-2786852.1899999976</v>
      </c>
      <c r="G121" s="154">
        <f t="shared" si="13"/>
        <v>-6084806.526031021</v>
      </c>
      <c r="H121" s="154">
        <f t="shared" si="13"/>
        <v>7205348.9199999999</v>
      </c>
      <c r="I121" s="154">
        <f t="shared" si="13"/>
        <v>0</v>
      </c>
      <c r="J121" s="154">
        <f t="shared" si="13"/>
        <v>-200050.56019761413</v>
      </c>
      <c r="K121" s="154">
        <f t="shared" si="13"/>
        <v>-225013.57980239391</v>
      </c>
      <c r="L121" s="154">
        <f t="shared" si="13"/>
        <v>-1388173.2200000002</v>
      </c>
      <c r="M121" s="199">
        <f t="shared" si="12"/>
        <v>1.5090641658048574</v>
      </c>
    </row>
    <row r="122" spans="5:13" x14ac:dyDescent="0.45">
      <c r="E122" s="154" t="s">
        <v>619</v>
      </c>
      <c r="F122" s="154">
        <f t="shared" si="13"/>
        <v>-21219453.904353902</v>
      </c>
      <c r="G122" s="154">
        <f t="shared" si="13"/>
        <v>812828.21000000089</v>
      </c>
      <c r="H122" s="154">
        <f t="shared" si="13"/>
        <v>0</v>
      </c>
      <c r="I122" s="154">
        <f t="shared" si="13"/>
        <v>0</v>
      </c>
      <c r="J122" s="154">
        <f t="shared" si="13"/>
        <v>-36877.522323910147</v>
      </c>
      <c r="K122" s="154">
        <f t="shared" si="13"/>
        <v>-149408.42867610604</v>
      </c>
      <c r="L122" s="154">
        <f t="shared" si="13"/>
        <v>3126782</v>
      </c>
      <c r="M122" s="199">
        <f t="shared" si="12"/>
        <v>-0.38778794317900989</v>
      </c>
    </row>
    <row r="123" spans="5:13" x14ac:dyDescent="0.45">
      <c r="E123" s="154" t="s">
        <v>626</v>
      </c>
      <c r="F123" s="154">
        <f t="shared" si="13"/>
        <v>-389821.23000000417</v>
      </c>
      <c r="G123" s="154">
        <f t="shared" si="13"/>
        <v>236708.10000000894</v>
      </c>
      <c r="H123" s="154">
        <f t="shared" si="13"/>
        <v>0</v>
      </c>
      <c r="I123" s="154">
        <f t="shared" si="13"/>
        <v>0</v>
      </c>
      <c r="J123" s="154">
        <f t="shared" si="13"/>
        <v>0</v>
      </c>
      <c r="K123" s="154">
        <f t="shared" si="13"/>
        <v>1398775.1545491107</v>
      </c>
      <c r="L123" s="154">
        <f t="shared" si="13"/>
        <v>0</v>
      </c>
      <c r="M123" s="199">
        <f t="shared" si="12"/>
        <v>3.0839633915259235E-2</v>
      </c>
    </row>
    <row r="124" spans="5:13" x14ac:dyDescent="0.45">
      <c r="E124" s="154" t="s">
        <v>629</v>
      </c>
      <c r="F124" s="154">
        <f t="shared" si="13"/>
        <v>-11696055.93</v>
      </c>
      <c r="G124" s="154">
        <f t="shared" si="13"/>
        <v>-3609944.3700000066</v>
      </c>
      <c r="H124" s="154">
        <f t="shared" si="13"/>
        <v>0</v>
      </c>
      <c r="I124" s="154">
        <f t="shared" si="13"/>
        <v>-231250</v>
      </c>
      <c r="J124" s="154">
        <f t="shared" si="13"/>
        <v>0</v>
      </c>
      <c r="K124" s="154">
        <f t="shared" si="13"/>
        <v>227766.85666295886</v>
      </c>
      <c r="L124" s="154">
        <f t="shared" si="13"/>
        <v>-8263.5300000002608</v>
      </c>
      <c r="M124" s="199">
        <f t="shared" si="12"/>
        <v>2.2341361763499368</v>
      </c>
    </row>
    <row r="125" spans="5:13" x14ac:dyDescent="0.45">
      <c r="E125" s="154" t="s">
        <v>590</v>
      </c>
      <c r="F125" s="154">
        <f t="shared" si="13"/>
        <v>-5160120.9200000018</v>
      </c>
      <c r="G125" s="154">
        <f t="shared" si="13"/>
        <v>-2115265.0672090016</v>
      </c>
      <c r="H125" s="154">
        <f t="shared" si="13"/>
        <v>0</v>
      </c>
      <c r="I125" s="154">
        <f t="shared" si="13"/>
        <v>-2331884.3574999981</v>
      </c>
      <c r="J125" s="154">
        <f t="shared" si="13"/>
        <v>-187003.24779351056</v>
      </c>
      <c r="K125" s="154">
        <f t="shared" si="13"/>
        <v>-256958.20470650494</v>
      </c>
      <c r="L125" s="154">
        <f t="shared" si="13"/>
        <v>911751.49000000022</v>
      </c>
      <c r="M125" s="199">
        <f t="shared" si="12"/>
        <v>0.72299645086163444</v>
      </c>
    </row>
    <row r="126" spans="5:13" x14ac:dyDescent="0.45">
      <c r="E126" s="154" t="s">
        <v>699</v>
      </c>
      <c r="F126" s="154">
        <f t="shared" si="13"/>
        <v>-1760495.9699999988</v>
      </c>
      <c r="G126" s="154">
        <f t="shared" si="13"/>
        <v>695527.55333334021</v>
      </c>
      <c r="H126" s="154">
        <f t="shared" si="13"/>
        <v>0</v>
      </c>
      <c r="I126" s="154">
        <f t="shared" si="13"/>
        <v>-281249.99718749896</v>
      </c>
      <c r="J126" s="154">
        <f t="shared" si="13"/>
        <v>0</v>
      </c>
      <c r="K126" s="154">
        <f t="shared" si="13"/>
        <v>-93749.999062541872</v>
      </c>
      <c r="L126" s="154">
        <f t="shared" si="13"/>
        <v>642663.58999999985</v>
      </c>
      <c r="M126" s="199">
        <f t="shared" si="12"/>
        <v>-0.23410925554632067</v>
      </c>
    </row>
    <row r="127" spans="5:13" x14ac:dyDescent="0.45">
      <c r="E127" s="154" t="s">
        <v>476</v>
      </c>
      <c r="F127" s="154">
        <f t="shared" si="13"/>
        <v>-360533.79000000656</v>
      </c>
      <c r="G127" s="154">
        <f t="shared" si="13"/>
        <v>-1370689.8533333279</v>
      </c>
      <c r="H127" s="154">
        <f t="shared" si="13"/>
        <v>0</v>
      </c>
      <c r="I127" s="154">
        <f t="shared" si="13"/>
        <v>-725527.92799130082</v>
      </c>
      <c r="J127" s="154">
        <f t="shared" si="13"/>
        <v>-180909.47896518605</v>
      </c>
      <c r="K127" s="154">
        <f t="shared" si="13"/>
        <v>-667955.27304352075</v>
      </c>
      <c r="L127" s="154">
        <f t="shared" si="13"/>
        <v>2196804.41</v>
      </c>
      <c r="M127" s="199">
        <f t="shared" si="12"/>
        <v>-4.1236227775426348E-2</v>
      </c>
    </row>
    <row r="128" spans="5:13" x14ac:dyDescent="0.45">
      <c r="E128" s="154" t="s">
        <v>599</v>
      </c>
      <c r="F128" s="154">
        <f t="shared" si="13"/>
        <v>-8070458.9444596767</v>
      </c>
      <c r="G128" s="154">
        <f t="shared" si="13"/>
        <v>-2216450.0076401201</v>
      </c>
      <c r="H128" s="154">
        <f t="shared" si="13"/>
        <v>0</v>
      </c>
      <c r="I128" s="154">
        <f t="shared" si="13"/>
        <v>0</v>
      </c>
      <c r="J128" s="154">
        <f t="shared" si="13"/>
        <v>-4768527.6906419694</v>
      </c>
      <c r="K128" s="154">
        <f t="shared" si="13"/>
        <v>10380127.277584806</v>
      </c>
      <c r="L128" s="154">
        <f t="shared" si="13"/>
        <v>529039.76722024055</v>
      </c>
      <c r="M128" s="199" t="str">
        <f t="shared" si="12"/>
        <v>N/A</v>
      </c>
    </row>
    <row r="129" spans="5:13" x14ac:dyDescent="0.45">
      <c r="E129" s="154" t="s">
        <v>695</v>
      </c>
      <c r="F129" s="154">
        <f t="shared" si="13"/>
        <v>0</v>
      </c>
      <c r="G129" s="154">
        <f t="shared" si="13"/>
        <v>0</v>
      </c>
      <c r="H129" s="154">
        <f t="shared" si="13"/>
        <v>0</v>
      </c>
      <c r="I129" s="154">
        <f t="shared" si="13"/>
        <v>0</v>
      </c>
      <c r="J129" s="154">
        <f t="shared" si="13"/>
        <v>0</v>
      </c>
      <c r="K129" s="154">
        <f t="shared" si="13"/>
        <v>0</v>
      </c>
      <c r="L129" s="154">
        <f t="shared" si="13"/>
        <v>0</v>
      </c>
      <c r="M129" s="199">
        <f t="shared" si="12"/>
        <v>0</v>
      </c>
    </row>
    <row r="130" spans="5:13" x14ac:dyDescent="0.45">
      <c r="E130" s="154" t="s">
        <v>471</v>
      </c>
      <c r="F130" s="154">
        <f t="shared" ref="F130:L139" si="14">F23-F87</f>
        <v>2501330.8999999985</v>
      </c>
      <c r="G130" s="154">
        <f t="shared" si="14"/>
        <v>1760240.2300000004</v>
      </c>
      <c r="H130" s="154">
        <f t="shared" si="14"/>
        <v>5200000</v>
      </c>
      <c r="I130" s="154">
        <f t="shared" si="14"/>
        <v>0</v>
      </c>
      <c r="J130" s="154">
        <f t="shared" si="14"/>
        <v>0</v>
      </c>
      <c r="K130" s="154">
        <f t="shared" si="14"/>
        <v>0</v>
      </c>
      <c r="L130" s="154">
        <f t="shared" si="14"/>
        <v>1098037.0699999998</v>
      </c>
      <c r="M130" s="199">
        <f t="shared" si="12"/>
        <v>-5.1320302490189817E-2</v>
      </c>
    </row>
    <row r="131" spans="5:13" x14ac:dyDescent="0.45">
      <c r="E131" s="154" t="s">
        <v>596</v>
      </c>
      <c r="F131" s="154">
        <f t="shared" si="14"/>
        <v>-726179.97865913063</v>
      </c>
      <c r="G131" s="154">
        <f t="shared" si="14"/>
        <v>504567.61161805008</v>
      </c>
      <c r="H131" s="154">
        <f t="shared" si="14"/>
        <v>-2515801.2799999993</v>
      </c>
      <c r="I131" s="154">
        <f t="shared" si="14"/>
        <v>0</v>
      </c>
      <c r="J131" s="154">
        <f t="shared" si="14"/>
        <v>0</v>
      </c>
      <c r="K131" s="154">
        <f t="shared" si="14"/>
        <v>472893.77840646915</v>
      </c>
      <c r="L131" s="154">
        <f t="shared" si="14"/>
        <v>193786.58</v>
      </c>
      <c r="M131" s="199" t="str">
        <f t="shared" si="12"/>
        <v>N/A</v>
      </c>
    </row>
    <row r="132" spans="5:13" x14ac:dyDescent="0.45">
      <c r="E132" s="154" t="s">
        <v>617</v>
      </c>
      <c r="F132" s="154">
        <f t="shared" si="14"/>
        <v>-1947152.5500000119</v>
      </c>
      <c r="G132" s="154">
        <f t="shared" si="14"/>
        <v>137244.54049999826</v>
      </c>
      <c r="H132" s="154">
        <f t="shared" si="14"/>
        <v>-250000</v>
      </c>
      <c r="I132" s="154">
        <f t="shared" si="14"/>
        <v>0</v>
      </c>
      <c r="J132" s="154">
        <f t="shared" si="14"/>
        <v>-18750</v>
      </c>
      <c r="K132" s="154">
        <f t="shared" si="14"/>
        <v>-243750</v>
      </c>
      <c r="L132" s="154">
        <f t="shared" si="14"/>
        <v>-903459.97</v>
      </c>
      <c r="M132" s="199">
        <f t="shared" si="12"/>
        <v>-5.773898527716792E-2</v>
      </c>
    </row>
    <row r="133" spans="5:13" x14ac:dyDescent="0.45">
      <c r="E133" s="154" t="s">
        <v>701</v>
      </c>
      <c r="F133" s="154">
        <f t="shared" si="14"/>
        <v>2525881.2500000149</v>
      </c>
      <c r="G133" s="154">
        <f t="shared" si="14"/>
        <v>882265.69000000134</v>
      </c>
      <c r="H133" s="154">
        <f t="shared" si="14"/>
        <v>0</v>
      </c>
      <c r="I133" s="154">
        <f t="shared" si="14"/>
        <v>-616951.8200000003</v>
      </c>
      <c r="J133" s="154">
        <f t="shared" si="14"/>
        <v>0</v>
      </c>
      <c r="K133" s="154">
        <f t="shared" si="14"/>
        <v>-443737.1799999997</v>
      </c>
      <c r="L133" s="154">
        <f t="shared" si="14"/>
        <v>-699164.61000000034</v>
      </c>
      <c r="M133" s="199">
        <f t="shared" si="12"/>
        <v>-0.41056399732609838</v>
      </c>
    </row>
    <row r="134" spans="5:13" x14ac:dyDescent="0.45">
      <c r="E134" s="154" t="s">
        <v>606</v>
      </c>
      <c r="F134" s="154">
        <f t="shared" si="14"/>
        <v>1274423.5200000033</v>
      </c>
      <c r="G134" s="154">
        <f t="shared" si="14"/>
        <v>87302.51999999769</v>
      </c>
      <c r="H134" s="154">
        <f t="shared" si="14"/>
        <v>474375.37999999989</v>
      </c>
      <c r="I134" s="154">
        <f t="shared" si="14"/>
        <v>-175000</v>
      </c>
      <c r="J134" s="154">
        <f t="shared" si="14"/>
        <v>0</v>
      </c>
      <c r="K134" s="154">
        <f t="shared" si="14"/>
        <v>133304.38154712692</v>
      </c>
      <c r="L134" s="154">
        <f t="shared" si="14"/>
        <v>-1828.210000000021</v>
      </c>
      <c r="M134" s="199">
        <f t="shared" si="12"/>
        <v>6.1217086097009599E-3</v>
      </c>
    </row>
    <row r="135" spans="5:13" x14ac:dyDescent="0.45">
      <c r="E135" s="154" t="s">
        <v>707</v>
      </c>
      <c r="F135" s="154">
        <f t="shared" si="14"/>
        <v>-351204</v>
      </c>
      <c r="G135" s="154">
        <f t="shared" si="14"/>
        <v>859122</v>
      </c>
      <c r="H135" s="154">
        <f t="shared" si="14"/>
        <v>0</v>
      </c>
      <c r="I135" s="154">
        <f t="shared" si="14"/>
        <v>4300000.00476282</v>
      </c>
      <c r="J135" s="154">
        <f t="shared" si="14"/>
        <v>0</v>
      </c>
      <c r="K135" s="154">
        <f t="shared" si="14"/>
        <v>4165625.0047628395</v>
      </c>
      <c r="L135" s="154">
        <f t="shared" si="14"/>
        <v>1889351</v>
      </c>
      <c r="M135" s="199">
        <f t="shared" si="12"/>
        <v>0.44743171665692394</v>
      </c>
    </row>
    <row r="136" spans="5:13" x14ac:dyDescent="0.45">
      <c r="E136" s="154" t="s">
        <v>458</v>
      </c>
      <c r="F136" s="154">
        <f t="shared" si="14"/>
        <v>0</v>
      </c>
      <c r="G136" s="154">
        <f t="shared" si="14"/>
        <v>0</v>
      </c>
      <c r="H136" s="154">
        <f t="shared" si="14"/>
        <v>0</v>
      </c>
      <c r="I136" s="154">
        <f t="shared" si="14"/>
        <v>0</v>
      </c>
      <c r="J136" s="154">
        <f t="shared" si="14"/>
        <v>0</v>
      </c>
      <c r="K136" s="154">
        <f t="shared" si="14"/>
        <v>43798997.529379718</v>
      </c>
      <c r="L136" s="154">
        <f t="shared" si="14"/>
        <v>0</v>
      </c>
      <c r="M136" s="199" t="str">
        <f t="shared" si="12"/>
        <v>N/A</v>
      </c>
    </row>
    <row r="137" spans="5:13" x14ac:dyDescent="0.45">
      <c r="E137" s="154" t="s">
        <v>702</v>
      </c>
      <c r="F137" s="154">
        <f t="shared" si="14"/>
        <v>1970833.6500000134</v>
      </c>
      <c r="G137" s="154">
        <f t="shared" si="14"/>
        <v>1061995.46</v>
      </c>
      <c r="H137" s="154">
        <f t="shared" si="14"/>
        <v>-1300000</v>
      </c>
      <c r="I137" s="154">
        <f t="shared" si="14"/>
        <v>0</v>
      </c>
      <c r="J137" s="154">
        <f t="shared" si="14"/>
        <v>0</v>
      </c>
      <c r="K137" s="154">
        <f t="shared" si="14"/>
        <v>82703.009248199873</v>
      </c>
      <c r="L137" s="154">
        <f t="shared" si="14"/>
        <v>-571347.7799999998</v>
      </c>
      <c r="M137" s="199">
        <f t="shared" si="12"/>
        <v>-0.3390167224496432</v>
      </c>
    </row>
    <row r="138" spans="5:13" x14ac:dyDescent="0.45">
      <c r="E138" s="154" t="s">
        <v>602</v>
      </c>
      <c r="F138" s="154">
        <f t="shared" si="14"/>
        <v>0</v>
      </c>
      <c r="G138" s="154">
        <f t="shared" si="14"/>
        <v>0</v>
      </c>
      <c r="H138" s="154">
        <f t="shared" si="14"/>
        <v>0</v>
      </c>
      <c r="I138" s="154">
        <f t="shared" si="14"/>
        <v>0</v>
      </c>
      <c r="J138" s="154">
        <f t="shared" si="14"/>
        <v>0</v>
      </c>
      <c r="K138" s="154">
        <f t="shared" si="14"/>
        <v>-9250.0000074878335</v>
      </c>
      <c r="L138" s="154">
        <f t="shared" si="14"/>
        <v>0</v>
      </c>
      <c r="M138" s="199">
        <f t="shared" si="12"/>
        <v>-4.9681584054583894E-4</v>
      </c>
    </row>
    <row r="139" spans="5:13" x14ac:dyDescent="0.45">
      <c r="E139" s="154" t="s">
        <v>624</v>
      </c>
      <c r="F139" s="154">
        <f t="shared" si="14"/>
        <v>0</v>
      </c>
      <c r="G139" s="154">
        <f t="shared" si="14"/>
        <v>0</v>
      </c>
      <c r="H139" s="154">
        <f t="shared" si="14"/>
        <v>0</v>
      </c>
      <c r="I139" s="154">
        <f t="shared" si="14"/>
        <v>0</v>
      </c>
      <c r="J139" s="154">
        <f t="shared" si="14"/>
        <v>0</v>
      </c>
      <c r="K139" s="154">
        <f t="shared" si="14"/>
        <v>93728.282145150006</v>
      </c>
      <c r="L139" s="154">
        <f t="shared" si="14"/>
        <v>0</v>
      </c>
      <c r="M139" s="199">
        <f t="shared" si="12"/>
        <v>4.4275780703669554E-2</v>
      </c>
    </row>
    <row r="140" spans="5:13" x14ac:dyDescent="0.45">
      <c r="E140" s="154" t="s">
        <v>603</v>
      </c>
      <c r="F140" s="154">
        <f t="shared" ref="F140:L149" si="15">F33-F97</f>
        <v>-1619000</v>
      </c>
      <c r="G140" s="154">
        <f t="shared" si="15"/>
        <v>-2204000</v>
      </c>
      <c r="H140" s="154">
        <f t="shared" si="15"/>
        <v>2766000</v>
      </c>
      <c r="I140" s="154">
        <f t="shared" si="15"/>
        <v>0</v>
      </c>
      <c r="J140" s="154">
        <f t="shared" si="15"/>
        <v>0</v>
      </c>
      <c r="K140" s="154">
        <f t="shared" si="15"/>
        <v>-712079.59273910522</v>
      </c>
      <c r="L140" s="154">
        <f t="shared" si="15"/>
        <v>124000</v>
      </c>
      <c r="M140" s="199">
        <f t="shared" si="12"/>
        <v>0.77822984334340539</v>
      </c>
    </row>
    <row r="141" spans="5:13" x14ac:dyDescent="0.45">
      <c r="E141" s="154" t="s">
        <v>623</v>
      </c>
      <c r="F141" s="154">
        <f t="shared" si="15"/>
        <v>173376.4141280055</v>
      </c>
      <c r="G141" s="154">
        <f t="shared" si="15"/>
        <v>-3001329.0570770204</v>
      </c>
      <c r="H141" s="154">
        <f t="shared" si="15"/>
        <v>0</v>
      </c>
      <c r="I141" s="154">
        <f t="shared" si="15"/>
        <v>-1256563</v>
      </c>
      <c r="J141" s="154">
        <f t="shared" si="15"/>
        <v>0</v>
      </c>
      <c r="K141" s="154">
        <f t="shared" si="15"/>
        <v>177267.29437090456</v>
      </c>
      <c r="L141" s="154">
        <f t="shared" si="15"/>
        <v>952612.02669200068</v>
      </c>
      <c r="M141" s="199">
        <f t="shared" si="12"/>
        <v>0.97778672638196795</v>
      </c>
    </row>
    <row r="142" spans="5:13" x14ac:dyDescent="0.45">
      <c r="E142" s="154" t="s">
        <v>700</v>
      </c>
      <c r="F142" s="154">
        <f t="shared" si="15"/>
        <v>278464</v>
      </c>
      <c r="G142" s="154">
        <f t="shared" si="15"/>
        <v>-924789.50999999978</v>
      </c>
      <c r="H142" s="154">
        <f t="shared" si="15"/>
        <v>400000</v>
      </c>
      <c r="I142" s="154">
        <f t="shared" si="15"/>
        <v>0</v>
      </c>
      <c r="J142" s="154">
        <f t="shared" si="15"/>
        <v>-78552.233083300292</v>
      </c>
      <c r="K142" s="154">
        <f t="shared" si="15"/>
        <v>-61447.768750000745</v>
      </c>
      <c r="L142" s="154">
        <f t="shared" si="15"/>
        <v>-79755.520000000019</v>
      </c>
      <c r="M142" s="199">
        <f t="shared" si="12"/>
        <v>0.22544242101121315</v>
      </c>
    </row>
    <row r="143" spans="5:13" x14ac:dyDescent="0.45">
      <c r="E143" s="154" t="s">
        <v>598</v>
      </c>
      <c r="F143" s="154">
        <f t="shared" si="15"/>
        <v>639272.06000000238</v>
      </c>
      <c r="G143" s="154">
        <f t="shared" si="15"/>
        <v>154916.14999999991</v>
      </c>
      <c r="H143" s="154">
        <f t="shared" si="15"/>
        <v>0</v>
      </c>
      <c r="I143" s="154">
        <f t="shared" si="15"/>
        <v>-250000</v>
      </c>
      <c r="J143" s="154">
        <f t="shared" si="15"/>
        <v>0</v>
      </c>
      <c r="K143" s="154">
        <f t="shared" si="15"/>
        <v>0</v>
      </c>
      <c r="L143" s="154">
        <f t="shared" si="15"/>
        <v>-91313.310000000056</v>
      </c>
      <c r="M143" s="199">
        <f t="shared" si="12"/>
        <v>-0.61008502938277775</v>
      </c>
    </row>
    <row r="144" spans="5:13" x14ac:dyDescent="0.45">
      <c r="E144" s="154" t="s">
        <v>704</v>
      </c>
      <c r="F144" s="154">
        <f t="shared" si="15"/>
        <v>269581.37585121393</v>
      </c>
      <c r="G144" s="154">
        <f t="shared" si="15"/>
        <v>1536996.7099999897</v>
      </c>
      <c r="H144" s="154">
        <f t="shared" si="15"/>
        <v>1298612.7799999993</v>
      </c>
      <c r="I144" s="154">
        <f t="shared" si="15"/>
        <v>-224125</v>
      </c>
      <c r="J144" s="154">
        <f t="shared" si="15"/>
        <v>0</v>
      </c>
      <c r="K144" s="154">
        <f t="shared" si="15"/>
        <v>6129999.9950000122</v>
      </c>
      <c r="L144" s="154">
        <f t="shared" si="15"/>
        <v>596479.19999999995</v>
      </c>
      <c r="M144" s="199">
        <f t="shared" si="12"/>
        <v>0.1398681137170632</v>
      </c>
    </row>
    <row r="145" spans="2:15" x14ac:dyDescent="0.45">
      <c r="E145" s="154" t="s">
        <v>703</v>
      </c>
      <c r="F145" s="154">
        <f t="shared" si="15"/>
        <v>-4254402.799999997</v>
      </c>
      <c r="G145" s="154">
        <f t="shared" si="15"/>
        <v>-204407.1999999918</v>
      </c>
      <c r="H145" s="154">
        <f t="shared" si="15"/>
        <v>0</v>
      </c>
      <c r="I145" s="154">
        <f t="shared" si="15"/>
        <v>-287796.875</v>
      </c>
      <c r="J145" s="154">
        <f t="shared" si="15"/>
        <v>0</v>
      </c>
      <c r="K145" s="154">
        <f t="shared" si="15"/>
        <v>0</v>
      </c>
      <c r="L145" s="154">
        <f t="shared" si="15"/>
        <v>1543837</v>
      </c>
      <c r="M145" s="199">
        <f t="shared" si="12"/>
        <v>-0.10279042547694212</v>
      </c>
    </row>
    <row r="146" spans="2:15" x14ac:dyDescent="0.45">
      <c r="E146" s="154" t="s">
        <v>708</v>
      </c>
      <c r="F146" s="154">
        <f t="shared" si="15"/>
        <v>210840543.79999995</v>
      </c>
      <c r="G146" s="154">
        <f t="shared" si="15"/>
        <v>15747192.612689629</v>
      </c>
      <c r="H146" s="154">
        <f t="shared" si="15"/>
        <v>0</v>
      </c>
      <c r="I146" s="154">
        <f t="shared" si="15"/>
        <v>21993672.45668751</v>
      </c>
      <c r="J146" s="154">
        <f t="shared" si="15"/>
        <v>3561716.7911249995</v>
      </c>
      <c r="K146" s="154">
        <f t="shared" si="15"/>
        <v>576616.90112500079</v>
      </c>
      <c r="L146" s="154">
        <f t="shared" si="15"/>
        <v>3083347</v>
      </c>
      <c r="M146" s="199">
        <f t="shared" si="12"/>
        <v>-0.31009079364971148</v>
      </c>
    </row>
    <row r="147" spans="2:15" x14ac:dyDescent="0.45">
      <c r="E147" s="154" t="s">
        <v>709</v>
      </c>
      <c r="F147" s="154">
        <f t="shared" si="15"/>
        <v>0</v>
      </c>
      <c r="G147" s="154">
        <f t="shared" si="15"/>
        <v>0</v>
      </c>
      <c r="H147" s="154">
        <f t="shared" si="15"/>
        <v>0</v>
      </c>
      <c r="I147" s="154">
        <f t="shared" si="15"/>
        <v>0</v>
      </c>
      <c r="J147" s="154">
        <f t="shared" si="15"/>
        <v>0</v>
      </c>
      <c r="K147" s="154">
        <f t="shared" si="15"/>
        <v>894817.12298686244</v>
      </c>
      <c r="L147" s="154">
        <f t="shared" si="15"/>
        <v>0</v>
      </c>
      <c r="M147" s="199">
        <f t="shared" si="12"/>
        <v>5.8873420816287769E-3</v>
      </c>
    </row>
    <row r="148" spans="2:15" x14ac:dyDescent="0.45">
      <c r="E148" s="154" t="s">
        <v>705</v>
      </c>
      <c r="F148" s="154">
        <f t="shared" si="15"/>
        <v>-7516512.5700000226</v>
      </c>
      <c r="G148" s="154">
        <f t="shared" si="15"/>
        <v>-1685708.0526935421</v>
      </c>
      <c r="H148" s="154">
        <f t="shared" si="15"/>
        <v>1500000</v>
      </c>
      <c r="I148" s="154">
        <f t="shared" si="15"/>
        <v>-750000</v>
      </c>
      <c r="J148" s="154">
        <f t="shared" si="15"/>
        <v>0</v>
      </c>
      <c r="K148" s="154">
        <f t="shared" si="15"/>
        <v>0</v>
      </c>
      <c r="L148" s="154">
        <f t="shared" si="15"/>
        <v>540343</v>
      </c>
      <c r="M148" s="199">
        <f t="shared" si="12"/>
        <v>0.17608747695383853</v>
      </c>
    </row>
    <row r="149" spans="2:15" x14ac:dyDescent="0.45">
      <c r="E149" s="154" t="s">
        <v>711</v>
      </c>
      <c r="F149" s="154">
        <f t="shared" si="15"/>
        <v>0</v>
      </c>
      <c r="G149" s="154">
        <f t="shared" si="15"/>
        <v>0</v>
      </c>
      <c r="H149" s="154">
        <f t="shared" si="15"/>
        <v>0</v>
      </c>
      <c r="I149" s="154">
        <f t="shared" si="15"/>
        <v>0</v>
      </c>
      <c r="J149" s="154">
        <f t="shared" si="15"/>
        <v>0</v>
      </c>
      <c r="K149" s="154">
        <f t="shared" si="15"/>
        <v>0</v>
      </c>
      <c r="L149" s="154">
        <f t="shared" si="15"/>
        <v>0</v>
      </c>
      <c r="M149" s="199">
        <f t="shared" si="12"/>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147088763.19611225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Fill Required Fields</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c r="C14" s="770"/>
      <c r="D14" t="s">
        <v>1209</v>
      </c>
      <c r="K14" t="s">
        <v>1210</v>
      </c>
      <c r="Z14" s="753" t="s">
        <v>322</v>
      </c>
    </row>
    <row r="15" spans="1:26" x14ac:dyDescent="0.45">
      <c r="A15" s="671" t="s">
        <v>1211</v>
      </c>
      <c r="B15" s="770"/>
      <c r="C15" s="770"/>
      <c r="D15" t="s">
        <v>1212</v>
      </c>
      <c r="K15" t="s">
        <v>1213</v>
      </c>
      <c r="Z15" s="753" t="s">
        <v>323</v>
      </c>
    </row>
    <row r="16" spans="1:26" x14ac:dyDescent="0.45">
      <c r="A16" s="671" t="s">
        <v>1214</v>
      </c>
      <c r="B16" s="770"/>
      <c r="C16" s="770"/>
      <c r="D16" t="s">
        <v>1215</v>
      </c>
      <c r="J16" t="s">
        <v>1216</v>
      </c>
      <c r="K16" t="s">
        <v>1217</v>
      </c>
      <c r="Z16" s="753" t="s">
        <v>324</v>
      </c>
    </row>
    <row r="17" spans="1:26" x14ac:dyDescent="0.45">
      <c r="A17" s="671" t="s">
        <v>1218</v>
      </c>
      <c r="B17" s="770"/>
      <c r="C17" s="770"/>
      <c r="D17" t="s">
        <v>1215</v>
      </c>
      <c r="K17" t="s">
        <v>1219</v>
      </c>
      <c r="Z17" s="753" t="s">
        <v>325</v>
      </c>
    </row>
    <row r="18" spans="1:26" x14ac:dyDescent="0.45">
      <c r="A18" s="671" t="s">
        <v>1220</v>
      </c>
      <c r="B18" s="770"/>
      <c r="C18" s="770"/>
      <c r="D18" t="s">
        <v>1221</v>
      </c>
      <c r="Z18" s="753" t="s">
        <v>326</v>
      </c>
    </row>
    <row r="19" spans="1:26" x14ac:dyDescent="0.45">
      <c r="A19" s="752" t="s">
        <v>1222</v>
      </c>
      <c r="B19" s="770"/>
      <c r="C19" s="770"/>
      <c r="D19" t="s">
        <v>1223</v>
      </c>
      <c r="J19" s="813" t="s">
        <v>1224</v>
      </c>
      <c r="Z19" s="753" t="s">
        <v>327</v>
      </c>
    </row>
    <row r="20" spans="1:26" x14ac:dyDescent="0.45">
      <c r="A20" s="671" t="s">
        <v>1225</v>
      </c>
      <c r="B20" s="770"/>
      <c r="C20" s="770"/>
      <c r="D20" t="s">
        <v>1226</v>
      </c>
      <c r="J20" t="s">
        <v>1190</v>
      </c>
      <c r="K20" t="s">
        <v>1227</v>
      </c>
      <c r="Z20" s="753" t="s">
        <v>328</v>
      </c>
    </row>
    <row r="21" spans="1:26" x14ac:dyDescent="0.45">
      <c r="A21" s="671" t="s">
        <v>1228</v>
      </c>
      <c r="B21" s="770"/>
      <c r="C21" s="770"/>
      <c r="D21" t="s">
        <v>1229</v>
      </c>
      <c r="K21" t="s">
        <v>1230</v>
      </c>
      <c r="Z21" s="753" t="s">
        <v>329</v>
      </c>
    </row>
    <row r="22" spans="1:26" x14ac:dyDescent="0.45">
      <c r="A22" s="671" t="s">
        <v>1231</v>
      </c>
      <c r="B22" s="771"/>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c r="C31" s="773"/>
      <c r="D31" t="s">
        <v>1246</v>
      </c>
      <c r="K31" t="s">
        <v>1247</v>
      </c>
      <c r="Z31" s="753" t="s">
        <v>339</v>
      </c>
    </row>
    <row r="32" spans="1:26" x14ac:dyDescent="0.45">
      <c r="A32" s="671" t="s">
        <v>1248</v>
      </c>
      <c r="B32" s="773"/>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c r="C37" s="772"/>
      <c r="D37" t="s">
        <v>1262</v>
      </c>
      <c r="Z37" s="753" t="s">
        <v>345</v>
      </c>
    </row>
    <row r="38" spans="1:26" x14ac:dyDescent="0.45">
      <c r="A38" s="671" t="s">
        <v>1263</v>
      </c>
      <c r="B38" s="772"/>
      <c r="C38" s="772"/>
      <c r="D38" t="s">
        <v>1264</v>
      </c>
      <c r="Z38" s="753" t="s">
        <v>346</v>
      </c>
    </row>
    <row r="39" spans="1:26" x14ac:dyDescent="0.45">
      <c r="A39" s="671" t="s">
        <v>1265</v>
      </c>
      <c r="B39" s="771"/>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147088763.19611225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0</v>
      </c>
      <c r="C64" s="819"/>
      <c r="D64" s="818" t="s">
        <v>1283</v>
      </c>
      <c r="Z64" s="753" t="s">
        <v>372</v>
      </c>
    </row>
    <row r="65" spans="1:26" x14ac:dyDescent="0.45">
      <c r="A65" s="759" t="s">
        <v>1284</v>
      </c>
      <c r="B65" s="760" t="str">
        <f>IF(B20&gt;0,B19/B20,"")</f>
        <v/>
      </c>
      <c r="C65" s="760"/>
      <c r="D65" t="s">
        <v>1285</v>
      </c>
      <c r="Z65" s="753" t="s">
        <v>373</v>
      </c>
    </row>
    <row r="66" spans="1:26" x14ac:dyDescent="0.45">
      <c r="A66" s="818" t="s">
        <v>1286</v>
      </c>
      <c r="B66" s="820" t="str">
        <f>IF(B15&gt;0,(B16+B17+B18+B20-B21)/B15,"")</f>
        <v/>
      </c>
      <c r="C66" s="820"/>
      <c r="D66" s="818" t="s">
        <v>1287</v>
      </c>
      <c r="Z66" s="753" t="s">
        <v>374</v>
      </c>
    </row>
    <row r="67" spans="1:26" x14ac:dyDescent="0.45">
      <c r="A67" s="759" t="s">
        <v>688</v>
      </c>
      <c r="B67" s="761" t="str">
        <f>IF(B15&gt;0,(B16+B17+B18+B20-B21)/B15,"")</f>
        <v/>
      </c>
      <c r="C67" s="761"/>
      <c r="D67" t="s">
        <v>1288</v>
      </c>
      <c r="Z67" s="753" t="s">
        <v>375</v>
      </c>
    </row>
    <row r="68" spans="1:26" x14ac:dyDescent="0.45">
      <c r="A68" s="818" t="s">
        <v>689</v>
      </c>
      <c r="B68" s="820" t="str">
        <f>IF(B15&gt;0,(B16+B17-B21)/B15,"")</f>
        <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2026-03-10T21:09:38Z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