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57" documentId="8_{728216CD-0535-40AE-BBA3-1EE4D34659AC}" xr6:coauthVersionLast="47" xr6:coauthVersionMax="47" xr10:uidLastSave="{0DFC433B-7177-4815-AD60-685CBC5E66A7}"/>
  <bookViews>
    <workbookView xWindow="1103" yWindow="1103" windowWidth="16200" windowHeight="9307" tabRatio="872" firstSheet="7"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50" i="2" l="1"/>
  <c r="HK50" i="2"/>
  <c r="HJ50" i="2"/>
  <c r="HI50" i="2"/>
  <c r="HH50" i="2"/>
  <c r="HF50" i="2"/>
  <c r="HA50" i="2"/>
  <c r="HB50" i="2" s="1"/>
  <c r="GV50" i="2"/>
  <c r="GW50" i="2" s="1"/>
  <c r="EF50" i="2"/>
  <c r="N50" i="2"/>
  <c r="F50" i="2"/>
  <c r="BI46" i="8"/>
  <c r="BF46" i="8"/>
  <c r="AZ46" i="8"/>
  <c r="BA46" i="8" s="1"/>
  <c r="AY46" i="8"/>
  <c r="AW46" i="8"/>
  <c r="S46" i="8"/>
  <c r="M46" i="8"/>
  <c r="AQ46" i="8" s="1"/>
  <c r="N43" i="9"/>
  <c r="BJ46" i="8" s="1"/>
  <c r="M43" i="9"/>
  <c r="BC46" i="8" s="1"/>
  <c r="BD46" i="8" s="1"/>
  <c r="I89" i="14"/>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D50" i="9" s="1"/>
  <c r="M44" i="8" s="1"/>
  <c r="N50" i="9"/>
  <c r="M50" i="9"/>
  <c r="BI44" i="8" s="1"/>
  <c r="V49" i="9"/>
  <c r="V48" i="9"/>
  <c r="V47" i="9"/>
  <c r="V46" i="9"/>
  <c r="V45" i="9"/>
  <c r="V44" i="9"/>
  <c r="V43" i="9"/>
  <c r="AA42" i="9"/>
  <c r="V42" i="9"/>
  <c r="D42" i="9" s="1"/>
  <c r="E42" i="9" s="1"/>
  <c r="S45" i="8" s="1"/>
  <c r="N42" i="9"/>
  <c r="BJ45" i="8" s="1"/>
  <c r="M42" i="9"/>
  <c r="M149" i="9" s="1"/>
  <c r="AA41" i="9"/>
  <c r="V41" i="9"/>
  <c r="D41" i="9" s="1"/>
  <c r="N41" i="9"/>
  <c r="BJ38" i="8" s="1"/>
  <c r="M41" i="9"/>
  <c r="AA40" i="9"/>
  <c r="V40" i="9"/>
  <c r="D40" i="9" s="1"/>
  <c r="N40" i="9"/>
  <c r="BJ43" i="8" s="1"/>
  <c r="M40" i="9"/>
  <c r="BC43" i="8" s="1"/>
  <c r="BD43" i="8" s="1"/>
  <c r="AA39" i="9"/>
  <c r="V39" i="9"/>
  <c r="D39" i="9" s="1"/>
  <c r="N39" i="9"/>
  <c r="BJ42" i="8" s="1"/>
  <c r="M39" i="9"/>
  <c r="AA38" i="9"/>
  <c r="V38" i="9"/>
  <c r="D38" i="9" s="1"/>
  <c r="M26" i="8" s="1"/>
  <c r="N38" i="9"/>
  <c r="M38" i="9"/>
  <c r="M145" i="9" s="1"/>
  <c r="AA37" i="9"/>
  <c r="V37" i="9"/>
  <c r="D37" i="9" s="1"/>
  <c r="N37" i="9"/>
  <c r="M37" i="9"/>
  <c r="BC36" i="8" s="1"/>
  <c r="BD36" i="8" s="1"/>
  <c r="AA36" i="9"/>
  <c r="V36" i="9"/>
  <c r="D36" i="9" s="1"/>
  <c r="N36" i="9"/>
  <c r="M36" i="9"/>
  <c r="AA35" i="9"/>
  <c r="V35" i="9"/>
  <c r="D35" i="9" s="1"/>
  <c r="E35" i="9" s="1"/>
  <c r="S21" i="8" s="1"/>
  <c r="N35" i="9"/>
  <c r="M35" i="9"/>
  <c r="BC21" i="8" s="1"/>
  <c r="BD21" i="8" s="1"/>
  <c r="AA34" i="9"/>
  <c r="V34" i="9"/>
  <c r="N34" i="9"/>
  <c r="M34" i="9"/>
  <c r="M141" i="9" s="1"/>
  <c r="D34" i="9"/>
  <c r="E34" i="9" s="1"/>
  <c r="S13" i="8" s="1"/>
  <c r="AA33" i="9"/>
  <c r="V33" i="9"/>
  <c r="D33" i="9" s="1"/>
  <c r="N33" i="9"/>
  <c r="BJ27" i="8" s="1"/>
  <c r="M33" i="9"/>
  <c r="M140" i="9" s="1"/>
  <c r="AA32" i="9"/>
  <c r="V32" i="9"/>
  <c r="D32" i="9" s="1"/>
  <c r="N32" i="9"/>
  <c r="BJ25" i="8" s="1"/>
  <c r="M32" i="9"/>
  <c r="BI25" i="8" s="1"/>
  <c r="AA31" i="9"/>
  <c r="V31" i="9"/>
  <c r="D31" i="9" s="1"/>
  <c r="N31" i="9"/>
  <c r="M31" i="9"/>
  <c r="AA30" i="9"/>
  <c r="V30" i="9"/>
  <c r="D30" i="9" s="1"/>
  <c r="M23" i="8" s="1"/>
  <c r="N30" i="9"/>
  <c r="BJ23" i="8" s="1"/>
  <c r="M30" i="9"/>
  <c r="M137" i="9" s="1"/>
  <c r="AA29" i="9"/>
  <c r="V29" i="9"/>
  <c r="D29" i="9" s="1"/>
  <c r="N29" i="9"/>
  <c r="BJ6" i="8" s="1"/>
  <c r="M29" i="9"/>
  <c r="AA28" i="9"/>
  <c r="V28" i="9"/>
  <c r="D28" i="9" s="1"/>
  <c r="M28" i="9"/>
  <c r="BC41" i="8" s="1"/>
  <c r="BD41" i="8" s="1"/>
  <c r="AA27" i="9"/>
  <c r="V27" i="9"/>
  <c r="D27" i="9" s="1"/>
  <c r="N27" i="9"/>
  <c r="BJ37" i="8" s="1"/>
  <c r="M27" i="9"/>
  <c r="BI37" i="8" s="1"/>
  <c r="AA26" i="9"/>
  <c r="V26" i="9"/>
  <c r="D26" i="9" s="1"/>
  <c r="N26" i="9"/>
  <c r="M26" i="9"/>
  <c r="M133" i="9" s="1"/>
  <c r="AA25" i="9"/>
  <c r="V25" i="9"/>
  <c r="D25" i="9" s="1"/>
  <c r="M31" i="8" s="1"/>
  <c r="N25" i="9"/>
  <c r="M25" i="9"/>
  <c r="M132" i="9" s="1"/>
  <c r="AA24" i="9"/>
  <c r="V24" i="9"/>
  <c r="D24" i="9" s="1"/>
  <c r="E24" i="9" s="1"/>
  <c r="S17" i="8" s="1"/>
  <c r="N24" i="9"/>
  <c r="BJ17" i="8" s="1"/>
  <c r="AA23" i="9"/>
  <c r="V23" i="9"/>
  <c r="D23" i="9" s="1"/>
  <c r="N23" i="9"/>
  <c r="BJ7" i="8" s="1"/>
  <c r="M23" i="9"/>
  <c r="BC7" i="8" s="1"/>
  <c r="BD7" i="8" s="1"/>
  <c r="AA22" i="9"/>
  <c r="V22" i="9"/>
  <c r="D22" i="9" s="1"/>
  <c r="N22" i="9"/>
  <c r="BJ14" i="8" s="1"/>
  <c r="M22" i="9"/>
  <c r="M129" i="9" s="1"/>
  <c r="AA21" i="9"/>
  <c r="V21" i="9"/>
  <c r="D21" i="9" s="1"/>
  <c r="N21" i="9"/>
  <c r="BJ33" i="8" s="1"/>
  <c r="M21" i="9"/>
  <c r="BC33" i="8" s="1"/>
  <c r="BD33" i="8" s="1"/>
  <c r="AA20" i="9"/>
  <c r="V20" i="9"/>
  <c r="D20" i="9" s="1"/>
  <c r="M8" i="8" s="1"/>
  <c r="N20" i="9"/>
  <c r="BJ8" i="8" s="1"/>
  <c r="M20" i="9"/>
  <c r="AA19" i="9"/>
  <c r="V19" i="9"/>
  <c r="D19" i="9" s="1"/>
  <c r="N19" i="9"/>
  <c r="M19" i="9"/>
  <c r="M126" i="9" s="1"/>
  <c r="AA18" i="9"/>
  <c r="V18" i="9"/>
  <c r="D18" i="9" s="1"/>
  <c r="N18" i="9"/>
  <c r="M18" i="9"/>
  <c r="M125" i="9" s="1"/>
  <c r="AA17" i="9"/>
  <c r="V17" i="9"/>
  <c r="D17" i="9" s="1"/>
  <c r="M17" i="9"/>
  <c r="AA16" i="9"/>
  <c r="V16" i="9"/>
  <c r="D16" i="9" s="1"/>
  <c r="N16" i="9"/>
  <c r="BJ16" i="8" s="1"/>
  <c r="M16" i="9"/>
  <c r="AA15" i="9"/>
  <c r="V15" i="9"/>
  <c r="D15" i="9" s="1"/>
  <c r="M35" i="8" s="1"/>
  <c r="N15" i="9"/>
  <c r="BJ35" i="8" s="1"/>
  <c r="M15" i="9"/>
  <c r="M122" i="9" s="1"/>
  <c r="AA14" i="9"/>
  <c r="V14" i="9"/>
  <c r="D14" i="9" s="1"/>
  <c r="N14" i="9"/>
  <c r="M14" i="9"/>
  <c r="M121" i="9" s="1"/>
  <c r="AA13" i="9"/>
  <c r="V13" i="9"/>
  <c r="D13" i="9" s="1"/>
  <c r="N13" i="9"/>
  <c r="M13" i="9"/>
  <c r="AA12" i="9"/>
  <c r="V12" i="9"/>
  <c r="D12" i="9" s="1"/>
  <c r="E12" i="9" s="1"/>
  <c r="S28" i="8" s="1"/>
  <c r="N12" i="9"/>
  <c r="M12" i="9"/>
  <c r="BC28" i="8" s="1"/>
  <c r="BD28" i="8" s="1"/>
  <c r="AA11" i="9"/>
  <c r="V11" i="9"/>
  <c r="N11" i="9"/>
  <c r="M11" i="9"/>
  <c r="BI39" i="8" s="1"/>
  <c r="D11" i="9"/>
  <c r="E11" i="9" s="1"/>
  <c r="S39" i="8" s="1"/>
  <c r="AA10" i="9"/>
  <c r="V10" i="9"/>
  <c r="D10" i="9" s="1"/>
  <c r="N10" i="9"/>
  <c r="BJ11" i="8" s="1"/>
  <c r="M10" i="9"/>
  <c r="M117" i="9" s="1"/>
  <c r="AA9" i="9"/>
  <c r="U9" i="9"/>
  <c r="N9" i="9"/>
  <c r="BJ12" i="8" s="1"/>
  <c r="M9" i="9"/>
  <c r="AA8" i="9"/>
  <c r="V8" i="9"/>
  <c r="D8" i="9" s="1"/>
  <c r="N8" i="9"/>
  <c r="BJ5" i="8" s="1"/>
  <c r="DI9" i="2" s="1"/>
  <c r="AA7" i="9"/>
  <c r="V7" i="9"/>
  <c r="D7" i="9" s="1"/>
  <c r="N7" i="9"/>
  <c r="BJ30" i="8" s="1"/>
  <c r="M7" i="9"/>
  <c r="BI30" i="8" s="1"/>
  <c r="AA6" i="9"/>
  <c r="V6" i="9"/>
  <c r="D6" i="9" s="1"/>
  <c r="N6" i="9"/>
  <c r="M6" i="9"/>
  <c r="M113" i="9" s="1"/>
  <c r="AA5" i="9"/>
  <c r="V5" i="9"/>
  <c r="N5" i="9"/>
  <c r="M5" i="9"/>
  <c r="M112" i="9" s="1"/>
  <c r="D5" i="9"/>
  <c r="M19" i="8" s="1"/>
  <c r="AA4" i="9"/>
  <c r="V4" i="9"/>
  <c r="D4" i="9" s="1"/>
  <c r="N4" i="9"/>
  <c r="M4" i="9"/>
  <c r="M111" i="9" s="1"/>
  <c r="AA3" i="9"/>
  <c r="V3" i="9"/>
  <c r="D3" i="9" s="1"/>
  <c r="M29" i="8" s="1"/>
  <c r="N3" i="9"/>
  <c r="BJ29" i="8" s="1"/>
  <c r="M3" i="9"/>
  <c r="BC29" i="8" s="1"/>
  <c r="BD29" i="8" s="1"/>
  <c r="BF45" i="8"/>
  <c r="BC45" i="8"/>
  <c r="BD45" i="8" s="1"/>
  <c r="AZ45" i="8"/>
  <c r="BA45" i="8" s="1"/>
  <c r="AY45" i="8"/>
  <c r="AW45" i="8"/>
  <c r="BJ44" i="8"/>
  <c r="BF44" i="8"/>
  <c r="AZ44" i="8"/>
  <c r="BA44" i="8" s="1"/>
  <c r="AY44" i="8"/>
  <c r="AW44" i="8"/>
  <c r="BI43" i="8"/>
  <c r="BF43" i="8"/>
  <c r="AZ43" i="8"/>
  <c r="BA43" i="8" s="1"/>
  <c r="AY43" i="8"/>
  <c r="AW43" i="8"/>
  <c r="BI42" i="8"/>
  <c r="BF42" i="8"/>
  <c r="BC42" i="8"/>
  <c r="BD42" i="8" s="1"/>
  <c r="AZ42" i="8"/>
  <c r="BA42" i="8" s="1"/>
  <c r="AY42" i="8"/>
  <c r="AW42" i="8"/>
  <c r="BJ41" i="8"/>
  <c r="BF41" i="8"/>
  <c r="AZ41" i="8"/>
  <c r="BA41" i="8" s="1"/>
  <c r="AY41" i="8"/>
  <c r="AW41" i="8"/>
  <c r="BJ40" i="8"/>
  <c r="BI40" i="8"/>
  <c r="BF40" i="8"/>
  <c r="BC40" i="8"/>
  <c r="BD40" i="8" s="1"/>
  <c r="AZ40" i="8"/>
  <c r="BA40" i="8" s="1"/>
  <c r="AY40" i="8"/>
  <c r="AW40" i="8"/>
  <c r="BJ39" i="8"/>
  <c r="BF39" i="8"/>
  <c r="BC39" i="8"/>
  <c r="BD39" i="8" s="1"/>
  <c r="AZ39" i="8"/>
  <c r="BA39" i="8" s="1"/>
  <c r="AY39" i="8"/>
  <c r="AW39" i="8"/>
  <c r="BI38" i="8"/>
  <c r="BF38" i="8"/>
  <c r="BC38" i="8"/>
  <c r="BD38" i="8" s="1"/>
  <c r="AZ38" i="8"/>
  <c r="BA38" i="8" s="1"/>
  <c r="AY38" i="8"/>
  <c r="AW38" i="8"/>
  <c r="BF37" i="8"/>
  <c r="BC37" i="8"/>
  <c r="BD37" i="8" s="1"/>
  <c r="AZ37" i="8"/>
  <c r="BA37" i="8" s="1"/>
  <c r="AY37" i="8"/>
  <c r="AW37" i="8"/>
  <c r="BJ36" i="8"/>
  <c r="BF36" i="8"/>
  <c r="AZ36" i="8"/>
  <c r="BA36" i="8" s="1"/>
  <c r="AY36" i="8"/>
  <c r="AW36" i="8"/>
  <c r="BF35" i="8"/>
  <c r="AZ35" i="8"/>
  <c r="BA35" i="8" s="1"/>
  <c r="AY35" i="8"/>
  <c r="AW35" i="8"/>
  <c r="BJ34" i="8"/>
  <c r="BF34" i="8"/>
  <c r="AZ34" i="8"/>
  <c r="BA34" i="8" s="1"/>
  <c r="AY34" i="8"/>
  <c r="AW34" i="8"/>
  <c r="BI33" i="8"/>
  <c r="BF33" i="8"/>
  <c r="AZ33" i="8"/>
  <c r="BA33" i="8" s="1"/>
  <c r="AY33" i="8"/>
  <c r="AW33" i="8"/>
  <c r="BJ32" i="8"/>
  <c r="BI32" i="8"/>
  <c r="BF32" i="8"/>
  <c r="BC32" i="8"/>
  <c r="BD32" i="8" s="1"/>
  <c r="AZ32" i="8"/>
  <c r="BA32" i="8" s="1"/>
  <c r="AY32" i="8"/>
  <c r="AW32" i="8"/>
  <c r="BJ31" i="8"/>
  <c r="BF31" i="8"/>
  <c r="AZ31" i="8"/>
  <c r="BA31" i="8" s="1"/>
  <c r="AY31" i="8"/>
  <c r="AW31" i="8"/>
  <c r="BF30" i="8"/>
  <c r="BC30" i="8"/>
  <c r="BD30" i="8" s="1"/>
  <c r="AZ30" i="8"/>
  <c r="BA30" i="8" s="1"/>
  <c r="AY30" i="8"/>
  <c r="AW30" i="8"/>
  <c r="BI29" i="8"/>
  <c r="BF29" i="8"/>
  <c r="AZ29" i="8"/>
  <c r="BA29" i="8" s="1"/>
  <c r="AY29" i="8"/>
  <c r="AW29" i="8"/>
  <c r="BJ28" i="8"/>
  <c r="BI28" i="8"/>
  <c r="BF28" i="8"/>
  <c r="P5" i="7" s="1"/>
  <c r="AZ28" i="8"/>
  <c r="BA28" i="8" s="1"/>
  <c r="I5" i="7" s="1"/>
  <c r="K5" i="7" s="1"/>
  <c r="AY28" i="8"/>
  <c r="AW28" i="8"/>
  <c r="BF27" i="8"/>
  <c r="BC27" i="8"/>
  <c r="BD27" i="8" s="1"/>
  <c r="AZ27" i="8"/>
  <c r="BA27" i="8" s="1"/>
  <c r="AY27" i="8"/>
  <c r="AW27" i="8"/>
  <c r="BJ26" i="8"/>
  <c r="BF26" i="8"/>
  <c r="AZ26" i="8"/>
  <c r="BA26" i="8" s="1"/>
  <c r="AY26" i="8"/>
  <c r="AW26" i="8"/>
  <c r="BF25" i="8"/>
  <c r="BC25" i="8"/>
  <c r="BD25" i="8" s="1"/>
  <c r="AZ25" i="8"/>
  <c r="BA25" i="8" s="1"/>
  <c r="AY25" i="8"/>
  <c r="AW25" i="8"/>
  <c r="BJ24" i="8"/>
  <c r="BI24" i="8"/>
  <c r="BF24" i="8"/>
  <c r="BC24" i="8"/>
  <c r="BD24" i="8" s="1"/>
  <c r="AZ24" i="8"/>
  <c r="BA24" i="8" s="1"/>
  <c r="AY24" i="8"/>
  <c r="AW24" i="8"/>
  <c r="BF23" i="8"/>
  <c r="AZ23" i="8"/>
  <c r="BA23" i="8" s="1"/>
  <c r="AY23" i="8"/>
  <c r="AW23" i="8"/>
  <c r="BJ22" i="8"/>
  <c r="BF22" i="8"/>
  <c r="BC22" i="8"/>
  <c r="BD22" i="8" s="1"/>
  <c r="AZ22" i="8"/>
  <c r="BA22" i="8" s="1"/>
  <c r="AY22" i="8"/>
  <c r="AW22" i="8"/>
  <c r="BJ21" i="8"/>
  <c r="BI21" i="8"/>
  <c r="BF21" i="8"/>
  <c r="AZ21" i="8"/>
  <c r="BA21" i="8" s="1"/>
  <c r="AY21" i="8"/>
  <c r="AW21" i="8"/>
  <c r="BJ20" i="8"/>
  <c r="BI20" i="8"/>
  <c r="BF20" i="8"/>
  <c r="AZ20" i="8"/>
  <c r="BA20" i="8" s="1"/>
  <c r="AY20" i="8"/>
  <c r="AW20" i="8"/>
  <c r="BJ19" i="8"/>
  <c r="BF19" i="8"/>
  <c r="BC19" i="8"/>
  <c r="BD19" i="8" s="1"/>
  <c r="AZ19" i="8"/>
  <c r="BA19" i="8" s="1"/>
  <c r="AY19" i="8"/>
  <c r="AW19" i="8"/>
  <c r="BJ18" i="8"/>
  <c r="BI18" i="8"/>
  <c r="BF18" i="8"/>
  <c r="BC18" i="8"/>
  <c r="BD18" i="8" s="1"/>
  <c r="AZ18" i="8"/>
  <c r="BA18" i="8" s="1"/>
  <c r="AY18" i="8"/>
  <c r="AW18" i="8"/>
  <c r="BI17" i="8"/>
  <c r="BF17" i="8"/>
  <c r="BC17" i="8"/>
  <c r="BD17" i="8" s="1"/>
  <c r="AZ17" i="8"/>
  <c r="BA17" i="8" s="1"/>
  <c r="AY17" i="8"/>
  <c r="AW17" i="8"/>
  <c r="BI16" i="8"/>
  <c r="BF16" i="8"/>
  <c r="BC16" i="8"/>
  <c r="BD16" i="8" s="1"/>
  <c r="AZ16" i="8"/>
  <c r="BA16" i="8" s="1"/>
  <c r="AY16" i="8"/>
  <c r="AW16" i="8"/>
  <c r="BJ15" i="8"/>
  <c r="BF15" i="8"/>
  <c r="BC15" i="8"/>
  <c r="BD15" i="8" s="1"/>
  <c r="AZ15" i="8"/>
  <c r="BA15" i="8" s="1"/>
  <c r="AY15" i="8"/>
  <c r="AW15" i="8"/>
  <c r="BI14" i="8"/>
  <c r="BF14" i="8"/>
  <c r="BC14" i="8"/>
  <c r="BD14" i="8" s="1"/>
  <c r="AZ14" i="8"/>
  <c r="BA14" i="8" s="1"/>
  <c r="AY14" i="8"/>
  <c r="AW14" i="8"/>
  <c r="BJ13" i="8"/>
  <c r="BI13" i="8"/>
  <c r="BF13" i="8"/>
  <c r="BC13" i="8"/>
  <c r="BD13" i="8" s="1"/>
  <c r="AZ13" i="8"/>
  <c r="BA13" i="8" s="1"/>
  <c r="AY13" i="8"/>
  <c r="AW13" i="8"/>
  <c r="BI12" i="8"/>
  <c r="BF12" i="8"/>
  <c r="BC12" i="8"/>
  <c r="BD12" i="8" s="1"/>
  <c r="AZ12" i="8"/>
  <c r="BA12" i="8" s="1"/>
  <c r="AY12" i="8"/>
  <c r="AW12" i="8"/>
  <c r="BF11" i="8"/>
  <c r="BC11" i="8"/>
  <c r="BD11" i="8" s="1"/>
  <c r="AZ11" i="8"/>
  <c r="BA11" i="8" s="1"/>
  <c r="AY11" i="8"/>
  <c r="AW11" i="8"/>
  <c r="BJ10" i="8"/>
  <c r="BF10" i="8"/>
  <c r="AZ10" i="8"/>
  <c r="BA10" i="8" s="1"/>
  <c r="AY10" i="8"/>
  <c r="AW10" i="8"/>
  <c r="BJ9" i="8"/>
  <c r="BI9" i="8"/>
  <c r="BF9" i="8"/>
  <c r="BC9" i="8"/>
  <c r="BD9" i="8" s="1"/>
  <c r="AZ9" i="8"/>
  <c r="BA9" i="8" s="1"/>
  <c r="AY9" i="8"/>
  <c r="AW9" i="8"/>
  <c r="BF8" i="8"/>
  <c r="AZ8" i="8"/>
  <c r="BA8" i="8" s="1"/>
  <c r="AY8" i="8"/>
  <c r="AW8" i="8"/>
  <c r="BI7" i="8"/>
  <c r="BF7" i="8"/>
  <c r="AZ7" i="8"/>
  <c r="BA7" i="8" s="1"/>
  <c r="AY7" i="8"/>
  <c r="AW7"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F46" i="8" s="1"/>
  <c r="E6" i="8"/>
  <c r="E7" i="8" s="1"/>
  <c r="A6" i="8"/>
  <c r="BI5" i="8"/>
  <c r="BF5" i="8"/>
  <c r="DQ9" i="2" s="1"/>
  <c r="BC5" i="8"/>
  <c r="BD5" i="8" s="1"/>
  <c r="DM9" i="2" s="1"/>
  <c r="AZ5" i="8"/>
  <c r="BA5" i="8" s="1"/>
  <c r="CU9" i="2" s="1"/>
  <c r="AY5" i="8"/>
  <c r="DE9" i="2" s="1"/>
  <c r="H9" i="2" s="1"/>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5" i="8"/>
  <c r="A2" i="8"/>
  <c r="B46" i="8" s="1"/>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F20" i="4" s="1"/>
  <c r="K20" i="4"/>
  <c r="AB19" i="4"/>
  <c r="U19" i="4"/>
  <c r="P19" i="4"/>
  <c r="F19" i="4" s="1"/>
  <c r="AB18" i="4"/>
  <c r="U18" i="4"/>
  <c r="P18" i="4"/>
  <c r="F18" i="4"/>
  <c r="AB17" i="4"/>
  <c r="U17" i="4"/>
  <c r="P17" i="4"/>
  <c r="F17" i="4" s="1"/>
  <c r="AB16" i="4"/>
  <c r="U16" i="4"/>
  <c r="P16" i="4"/>
  <c r="F16" i="4"/>
  <c r="AB15" i="4"/>
  <c r="U15" i="4"/>
  <c r="P15" i="4"/>
  <c r="F15" i="4" s="1"/>
  <c r="AB14" i="4"/>
  <c r="U14" i="4"/>
  <c r="P14" i="4"/>
  <c r="F14" i="4"/>
  <c r="AB13" i="4"/>
  <c r="U13" i="4"/>
  <c r="P13" i="4"/>
  <c r="F13" i="4" s="1"/>
  <c r="AB12" i="4"/>
  <c r="U12" i="4"/>
  <c r="P12" i="4"/>
  <c r="F12" i="4" s="1"/>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O9" i="2"/>
  <c r="DD9" i="2"/>
  <c r="CL9" i="2"/>
  <c r="CK9" i="2"/>
  <c r="CS9" i="2" s="1"/>
  <c r="CT9" i="2" s="1"/>
  <c r="CV9" i="2" s="1"/>
  <c r="CF9" i="2"/>
  <c r="CE9" i="2"/>
  <c r="CC9" i="2"/>
  <c r="CB9" i="2"/>
  <c r="BY9" i="2"/>
  <c r="GH9" i="2" s="1"/>
  <c r="BU9" i="2"/>
  <c r="BT9" i="2"/>
  <c r="BS9" i="2"/>
  <c r="L9" i="2" s="1"/>
  <c r="BR9" i="2"/>
  <c r="BM9" i="2"/>
  <c r="BL9" i="2"/>
  <c r="BK9" i="2"/>
  <c r="AC9" i="2"/>
  <c r="N9" i="2"/>
  <c r="K9" i="2"/>
  <c r="J9" i="2"/>
  <c r="I9" i="2"/>
  <c r="F9" i="2"/>
  <c r="D9" i="2"/>
  <c r="C9" i="2"/>
  <c r="B9" i="2"/>
  <c r="L54" i="1"/>
  <c r="Q40" i="1"/>
  <c r="P34" i="1" s="1"/>
  <c r="R34" i="1" s="1"/>
  <c r="P32" i="1"/>
  <c r="L22" i="1"/>
  <c r="P35" i="1" l="1"/>
  <c r="R35" i="1" s="1"/>
  <c r="BI34" i="8"/>
  <c r="M123" i="9"/>
  <c r="M127" i="9"/>
  <c r="M148" i="9"/>
  <c r="P36" i="1"/>
  <c r="R36" i="1" s="1"/>
  <c r="P38" i="1"/>
  <c r="I6" i="7"/>
  <c r="K6" i="7" s="1"/>
  <c r="BI11" i="8"/>
  <c r="P37" i="1"/>
  <c r="R37" i="1" s="1"/>
  <c r="P39" i="1"/>
  <c r="CJ9" i="2"/>
  <c r="BI10" i="8"/>
  <c r="BI15" i="8"/>
  <c r="BI22" i="8"/>
  <c r="BI27" i="8"/>
  <c r="BI41" i="8"/>
  <c r="M128" i="9"/>
  <c r="M136" i="9"/>
  <c r="P33" i="1"/>
  <c r="R33" i="1" s="1"/>
  <c r="BC44" i="8"/>
  <c r="BD44" i="8" s="1"/>
  <c r="BI45" i="8"/>
  <c r="M144" i="9"/>
  <c r="N46" i="8"/>
  <c r="AR46" i="8" s="1"/>
  <c r="M9" i="2"/>
  <c r="DL9" i="2"/>
  <c r="AF9" i="2" s="1" a="1"/>
  <c r="AF9" i="2" s="1"/>
  <c r="E13" i="9"/>
  <c r="S9" i="8" s="1"/>
  <c r="M9" i="8"/>
  <c r="AQ9" i="8" s="1"/>
  <c r="E17" i="9"/>
  <c r="S40" i="8" s="1"/>
  <c r="M40" i="8"/>
  <c r="AQ40" i="8" s="1"/>
  <c r="E19" i="9"/>
  <c r="S20" i="8" s="1"/>
  <c r="M20" i="8"/>
  <c r="AQ20" i="8" s="1"/>
  <c r="E21" i="9"/>
  <c r="S33" i="8" s="1"/>
  <c r="M33" i="8"/>
  <c r="AQ33" i="8" s="1"/>
  <c r="E23" i="9"/>
  <c r="S7" i="8" s="1"/>
  <c r="M7" i="8"/>
  <c r="N7" i="8" s="1"/>
  <c r="AR7" i="8" s="1"/>
  <c r="E29" i="9"/>
  <c r="S6" i="8" s="1"/>
  <c r="AE10" i="2" s="1"/>
  <c r="M6" i="8"/>
  <c r="AQ6" i="8" s="1"/>
  <c r="E40" i="9"/>
  <c r="S43" i="8" s="1"/>
  <c r="M43" i="8"/>
  <c r="AQ43" i="8" s="1"/>
  <c r="E6" i="9"/>
  <c r="S15" i="8" s="1"/>
  <c r="M15" i="8"/>
  <c r="AQ15" i="8" s="1"/>
  <c r="E18" i="9"/>
  <c r="S24" i="8" s="1"/>
  <c r="M24" i="8"/>
  <c r="AQ24" i="8" s="1"/>
  <c r="E37" i="9"/>
  <c r="S36" i="8" s="1"/>
  <c r="M36" i="8"/>
  <c r="AQ36" i="8" s="1"/>
  <c r="E8" i="9"/>
  <c r="S5" i="8" s="1"/>
  <c r="AE9" i="2" s="1"/>
  <c r="M5" i="8"/>
  <c r="AQ5" i="8" s="1"/>
  <c r="E31" i="9"/>
  <c r="S18" i="8" s="1"/>
  <c r="M18" i="8"/>
  <c r="AQ18" i="8" s="1"/>
  <c r="F24" i="4"/>
  <c r="E16" i="9"/>
  <c r="S16" i="8" s="1"/>
  <c r="M16" i="8"/>
  <c r="N16" i="8" s="1"/>
  <c r="AR16" i="8" s="1"/>
  <c r="E22" i="9"/>
  <c r="S14" i="8" s="1"/>
  <c r="M14" i="8"/>
  <c r="AQ14" i="8" s="1"/>
  <c r="E28" i="9"/>
  <c r="S41" i="8" s="1"/>
  <c r="M41" i="8"/>
  <c r="N41" i="8" s="1"/>
  <c r="AR41" i="8" s="1"/>
  <c r="E39" i="9"/>
  <c r="S42" i="8" s="1"/>
  <c r="M42" i="8"/>
  <c r="AQ42" i="8" s="1"/>
  <c r="E41" i="9"/>
  <c r="S38" i="8" s="1"/>
  <c r="M38" i="8"/>
  <c r="N38" i="8" s="1"/>
  <c r="AR38" i="8" s="1"/>
  <c r="E7" i="9"/>
  <c r="S30" i="8" s="1"/>
  <c r="M30" i="8"/>
  <c r="N30" i="8" s="1"/>
  <c r="AR30" i="8" s="1"/>
  <c r="E36" i="9"/>
  <c r="S32" i="8" s="1"/>
  <c r="M32" i="8"/>
  <c r="N32" i="8" s="1"/>
  <c r="AR32" i="8" s="1"/>
  <c r="E4" i="9"/>
  <c r="S10" i="8" s="1"/>
  <c r="M10" i="8"/>
  <c r="AQ10" i="8" s="1"/>
  <c r="E10" i="9"/>
  <c r="S11" i="8" s="1"/>
  <c r="M11" i="8"/>
  <c r="N11" i="8" s="1"/>
  <c r="AR11" i="8" s="1"/>
  <c r="E27" i="9"/>
  <c r="S37" i="8" s="1"/>
  <c r="M37" i="8"/>
  <c r="AQ37" i="8" s="1"/>
  <c r="E33" i="9"/>
  <c r="S27" i="8" s="1"/>
  <c r="M27" i="8"/>
  <c r="AQ27" i="8" s="1"/>
  <c r="E14" i="9"/>
  <c r="S34" i="8" s="1"/>
  <c r="M34" i="8"/>
  <c r="N34" i="8" s="1"/>
  <c r="AR34" i="8" s="1"/>
  <c r="E26" i="9"/>
  <c r="S22" i="8" s="1"/>
  <c r="M22" i="8"/>
  <c r="N22" i="8" s="1"/>
  <c r="AR22" i="8" s="1"/>
  <c r="E32" i="9"/>
  <c r="S25" i="8" s="1"/>
  <c r="M25" i="8"/>
  <c r="AQ25" i="8" s="1"/>
  <c r="HK61" i="2"/>
  <c r="BC31" i="8"/>
  <c r="BD31" i="8" s="1"/>
  <c r="R38" i="1"/>
  <c r="HL61" i="2"/>
  <c r="BC23" i="8"/>
  <c r="BD23" i="8" s="1"/>
  <c r="M28" i="8"/>
  <c r="M45" i="8"/>
  <c r="AQ45" i="8" s="1"/>
  <c r="M118" i="9"/>
  <c r="R39" i="1"/>
  <c r="P24" i="4"/>
  <c r="BC6" i="8"/>
  <c r="BD6" i="8" s="1"/>
  <c r="DM10" i="2" s="1"/>
  <c r="M13" i="8"/>
  <c r="M21" i="8"/>
  <c r="N21" i="8" s="1"/>
  <c r="AR21" i="8" s="1"/>
  <c r="BI31" i="8"/>
  <c r="M138" i="9"/>
  <c r="M146" i="9"/>
  <c r="BI23" i="8"/>
  <c r="BC34" i="8"/>
  <c r="BD34" i="8" s="1"/>
  <c r="M39" i="8"/>
  <c r="N39" i="8" s="1"/>
  <c r="AR39" i="8" s="1"/>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AQ17" i="8" s="1"/>
  <c r="BC20" i="8"/>
  <c r="BD20" i="8" s="1"/>
  <c r="BI26" i="8"/>
  <c r="BI35" i="8"/>
  <c r="M119" i="9"/>
  <c r="M142" i="9"/>
  <c r="CY9" i="2"/>
  <c r="FA9" i="2" s="1"/>
  <c r="HJ61" i="2"/>
  <c r="BI19" i="8"/>
  <c r="BI36" i="8"/>
  <c r="M114" i="9"/>
  <c r="M124" i="9"/>
  <c r="M134" i="9"/>
  <c r="M139" i="9"/>
  <c r="M147" i="9"/>
  <c r="R32" i="1"/>
  <c r="L59" i="1"/>
  <c r="AG9" i="2"/>
  <c r="HM9" i="2"/>
  <c r="EV9" i="2"/>
  <c r="EW9" i="2" s="1"/>
  <c r="ER9" i="2"/>
  <c r="EM9" i="2"/>
  <c r="EN9" i="2" s="1"/>
  <c r="EJ9" i="2" a="1"/>
  <c r="EJ9" i="2" s="1"/>
  <c r="BI9" i="2"/>
  <c r="G9" i="2"/>
  <c r="E9" i="2"/>
  <c r="GL9" i="2"/>
  <c r="GM9" i="2" s="1"/>
  <c r="GQ9" i="2"/>
  <c r="GR9" i="2" s="1"/>
  <c r="HB61" i="2"/>
  <c r="L70" i="3" s="1"/>
  <c r="A11" i="2"/>
  <c r="DQ10" i="2"/>
  <c r="DO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E8" i="8"/>
  <c r="A7" i="8"/>
  <c r="AQ7" i="8"/>
  <c r="AQ8" i="8"/>
  <c r="N8" i="8"/>
  <c r="AR8" i="8" s="1"/>
  <c r="AQ13" i="8"/>
  <c r="N13" i="8"/>
  <c r="AR13" i="8" s="1"/>
  <c r="AQ19" i="8"/>
  <c r="N19" i="8"/>
  <c r="AR19" i="8" s="1"/>
  <c r="AQ21" i="8"/>
  <c r="AQ23" i="8"/>
  <c r="N23" i="8"/>
  <c r="AR23" i="8" s="1"/>
  <c r="N25" i="8"/>
  <c r="AR25" i="8" s="1"/>
  <c r="AQ26" i="8"/>
  <c r="N26" i="8"/>
  <c r="AR26" i="8" s="1"/>
  <c r="AQ28" i="8"/>
  <c r="N28" i="8"/>
  <c r="AR28" i="8" s="1"/>
  <c r="AQ29" i="8"/>
  <c r="N29" i="8"/>
  <c r="AR29" i="8" s="1"/>
  <c r="AQ31" i="8"/>
  <c r="N31" i="8"/>
  <c r="AR31" i="8" s="1"/>
  <c r="N33" i="8"/>
  <c r="AR33" i="8" s="1"/>
  <c r="AQ34" i="8"/>
  <c r="AQ35" i="8"/>
  <c r="N35" i="8"/>
  <c r="AR35" i="8" s="1"/>
  <c r="N37" i="8"/>
  <c r="AR37" i="8" s="1"/>
  <c r="N43" i="8"/>
  <c r="AR43" i="8" s="1"/>
  <c r="AQ44" i="8"/>
  <c r="N44" i="8"/>
  <c r="AR44" i="8" s="1"/>
  <c r="C67" i="9"/>
  <c r="E3" i="9"/>
  <c r="M110" i="9"/>
  <c r="U64" i="9"/>
  <c r="V9" i="9"/>
  <c r="K116" i="9"/>
  <c r="M73" i="9"/>
  <c r="M116" i="9" s="1"/>
  <c r="I30" i="10"/>
  <c r="I32" i="10" s="1"/>
  <c r="I17" i="10"/>
  <c r="N18" i="8" l="1"/>
  <c r="AR18" i="8" s="1"/>
  <c r="N15" i="8"/>
  <c r="AR15" i="8" s="1"/>
  <c r="AQ39" i="8"/>
  <c r="R40" i="1"/>
  <c r="P40" i="1"/>
  <c r="P29" i="4"/>
  <c r="N20" i="8"/>
  <c r="AR20" i="8" s="1"/>
  <c r="EI9" i="2" a="1"/>
  <c r="EI9" i="2" s="1"/>
  <c r="T9" i="2" s="1" a="1"/>
  <c r="T9" i="2" s="1"/>
  <c r="U9" i="2" s="1"/>
  <c r="P9" i="2"/>
  <c r="BA9" i="2" s="1"/>
  <c r="N6" i="8"/>
  <c r="AR6" i="8" s="1"/>
  <c r="AQ11" i="8"/>
  <c r="N17" i="8"/>
  <c r="AR17" i="8" s="1"/>
  <c r="N9" i="8"/>
  <c r="AR9" i="8" s="1"/>
  <c r="DL10" i="2"/>
  <c r="AF10" i="2" s="1" a="1"/>
  <c r="AF10" i="2" s="1"/>
  <c r="N40" i="8"/>
  <c r="AR40" i="8" s="1"/>
  <c r="AQ38" i="8"/>
  <c r="AQ16" i="8"/>
  <c r="N36" i="8"/>
  <c r="AR36" i="8" s="1"/>
  <c r="AQ30" i="8"/>
  <c r="N24" i="8"/>
  <c r="AR24" i="8" s="1"/>
  <c r="N45" i="8"/>
  <c r="AR45" i="8" s="1"/>
  <c r="N27" i="8"/>
  <c r="AR27" i="8" s="1"/>
  <c r="AQ41" i="8"/>
  <c r="AQ32" i="8"/>
  <c r="N14" i="8"/>
  <c r="AR14" i="8" s="1"/>
  <c r="N5" i="8"/>
  <c r="AR5" i="8" s="1"/>
  <c r="AQ22" i="8"/>
  <c r="N10" i="8"/>
  <c r="AR10" i="8" s="1"/>
  <c r="N42" i="8"/>
  <c r="AR42" i="8" s="1"/>
  <c r="CY10" i="2"/>
  <c r="FA10" i="2" s="1"/>
  <c r="D9" i="9"/>
  <c r="V64" i="9"/>
  <c r="S29" i="8"/>
  <c r="E9" i="8"/>
  <c r="A8" i="8"/>
  <c r="U27" i="4"/>
  <c r="AG10" i="2"/>
  <c r="HM10" i="2"/>
  <c r="EV10" i="2"/>
  <c r="EW10" i="2" s="1"/>
  <c r="ER10" i="2"/>
  <c r="EM10" i="2"/>
  <c r="EN10" i="2" s="1"/>
  <c r="EJ10" i="2" a="1"/>
  <c r="EJ10" i="2" s="1"/>
  <c r="BI10" i="2"/>
  <c r="G10" i="2"/>
  <c r="E10" i="2"/>
  <c r="M10" i="2"/>
  <c r="GL10" i="2"/>
  <c r="GM10" i="2" s="1"/>
  <c r="GQ10" i="2"/>
  <c r="GR10" i="2" s="1"/>
  <c r="A12" i="2"/>
  <c r="DQ11" i="2"/>
  <c r="DO11" i="2"/>
  <c r="DM11" i="2"/>
  <c r="DL11" i="2"/>
  <c r="DI11" i="2"/>
  <c r="DE11" i="2"/>
  <c r="H11" i="2" s="1"/>
  <c r="DD11" i="2"/>
  <c r="CU11" i="2"/>
  <c r="CL11" i="2"/>
  <c r="CK11" i="2"/>
  <c r="CS11" i="2" s="1"/>
  <c r="CT11" i="2" s="1"/>
  <c r="CV11" i="2" s="1"/>
  <c r="CJ11" i="2"/>
  <c r="CF11" i="2"/>
  <c r="CE11" i="2"/>
  <c r="CC11" i="2"/>
  <c r="CB11" i="2"/>
  <c r="BY11" i="2"/>
  <c r="GH11" i="2" s="1"/>
  <c r="BU11" i="2"/>
  <c r="BT11" i="2"/>
  <c r="BS11" i="2"/>
  <c r="L11" i="2" s="1"/>
  <c r="BR11" i="2"/>
  <c r="BM11" i="2"/>
  <c r="BL11" i="2"/>
  <c r="BK11" i="2"/>
  <c r="AE11" i="2"/>
  <c r="AC11" i="2"/>
  <c r="K11" i="2"/>
  <c r="J11" i="2"/>
  <c r="I11" i="2"/>
  <c r="D11" i="2"/>
  <c r="C11" i="2"/>
  <c r="B11" i="2"/>
  <c r="D89" i="14"/>
  <c r="AJ9" i="2"/>
  <c r="AI9" i="2" s="1" a="1"/>
  <c r="AI9" i="2" s="1"/>
  <c r="BD9" i="2" l="1"/>
  <c r="R9" i="2"/>
  <c r="AL9" i="2"/>
  <c r="AQ9" i="2" s="1"/>
  <c r="AO9" i="2"/>
  <c r="AU9" i="2"/>
  <c r="AV9" i="2"/>
  <c r="CY11" i="2"/>
  <c r="FA11" i="2" s="1"/>
  <c r="FB11" i="2" s="1"/>
  <c r="EI10" i="2" a="1"/>
  <c r="EI10" i="2" s="1"/>
  <c r="T10" i="2" s="1" a="1"/>
  <c r="T10" i="2" s="1"/>
  <c r="U10" i="2" s="1"/>
  <c r="AH9" i="2" a="1"/>
  <c r="AH9" i="2" s="1"/>
  <c r="DS9" i="2"/>
  <c r="DT9" i="2" s="1"/>
  <c r="DP9" i="2" a="1"/>
  <c r="DP9" i="2" s="1"/>
  <c r="DU9" i="2" s="1"/>
  <c r="DK9" i="2" a="1"/>
  <c r="DK9" i="2" s="1"/>
  <c r="DW9" i="2" s="1" a="1"/>
  <c r="DW9" i="2" s="1"/>
  <c r="DJ9" i="2" a="1"/>
  <c r="DJ9" i="2" s="1"/>
  <c r="DV9" i="2" s="1"/>
  <c r="AK9" i="2" a="1"/>
  <c r="AK9" i="2" s="1"/>
  <c r="AG11" i="2"/>
  <c r="HM11" i="2"/>
  <c r="EV11" i="2"/>
  <c r="EW11" i="2" s="1"/>
  <c r="ER11" i="2"/>
  <c r="EM11" i="2"/>
  <c r="EN11" i="2" s="1"/>
  <c r="EJ11" i="2" a="1"/>
  <c r="EJ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AW9" i="2" l="1"/>
  <c r="EI11" i="2" a="1"/>
  <c r="EI11" i="2" s="1"/>
  <c r="T11" i="2" s="1" a="1"/>
  <c r="T11" i="2" s="1"/>
  <c r="U11" i="2" s="1"/>
  <c r="CY12" i="2"/>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AJ11" i="2"/>
  <c r="AI11" i="2" s="1" a="1"/>
  <c r="AI11" i="2" s="1"/>
  <c r="HG9" i="2"/>
  <c r="HE9" i="2"/>
  <c r="V9" i="2"/>
  <c r="DR9" i="2"/>
  <c r="EI12" i="2" l="1" a="1"/>
  <c r="EI12" i="2" s="1"/>
  <c r="T12" i="2" s="1" a="1"/>
  <c r="T12" i="2" s="1"/>
  <c r="U12" i="2" s="1"/>
  <c r="AH11" i="2"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O11" i="2"/>
  <c r="AG13" i="2"/>
  <c r="HM13" i="2"/>
  <c r="EV13" i="2"/>
  <c r="EW13" i="2" s="1"/>
  <c r="ER13" i="2"/>
  <c r="EM13" i="2"/>
  <c r="EN13" i="2" s="1"/>
  <c r="EJ13" i="2" a="1"/>
  <c r="EJ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EI13" i="2" l="1" a="1"/>
  <c r="EI13" i="2" s="1"/>
  <c r="T13" i="2" s="1" a="1"/>
  <c r="T13" i="2" s="1"/>
  <c r="U13" i="2" s="1"/>
  <c r="AW11" i="2"/>
  <c r="HG11" i="2" s="1"/>
  <c r="CY14" i="2"/>
  <c r="FA14" i="2" s="1"/>
  <c r="D70" i="9"/>
  <c r="E13" i="8"/>
  <c r="A12" i="8"/>
  <c r="HE10" i="2"/>
  <c r="V10" i="2"/>
  <c r="HG10" i="2"/>
  <c r="DR12" i="2"/>
  <c r="R12" i="2"/>
  <c r="AL12" i="2"/>
  <c r="BD12" i="2"/>
  <c r="BA12" i="2"/>
  <c r="AV12" i="2"/>
  <c r="AU12" i="2"/>
  <c r="AP12" i="2"/>
  <c r="AG14" i="2"/>
  <c r="HM14" i="2"/>
  <c r="EV14" i="2"/>
  <c r="EW14" i="2" s="1"/>
  <c r="ER14" i="2"/>
  <c r="EM14" i="2"/>
  <c r="EN14" i="2" s="1"/>
  <c r="EJ14" i="2" a="1"/>
  <c r="EJ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EI14" i="2" l="1" a="1"/>
  <c r="EI14" i="2" s="1"/>
  <c r="T14" i="2" s="1" a="1"/>
  <c r="T14" i="2" s="1"/>
  <c r="U14" i="2" s="1"/>
  <c r="CY15" i="2"/>
  <c r="FA15" i="2" s="1"/>
  <c r="FB15" i="2" s="1"/>
  <c r="HE11" i="2"/>
  <c r="V11" i="2"/>
  <c r="DR13" i="2"/>
  <c r="R13" i="2"/>
  <c r="AL13" i="2"/>
  <c r="BD13" i="2"/>
  <c r="BA13" i="2"/>
  <c r="AV13" i="2"/>
  <c r="AU13" i="2"/>
  <c r="AP13" i="2"/>
  <c r="AG15" i="2"/>
  <c r="HM15" i="2"/>
  <c r="EV15" i="2"/>
  <c r="EW15" i="2" s="1"/>
  <c r="ER15" i="2"/>
  <c r="EM15" i="2"/>
  <c r="EN15" i="2" s="1"/>
  <c r="EJ15" i="2" a="1"/>
  <c r="EJ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J16" i="2"/>
  <c r="CF16" i="2"/>
  <c r="CE16" i="2"/>
  <c r="CC16" i="2"/>
  <c r="CB16" i="2"/>
  <c r="BY16" i="2"/>
  <c r="GH16" i="2" s="1"/>
  <c r="BU16" i="2"/>
  <c r="BT16" i="2"/>
  <c r="BS16" i="2"/>
  <c r="L16" i="2" s="1"/>
  <c r="BR16" i="2"/>
  <c r="BM16" i="2"/>
  <c r="BL16" i="2"/>
  <c r="BK16" i="2"/>
  <c r="AE16" i="2"/>
  <c r="AC16" i="2"/>
  <c r="K16" i="2"/>
  <c r="J16" i="2"/>
  <c r="I16" i="2"/>
  <c r="D16" i="2"/>
  <c r="C16" i="2"/>
  <c r="B16" i="2"/>
  <c r="P14" i="2"/>
  <c r="AJ14" i="2"/>
  <c r="AI14" i="2" s="1" a="1"/>
  <c r="AI14" i="2" s="1"/>
  <c r="AW12" i="2"/>
  <c r="EK10" i="2"/>
  <c r="A29" i="9"/>
  <c r="E14" i="8"/>
  <c r="A13" i="8"/>
  <c r="CY16" i="2" l="1"/>
  <c r="FA16" i="2" s="1"/>
  <c r="FB16" i="2" s="1"/>
  <c r="AH14" i="2" a="1"/>
  <c r="AH14" i="2" s="1"/>
  <c r="EI15" i="2" a="1"/>
  <c r="EI15" i="2" s="1"/>
  <c r="T15" i="2" s="1" a="1"/>
  <c r="T15"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G17" i="2"/>
  <c r="E17" i="2"/>
  <c r="M17" i="2"/>
  <c r="GL17" i="2"/>
  <c r="GM17" i="2" s="1"/>
  <c r="GQ17" i="2"/>
  <c r="GR17" i="2" s="1"/>
  <c r="A19" i="2"/>
  <c r="DQ18" i="2"/>
  <c r="DO18" i="2"/>
  <c r="DM18" i="2"/>
  <c r="DL18" i="2"/>
  <c r="DI18" i="2"/>
  <c r="DE18" i="2"/>
  <c r="H18" i="2" s="1"/>
  <c r="DD18" i="2"/>
  <c r="CU18" i="2"/>
  <c r="CL18" i="2"/>
  <c r="CK18" i="2"/>
  <c r="CS18" i="2" s="1"/>
  <c r="CT18" i="2" s="1"/>
  <c r="CV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T17" i="2" l="1" a="1"/>
  <c r="T17" i="2" s="1"/>
  <c r="U17" i="2" s="1"/>
  <c r="CY18" i="2"/>
  <c r="FA18" i="2" s="1"/>
  <c r="FB18" i="2" s="1"/>
  <c r="AW15" i="2"/>
  <c r="HG15" i="2" s="1"/>
  <c r="E17" i="8"/>
  <c r="A16" i="8"/>
  <c r="HE14" i="2"/>
  <c r="V14" i="2"/>
  <c r="HG14" i="2"/>
  <c r="DR16" i="2"/>
  <c r="R16" i="2"/>
  <c r="AL16" i="2"/>
  <c r="BD16" i="2"/>
  <c r="BA16" i="2"/>
  <c r="AV16" i="2"/>
  <c r="AP16" i="2"/>
  <c r="AO16" i="2"/>
  <c r="AG18" i="2"/>
  <c r="HM18" i="2"/>
  <c r="EV18" i="2"/>
  <c r="EW18" i="2" s="1"/>
  <c r="ER18" i="2"/>
  <c r="EM18" i="2"/>
  <c r="EN18" i="2" s="1"/>
  <c r="EJ18" i="2" a="1"/>
  <c r="EJ18" i="2" s="1"/>
  <c r="BI18" i="2"/>
  <c r="AF18" i="2" a="1"/>
  <c r="AF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AJ17" i="2"/>
  <c r="AH17" i="2" s="1" a="1"/>
  <c r="AH17" i="2" s="1"/>
  <c r="DR15" i="2"/>
  <c r="EI18" i="2" l="1" a="1"/>
  <c r="EI18" i="2" s="1"/>
  <c r="T18" i="2" s="1" a="1"/>
  <c r="T18" i="2" s="1"/>
  <c r="U18" i="2" s="1"/>
  <c r="AI17" i="2" a="1"/>
  <c r="AI17" i="2" s="1"/>
  <c r="DS17" i="2"/>
  <c r="DT17" i="2" s="1"/>
  <c r="DP17" i="2" a="1"/>
  <c r="DP17" i="2" s="1"/>
  <c r="DU17" i="2" s="1"/>
  <c r="DK17" i="2" a="1"/>
  <c r="DK17" i="2" s="1"/>
  <c r="DW17" i="2" s="1" a="1"/>
  <c r="DW17" i="2" s="1"/>
  <c r="DJ17" i="2" a="1"/>
  <c r="DJ17" i="2" s="1"/>
  <c r="DV17" i="2" s="1"/>
  <c r="AK17" i="2" a="1"/>
  <c r="AK17" i="2" s="1"/>
  <c r="AL17" i="2" s="1"/>
  <c r="R17" i="2"/>
  <c r="BD17" i="2"/>
  <c r="BA17" i="2"/>
  <c r="AV17" i="2"/>
  <c r="AP17" i="2"/>
  <c r="AO17" i="2"/>
  <c r="AG19" i="2"/>
  <c r="HM19" i="2"/>
  <c r="EV19" i="2"/>
  <c r="EW19" i="2" s="1"/>
  <c r="ER19" i="2"/>
  <c r="EM19" i="2"/>
  <c r="EN19" i="2" s="1"/>
  <c r="EJ19" i="2" a="1"/>
  <c r="EJ19" i="2" s="1"/>
  <c r="EI19" i="2" a="1"/>
  <c r="EI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J20" i="2"/>
  <c r="CF20" i="2"/>
  <c r="CE20" i="2"/>
  <c r="CC20" i="2"/>
  <c r="CB20" i="2"/>
  <c r="BY20" i="2"/>
  <c r="GH20" i="2" s="1"/>
  <c r="BU20" i="2"/>
  <c r="BT20" i="2"/>
  <c r="BS20" i="2"/>
  <c r="L20" i="2" s="1"/>
  <c r="BR20" i="2"/>
  <c r="BM20" i="2"/>
  <c r="BL20" i="2"/>
  <c r="BK20" i="2"/>
  <c r="AE20" i="2"/>
  <c r="AC20" i="2"/>
  <c r="K20" i="2"/>
  <c r="J20" i="2"/>
  <c r="I20" i="2"/>
  <c r="D20" i="2"/>
  <c r="C20" i="2"/>
  <c r="B20" i="2"/>
  <c r="P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T19" i="2" l="1" a="1"/>
  <c r="T19" i="2" s="1"/>
  <c r="CY20" i="2"/>
  <c r="FA20" i="2" s="1"/>
  <c r="FB20" i="2" s="1"/>
  <c r="E19" i="8"/>
  <c r="A18" i="8"/>
  <c r="HE16" i="2"/>
  <c r="DR18" i="2"/>
  <c r="R18" i="2"/>
  <c r="AL18" i="2"/>
  <c r="BD18" i="2"/>
  <c r="BA18" i="2"/>
  <c r="AV18" i="2"/>
  <c r="AU18" i="2"/>
  <c r="AP18" i="2"/>
  <c r="AG20" i="2"/>
  <c r="HM20" i="2"/>
  <c r="EV20" i="2"/>
  <c r="ER20" i="2"/>
  <c r="EM20" i="2"/>
  <c r="EJ20" i="2" a="1"/>
  <c r="EJ20" i="2" s="1"/>
  <c r="EI20" i="2" a="1"/>
  <c r="EI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H19" i="2" s="1" a="1"/>
  <c r="AH19" i="2" s="1"/>
  <c r="AQ17" i="2"/>
  <c r="DR17" i="2"/>
  <c r="T20" i="2" l="1" a="1"/>
  <c r="T20" i="2" s="1"/>
  <c r="CY21" i="2"/>
  <c r="FA21" i="2" s="1"/>
  <c r="AI19" i="2" a="1"/>
  <c r="AI19"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O19" i="2"/>
  <c r="AG21" i="2"/>
  <c r="HM21" i="2"/>
  <c r="EV21" i="2"/>
  <c r="EW21" i="2" s="1"/>
  <c r="ER21" i="2"/>
  <c r="EM21" i="2"/>
  <c r="EN21" i="2" s="1"/>
  <c r="EJ21" i="2" a="1"/>
  <c r="EJ21" i="2" s="1"/>
  <c r="EI21" i="2" a="1"/>
  <c r="EI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T21" i="2" l="1" a="1"/>
  <c r="T21" i="2" s="1"/>
  <c r="AW19" i="2"/>
  <c r="HG19" i="2" s="1"/>
  <c r="CY22" i="2"/>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EI22" i="2" l="1" a="1"/>
  <c r="EI22" i="2" s="1"/>
  <c r="T22" i="2" s="1" a="1"/>
  <c r="T22" i="2" s="1"/>
  <c r="U22" i="2" s="1"/>
  <c r="AH21" i="2"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AJ22" i="2"/>
  <c r="AI22" i="2" s="1" a="1"/>
  <c r="AI22" i="2" s="1"/>
  <c r="AQ20" i="2"/>
  <c r="DR20" i="2"/>
  <c r="E22" i="8"/>
  <c r="A21" i="8"/>
  <c r="EI23" i="2" l="1" a="1"/>
  <c r="EI23" i="2" s="1"/>
  <c r="T23" i="2" s="1" a="1"/>
  <c r="T23"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T24" i="2" l="1" a="1"/>
  <c r="T24" i="2" s="1"/>
  <c r="CY25" i="2"/>
  <c r="FA25" i="2" s="1"/>
  <c r="FB25" i="2" s="1"/>
  <c r="AW22" i="2"/>
  <c r="HG22" i="2" s="1"/>
  <c r="HE21" i="2"/>
  <c r="V21" i="2"/>
  <c r="DR23" i="2"/>
  <c r="R23" i="2"/>
  <c r="AL23" i="2"/>
  <c r="BD23" i="2"/>
  <c r="BA23" i="2"/>
  <c r="AV23" i="2"/>
  <c r="AU23" i="2"/>
  <c r="AO23" i="2"/>
  <c r="AG25" i="2"/>
  <c r="HM25" i="2"/>
  <c r="EV25" i="2"/>
  <c r="EW25" i="2" s="1"/>
  <c r="ER25" i="2"/>
  <c r="EM25" i="2"/>
  <c r="EN25" i="2" s="1"/>
  <c r="EJ25" i="2" a="1"/>
  <c r="EJ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CY26" i="2" l="1"/>
  <c r="FA26" i="2" s="1"/>
  <c r="FB26" i="2" s="1"/>
  <c r="EI25" i="2" a="1"/>
  <c r="EI25" i="2" s="1"/>
  <c r="T25" i="2" s="1" a="1"/>
  <c r="T25" i="2" s="1"/>
  <c r="U25"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J27" i="2"/>
  <c r="CF27" i="2"/>
  <c r="CE27" i="2"/>
  <c r="CC27" i="2"/>
  <c r="CB27" i="2"/>
  <c r="BY27" i="2"/>
  <c r="GH27" i="2" s="1"/>
  <c r="BU27" i="2"/>
  <c r="BT27" i="2"/>
  <c r="BS27" i="2"/>
  <c r="L27" i="2" s="1"/>
  <c r="BR27" i="2"/>
  <c r="BM27" i="2"/>
  <c r="BL27" i="2"/>
  <c r="BK27" i="2"/>
  <c r="AE27" i="2"/>
  <c r="AC27" i="2"/>
  <c r="K27" i="2"/>
  <c r="J27" i="2"/>
  <c r="I27" i="2"/>
  <c r="D27" i="2"/>
  <c r="C27" i="2"/>
  <c r="B27" i="2"/>
  <c r="P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CY27" i="2" l="1"/>
  <c r="FA27" i="2" s="1"/>
  <c r="FB27" i="2" s="1"/>
  <c r="T26" i="2" a="1"/>
  <c r="T26" i="2" s="1"/>
  <c r="U26" i="2" s="1"/>
  <c r="HE23" i="2"/>
  <c r="V23" i="2"/>
  <c r="DR25" i="2"/>
  <c r="R25" i="2"/>
  <c r="AL25" i="2"/>
  <c r="BD25" i="2"/>
  <c r="BA25" i="2"/>
  <c r="AV25" i="2"/>
  <c r="AU25" i="2"/>
  <c r="AP25" i="2"/>
  <c r="AG27" i="2"/>
  <c r="HM27" i="2"/>
  <c r="EV27" i="2"/>
  <c r="EW27" i="2" s="1"/>
  <c r="ER27" i="2"/>
  <c r="EM27" i="2"/>
  <c r="EN27" i="2" s="1"/>
  <c r="EJ27" i="2" a="1"/>
  <c r="EJ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EI27" i="2" l="1" a="1"/>
  <c r="EI27" i="2" s="1"/>
  <c r="T27" i="2" s="1" a="1"/>
  <c r="T27" i="2" s="1"/>
  <c r="U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G28" i="2"/>
  <c r="E28" i="2"/>
  <c r="M28" i="2"/>
  <c r="GL28" i="2"/>
  <c r="GM28" i="2" s="1"/>
  <c r="GQ28" i="2"/>
  <c r="GR28" i="2" s="1"/>
  <c r="A30" i="2"/>
  <c r="DQ29" i="2"/>
  <c r="DO29" i="2"/>
  <c r="DM29" i="2"/>
  <c r="DL29" i="2"/>
  <c r="DI29" i="2"/>
  <c r="DE29" i="2"/>
  <c r="H29" i="2" s="1"/>
  <c r="DD29" i="2"/>
  <c r="CU29" i="2"/>
  <c r="CL29" i="2"/>
  <c r="CK29" i="2"/>
  <c r="CS29" i="2" s="1"/>
  <c r="CT29" i="2" s="1"/>
  <c r="CV29" i="2" s="1"/>
  <c r="CJ29" i="2"/>
  <c r="CF29" i="2"/>
  <c r="CE29" i="2"/>
  <c r="CC29" i="2"/>
  <c r="CB29" i="2"/>
  <c r="BY29" i="2"/>
  <c r="GH29" i="2" s="1"/>
  <c r="BU29" i="2"/>
  <c r="BT29" i="2"/>
  <c r="BS29" i="2"/>
  <c r="L29" i="2" s="1"/>
  <c r="BR29" i="2"/>
  <c r="BM29" i="2"/>
  <c r="BL29" i="2"/>
  <c r="BK29" i="2"/>
  <c r="AE29" i="2"/>
  <c r="AC29" i="2"/>
  <c r="K29" i="2"/>
  <c r="J29" i="2"/>
  <c r="I29" i="2"/>
  <c r="D29" i="2"/>
  <c r="C29" i="2"/>
  <c r="B29" i="2"/>
  <c r="P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T28" i="2" l="1" a="1"/>
  <c r="T28" i="2" s="1"/>
  <c r="U28" i="2" s="1"/>
  <c r="CY29" i="2"/>
  <c r="FA29" i="2" s="1"/>
  <c r="DR27" i="2"/>
  <c r="R27" i="2"/>
  <c r="AL27" i="2"/>
  <c r="BD27" i="2"/>
  <c r="BA27" i="2"/>
  <c r="AV27" i="2"/>
  <c r="AU27" i="2"/>
  <c r="AO27" i="2"/>
  <c r="AG29" i="2"/>
  <c r="HM29" i="2"/>
  <c r="EV29" i="2"/>
  <c r="EW29" i="2" s="1"/>
  <c r="ER29" i="2"/>
  <c r="EM29" i="2"/>
  <c r="EN29" i="2" s="1"/>
  <c r="EJ29" i="2" a="1"/>
  <c r="EJ29" i="2" s="1"/>
  <c r="EI29" i="2" a="1"/>
  <c r="EI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AJ28" i="2"/>
  <c r="AI28" i="2" s="1" a="1"/>
  <c r="AI28" i="2" s="1"/>
  <c r="AQ26" i="2"/>
  <c r="E28" i="8"/>
  <c r="A27" i="8"/>
  <c r="T29" i="2" l="1" a="1"/>
  <c r="T29" i="2" s="1"/>
  <c r="AW27" i="2"/>
  <c r="HG27" i="2" s="1"/>
  <c r="AH28" i="2"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T30" i="2" l="1" a="1"/>
  <c r="T30" i="2" s="1"/>
  <c r="AH29" i="2"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O29" i="2"/>
  <c r="AG31" i="2"/>
  <c r="HM31" i="2"/>
  <c r="EV31" i="2"/>
  <c r="EW31" i="2" s="1"/>
  <c r="ER31" i="2"/>
  <c r="EM31" i="2"/>
  <c r="EN31" i="2" s="1"/>
  <c r="EJ31" i="2" a="1"/>
  <c r="EJ31" i="2" s="1"/>
  <c r="EI31" i="2" a="1"/>
  <c r="EI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AW29" i="2" l="1"/>
  <c r="HG29" i="2" s="1"/>
  <c r="T31" i="2" a="1"/>
  <c r="T31" i="2" s="1"/>
  <c r="U31" i="2" s="1"/>
  <c r="CY32" i="2"/>
  <c r="FA32" i="2" s="1"/>
  <c r="FB32" i="2" s="1"/>
  <c r="E31" i="8"/>
  <c r="A30" i="8"/>
  <c r="HE28" i="2"/>
  <c r="DR30" i="2"/>
  <c r="R30" i="2"/>
  <c r="AL30" i="2"/>
  <c r="BD30" i="2"/>
  <c r="BA30" i="2"/>
  <c r="AV30" i="2"/>
  <c r="AP30" i="2"/>
  <c r="AO30" i="2"/>
  <c r="AG32" i="2"/>
  <c r="HM32" i="2"/>
  <c r="EV32" i="2"/>
  <c r="EW32" i="2" s="1"/>
  <c r="ER32" i="2"/>
  <c r="EM32" i="2"/>
  <c r="EN32" i="2" s="1"/>
  <c r="EJ32" i="2" a="1"/>
  <c r="EJ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AJ31" i="2"/>
  <c r="AH31" i="2" s="1" a="1"/>
  <c r="AH31" i="2" s="1"/>
  <c r="AQ29" i="2"/>
  <c r="DR29" i="2"/>
  <c r="EK27" i="2"/>
  <c r="A30" i="9"/>
  <c r="EI32" i="2" l="1" a="1"/>
  <c r="EI32" i="2" s="1"/>
  <c r="T32" i="2" s="1" a="1"/>
  <c r="T32" i="2" s="1"/>
  <c r="U32" i="2" s="1"/>
  <c r="CY33" i="2"/>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AJ32" i="2"/>
  <c r="AI32" i="2" s="1" a="1"/>
  <c r="AI32" i="2" s="1"/>
  <c r="AQ30" i="2"/>
  <c r="E32" i="8"/>
  <c r="A31" i="8"/>
  <c r="EI33" i="2" l="1" a="1"/>
  <c r="EI33" i="2" s="1"/>
  <c r="T33" i="2" s="1" a="1"/>
  <c r="T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EI34" i="2" l="1" a="1"/>
  <c r="EI34" i="2" s="1"/>
  <c r="T34" i="2" s="1" a="1"/>
  <c r="T34" i="2" s="1"/>
  <c r="U34" i="2" s="1"/>
  <c r="AW32" i="2"/>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AJ34" i="2"/>
  <c r="AI34" i="2" s="1" a="1"/>
  <c r="AI34" i="2" s="1"/>
  <c r="DR32" i="2"/>
  <c r="E34" i="8"/>
  <c r="A33" i="8"/>
  <c r="T35" i="2" l="1" a="1"/>
  <c r="T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T36" i="2" l="1" a="1"/>
  <c r="T36" i="2" s="1"/>
  <c r="AW34" i="2"/>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EI37" i="2" l="1" a="1"/>
  <c r="EI37" i="2" s="1"/>
  <c r="T37" i="2" s="1" a="1"/>
  <c r="T37" i="2" s="1"/>
  <c r="U37" i="2" s="1"/>
  <c r="AW35" i="2"/>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AJ37" i="2"/>
  <c r="AI37" i="2" s="1" a="1"/>
  <c r="AI37" i="2" s="1"/>
  <c r="DR35" i="2"/>
  <c r="EK33" i="2"/>
  <c r="A3" i="9"/>
  <c r="EI38" i="2" l="1" a="1"/>
  <c r="EI38" i="2" s="1"/>
  <c r="T38" i="2" s="1" a="1"/>
  <c r="T38" i="2" s="1"/>
  <c r="U38" i="2" s="1"/>
  <c r="CY39" i="2"/>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J40" i="2"/>
  <c r="CF40" i="2"/>
  <c r="CE40" i="2"/>
  <c r="CC40" i="2"/>
  <c r="CB40" i="2"/>
  <c r="BY40" i="2"/>
  <c r="GH40" i="2" s="1"/>
  <c r="BU40" i="2"/>
  <c r="BT40" i="2"/>
  <c r="BS40" i="2"/>
  <c r="L40" i="2" s="1"/>
  <c r="BR40" i="2"/>
  <c r="BM40" i="2"/>
  <c r="BL40" i="2"/>
  <c r="BK40" i="2"/>
  <c r="AE40" i="2"/>
  <c r="AC40" i="2"/>
  <c r="K40" i="2"/>
  <c r="J40" i="2"/>
  <c r="I40" i="2"/>
  <c r="D40" i="2"/>
  <c r="C40" i="2"/>
  <c r="B40" i="2"/>
  <c r="P38" i="2"/>
  <c r="AJ38" i="2"/>
  <c r="AH38" i="2" s="1" a="1"/>
  <c r="AH38" i="2" s="1"/>
  <c r="AQ36" i="2"/>
  <c r="DR36" i="2"/>
  <c r="E38" i="8"/>
  <c r="A37" i="8"/>
  <c r="CY40" i="2" l="1"/>
  <c r="FA40" i="2" s="1"/>
  <c r="FB40" i="2" s="1"/>
  <c r="EI39" i="2" a="1"/>
  <c r="EI39" i="2" s="1"/>
  <c r="T39" i="2" s="1" a="1"/>
  <c r="T39" i="2" s="1"/>
  <c r="AI38" i="2" a="1"/>
  <c r="AI38" i="2" s="1"/>
  <c r="AW37" i="2"/>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T40" i="2" l="1" a="1"/>
  <c r="T40" i="2" s="1"/>
  <c r="AW38" i="2"/>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T41" i="2" l="1" a="1"/>
  <c r="T41" i="2" s="1"/>
  <c r="U41" i="2" s="1"/>
  <c r="AW39" i="2"/>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AJ41" i="2"/>
  <c r="AI41" i="2" s="1" a="1"/>
  <c r="AI41" i="2" s="1"/>
  <c r="Q6" i="7"/>
  <c r="DR39" i="2"/>
  <c r="EK37" i="2"/>
  <c r="A21" i="9"/>
  <c r="AH41" i="2" l="1" a="1"/>
  <c r="AH41" i="2" s="1"/>
  <c r="T42" i="2" a="1"/>
  <c r="T42" i="2" s="1"/>
  <c r="U42"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BI43" i="2"/>
  <c r="AF43" i="2" a="1"/>
  <c r="AF43" i="2" s="1"/>
  <c r="G43" i="2"/>
  <c r="E43" i="2"/>
  <c r="M43" i="2"/>
  <c r="GL43" i="2"/>
  <c r="GM43" i="2" s="1"/>
  <c r="GQ43" i="2"/>
  <c r="GR43" i="2" s="1"/>
  <c r="A45" i="2"/>
  <c r="DQ44" i="2"/>
  <c r="DO44" i="2"/>
  <c r="DM44" i="2"/>
  <c r="DL44" i="2"/>
  <c r="DI44" i="2"/>
  <c r="DE44" i="2"/>
  <c r="H44" i="2" s="1"/>
  <c r="DD44" i="2"/>
  <c r="CU44" i="2"/>
  <c r="CL44" i="2"/>
  <c r="CK44" i="2"/>
  <c r="CS44" i="2" s="1"/>
  <c r="CT44" i="2" s="1"/>
  <c r="CV44" i="2" s="1"/>
  <c r="CJ44" i="2"/>
  <c r="CF44" i="2"/>
  <c r="CE44" i="2"/>
  <c r="CC44" i="2"/>
  <c r="CB44" i="2"/>
  <c r="BY44" i="2"/>
  <c r="GH44" i="2" s="1"/>
  <c r="BU44" i="2"/>
  <c r="BT44" i="2"/>
  <c r="BS44" i="2"/>
  <c r="L44" i="2" s="1"/>
  <c r="BR44" i="2"/>
  <c r="BM44" i="2"/>
  <c r="BL44" i="2"/>
  <c r="BK44" i="2"/>
  <c r="AE44" i="2"/>
  <c r="AC44" i="2"/>
  <c r="K44" i="2"/>
  <c r="J44" i="2"/>
  <c r="I44" i="2"/>
  <c r="D44" i="2"/>
  <c r="C44" i="2"/>
  <c r="B44" i="2"/>
  <c r="P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T43" i="2" l="1" a="1"/>
  <c r="T43" i="2" s="1"/>
  <c r="U43" i="2" s="1"/>
  <c r="CY44" i="2"/>
  <c r="FA44" i="2" s="1"/>
  <c r="FB44" i="2" s="1"/>
  <c r="E43" i="8"/>
  <c r="A42" i="8"/>
  <c r="HE40" i="2"/>
  <c r="DR42" i="2"/>
  <c r="R42" i="2"/>
  <c r="AL42" i="2"/>
  <c r="BD42" i="2"/>
  <c r="BA42" i="2"/>
  <c r="AV42" i="2"/>
  <c r="AP42" i="2"/>
  <c r="AO42" i="2"/>
  <c r="AG44" i="2"/>
  <c r="HM44" i="2"/>
  <c r="EV44" i="2"/>
  <c r="ER44" i="2"/>
  <c r="EM44" i="2"/>
  <c r="EN44" i="2" s="1"/>
  <c r="EJ44" i="2" a="1"/>
  <c r="EJ44" i="2" s="1"/>
  <c r="EI44" i="2" a="1"/>
  <c r="EI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J45" i="2"/>
  <c r="CF45" i="2"/>
  <c r="CE45" i="2"/>
  <c r="CC45" i="2"/>
  <c r="CB45" i="2"/>
  <c r="BY45" i="2"/>
  <c r="GH45" i="2" s="1"/>
  <c r="BU45" i="2"/>
  <c r="BT45" i="2"/>
  <c r="BS45" i="2"/>
  <c r="L45" i="2" s="1"/>
  <c r="BR45" i="2"/>
  <c r="BM45" i="2"/>
  <c r="BL45" i="2"/>
  <c r="BK45" i="2"/>
  <c r="AE45" i="2"/>
  <c r="AC45" i="2"/>
  <c r="K45" i="2"/>
  <c r="J45" i="2"/>
  <c r="I45" i="2"/>
  <c r="D45" i="2"/>
  <c r="C45" i="2"/>
  <c r="B45" i="2"/>
  <c r="P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T44" i="2" l="1" a="1"/>
  <c r="T44" i="2" s="1"/>
  <c r="U44" i="2" s="1"/>
  <c r="CY45" i="2"/>
  <c r="FA45" i="2" s="1"/>
  <c r="FB45" i="2" s="1"/>
  <c r="HE41" i="2"/>
  <c r="DR43" i="2"/>
  <c r="R43" i="2"/>
  <c r="AL43" i="2"/>
  <c r="BD43" i="2"/>
  <c r="BA43" i="2"/>
  <c r="AV43" i="2"/>
  <c r="AP43" i="2"/>
  <c r="AO43" i="2"/>
  <c r="AG45" i="2"/>
  <c r="HM45" i="2"/>
  <c r="EV45" i="2"/>
  <c r="EW45" i="2" s="1"/>
  <c r="ER45" i="2"/>
  <c r="EM45" i="2"/>
  <c r="EN45" i="2" s="1"/>
  <c r="EJ45" i="2" a="1"/>
  <c r="EJ45" i="2" s="1"/>
  <c r="EI45" i="2" a="1"/>
  <c r="EI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CY46" i="2" l="1"/>
  <c r="FA46" i="2" s="1"/>
  <c r="FB46" i="2" s="1"/>
  <c r="T45" i="2" a="1"/>
  <c r="T45" i="2" s="1"/>
  <c r="E45" i="8"/>
  <c r="E46" i="8" s="1"/>
  <c r="A46" i="8" s="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EI46" i="2" l="1" a="1"/>
  <c r="EI46" i="2" s="1"/>
  <c r="T46" i="2" s="1" a="1"/>
  <c r="T46" i="2" s="1"/>
  <c r="U46" i="2" s="1"/>
  <c r="BJ43" i="2"/>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BI47" i="2"/>
  <c r="AF47" i="2" a="1"/>
  <c r="AF47" i="2" s="1"/>
  <c r="G47" i="2"/>
  <c r="E47" i="2"/>
  <c r="AB47" i="2"/>
  <c r="M47" i="2"/>
  <c r="GL47" i="2"/>
  <c r="GM47" i="2" s="1"/>
  <c r="GQ47" i="2"/>
  <c r="GR47" i="2" s="1"/>
  <c r="A49" i="2"/>
  <c r="A50" i="2" s="1"/>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B33" i="2" s="1"/>
  <c r="AP33" i="2"/>
  <c r="BJ32" i="2"/>
  <c r="AQ32" i="2"/>
  <c r="AB32" i="2"/>
  <c r="BJ31" i="2"/>
  <c r="AQ31" i="2"/>
  <c r="AB31" i="2"/>
  <c r="AW30" i="2"/>
  <c r="BJ30" i="2"/>
  <c r="AB30" i="2"/>
  <c r="Y29" i="2"/>
  <c r="AB29" i="2" s="1"/>
  <c r="AP29" i="2"/>
  <c r="AW28" i="2"/>
  <c r="BJ28" i="2"/>
  <c r="AB28" i="2"/>
  <c r="Y27" i="2"/>
  <c r="AB27" i="2" s="1"/>
  <c r="AP27" i="2"/>
  <c r="AW26" i="2"/>
  <c r="BJ26" i="2"/>
  <c r="AB26" i="2"/>
  <c r="BJ25" i="2"/>
  <c r="AQ25" i="2"/>
  <c r="AB25" i="2"/>
  <c r="AW24" i="2"/>
  <c r="BJ24" i="2"/>
  <c r="AB24" i="2"/>
  <c r="Y23" i="2"/>
  <c r="AB23" i="2" s="1"/>
  <c r="AP23" i="2"/>
  <c r="BJ22" i="2"/>
  <c r="AQ22" i="2"/>
  <c r="AB22" i="2"/>
  <c r="Y21" i="2"/>
  <c r="AB21" i="2" s="1"/>
  <c r="AP21" i="2"/>
  <c r="AW20" i="2"/>
  <c r="BJ20" i="2"/>
  <c r="AB20" i="2"/>
  <c r="Y19" i="2"/>
  <c r="AB19" i="2" s="1"/>
  <c r="AP19" i="2"/>
  <c r="BJ18" i="2"/>
  <c r="AQ18" i="2"/>
  <c r="AB18" i="2"/>
  <c r="AW17" i="2"/>
  <c r="BJ17" i="2"/>
  <c r="AB17" i="2"/>
  <c r="AW16" i="2"/>
  <c r="BJ16" i="2"/>
  <c r="AB16" i="2"/>
  <c r="BJ15" i="2"/>
  <c r="AQ15" i="2"/>
  <c r="AB15" i="2"/>
  <c r="Y14" i="2"/>
  <c r="AB14" i="2" s="1"/>
  <c r="AP14" i="2"/>
  <c r="BJ13" i="2"/>
  <c r="AQ13" i="2"/>
  <c r="AB13" i="2"/>
  <c r="BJ12" i="2"/>
  <c r="AQ12" i="2"/>
  <c r="AB12" i="2"/>
  <c r="Y11" i="2"/>
  <c r="AB11" i="2" s="1"/>
  <c r="AP11" i="2"/>
  <c r="Y9" i="2"/>
  <c r="AP9" i="2"/>
  <c r="A45" i="8"/>
  <c r="W10" i="2"/>
  <c r="Z10" i="2"/>
  <c r="AA10" i="2" s="1"/>
  <c r="BY50" i="2" l="1"/>
  <c r="GH50" i="2" s="1"/>
  <c r="D50" i="2"/>
  <c r="DM50" i="2"/>
  <c r="I50" i="2"/>
  <c r="CC50" i="2"/>
  <c r="BR50" i="2"/>
  <c r="GL50" i="2" s="1"/>
  <c r="GM50" i="2" s="1"/>
  <c r="BT50" i="2"/>
  <c r="BK50" i="2"/>
  <c r="CU50" i="2"/>
  <c r="CF50" i="2"/>
  <c r="CK50" i="2"/>
  <c r="CS50" i="2" s="1"/>
  <c r="CT50" i="2" s="1"/>
  <c r="CV50" i="2" s="1"/>
  <c r="CY50" i="2" s="1"/>
  <c r="FA50" i="2" s="1"/>
  <c r="CB50" i="2"/>
  <c r="C50" i="2"/>
  <c r="DL50" i="2"/>
  <c r="DE50" i="2"/>
  <c r="H50" i="2" s="1"/>
  <c r="BM50" i="2"/>
  <c r="DQ50" i="2"/>
  <c r="K50" i="2"/>
  <c r="W50" i="2"/>
  <c r="Y50" i="2" s="1"/>
  <c r="DO50" i="2"/>
  <c r="B50" i="2"/>
  <c r="AE50" i="2"/>
  <c r="BS50" i="2"/>
  <c r="L50" i="2" s="1"/>
  <c r="Z50" i="2"/>
  <c r="AA50" i="2" s="1"/>
  <c r="J50" i="2"/>
  <c r="CJ50" i="2"/>
  <c r="BU50" i="2"/>
  <c r="GQ50" i="2" s="1"/>
  <c r="GR50" i="2" s="1"/>
  <c r="DI50" i="2"/>
  <c r="AC50" i="2"/>
  <c r="CE50" i="2"/>
  <c r="DD50" i="2"/>
  <c r="CL50" i="2"/>
  <c r="BL50" i="2"/>
  <c r="EI47" i="2" a="1"/>
  <c r="EI47" i="2" s="1"/>
  <c r="T47" i="2" s="1" a="1"/>
  <c r="T47" i="2" s="1"/>
  <c r="BJ21" i="2"/>
  <c r="BJ14" i="2"/>
  <c r="CY48" i="2"/>
  <c r="FA48" i="2" s="1"/>
  <c r="FB48" i="2" s="1"/>
  <c r="BJ29" i="2"/>
  <c r="BJ37" i="2"/>
  <c r="BJ19" i="2"/>
  <c r="BJ27" i="2"/>
  <c r="BJ45" i="2"/>
  <c r="BJ33" i="2"/>
  <c r="AW45" i="2"/>
  <c r="HG45" i="2" s="1"/>
  <c r="BJ23" i="2"/>
  <c r="Y10" i="2"/>
  <c r="AB10" i="2" s="1"/>
  <c r="AP10" i="2"/>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F91" i="3" s="1"/>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AB50" i="2" l="1"/>
  <c r="M50" i="2"/>
  <c r="AG50" i="2"/>
  <c r="ER50" i="2"/>
  <c r="AF50" i="2" a="1"/>
  <c r="AF50" i="2" s="1"/>
  <c r="EI50" i="2" a="1"/>
  <c r="EI50" i="2" s="1"/>
  <c r="BI50" i="2"/>
  <c r="EV50" i="2"/>
  <c r="EW50" i="2" s="1"/>
  <c r="G50" i="2"/>
  <c r="EM50" i="2"/>
  <c r="EN50" i="2" s="1"/>
  <c r="HM50" i="2"/>
  <c r="E50" i="2"/>
  <c r="P50" i="2" s="1"/>
  <c r="EJ50" i="2" a="1"/>
  <c r="EJ50" i="2" s="1"/>
  <c r="T50" i="2" s="1" a="1"/>
  <c r="T50" i="2" s="1"/>
  <c r="U50" i="2" s="1"/>
  <c r="BJ10" i="2"/>
  <c r="EI48" i="2" a="1"/>
  <c r="EI48" i="2" s="1"/>
  <c r="T48" i="2" s="1" a="1"/>
  <c r="T48" i="2" s="1"/>
  <c r="CY49" i="2"/>
  <c r="FA49" i="2" s="1"/>
  <c r="FB49" i="2" s="1"/>
  <c r="V45" i="2"/>
  <c r="DR47" i="2"/>
  <c r="R47" i="2"/>
  <c r="AL47" i="2"/>
  <c r="BD47" i="2"/>
  <c r="BA47" i="2"/>
  <c r="AV47" i="2"/>
  <c r="AU47" i="2"/>
  <c r="AP47" i="2"/>
  <c r="AO47" i="2"/>
  <c r="AG49" i="2"/>
  <c r="A53" i="9"/>
  <c r="A52" i="9"/>
  <c r="A51" i="9"/>
  <c r="G34" i="3"/>
  <c r="HM49" i="2"/>
  <c r="EV49" i="2"/>
  <c r="EW49" i="2" s="1"/>
  <c r="ER49" i="2"/>
  <c r="EM49" i="2"/>
  <c r="EN49" i="2" s="1"/>
  <c r="EJ49" i="2" a="1"/>
  <c r="EJ49" i="2" s="1"/>
  <c r="EI49" i="2" a="1"/>
  <c r="EI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EK13" i="2"/>
  <c r="A13" i="9"/>
  <c r="EK12" i="2"/>
  <c r="A20" i="9"/>
  <c r="F150" i="3"/>
  <c r="R50" i="2" l="1"/>
  <c r="AL50" i="2"/>
  <c r="AV50" i="2"/>
  <c r="AP50" i="2"/>
  <c r="BA50" i="2"/>
  <c r="AU50" i="2"/>
  <c r="AW50" i="2" s="1"/>
  <c r="AO50" i="2"/>
  <c r="BD50" i="2"/>
  <c r="HM61" i="2"/>
  <c r="AK50" i="2" a="1"/>
  <c r="AK50" i="2" s="1"/>
  <c r="DS50" i="2"/>
  <c r="DT50" i="2" s="1"/>
  <c r="AJ50" i="2"/>
  <c r="DK50" i="2" a="1"/>
  <c r="DK50" i="2" s="1"/>
  <c r="DW50" i="2" s="1" a="1"/>
  <c r="DW50" i="2" s="1"/>
  <c r="DJ50" i="2" a="1"/>
  <c r="DJ50" i="2" s="1"/>
  <c r="DV50" i="2" s="1"/>
  <c r="DP50" i="2" a="1"/>
  <c r="DP50" i="2" s="1"/>
  <c r="DU50" i="2" s="1"/>
  <c r="AH50" i="2" a="1"/>
  <c r="AH50" i="2" s="1"/>
  <c r="AI50" i="2" a="1"/>
  <c r="AI50" i="2" s="1"/>
  <c r="T49" i="2" a="1"/>
  <c r="T49" i="2" s="1"/>
  <c r="I25" i="3" s="1"/>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K26" i="3"/>
  <c r="K18" i="3"/>
  <c r="H17" i="3"/>
  <c r="I15" i="3"/>
  <c r="K10" i="3"/>
  <c r="I10" i="3"/>
  <c r="H9" i="3"/>
  <c r="I7"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DR50" i="2" l="1"/>
  <c r="BJ50" i="2"/>
  <c r="AQ50" i="2"/>
  <c r="I11" i="3"/>
  <c r="I27" i="3"/>
  <c r="I19" i="3"/>
  <c r="H5" i="3"/>
  <c r="H13" i="3"/>
  <c r="H21" i="3"/>
  <c r="H29" i="3"/>
  <c r="I5" i="3"/>
  <c r="I28" i="3"/>
  <c r="I6" i="3"/>
  <c r="I14" i="3"/>
  <c r="I22" i="3"/>
  <c r="I29" i="3"/>
  <c r="I21" i="3"/>
  <c r="K6" i="3"/>
  <c r="K14" i="3"/>
  <c r="K22" i="3"/>
  <c r="K29" i="3"/>
  <c r="I24" i="3"/>
  <c r="I23" i="3"/>
  <c r="I30" i="3"/>
  <c r="I8" i="3"/>
  <c r="H25" i="3"/>
  <c r="U49" i="2"/>
  <c r="U61" i="2" s="1"/>
  <c r="I9" i="3"/>
  <c r="I18" i="3"/>
  <c r="I26" i="3"/>
  <c r="V47" i="2"/>
  <c r="DR49" i="2"/>
  <c r="R49" i="2"/>
  <c r="AL49" i="2"/>
  <c r="AL61" i="2" s="1"/>
  <c r="BD49" i="2"/>
  <c r="BD61" i="2" s="1"/>
  <c r="BA49" i="2"/>
  <c r="BA61" i="2" s="1"/>
  <c r="AV49" i="2"/>
  <c r="I20" i="3" s="1"/>
  <c r="AU49" i="2"/>
  <c r="AU61" i="2" s="1"/>
  <c r="AP49" i="2"/>
  <c r="AP61" i="2" s="1"/>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I16" i="3"/>
  <c r="AW48" i="2"/>
  <c r="AQ48" i="2"/>
  <c r="L37" i="1" a="1"/>
  <c r="L37" i="1" s="1"/>
  <c r="EK46" i="2"/>
  <c r="A39" i="9"/>
  <c r="GD34" i="2"/>
  <c r="FY34" i="2"/>
  <c r="FZ34" i="2" s="1"/>
  <c r="FT34" i="2"/>
  <c r="FU34" i="2" s="1"/>
  <c r="EN61" i="2"/>
  <c r="L49" i="3" s="1"/>
  <c r="HE50" i="2" l="1"/>
  <c r="V50" i="2"/>
  <c r="H32" i="3"/>
  <c r="AV61" i="2"/>
  <c r="BJ49" i="2"/>
  <c r="V48" i="2"/>
  <c r="HG48" i="2"/>
  <c r="FU9" i="2"/>
  <c r="FZ9" i="2"/>
  <c r="AW49" i="2"/>
  <c r="I17" i="3"/>
  <c r="AQ49" i="2"/>
  <c r="EK47" i="2"/>
  <c r="A40" i="9"/>
  <c r="F146" i="3"/>
  <c r="EK50" i="2" l="1"/>
  <c r="F137" i="3"/>
  <c r="HE49" i="2"/>
  <c r="V49" i="2"/>
  <c r="AQ61" i="2"/>
  <c r="I32" i="3"/>
  <c r="AW61" i="2"/>
  <c r="EK48" i="2"/>
  <c r="A50" i="9"/>
  <c r="F94" i="3"/>
  <c r="V64" i="2" l="1"/>
  <c r="B14" i="13" s="1"/>
  <c r="A43" i="9"/>
  <c r="V61" i="2"/>
  <c r="M43" i="3" s="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L33" i="1" l="1"/>
  <c r="H89" i="3"/>
  <c r="H150" i="3"/>
  <c r="H137" i="3"/>
  <c r="H116" i="3"/>
  <c r="H128" i="3"/>
  <c r="H135" i="3"/>
  <c r="H92" i="3"/>
  <c r="H151" i="3"/>
  <c r="H109" i="3"/>
  <c r="H112" i="3"/>
  <c r="H147" i="3"/>
  <c r="H114" i="3"/>
  <c r="H101" i="3"/>
  <c r="F157" i="3"/>
  <c r="H91" i="3"/>
  <c r="H123" i="3"/>
  <c r="H146" i="3"/>
  <c r="H94" i="3"/>
  <c r="EK61" i="2"/>
  <c r="J32" i="3"/>
  <c r="M63" i="3"/>
  <c r="J63" i="3"/>
  <c r="M62" i="3"/>
  <c r="J62" i="3"/>
  <c r="M56" i="3"/>
  <c r="J56" i="3"/>
  <c r="FG50" i="2" s="1"/>
  <c r="M55" i="3"/>
  <c r="J55" i="3"/>
  <c r="FF50" i="2" s="1"/>
  <c r="M54" i="3"/>
  <c r="J54" i="3"/>
  <c r="FE50" i="2" s="1"/>
  <c r="M53" i="3"/>
  <c r="J53" i="3"/>
  <c r="J49" i="3"/>
  <c r="EL50" i="2" s="1"/>
  <c r="EO50" i="2" s="1"/>
  <c r="EP50" i="2" s="1"/>
  <c r="J50" i="3"/>
  <c r="EQ50" i="2" s="1"/>
  <c r="J51" i="3"/>
  <c r="EU50" i="2" s="1"/>
  <c r="EX50" i="2" s="1"/>
  <c r="J52" i="3"/>
  <c r="EZ50" i="2" s="1"/>
  <c r="J57" i="3"/>
  <c r="FH50" i="2" s="1"/>
  <c r="J58" i="3"/>
  <c r="FR50" i="2" s="1"/>
  <c r="J59" i="3"/>
  <c r="FW50" i="2" s="1"/>
  <c r="J61" i="3"/>
  <c r="GB50" i="2" s="1"/>
  <c r="J64" i="3"/>
  <c r="GG50" i="2" s="1"/>
  <c r="J67" i="3"/>
  <c r="GK50" i="2" s="1"/>
  <c r="GN50" i="2" s="1"/>
  <c r="J68" i="3"/>
  <c r="GP50" i="2" s="1"/>
  <c r="GS50" i="2" s="1"/>
  <c r="J69" i="3"/>
  <c r="GU50" i="2" s="1"/>
  <c r="GX50" i="2" s="1"/>
  <c r="J70" i="3"/>
  <c r="GZ50" i="2" s="1"/>
  <c r="HC50" i="2" s="1"/>
  <c r="M70" i="3"/>
  <c r="M50" i="3"/>
  <c r="M68" i="3"/>
  <c r="M49" i="3"/>
  <c r="FY50" i="2" l="1"/>
  <c r="GD50" i="2"/>
  <c r="FT50" i="2"/>
  <c r="FU50" i="2" s="1"/>
  <c r="C89" i="14"/>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ES50" i="2" l="1"/>
  <c r="ET50" i="2" s="1"/>
  <c r="EY50" i="2" s="1"/>
  <c r="ES9" i="2"/>
  <c r="ET9" i="2" s="1"/>
  <c r="ES33" i="2"/>
  <c r="ET33" i="2" s="1"/>
  <c r="EY33" i="2" s="1"/>
  <c r="FD33" i="2" s="1"/>
  <c r="FI33" i="2" s="1"/>
  <c r="FJ33" i="2" s="1"/>
  <c r="FL33" i="2" s="1"/>
  <c r="FK33" i="2" s="1"/>
  <c r="ES25" i="2"/>
  <c r="ET25" i="2" s="1"/>
  <c r="EY25" i="2" s="1"/>
  <c r="FD25" i="2" s="1"/>
  <c r="FI25" i="2" s="1"/>
  <c r="FJ25" i="2" s="1"/>
  <c r="ES32" i="2"/>
  <c r="ET32" i="2" s="1"/>
  <c r="EY32" i="2" s="1"/>
  <c r="FD32" i="2" s="1"/>
  <c r="ES48" i="2"/>
  <c r="ET48" i="2" s="1"/>
  <c r="EY48" i="2" s="1"/>
  <c r="FD48" i="2" s="1"/>
  <c r="FI48" i="2" s="1"/>
  <c r="FJ48" i="2" s="1"/>
  <c r="ES14" i="2"/>
  <c r="ET14" i="2" s="1"/>
  <c r="EY14" i="2" s="1"/>
  <c r="ES13" i="2"/>
  <c r="ET13" i="2" s="1"/>
  <c r="EY13" i="2" s="1"/>
  <c r="FD13" i="2" s="1"/>
  <c r="FI13" i="2" s="1"/>
  <c r="FJ13" i="2" s="1"/>
  <c r="ES31" i="2"/>
  <c r="ET31" i="2" s="1"/>
  <c r="EY31" i="2" s="1"/>
  <c r="FD31" i="2" s="1"/>
  <c r="FI31" i="2" s="1"/>
  <c r="FJ31" i="2" s="1"/>
  <c r="ES46" i="2"/>
  <c r="ET46" i="2" s="1"/>
  <c r="EY46" i="2" s="1"/>
  <c r="FD46" i="2" s="1"/>
  <c r="FI46" i="2" s="1"/>
  <c r="FJ46" i="2" s="1"/>
  <c r="ES12" i="2"/>
  <c r="ET12" i="2" s="1"/>
  <c r="EY12" i="2" s="1"/>
  <c r="FD12" i="2" s="1"/>
  <c r="FI12" i="2" s="1"/>
  <c r="FJ12" i="2" s="1"/>
  <c r="ES39" i="2"/>
  <c r="ET39" i="2" s="1"/>
  <c r="EY39" i="2" s="1"/>
  <c r="FD39" i="2" s="1"/>
  <c r="FI39" i="2" s="1"/>
  <c r="FJ39" i="2" s="1"/>
  <c r="ES15" i="2"/>
  <c r="ET15" i="2" s="1"/>
  <c r="EY15" i="2" s="1"/>
  <c r="FD15" i="2" s="1"/>
  <c r="FI15" i="2" s="1"/>
  <c r="FJ15" i="2" s="1"/>
  <c r="ES38" i="2"/>
  <c r="ET38" i="2" s="1"/>
  <c r="EY38" i="2" s="1"/>
  <c r="FD38" i="2" s="1"/>
  <c r="FI38" i="2" s="1"/>
  <c r="FJ38" i="2" s="1"/>
  <c r="ES22" i="2"/>
  <c r="ET22" i="2" s="1"/>
  <c r="EY22" i="2" s="1"/>
  <c r="FD22" i="2" s="1"/>
  <c r="FI22" i="2" s="1"/>
  <c r="FJ22" i="2" s="1"/>
  <c r="ES45" i="2"/>
  <c r="ET45" i="2" s="1"/>
  <c r="EY45" i="2" s="1"/>
  <c r="FD45" i="2" s="1"/>
  <c r="FI45" i="2" s="1"/>
  <c r="FJ45" i="2" s="1"/>
  <c r="ES29" i="2"/>
  <c r="ET29" i="2" s="1"/>
  <c r="EY29" i="2" s="1"/>
  <c r="ES35" i="2"/>
  <c r="ET35" i="2" s="1"/>
  <c r="EY35" i="2" s="1"/>
  <c r="FD35" i="2" s="1"/>
  <c r="FI35" i="2" s="1"/>
  <c r="FJ35" i="2" s="1"/>
  <c r="ES27" i="2"/>
  <c r="ET27" i="2" s="1"/>
  <c r="EY27" i="2" s="1"/>
  <c r="FD27" i="2" s="1"/>
  <c r="FI27" i="2" s="1"/>
  <c r="FJ27" i="2" s="1"/>
  <c r="FL27" i="2" s="1"/>
  <c r="FK27" i="2" s="1"/>
  <c r="ES19" i="2"/>
  <c r="ET19" i="2" s="1"/>
  <c r="EY19" i="2" s="1"/>
  <c r="ES11" i="2"/>
  <c r="ET11" i="2" s="1"/>
  <c r="EY11" i="2" s="1"/>
  <c r="FD11" i="2" s="1"/>
  <c r="FI11" i="2" s="1"/>
  <c r="FJ11" i="2" s="1"/>
  <c r="FL11" i="2" s="1"/>
  <c r="FK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2" i="2"/>
  <c r="FJ42" i="2" s="1"/>
  <c r="FI41" i="2"/>
  <c r="FJ41" i="2" s="1"/>
  <c r="FI32" i="2"/>
  <c r="FJ32" i="2" s="1"/>
  <c r="FI30" i="2"/>
  <c r="FJ30" i="2" s="1"/>
  <c r="FI28" i="2"/>
  <c r="FJ28" i="2" s="1"/>
  <c r="FL28" i="2" s="1"/>
  <c r="FK28" i="2" s="1"/>
  <c r="FI26" i="2"/>
  <c r="FJ26" i="2" s="1"/>
  <c r="FI24" i="2"/>
  <c r="FJ24" i="2" s="1"/>
  <c r="EW17" i="2"/>
  <c r="EW20" i="2"/>
  <c r="EX20" i="2" s="1"/>
  <c r="EY20" i="2" s="1"/>
  <c r="FD20" i="2" s="1"/>
  <c r="EW40" i="2"/>
  <c r="EX40" i="2" s="1"/>
  <c r="EY40" i="2" s="1"/>
  <c r="FD40" i="2" s="1"/>
  <c r="EW43" i="2"/>
  <c r="EX43" i="2" s="1"/>
  <c r="EY43" i="2" s="1"/>
  <c r="FD43" i="2" s="1"/>
  <c r="EW44" i="2"/>
  <c r="EX44" i="2" s="1"/>
  <c r="EY44" i="2" s="1"/>
  <c r="FD44" i="2" s="1"/>
  <c r="FI16" i="2"/>
  <c r="FJ16" i="2" s="1"/>
  <c r="ES61" i="2" l="1"/>
  <c r="K50" i="3" s="1"/>
  <c r="ET61" i="2"/>
  <c r="EY9" i="2"/>
  <c r="FB50" i="2" s="1"/>
  <c r="FC50" i="2" s="1"/>
  <c r="FD50" i="2" s="1"/>
  <c r="FI50" i="2" s="1"/>
  <c r="FJ50" i="2" s="1"/>
  <c r="FL50" i="2" s="1"/>
  <c r="FP11" i="2"/>
  <c r="FO11" i="2"/>
  <c r="FN11" i="2"/>
  <c r="FM11" i="2"/>
  <c r="FI44" i="2"/>
  <c r="FJ44" i="2" s="1"/>
  <c r="FI43" i="2"/>
  <c r="FJ43" i="2" s="1"/>
  <c r="FI40" i="2"/>
  <c r="FJ40" i="2" s="1"/>
  <c r="FI20" i="2"/>
  <c r="FJ20" i="2" s="1"/>
  <c r="EX17" i="2"/>
  <c r="EW61" i="2"/>
  <c r="L51" i="3" s="1"/>
  <c r="M51" i="3" s="1"/>
  <c r="FP27" i="2"/>
  <c r="FO27" i="2"/>
  <c r="FN27" i="2"/>
  <c r="FM27" i="2"/>
  <c r="FP28" i="2"/>
  <c r="FO28" i="2"/>
  <c r="FN28" i="2"/>
  <c r="FM28" i="2"/>
  <c r="FP33" i="2"/>
  <c r="FO33" i="2"/>
  <c r="FN33" i="2"/>
  <c r="FM33" i="2"/>
  <c r="FQ33" i="2" l="1"/>
  <c r="FV33" i="2" s="1"/>
  <c r="FQ27" i="2"/>
  <c r="FQ11" i="2"/>
  <c r="FV11" i="2" s="1"/>
  <c r="FQ28" i="2"/>
  <c r="FV28" i="2" s="1"/>
  <c r="GA28" i="2" s="1"/>
  <c r="GE28" i="2" s="1"/>
  <c r="GF28" i="2" s="1"/>
  <c r="EX61" i="2"/>
  <c r="K51" i="3" s="1"/>
  <c r="EY17" i="2"/>
  <c r="FD17" i="2" s="1"/>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FS33" i="2" l="1"/>
  <c r="FS11" i="2"/>
  <c r="EY61" i="2"/>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29" i="2" l="1"/>
  <c r="FV29" i="2" s="1"/>
  <c r="FQ36" i="2"/>
  <c r="FV36" i="2" s="1"/>
  <c r="FQ21" i="2"/>
  <c r="FV21" i="2" s="1"/>
  <c r="FQ14" i="2"/>
  <c r="FV14" i="2" s="1"/>
  <c r="FQ37" i="2"/>
  <c r="FS37" i="2" s="1"/>
  <c r="FQ34" i="2"/>
  <c r="FV34" i="2" s="1"/>
  <c r="FQ23" i="2"/>
  <c r="FV23" i="2" s="1"/>
  <c r="FQ19" i="2"/>
  <c r="FV19" i="2" s="1"/>
  <c r="GA19" i="2" s="1"/>
  <c r="GE19" i="2" s="1"/>
  <c r="GF19" i="2" s="1"/>
  <c r="FQ10" i="2"/>
  <c r="FV10" i="2" s="1"/>
  <c r="FS29" i="2"/>
  <c r="FS21" i="2"/>
  <c r="FD61" i="2"/>
  <c r="FI9" i="2"/>
  <c r="K53" i="3"/>
  <c r="K52" i="3"/>
  <c r="FS10" i="2" l="1"/>
  <c r="FS34" i="2"/>
  <c r="FV37" i="2"/>
  <c r="GA37" i="2" s="1"/>
  <c r="FI61" i="2"/>
  <c r="FJ9" i="2"/>
  <c r="GA10" i="2"/>
  <c r="FX10" i="2"/>
  <c r="GA14" i="2"/>
  <c r="GA21" i="2"/>
  <c r="FX21" i="2"/>
  <c r="GA23" i="2"/>
  <c r="GA29" i="2"/>
  <c r="FX29" i="2"/>
  <c r="GA34" i="2"/>
  <c r="FX34" i="2"/>
  <c r="GA36"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L20" i="2"/>
  <c r="FK20" i="2" s="1"/>
  <c r="FL40" i="2"/>
  <c r="FK40" i="2" s="1"/>
  <c r="FL43" i="2"/>
  <c r="FK43" i="2" s="1"/>
  <c r="FL44" i="2"/>
  <c r="FK44" i="2" s="1"/>
  <c r="FL17" i="2"/>
  <c r="FK17" i="2" s="1"/>
  <c r="FK49" i="2" l="1"/>
  <c r="FM49" i="2" s="1"/>
  <c r="FK50" i="2"/>
  <c r="FP17" i="2"/>
  <c r="FO17" i="2"/>
  <c r="FN17" i="2"/>
  <c r="FM17" i="2"/>
  <c r="FP44" i="2"/>
  <c r="FO44" i="2"/>
  <c r="FN44" i="2"/>
  <c r="FM44" i="2"/>
  <c r="FP43" i="2"/>
  <c r="FO43" i="2"/>
  <c r="FN43" i="2"/>
  <c r="FM43" i="2"/>
  <c r="FP40" i="2"/>
  <c r="FO40" i="2"/>
  <c r="FN40" i="2"/>
  <c r="FM40" i="2"/>
  <c r="FP20" i="2"/>
  <c r="FO20" i="2"/>
  <c r="FN20" i="2"/>
  <c r="FM20" i="2"/>
  <c r="FP48" i="2"/>
  <c r="FO48" i="2"/>
  <c r="FN48" i="2"/>
  <c r="FM48" i="2"/>
  <c r="FP47" i="2"/>
  <c r="FO47" i="2"/>
  <c r="FN47" i="2"/>
  <c r="FM47" i="2"/>
  <c r="FP46" i="2"/>
  <c r="FO46" i="2"/>
  <c r="FN46" i="2"/>
  <c r="FM46" i="2"/>
  <c r="FP45" i="2"/>
  <c r="FO45" i="2"/>
  <c r="FN45" i="2"/>
  <c r="FM45" i="2"/>
  <c r="FP42" i="2"/>
  <c r="FO42" i="2"/>
  <c r="FN42" i="2"/>
  <c r="FM42" i="2"/>
  <c r="FP41" i="2"/>
  <c r="FO41" i="2"/>
  <c r="FN41" i="2"/>
  <c r="FM41" i="2"/>
  <c r="FP39" i="2"/>
  <c r="FO39" i="2"/>
  <c r="FN39" i="2"/>
  <c r="FM39" i="2"/>
  <c r="FP38" i="2"/>
  <c r="FO38" i="2"/>
  <c r="FN38" i="2"/>
  <c r="FM38" i="2"/>
  <c r="FP35" i="2"/>
  <c r="FO35" i="2"/>
  <c r="FN35" i="2"/>
  <c r="FM35" i="2"/>
  <c r="FP32" i="2"/>
  <c r="FO32" i="2"/>
  <c r="FN32" i="2"/>
  <c r="FM32" i="2"/>
  <c r="FP31" i="2"/>
  <c r="FO31" i="2"/>
  <c r="FN31" i="2"/>
  <c r="FM31" i="2"/>
  <c r="FP30" i="2"/>
  <c r="FO30" i="2"/>
  <c r="FN30" i="2"/>
  <c r="FM30" i="2"/>
  <c r="FP26" i="2"/>
  <c r="FO26" i="2"/>
  <c r="FN26" i="2"/>
  <c r="FM26" i="2"/>
  <c r="FP25" i="2"/>
  <c r="FO25" i="2"/>
  <c r="FN25" i="2"/>
  <c r="FM25" i="2"/>
  <c r="FP24" i="2"/>
  <c r="FO24" i="2"/>
  <c r="FN24" i="2"/>
  <c r="FM24" i="2"/>
  <c r="FP22" i="2"/>
  <c r="FO22" i="2"/>
  <c r="FN22" i="2"/>
  <c r="FM22" i="2"/>
  <c r="FP18" i="2"/>
  <c r="FO18" i="2"/>
  <c r="FN18" i="2"/>
  <c r="FM18" i="2"/>
  <c r="FP16" i="2"/>
  <c r="FO16" i="2"/>
  <c r="FN16" i="2"/>
  <c r="FM16" i="2"/>
  <c r="FP15" i="2"/>
  <c r="FO15" i="2"/>
  <c r="FN15" i="2"/>
  <c r="FM15" i="2"/>
  <c r="FP13" i="2"/>
  <c r="FO13" i="2"/>
  <c r="FN13" i="2"/>
  <c r="FM13" i="2"/>
  <c r="FP12" i="2"/>
  <c r="FO12" i="2"/>
  <c r="FN12" i="2"/>
  <c r="FM12" i="2"/>
  <c r="FP9" i="2"/>
  <c r="FO9" i="2"/>
  <c r="FN9" i="2"/>
  <c r="FM9" i="2"/>
  <c r="GH23" i="2"/>
  <c r="FN49" i="2" l="1"/>
  <c r="FO49" i="2"/>
  <c r="FP49" i="2"/>
  <c r="FQ13" i="2"/>
  <c r="FQ22" i="2"/>
  <c r="FV22" i="2" s="1"/>
  <c r="FQ16" i="2"/>
  <c r="FV16" i="2" s="1"/>
  <c r="FQ25" i="2"/>
  <c r="FV25" i="2" s="1"/>
  <c r="FQ30" i="2"/>
  <c r="FV30" i="2" s="1"/>
  <c r="FQ32" i="2"/>
  <c r="FV32" i="2" s="1"/>
  <c r="FQ38" i="2"/>
  <c r="FS38" i="2" s="1"/>
  <c r="FQ41" i="2"/>
  <c r="FV41" i="2" s="1"/>
  <c r="GA41" i="2" s="1"/>
  <c r="FQ45" i="2"/>
  <c r="FV45" i="2" s="1"/>
  <c r="FQ47" i="2"/>
  <c r="FV47" i="2" s="1"/>
  <c r="FQ40" i="2"/>
  <c r="FQ44" i="2"/>
  <c r="FV44" i="2" s="1"/>
  <c r="FP50" i="2"/>
  <c r="FO50" i="2"/>
  <c r="FN50" i="2"/>
  <c r="FM50" i="2"/>
  <c r="FQ17" i="2"/>
  <c r="FQ18" i="2"/>
  <c r="FQ26" i="2"/>
  <c r="FV26" i="2" s="1"/>
  <c r="GA26" i="2" s="1"/>
  <c r="FQ39" i="2"/>
  <c r="FV39" i="2" s="1"/>
  <c r="FQ42" i="2"/>
  <c r="FV42" i="2" s="1"/>
  <c r="GA42" i="2" s="1"/>
  <c r="FQ48" i="2"/>
  <c r="FQ43" i="2"/>
  <c r="FV43" i="2" s="1"/>
  <c r="FQ12" i="2"/>
  <c r="FV12" i="2" s="1"/>
  <c r="FQ15" i="2"/>
  <c r="FV15" i="2" s="1"/>
  <c r="FQ24" i="2"/>
  <c r="FV24" i="2" s="1"/>
  <c r="FQ31" i="2"/>
  <c r="FV31" i="2" s="1"/>
  <c r="FQ35" i="2"/>
  <c r="FV35" i="2" s="1"/>
  <c r="GA35" i="2" s="1"/>
  <c r="FQ46" i="2"/>
  <c r="FQ20" i="2"/>
  <c r="FS20" i="2" s="1"/>
  <c r="GH61" i="2"/>
  <c r="L64" i="3" s="1"/>
  <c r="M64" i="3" s="1"/>
  <c r="FM61" i="2"/>
  <c r="K54" i="3" s="1"/>
  <c r="FQ9" i="2"/>
  <c r="FS25" i="2"/>
  <c r="FP61" i="2" l="1"/>
  <c r="K57" i="3" s="1"/>
  <c r="L57" i="3" s="1"/>
  <c r="M57" i="3" s="1"/>
  <c r="FS16" i="2"/>
  <c r="FS45" i="2"/>
  <c r="FQ49" i="2"/>
  <c r="FO61" i="2"/>
  <c r="K56" i="3" s="1"/>
  <c r="FS36" i="2"/>
  <c r="FS23" i="2"/>
  <c r="FN61" i="2"/>
  <c r="K55" i="3" s="1"/>
  <c r="FS27" i="2"/>
  <c r="FU27" i="2" s="1"/>
  <c r="FV27" i="2" s="1"/>
  <c r="GA27" i="2" s="1"/>
  <c r="GE27" i="2" s="1"/>
  <c r="GF27" i="2" s="1"/>
  <c r="FV38" i="2"/>
  <c r="FS32" i="2"/>
  <c r="FS28" i="2"/>
  <c r="FS26" i="2"/>
  <c r="FS41" i="2"/>
  <c r="FS14" i="2"/>
  <c r="FS39" i="2"/>
  <c r="FS17" i="2"/>
  <c r="FQ50" i="2"/>
  <c r="FV50" i="2" s="1"/>
  <c r="FV17" i="2"/>
  <c r="FX17" i="2" s="1"/>
  <c r="FS47" i="2"/>
  <c r="FS42" i="2"/>
  <c r="FS22" i="2"/>
  <c r="FV49" i="2"/>
  <c r="GA49" i="2" s="1"/>
  <c r="FS18" i="2"/>
  <c r="FU18" i="2" s="1"/>
  <c r="FV18" i="2" s="1"/>
  <c r="GA18" i="2" s="1"/>
  <c r="GE18" i="2" s="1"/>
  <c r="GF18" i="2" s="1"/>
  <c r="FS48" i="2"/>
  <c r="FU48" i="2" s="1"/>
  <c r="FV48" i="2" s="1"/>
  <c r="GA48" i="2" s="1"/>
  <c r="GE48" i="2" s="1"/>
  <c r="GF48" i="2" s="1"/>
  <c r="FV20" i="2"/>
  <c r="GA20" i="2" s="1"/>
  <c r="FS13" i="2"/>
  <c r="FS61" i="2" s="1"/>
  <c r="L58" i="3" s="1"/>
  <c r="M58" i="3" s="1"/>
  <c r="FS31" i="2"/>
  <c r="FS35" i="2"/>
  <c r="FS19" i="2"/>
  <c r="FS12" i="2"/>
  <c r="FS43" i="2"/>
  <c r="FS46" i="2"/>
  <c r="FU46" i="2" s="1"/>
  <c r="FV46" i="2" s="1"/>
  <c r="GA46" i="2" s="1"/>
  <c r="GE46" i="2" s="1"/>
  <c r="GF46" i="2" s="1"/>
  <c r="FS40" i="2"/>
  <c r="FU40" i="2" s="1"/>
  <c r="FV40" i="2" s="1"/>
  <c r="GA40" i="2" s="1"/>
  <c r="GE40" i="2" s="1"/>
  <c r="GF40" i="2" s="1"/>
  <c r="GA17" i="2"/>
  <c r="GA43" i="2"/>
  <c r="FX43" i="2"/>
  <c r="GA47" i="2"/>
  <c r="FX36" i="2"/>
  <c r="FX47" i="2"/>
  <c r="GA45" i="2"/>
  <c r="FX45" i="2"/>
  <c r="GA39" i="2"/>
  <c r="FX14" i="2"/>
  <c r="FX28" i="2"/>
  <c r="FX39" i="2"/>
  <c r="FX41" i="2"/>
  <c r="GA38" i="2"/>
  <c r="FX23" i="2"/>
  <c r="FX38" i="2"/>
  <c r="GA32" i="2"/>
  <c r="FX32" i="2"/>
  <c r="GA31" i="2"/>
  <c r="FX31" i="2"/>
  <c r="GA25" i="2"/>
  <c r="FX25" i="2"/>
  <c r="GA22" i="2"/>
  <c r="FX22" i="2"/>
  <c r="FX42" i="2"/>
  <c r="GA16" i="2"/>
  <c r="FX16" i="2"/>
  <c r="FX15" i="2"/>
  <c r="FX24" i="2"/>
  <c r="FZ24" i="2" s="1"/>
  <c r="GA24" i="2" s="1"/>
  <c r="FX30" i="2"/>
  <c r="FZ30" i="2" s="1"/>
  <c r="GA30" i="2" s="1"/>
  <c r="FX44" i="2"/>
  <c r="FZ44" i="2" s="1"/>
  <c r="GA44" i="2" s="1"/>
  <c r="GA12" i="2"/>
  <c r="FX12" i="2"/>
  <c r="FX19" i="2"/>
  <c r="FX35" i="2"/>
  <c r="FV9" i="2"/>
  <c r="FS9" i="2"/>
  <c r="FS15" i="2" l="1"/>
  <c r="FS44" i="2"/>
  <c r="FS24" i="2"/>
  <c r="FS30" i="2"/>
  <c r="FX49" i="2"/>
  <c r="FX20" i="2"/>
  <c r="FQ61" i="2"/>
  <c r="FX26" i="2"/>
  <c r="FS50" i="2"/>
  <c r="FX50" i="2"/>
  <c r="FZ50" i="2" s="1"/>
  <c r="GA50" i="2" s="1"/>
  <c r="FS49" i="2"/>
  <c r="FU13" i="2"/>
  <c r="FU61" i="2" s="1"/>
  <c r="K58" i="3" s="1"/>
  <c r="GA9" i="2"/>
  <c r="FX9" i="2"/>
  <c r="GC12" i="2"/>
  <c r="GC19" i="2"/>
  <c r="GC35" i="2"/>
  <c r="GE35" i="2" s="1"/>
  <c r="GF35" i="2" s="1"/>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40" i="2" l="1"/>
  <c r="GJ40" i="2" s="1"/>
  <c r="GO40" i="2" s="1"/>
  <c r="GT40" i="2" s="1"/>
  <c r="GY40" i="2" s="1"/>
  <c r="HD40" i="2" s="1"/>
  <c r="HG40" i="2" s="1"/>
  <c r="HN40" i="2" s="1"/>
  <c r="FV13" i="2"/>
  <c r="FX40" i="2" s="1"/>
  <c r="GI26" i="2"/>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C50" i="2" s="1"/>
  <c r="GE50" i="2" s="1"/>
  <c r="GF50" i="2" s="1"/>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FX13" i="2"/>
  <c r="FX18" i="2"/>
  <c r="FX27" i="2"/>
  <c r="FX48" i="2"/>
  <c r="FV61" i="2"/>
  <c r="GC61" i="2"/>
  <c r="GE12" i="2"/>
  <c r="GF12" i="2" s="1"/>
  <c r="GE9" i="2"/>
  <c r="GC9" i="2"/>
  <c r="HG50" i="2" l="1"/>
  <c r="FX46" i="2"/>
  <c r="GA61" i="2"/>
  <c r="GF9" i="2"/>
  <c r="GI50" i="2" s="1"/>
  <c r="GJ50" i="2" s="1"/>
  <c r="GO50" i="2" s="1"/>
  <c r="GT50" i="2" s="1"/>
  <c r="GY50" i="2" s="1"/>
  <c r="HD50" i="2" s="1"/>
  <c r="GE13" i="2"/>
  <c r="GC13" i="2"/>
  <c r="GC18" i="2"/>
  <c r="GC27" i="2"/>
  <c r="GC40" i="2"/>
  <c r="GC46" i="2"/>
  <c r="GC48" i="2"/>
  <c r="GE15" i="2"/>
  <c r="GF15" i="2" s="1"/>
  <c r="GC15" i="2"/>
  <c r="GC24" i="2"/>
  <c r="GC30" i="2"/>
  <c r="GC44" i="2"/>
  <c r="HN41" i="2"/>
  <c r="K21" i="3"/>
  <c r="K25" i="3"/>
  <c r="HN17" i="2"/>
  <c r="HN50" i="2" l="1"/>
  <c r="GI15" i="2"/>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s="1"/>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O9" i="2"/>
  <c r="K17" i="3"/>
  <c r="HG61" i="2"/>
  <c r="HN16" i="2"/>
  <c r="GX10" i="2"/>
  <c r="GW61" i="2"/>
  <c r="L69" i="3" s="1"/>
  <c r="GN21" i="2"/>
  <c r="GM61" i="2"/>
  <c r="L67" i="3" s="1"/>
  <c r="M67" i="3" s="1"/>
  <c r="GJ61" i="2" l="1"/>
  <c r="K32" i="3"/>
  <c r="L5" i="3" s="1"/>
  <c r="GN61" i="2"/>
  <c r="K67" i="3" s="1"/>
  <c r="GO21" i="2"/>
  <c r="GT21" i="2" s="1"/>
  <c r="GY21" i="2" s="1"/>
  <c r="HD21" i="2" s="1"/>
  <c r="HN21" i="2" s="1"/>
  <c r="D88" i="14"/>
  <c r="M69" i="3"/>
  <c r="GX61" i="2"/>
  <c r="K69" i="3" s="1"/>
  <c r="E88" i="14" s="1"/>
  <c r="GY10" i="2"/>
  <c r="HD10" i="2" s="1"/>
  <c r="HN10" i="2" s="1"/>
  <c r="GT9" i="2"/>
  <c r="L13" i="3" l="1"/>
  <c r="L9" i="3"/>
  <c r="L17" i="3"/>
  <c r="L21" i="3"/>
  <c r="L25" i="3"/>
  <c r="L29" i="3"/>
  <c r="L26" i="3"/>
  <c r="L14" i="3"/>
  <c r="L22" i="3"/>
  <c r="L6" i="3"/>
  <c r="M44" i="3"/>
  <c r="L34" i="1" s="1"/>
  <c r="L35" i="1" s="1"/>
  <c r="L18" i="3"/>
  <c r="L10" i="3"/>
  <c r="GO61" i="2"/>
  <c r="GT61" i="2"/>
  <c r="GY9" i="2"/>
  <c r="G38" i="3" l="1"/>
  <c r="G174" i="3" s="1"/>
  <c r="G175" i="3" s="1"/>
  <c r="M45" i="3"/>
  <c r="L32" i="3"/>
  <c r="GY61" i="2"/>
  <c r="HD9" i="2"/>
  <c r="L48" i="1" l="1"/>
  <c r="L23" i="1" s="1"/>
  <c r="L26" i="1" s="1"/>
  <c r="B12" i="13" s="1"/>
  <c r="HD61" i="2"/>
  <c r="HN9" i="2"/>
  <c r="AJ24" i="4"/>
  <c r="AF24" i="4"/>
  <c r="AE24" i="4"/>
  <c r="AE29" i="4" s="1"/>
  <c r="AD24" i="4"/>
  <c r="AD29" i="4" s="1"/>
  <c r="AC24" i="4"/>
  <c r="AC29" i="4" s="1"/>
  <c r="AB24" i="4"/>
  <c r="AB29" i="4" s="1"/>
  <c r="AA24" i="4"/>
  <c r="AA29" i="4" s="1"/>
  <c r="Z24" i="4"/>
  <c r="Z29" i="4" s="1"/>
  <c r="Y24" i="4"/>
  <c r="Y29" i="4" s="1"/>
  <c r="X24" i="4"/>
  <c r="T24" i="4"/>
  <c r="T29" i="4" s="1"/>
  <c r="S24" i="4"/>
  <c r="S29" i="4" s="1"/>
  <c r="R24" i="4"/>
  <c r="R29" i="4" s="1"/>
  <c r="Q24" i="4"/>
  <c r="Q29" i="4" s="1"/>
  <c r="K24" i="4"/>
  <c r="K29" i="4" s="1"/>
  <c r="X29" i="4"/>
  <c r="AF29" i="4"/>
  <c r="AJ29" i="4"/>
  <c r="U29" i="4" l="1"/>
  <c r="U24" i="4"/>
  <c r="L42" i="1"/>
  <c r="L58" i="1"/>
  <c r="L28" i="1"/>
  <c r="L29" i="1" s="1"/>
  <c r="L56" i="1"/>
  <c r="B54" i="14"/>
  <c r="L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<sst xmlns="http://schemas.openxmlformats.org/spreadsheetml/2006/main" count="5770" uniqueCount="2604">
  <si>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</si>
  <si>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</si>
  <si>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</si>
  <si>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</si>
  <si>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</si>
  <si>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</si>
  <si>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</si>
  <si>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</si>
  <si>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</si>
  <si>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</si>
  <si>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</si>
  <si>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</si>
  <si>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</si>
  <si>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</si>
  <si>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</si>
  <si>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</si>
  <si>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</si>
  <si>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</si>
  <si>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</si>
  <si>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</si>
  <si>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</si>
  <si>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</si>
  <si>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</si>
  <si>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</si>
  <si>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</si>
  <si>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</si>
  <si>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</si>
  <si>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</si>
  <si>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</si>
  <si>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</si>
  <si>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</si>
  <si>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</si>
  <si>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</si>
  <si>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</si>
  <si>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</si>
  <si>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</si>
  <si>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</si>
  <si>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</si>
  <si>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</si>
  <si>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</si>
  <si>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</si>
  <si>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</si>
  <si>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</si>
  <si>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</si>
  <si>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</si>
  <si>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</si>
  <si>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</si>
  <si>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</si>
  <si>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</si>
  <si>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</si>
  <si>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</si>
  <si>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</si>
  <si>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</si>
  <si>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</si>
  <si>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</si>
  <si>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</si>
  <si>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</si>
  <si>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</si>
  <si>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</si>
  <si>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</si>
  <si>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</si>
  <si>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</si>
  <si>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</si>
  <si>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</si>
  <si>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</si>
  <si>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</si>
  <si>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</si>
  <si>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</si>
  <si>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</si>
  <si>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</si>
  <si>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</si>
  <si>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</si>
  <si>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</si>
  <si>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</si>
  <si>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</si>
  <si>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</si>
  <si>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</si>
  <si>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</si>
  <si>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</si>
  <si>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</si>
  <si>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</si>
  <si>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</si>
  <si>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</si>
  <si>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</si>
  <si>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</si>
  <si>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</si>
  <si>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</si>
  <si>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</si>
  <si>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</si>
  <si>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</si>
  <si>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</si>
  <si>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</si>
  <si>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</si>
  <si>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</si>
  <si>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</si>
  <si>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</si>
  <si>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</si>
  <si>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</si>
  <si>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</si>
  <si>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</si>
  <si>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</si>
  <si>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</si>
  <si>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</si>
  <si>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</si>
  <si>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</si>
  <si>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</si>
  <si>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</si>
  <si>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</si>
  <si>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</si>
  <si>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</si>
  <si>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</si>
  <si>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</si>
  <si>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</si>
  <si>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</si>
  <si>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</si>
  <si>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</si>
  <si>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</si>
  <si>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</si>
  <si>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</si>
  <si>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</si>
  <si>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</si>
  <si>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</si>
  <si>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</si>
  <si>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</si>
  <si>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</si>
  <si>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</si>
  <si>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</si>
  <si>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</si>
  <si>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</si>
  <si>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</si>
  <si>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</si>
  <si>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</si>
  <si>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</si>
  <si>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</si>
  <si>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</si>
  <si>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</si>
  <si>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</si>
  <si>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</si>
  <si>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</si>
  <si>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</si>
  <si>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</si>
  <si>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</si>
  <si>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</si>
  <si>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</si>
  <si>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</si>
  <si>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</si>
  <si>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</si>
  <si>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</si>
  <si>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</si>
  <si>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</si>
  <si>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</si>
  <si>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</si>
  <si>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</si>
  <si>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</si>
  <si>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</si>
  <si>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</si>
  <si>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</si>
  <si>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</si>
  <si>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</si>
  <si>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</si>
  <si>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</si>
  <si>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</si>
  <si>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</si>
  <si>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</si>
  <si>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</si>
  <si>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</si>
  <si>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</si>
  <si>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</si>
  <si>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</si>
  <si>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</si>
  <si>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</si>
  <si>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</si>
  <si>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</si>
  <si>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</si>
  <si>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</si>
  <si>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</si>
  <si>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</si>
  <si>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</si>
  <si>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</si>
  <si>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</si>
  <si>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</si>
  <si>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</si>
  <si>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</si>
  <si>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</si>
  <si>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</si>
  <si>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</si>
  <si>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</si>
  <si>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</si>
  <si>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</si>
  <si>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</si>
  <si>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</si>
  <si>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</si>
  <si>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</si>
  <si>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</si>
  <si>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</si>
  <si>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</si>
  <si>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</si>
  <si>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</si>
  <si>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</si>
  <si>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</si>
  <si>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</si>
  <si>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</si>
  <si>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</si>
  <si>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</si>
  <si>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</si>
  <si>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</si>
  <si>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</si>
  <si>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</si>
  <si>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</si>
  <si>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</si>
  <si>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</si>
  <si>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</si>
  <si>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</si>
  <si>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</si>
  <si>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</si>
  <si>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</si>
  <si>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</si>
  <si>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</si>
  <si>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</si>
  <si>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</si>
  <si>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</si>
  <si>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</si>
  <si>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</si>
  <si>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</si>
  <si>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</si>
  <si>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</si>
  <si>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</si>
  <si>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</si>
  <si>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</si>
  <si>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</si>
  <si>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</si>
  <si>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</si>
  <si>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</si>
  <si>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</si>
  <si>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</si>
  <si>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</si>
  <si>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</si>
  <si>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</si>
  <si>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</si>
  <si>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</si>
  <si>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</si>
  <si>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</si>
  <si>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</si>
  <si>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</si>
  <si>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</si>
  <si>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</si>
  <si>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</si>
  <si>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</si>
  <si>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</si>
  <si>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</si>
  <si>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</si>
  <si>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</si>
  <si>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</si>
  <si>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</si>
  <si>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</si>
  <si>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</si>
  <si>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</si>
  <si>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</si>
  <si>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</si>
  <si>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</si>
  <si>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</si>
  <si>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</si>
  <si>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</si>
  <si>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</si>
  <si>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</si>
  <si>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</si>
  <si>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</si>
  <si>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</si>
  <si>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</si>
  <si>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</si>
  <si>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</si>
  <si>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</si>
  <si>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</si>
  <si>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</si>
  <si>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</si>
  <si>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</si>
  <si>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</si>
  <si>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</si>
  <si>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</si>
  <si>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</si>
  <si>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</si>
  <si>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</si>
  <si>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</si>
  <si>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</si>
  <si>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</si>
  <si>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</si>
  <si>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</si>
  <si>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</si>
  <si>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</si>
  <si>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</si>
  <si>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</si>
  <si>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</si>
  <si>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</si>
  <si>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</si>
  <si>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</si>
  <si>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</si>
  <si>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</si>
  <si>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</si>
  <si>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</si>
  <si>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</si>
  <si>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</si>
  <si>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</si>
  <si>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</si>
  <si>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</si>
  <si>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</si>
  <si>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</si>
  <si>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</si>
  <si>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</si>
  <si>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</si>
  <si>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</si>
  <si>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</si>
  <si>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</si>
  <si>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</si>
  <si>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</si>
  <si>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</si>
  <si>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</si>
  <si>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</si>
  <si>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</si>
  <si>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</si>
  <si>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</si>
  <si>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</si>
  <si>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</si>
  <si>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</si>
  <si>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</si>
  <si>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</si>
  <si>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</si>
  <si>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</si>
  <si>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</si>
  <si>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</si>
  <si>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</si>
  <si>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</si>
  <si>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</si>
  <si>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</si>
  <si>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</si>
  <si>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</si>
  <si>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</si>
  <si>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</si>
  <si>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</si>
  <si>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</si>
  <si>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</si>
  <si>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</si>
  <si>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</si>
  <si>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</si>
  <si>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</si>
  <si>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</si>
  <si>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</si>
  <si>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</si>
  <si>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</si>
  <si>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</si>
  <si>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</si>
  <si>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</si>
  <si>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</si>
  <si>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</si>
  <si>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</si>
  <si>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</si>
  <si>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</si>
  <si>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</si>
  <si>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</si>
  <si>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</si>
  <si>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</si>
  <si>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</si>
  <si>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</si>
  <si>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</si>
  <si>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</si>
  <si>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</si>
  <si>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</si>
  <si>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</si>
  <si>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</si>
  <si>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</si>
  <si>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</si>
  <si>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</si>
  <si>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</si>
  <si>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</si>
  <si>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</si>
  <si>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</si>
  <si>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</si>
  <si>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</si>
  <si>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</si>
  <si>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</si>
  <si>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</si>
  <si>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</si>
  <si>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</si>
  <si>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</si>
  <si>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</si>
  <si>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</si>
  <si>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</si>
  <si>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</si>
  <si>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</si>
  <si>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</si>
  <si>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</si>
  <si>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</si>
  <si>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</si>
  <si>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</si>
  <si>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</si>
  <si>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</si>
  <si>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</si>
  <si>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</si>
  <si>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</si>
  <si>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</si>
  <si>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</si>
  <si>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</si>
  <si>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</si>
  <si>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</si>
  <si>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</si>
  <si>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</si>
  <si>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</si>
  <si>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</si>
  <si>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</si>
  <si>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</si>
  <si>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</si>
  <si>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</si>
  <si>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</si>
  <si>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</si>
  <si>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</si>
  <si>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</si>
  <si>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</si>
  <si>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</si>
  <si>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</si>
  <si>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</si>
  <si>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</si>
  <si>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</si>
  <si>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</si>
  <si>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</si>
  <si>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</si>
  <si>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</si>
  <si>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</si>
  <si>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</si>
  <si>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</si>
  <si>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</si>
  <si>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</si>
  <si>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</si>
  <si>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</si>
  <si>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</si>
  <si>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</si>
  <si>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</si>
  <si>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</si>
  <si>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</si>
  <si>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</si>
  <si>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</si>
  <si>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</si>
  <si>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</si>
  <si>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</si>
  <si>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</si>
  <si>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</si>
  <si>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</si>
  <si>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</si>
  <si>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</si>
  <si>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</si>
  <si>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</si>
  <si>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</si>
  <si>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</si>
  <si>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</si>
  <si>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</si>
  <si>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</si>
  <si>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</si>
  <si>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</si>
  <si>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</si>
  <si>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</si>
  <si>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</si>
  <si>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</si>
  <si>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</si>
  <si>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</si>
  <si>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</si>
  <si>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</si>
  <si>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</si>
  <si>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</si>
  <si>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</si>
  <si>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</si>
  <si>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</si>
  <si>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</si>
  <si>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</si>
  <si>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</si>
  <si>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</si>
  <si>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</si>
  <si>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</si>
  <si>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</si>
  <si>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</si>
  <si>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</si>
  <si>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</si>
  <si>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</si>
  <si>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</si>
  <si>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</si>
  <si>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</si>
  <si>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</si>
  <si>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</si>
  <si>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</si>
  <si>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</si>
  <si>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</si>
  <si>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</si>
  <si>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</si>
  <si>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</si>
  <si>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</si>
  <si>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</si>
  <si>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</si>
  <si>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</si>
  <si>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</si>
  <si>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</si>
  <si>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</si>
  <si>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</si>
  <si>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</si>
  <si>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</si>
  <si>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</si>
  <si>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</si>
  <si>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</si>
  <si>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</si>
  <si>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</si>
  <si>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</si>
  <si>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</si>
  <si>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</si>
  <si>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</si>
  <si>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</si>
  <si>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</si>
  <si>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</si>
  <si>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</si>
  <si>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</si>
  <si>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</si>
  <si>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</si>
  <si>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</si>
  <si>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</si>
  <si>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</si>
  <si>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</si>
  <si>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</si>
  <si>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</si>
  <si>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</si>
  <si>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</si>
  <si>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</si>
  <si>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</si>
  <si>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</si>
  <si>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</si>
  <si>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</si>
  <si>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</si>
  <si>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</si>
  <si>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</si>
  <si>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</si>
  <si>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</si>
  <si>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</si>
  <si>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</si>
  <si>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</si>
  <si>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</si>
  <si>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</si>
  <si>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</si>
  <si>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</si>
  <si>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</si>
  <si>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</si>
  <si>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</si>
  <si>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</si>
  <si>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</si>
  <si>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</si>
  <si>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</si>
  <si>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</si>
  <si>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</si>
  <si>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</si>
  <si>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</si>
  <si>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</si>
  <si>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</si>
  <si>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</si>
  <si>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</si>
  <si>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</si>
  <si>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</si>
  <si>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</si>
  <si>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</si>
  <si>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</si>
  <si>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</si>
  <si>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</si>
  <si>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</si>
  <si>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</si>
  <si>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</si>
  <si>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</si>
  <si>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</si>
  <si>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</si>
  <si>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</si>
  <si>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</si>
  <si>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</si>
  <si>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</si>
  <si>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</si>
  <si>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</si>
  <si>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</si>
  <si>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</si>
  <si>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</si>
  <si>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</si>
  <si>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</si>
  <si>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</si>
  <si>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</si>
  <si>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</si>
  <si>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</si>
  <si>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</si>
  <si>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</si>
  <si>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</si>
  <si>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</si>
  <si>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</si>
  <si>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</si>
  <si>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</si>
  <si>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</si>
  <si>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</si>
  <si>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</si>
  <si>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</si>
  <si>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</si>
  <si>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</si>
  <si>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</si>
  <si>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</si>
  <si>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</si>
  <si>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</si>
  <si>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</si>
  <si>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</si>
  <si>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</si>
  <si>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</si>
  <si>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</si>
  <si>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</si>
  <si>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</si>
  <si>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</si>
  <si>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</si>
  <si>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</si>
  <si>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</si>
  <si>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</si>
  <si>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</si>
  <si>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</si>
  <si>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</si>
  <si>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</si>
  <si>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</si>
  <si>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</si>
  <si>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</si>
  <si>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</si>
  <si>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</si>
  <si>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</si>
  <si>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</si>
  <si>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</si>
  <si>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</si>
  <si>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</si>
  <si>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</si>
  <si>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</si>
  <si>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</si>
  <si>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</si>
  <si>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</si>
  <si>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</si>
  <si>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</si>
  <si>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</si>
  <si>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</si>
  <si>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</si>
  <si>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</si>
  <si>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</si>
  <si>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</si>
  <si>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</si>
  <si>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</si>
  <si>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</si>
  <si>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</si>
  <si>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</si>
  <si>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</si>
  <si>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</si>
  <si>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</si>
  <si>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</si>
  <si>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</si>
  <si>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</si>
  <si>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</si>
  <si>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</si>
  <si>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</si>
  <si>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</si>
  <si>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</si>
  <si>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</si>
  <si>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</si>
  <si>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</si>
  <si>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</si>
  <si>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</si>
  <si>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</si>
  <si>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</si>
  <si>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</si>
  <si>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</si>
  <si>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</si>
  <si>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</si>
  <si>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</si>
  <si>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</si>
  <si>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</si>
  <si>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</si>
  <si>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</si>
  <si>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</si>
  <si>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</si>
  <si>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</si>
  <si>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</si>
  <si>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</si>
  <si>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</si>
  <si>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</si>
  <si>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</si>
  <si>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</si>
  <si>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</si>
  <si>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</si>
  <si>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</si>
  <si>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</si>
  <si>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</si>
  <si>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</si>
  <si>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</si>
  <si>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</si>
  <si>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</si>
  <si>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</si>
  <si>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</si>
  <si>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</si>
  <si>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</si>
  <si>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</si>
  <si>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</si>
  <si>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</si>
  <si>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</si>
  <si>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</si>
  <si>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</si>
  <si>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</si>
  <si>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</si>
  <si>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</si>
  <si>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</si>
  <si>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</si>
  <si>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</si>
  <si>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</si>
  <si>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</si>
  <si>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</si>
  <si>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</si>
  <si>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</si>
  <si>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</si>
  <si>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</si>
  <si>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</si>
  <si>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</si>
  <si>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</si>
  <si>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</si>
  <si>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</si>
  <si>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</si>
  <si>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</si>
  <si>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</si>
  <si>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</si>
  <si>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</si>
  <si>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</si>
  <si>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</si>
  <si>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</si>
  <si>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</si>
  <si>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</si>
  <si>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</si>
  <si>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</si>
  <si>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</si>
  <si>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</si>
  <si>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</si>
  <si>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</si>
  <si>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</si>
  <si>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</si>
  <si>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</si>
  <si>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</si>
  <si>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</si>
  <si>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</si>
  <si>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</si>
  <si>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</si>
  <si>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</si>
  <si>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</si>
  <si>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</si>
  <si>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</si>
  <si>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</si>
  <si>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</si>
  <si>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</si>
  <si>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</si>
  <si>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</si>
  <si>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</si>
  <si>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</si>
  <si>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</si>
  <si>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</si>
  <si>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</si>
  <si>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</si>
  <si>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</si>
  <si>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</si>
  <si>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</si>
  <si>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</si>
  <si>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</si>
  <si>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</si>
  <si>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</si>
  <si>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</si>
  <si>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</si>
  <si>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</si>
  <si>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</si>
  <si>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</si>
  <si>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</si>
  <si>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</si>
  <si>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</si>
  <si>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</si>
  <si>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</si>
  <si>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</si>
  <si>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</si>
  <si>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</si>
  <si>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</si>
  <si>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</si>
  <si>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</si>
  <si>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</si>
  <si>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</si>
  <si>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</si>
  <si>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</si>
  <si>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</si>
  <si>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</si>
  <si>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</si>
  <si>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</si>
  <si>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</si>
  <si>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</si>
  <si>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</si>
  <si>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</si>
  <si>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</si>
  <si>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</si>
  <si>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</si>
  <si>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</si>
  <si>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</si>
  <si>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</si>
  <si>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</si>
  <si>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</si>
  <si>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</si>
  <si>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</si>
  <si>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</si>
  <si>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</si>
  <si>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</si>
  <si>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</si>
  <si>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</si>
  <si>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</si>
  <si>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</si>
  <si>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</si>
  <si>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</si>
  <si>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</si>
  <si>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</si>
  <si>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</si>
  <si>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</si>
  <si>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</si>
  <si>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</si>
  <si>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</si>
  <si>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</si>
  <si>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</si>
  <si>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</si>
  <si>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</si>
  <si>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</si>
  <si>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</si>
  <si>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</si>
  <si>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</si>
  <si>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</si>
  <si>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</si>
  <si>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</si>
  <si>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</si>
  <si>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</si>
  <si>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</si>
  <si>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</si>
  <si>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</si>
  <si>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</si>
  <si>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</si>
  <si>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</si>
  <si>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</si>
  <si>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</si>
  <si>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</si>
  <si>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</si>
  <si>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</si>
  <si>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</si>
  <si>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</si>
  <si>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</si>
  <si>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</si>
  <si>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</si>
  <si>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</si>
  <si>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</si>
  <si>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</si>
  <si>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</si>
  <si>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</si>
  <si>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</si>
  <si>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</si>
  <si>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</si>
  <si>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</si>
  <si>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</si>
  <si>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</si>
  <si>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</si>
  <si>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</si>
  <si>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</si>
  <si>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</si>
  <si>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</si>
  <si>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</si>
  <si>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</si>
  <si>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</si>
  <si>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</si>
  <si>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</si>
  <si>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</si>
  <si>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</si>
  <si>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</si>
  <si>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</si>
  <si>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</si>
  <si>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</si>
  <si>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</si>
  <si>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</si>
  <si>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</si>
  <si>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</si>
  <si>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</si>
  <si>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</si>
  <si>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</si>
  <si>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</si>
  <si>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</si>
  <si>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</si>
  <si>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</si>
  <si>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</si>
  <si>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</si>
  <si>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</si>
  <si>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</si>
  <si>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</si>
  <si>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</si>
  <si>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</si>
  <si>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</si>
  <si>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</si>
  <si>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</si>
  <si>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</si>
  <si>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</si>
  <si>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</si>
  <si>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</si>
  <si>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</si>
  <si>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</si>
  <si>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</si>
  <si>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</si>
  <si>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</si>
  <si>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</si>
  <si>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</si>
  <si>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</si>
  <si>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</si>
  <si>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</si>
  <si>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</si>
  <si>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</si>
  <si>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</si>
  <si>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</si>
  <si>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</si>
  <si>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</si>
  <si>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</si>
  <si>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</si>
  <si>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</si>
  <si>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</si>
  <si>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</si>
  <si>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</si>
  <si>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</si>
  <si>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</si>
  <si>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</si>
  <si>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</si>
  <si>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</si>
  <si>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</si>
  <si>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</si>
  <si>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</si>
  <si>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</si>
  <si>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</si>
  <si>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</si>
  <si>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</si>
  <si>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</si>
  <si>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</si>
  <si>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</si>
  <si>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</si>
  <si>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</si>
  <si>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</si>
  <si>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</si>
  <si>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</si>
  <si>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</si>
  <si>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</si>
  <si>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</si>
  <si>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</si>
  <si>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</si>
  <si>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</si>
  <si>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</si>
  <si>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</si>
  <si>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</si>
  <si>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</si>
  <si>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</si>
  <si>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</si>
  <si>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</si>
  <si>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</si>
  <si>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</si>
  <si>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</si>
  <si>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</si>
  <si>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</si>
  <si>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</si>
  <si>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</si>
  <si>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</si>
  <si>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</si>
  <si>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</si>
  <si>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</si>
  <si>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</si>
  <si>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</si>
  <si>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</si>
  <si>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</si>
  <si>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</si>
  <si>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</si>
  <si>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</si>
  <si>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</si>
  <si>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</si>
  <si>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</si>
  <si>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</si>
  <si>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</si>
  <si>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</si>
  <si>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</si>
  <si>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</si>
  <si>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</si>
  <si>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</si>
  <si>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</si>
  <si>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</si>
  <si>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</si>
  <si>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</si>
  <si>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</si>
  <si>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</si>
  <si>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</si>
  <si>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</si>
  <si>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</si>
  <si>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</si>
  <si>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</si>
  <si>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</si>
  <si>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</si>
  <si>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</si>
  <si>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</si>
  <si>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</si>
  <si>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</si>
  <si>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</si>
  <si>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</si>
  <si>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</si>
  <si>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</si>
  <si>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</si>
  <si>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</si>
  <si>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</si>
  <si>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</si>
  <si>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</si>
  <si>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</si>
  <si>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</si>
  <si>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</si>
  <si>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</si>
  <si>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</si>
  <si>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</si>
  <si>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</si>
  <si>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</si>
  <si>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</si>
  <si>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</si>
  <si>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</si>
  <si>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</si>
  <si>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</si>
  <si>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</si>
  <si>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</si>
  <si>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</si>
  <si>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</si>
  <si>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</si>
  <si>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</si>
  <si>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</si>
  <si>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</si>
  <si>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</si>
  <si>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</si>
  <si>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</si>
  <si>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</si>
  <si>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</si>
  <si>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</si>
  <si>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</si>
  <si>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</si>
  <si>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</si>
  <si>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</si>
  <si>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</si>
  <si>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</si>
  <si>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</si>
  <si>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</si>
  <si>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</si>
  <si>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</si>
  <si>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</si>
  <si>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</si>
  <si>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</si>
  <si>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</si>
  <si>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</si>
  <si>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</si>
  <si>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</si>
  <si>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</si>
  <si>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</si>
  <si>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</si>
  <si>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</si>
  <si>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</si>
  <si>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</si>
  <si>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</si>
  <si>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</si>
  <si>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</si>
  <si>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</si>
  <si>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</si>
  <si>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</si>
  <si>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</si>
  <si>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</si>
  <si>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</si>
  <si>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</si>
  <si>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</si>
  <si>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</si>
  <si>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</si>
  <si>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</si>
  <si>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</si>
  <si>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</si>
  <si>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</si>
  <si>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</si>
  <si>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</si>
  <si>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</si>
  <si>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</si>
  <si>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</si>
  <si>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</si>
  <si>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</si>
  <si>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</si>
  <si>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</si>
  <si>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</si>
  <si>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</si>
  <si>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</si>
  <si>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</si>
  <si>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</si>
  <si>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</si>
  <si>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</si>
  <si>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</si>
  <si>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</si>
  <si>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</si>
  <si>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</si>
  <si>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</si>
  <si>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</si>
  <si>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</si>
  <si>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</si>
  <si>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</si>
  <si>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</si>
  <si>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</si>
  <si>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</si>
  <si>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</si>
  <si>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</si>
  <si>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</si>
  <si>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</si>
  <si>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</si>
  <si>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</si>
  <si>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</si>
  <si>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</si>
  <si>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</si>
  <si>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</si>
  <si>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</si>
  <si>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</si>
  <si>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</si>
  <si>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</si>
  <si>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</si>
  <si>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</si>
  <si>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</si>
  <si>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</si>
  <si>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</si>
  <si>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</si>
  <si>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</si>
  <si>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</si>
  <si>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</si>
  <si>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</si>
  <si>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</si>
  <si>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</si>
  <si>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</si>
  <si>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</si>
  <si>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</si>
  <si>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</si>
  <si>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</si>
  <si>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</si>
  <si>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</si>
  <si>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</si>
  <si>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</si>
  <si>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</si>
  <si>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</si>
  <si>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</si>
  <si>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</si>
  <si>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</si>
  <si>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</si>
  <si>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</si>
  <si>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</si>
  <si>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</si>
  <si>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</si>
  <si>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</si>
  <si>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</si>
  <si>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</si>
  <si>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</si>
  <si>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</si>
  <si>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</si>
  <si>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</si>
  <si>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</si>
  <si>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</si>
  <si>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</si>
  <si>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</si>
  <si>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</si>
  <si>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</si>
  <si>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</si>
  <si>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</si>
  <si>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</si>
  <si>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</si>
  <si>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</si>
  <si>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</si>
  <si>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</si>
  <si>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</si>
  <si>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</si>
  <si>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</si>
  <si>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</si>
  <si>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</si>
  <si>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</si>
  <si>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</si>
  <si>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</si>
  <si>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</si>
  <si>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</si>
  <si>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</si>
  <si>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</si>
  <si>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</si>
  <si>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</si>
  <si>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</si>
  <si>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</si>
  <si>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</si>
  <si>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</si>
  <si>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</si>
  <si>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</si>
  <si>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</si>
  <si>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</si>
  <si>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</si>
  <si>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</si>
  <si>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</si>
  <si>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</si>
  <si>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</si>
  <si>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</si>
  <si>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</si>
  <si>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</si>
  <si>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</si>
  <si>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</si>
  <si>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</si>
  <si>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</si>
  <si>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</si>
  <si>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</si>
  <si>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</si>
  <si>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</si>
  <si>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</si>
  <si>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</si>
  <si>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</si>
  <si>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</si>
  <si>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</si>
  <si>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</si>
  <si>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</si>
  <si>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</si>
  <si>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</si>
  <si>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</si>
  <si>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</si>
  <si>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</si>
  <si>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</si>
  <si>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</si>
  <si>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</si>
  <si>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</si>
  <si>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</si>
  <si>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</si>
  <si>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</si>
  <si>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</si>
  <si>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</si>
  <si>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</si>
  <si>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</si>
  <si>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</si>
  <si>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</si>
  <si>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</si>
  <si>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</si>
  <si>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</si>
  <si>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</si>
  <si>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</si>
  <si>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</si>
  <si>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</si>
  <si>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</si>
  <si>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</si>
  <si>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</si>
  <si>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</si>
  <si>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</si>
  <si>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</si>
  <si>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</si>
  <si>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</si>
  <si>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</si>
  <si>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</si>
  <si>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</si>
  <si>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</si>
  <si>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</si>
  <si>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</si>
  <si>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</si>
  <si>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</si>
  <si>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</si>
  <si>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</si>
  <si>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</si>
  <si>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</si>
  <si>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</si>
  <si>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</si>
  <si>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</si>
  <si>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</si>
  <si>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</si>
  <si>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</si>
  <si>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</si>
  <si>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</si>
  <si>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</si>
  <si>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</si>
  <si>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</si>
  <si>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</si>
  <si>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</si>
  <si>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</si>
  <si>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</si>
  <si>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</si>
  <si>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</si>
  <si>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</si>
  <si>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</si>
  <si>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</si>
  <si>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</si>
  <si>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</si>
  <si>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</si>
  <si>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</si>
  <si>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</si>
  <si>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</si>
  <si>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</si>
  <si>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</si>
  <si>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</si>
  <si>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</si>
  <si>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</si>
  <si>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</si>
  <si>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</si>
  <si>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</si>
  <si>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</si>
  <si>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</si>
  <si>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</si>
  <si>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</si>
  <si>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</si>
  <si>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</si>
  <si>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</si>
  <si>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</si>
  <si>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</si>
  <si>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</si>
  <si>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</si>
  <si>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</si>
  <si>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</si>
  <si>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</si>
  <si>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</si>
  <si>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</si>
  <si>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</si>
  <si>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</si>
  <si>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</si>
  <si>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</si>
  <si>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</si>
  <si>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</si>
  <si>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</si>
  <si>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</si>
  <si>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</si>
  <si>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</si>
  <si>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</si>
  <si>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</si>
  <si>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</si>
  <si>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</si>
  <si>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</si>
  <si>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</si>
  <si>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</si>
  <si>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</si>
  <si>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</si>
  <si>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</si>
  <si>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</si>
  <si>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</si>
  <si>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</si>
  <si>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</si>
  <si>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</si>
  <si>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</si>
  <si>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</si>
  <si>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</si>
  <si>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</si>
  <si>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</si>
  <si>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</si>
  <si>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</si>
  <si>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</si>
  <si>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</si>
  <si>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</si>
  <si>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</si>
  <si>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</si>
  <si>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</si>
  <si>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</si>
  <si>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</si>
  <si>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</si>
  <si>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</si>
  <si>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</si>
  <si>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</si>
  <si>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</si>
  <si>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</si>
  <si>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</si>
  <si>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</si>
  <si>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</si>
  <si>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</si>
  <si>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</si>
  <si>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</si>
  <si>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</si>
  <si>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</si>
  <si>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</si>
  <si>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</si>
  <si>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</si>
  <si>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</si>
  <si>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</si>
  <si>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</si>
  <si>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</si>
  <si>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</si>
  <si>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</si>
  <si>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</si>
  <si>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</si>
  <si>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</si>
  <si>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</si>
  <si>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</si>
  <si>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</si>
  <si>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</si>
  <si>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</si>
  <si>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</si>
  <si>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</si>
  <si>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</si>
  <si>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</si>
  <si>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</si>
  <si>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</si>
  <si>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</si>
  <si>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</si>
  <si>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</si>
  <si>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</si>
  <si>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</si>
  <si>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</si>
  <si>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</si>
  <si>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</si>
  <si>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</si>
  <si>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</si>
  <si>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</si>
  <si>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</si>
  <si>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</si>
  <si>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</si>
  <si>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</si>
  <si>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</si>
  <si>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</si>
  <si>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</si>
  <si>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</si>
  <si>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</si>
  <si>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</si>
  <si>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</si>
  <si>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</si>
  <si>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</si>
  <si>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</si>
  <si>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</si>
  <si>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</si>
  <si>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</si>
  <si>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</si>
  <si>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</si>
  <si>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</si>
  <si>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</si>
  <si>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</si>
  <si>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</si>
  <si>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</si>
  <si>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</si>
  <si>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</si>
  <si>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</si>
  <si>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</si>
  <si>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</si>
  <si>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</si>
  <si>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</si>
  <si>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</si>
  <si>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</si>
  <si>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</si>
  <si>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</si>
  <si>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</si>
  <si>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</si>
  <si>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</si>
  <si>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</si>
  <si>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</si>
  <si>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</si>
  <si>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</si>
  <si>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</si>
  <si>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</si>
  <si>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</si>
  <si>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</si>
  <si>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</si>
  <si>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</si>
  <si>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</si>
  <si>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</si>
  <si>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</si>
  <si>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</si>
  <si>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</si>
  <si>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</si>
  <si>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</si>
  <si>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</si>
  <si>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</si>
  <si>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</si>
  <si>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</si>
  <si>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</si>
  <si>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</si>
  <si>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</si>
  <si>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</si>
  <si>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</si>
  <si>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</si>
  <si>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</si>
  <si>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</si>
  <si>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</si>
  <si>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</si>
  <si>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</si>
  <si>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</si>
  <si>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</si>
  <si>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</si>
  <si>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</si>
  <si>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</si>
  <si>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</si>
  <si>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</si>
  <si>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</si>
  <si>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</si>
  <si>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</si>
  <si>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</si>
  <si>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</si>
  <si>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</si>
  <si>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</si>
  <si>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</si>
  <si>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</si>
  <si>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</si>
  <si>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</si>
  <si>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</si>
  <si>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</si>
  <si>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</si>
  <si>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</si>
  <si>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</si>
  <si>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</si>
  <si>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</si>
  <si>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</si>
  <si>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</si>
  <si>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</si>
  <si>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</si>
  <si>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</si>
  <si>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</si>
  <si>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</si>
  <si>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</si>
  <si>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</si>
  <si>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</si>
  <si>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</si>
  <si>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</si>
  <si>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</si>
  <si>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</si>
  <si>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</si>
  <si>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</si>
  <si>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</si>
  <si>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</si>
  <si>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</si>
  <si>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</si>
  <si>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</si>
  <si>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</si>
  <si>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</si>
  <si>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</si>
  <si>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</si>
  <si>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</si>
  <si>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</si>
  <si>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</si>
  <si>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</si>
  <si>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</si>
  <si>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</si>
  <si>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</si>
  <si>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</si>
  <si>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</si>
  <si>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</si>
  <si>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</si>
  <si>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</si>
  <si>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</si>
  <si>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</si>
  <si>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</si>
  <si>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</si>
  <si>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</si>
  <si>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</si>
  <si>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</si>
  <si>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</si>
  <si>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</si>
  <si>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</si>
  <si>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</si>
  <si>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</si>
  <si>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</si>
  <si>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</si>
  <si>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</si>
  <si>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</si>
  <si>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</si>
  <si>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</si>
  <si>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</si>
  <si>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</si>
  <si>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</si>
  <si>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</si>
  <si>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</si>
  <si>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</si>
  <si>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</si>
  <si>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</si>
  <si>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</si>
  <si>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</si>
  <si>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</si>
  <si>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</si>
  <si>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</si>
  <si>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</si>
  <si>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</si>
  <si>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</si>
  <si>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</si>
  <si>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</si>
  <si>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</si>
  <si>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</si>
  <si>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</si>
  <si>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</si>
  <si>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</si>
  <si>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</si>
  <si>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</si>
  <si>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</si>
  <si>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</si>
  <si>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</si>
  <si>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</si>
  <si>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</si>
  <si>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</si>
  <si>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</si>
  <si>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</si>
  <si>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</si>
  <si>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</si>
  <si>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</si>
  <si>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</si>
  <si>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</si>
  <si>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</si>
  <si>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</si>
  <si>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</si>
  <si>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</si>
  <si>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</si>
  <si>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</si>
  <si>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</si>
  <si>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</si>
  <si>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</si>
  <si>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</si>
  <si>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</si>
  <si>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</si>
  <si>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</si>
  <si>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</si>
  <si>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</si>
  <si>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</si>
  <si>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</si>
  <si>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</si>
  <si>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</si>
  <si>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</si>
  <si>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</si>
  <si>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</si>
  <si>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</si>
  <si>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</si>
  <si>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</si>
  <si>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</si>
  <si>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</si>
  <si>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</si>
  <si>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</si>
  <si>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</si>
  <si>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</si>
  <si>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</si>
  <si>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</si>
  <si>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</si>
  <si>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</si>
  <si>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</si>
  <si>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</si>
  <si>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</si>
  <si>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</si>
  <si>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</si>
  <si>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</si>
  <si>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</si>
  <si>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</si>
  <si>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</si>
  <si>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</si>
  <si>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</si>
  <si>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</si>
  <si>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</si>
  <si>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</si>
  <si>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</si>
  <si>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</si>
  <si>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</si>
  <si>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</si>
  <si>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</si>
  <si>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</si>
  <si>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</si>
  <si>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</si>
  <si>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</si>
  <si>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</si>
  <si>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</si>
  <si>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</si>
  <si>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</si>
  <si>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</si>
  <si>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</si>
  <si>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</si>
  <si>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</si>
  <si>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</si>
  <si>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</si>
  <si>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</si>
  <si>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</si>
  <si>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</si>
  <si>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</si>
  <si>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</si>
  <si>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</si>
  <si>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</si>
  <si>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</si>
  <si>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</si>
  <si>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</si>
  <si>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</si>
  <si>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</si>
  <si>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</si>
  <si>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</si>
  <si>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</si>
  <si>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</si>
  <si>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</si>
  <si>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</si>
  <si>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</si>
  <si>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</si>
  <si>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</si>
  <si>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</si>
  <si>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</si>
  <si>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</si>
  <si>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</si>
  <si>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</si>
  <si>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</si>
  <si>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</si>
  <si>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</si>
  <si>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</si>
  <si>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</si>
  <si>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</si>
  <si>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</si>
  <si>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</si>
  <si>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</si>
  <si>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</si>
  <si>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</si>
  <si>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</si>
  <si>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</si>
  <si>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</si>
  <si>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</si>
  <si>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</si>
  <si>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</si>
  <si>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</si>
  <si>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</si>
  <si>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</si>
  <si>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</si>
  <si>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</si>
  <si>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</si>
  <si>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</si>
  <si>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</si>
  <si>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</si>
  <si>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</si>
  <si>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</si>
  <si>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</si>
  <si>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</si>
  <si>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</si>
  <si>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</si>
  <si>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</si>
  <si>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</si>
  <si>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</si>
  <si>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</si>
  <si>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</si>
  <si>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</si>
  <si>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</si>
  <si>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</si>
  <si>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</si>
  <si>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</si>
  <si>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</si>
  <si>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</si>
  <si>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</si>
  <si>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</si>
  <si>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</si>
  <si>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</si>
  <si>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</si>
  <si>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</si>
  <si>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</si>
  <si>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</si>
  <si>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</si>
  <si>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</si>
  <si>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</si>
  <si>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</si>
  <si>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</si>
  <si>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</si>
  <si>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</si>
  <si>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</si>
  <si>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</si>
  <si>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</si>
  <si>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</si>
  <si>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</si>
  <si>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</si>
  <si>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</si>
  <si>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</si>
  <si>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</si>
  <si>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</si>
  <si>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</si>
  <si>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</si>
  <si>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</si>
  <si>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</si>
  <si>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</si>
  <si>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</si>
  <si>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</si>
  <si>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</si>
  <si>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</si>
  <si>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</si>
  <si>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</si>
  <si>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</si>
  <si>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</si>
  <si>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</si>
  <si>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</si>
  <si>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</si>
  <si>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</si>
  <si>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</si>
  <si>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</si>
  <si>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</si>
  <si>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</si>
  <si>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</si>
  <si>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</si>
  <si>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</si>
  <si>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</si>
  <si>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</si>
  <si>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</si>
  <si>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</si>
  <si>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</si>
  <si>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</si>
  <si>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</si>
  <si>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</si>
  <si>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</si>
  <si>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</si>
  <si>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</si>
  <si>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</si>
  <si>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</si>
  <si>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</si>
  <si>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</si>
  <si>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</si>
  <si>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</si>
  <si>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</si>
  <si>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</si>
  <si>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</si>
  <si>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</si>
  <si>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</si>
  <si>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</si>
  <si>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</si>
  <si>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</si>
  <si>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</si>
  <si>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</si>
  <si>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</si>
  <si>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</si>
  <si>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</si>
  <si>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</si>
  <si>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</si>
  <si>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</si>
  <si>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</si>
  <si>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</si>
  <si>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</si>
  <si>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</si>
  <si>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</si>
  <si>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</si>
  <si>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</si>
  <si>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</si>
  <si>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</si>
  <si>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</si>
  <si>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</si>
  <si>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</si>
  <si>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</si>
  <si>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</si>
  <si>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</si>
  <si>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</si>
  <si>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</si>
  <si>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</si>
  <si>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</si>
  <si>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</si>
  <si>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</si>
  <si>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</si>
  <si>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</si>
  <si>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</si>
  <si>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</si>
  <si>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</si>
  <si>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</si>
  <si>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</si>
  <si>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</si>
  <si>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</si>
  <si>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</si>
  <si>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</si>
  <si>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</si>
  <si>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</si>
  <si>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</si>
  <si>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</si>
  <si>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</si>
  <si>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</si>
  <si>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</si>
  <si>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</si>
  <si>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</si>
  <si>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</si>
  <si>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</si>
  <si>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</si>
  <si>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</si>
  <si>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</si>
  <si>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</si>
  <si>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</si>
  <si>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</si>
  <si>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</si>
  <si>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</si>
  <si>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</si>
  <si>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</si>
  <si>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</si>
  <si>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</si>
  <si>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</si>
  <si>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</si>
  <si>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</si>
  <si>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</si>
  <si>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</si>
  <si>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</si>
  <si>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</si>
  <si>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</si>
  <si>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</si>
  <si>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</si>
  <si>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</si>
  <si>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</si>
  <si>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</si>
  <si>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</si>
  <si>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</si>
  <si>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</si>
  <si>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</si>
  <si>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</si>
  <si>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</si>
  <si>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</si>
  <si>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</si>
  <si>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</si>
  <si>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</si>
  <si>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</si>
  <si>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</si>
  <si>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</si>
  <si>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</si>
  <si>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</si>
  <si>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</si>
  <si>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</si>
  <si>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</si>
  <si>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</si>
  <si>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</si>
  <si>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</si>
  <si>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</si>
  <si>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</si>
  <si>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</si>
  <si>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</si>
  <si>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</si>
  <si>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</si>
  <si>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</si>
  <si>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</si>
  <si>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</si>
  <si>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</si>
  <si>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</si>
  <si>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</si>
  <si>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</si>
  <si>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</si>
  <si>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</si>
  <si>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</si>
  <si>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</si>
  <si>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</si>
  <si>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</si>
  <si>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</si>
  <si>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</si>
  <si>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</si>
  <si>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</si>
  <si>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</si>
  <si>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</si>
  <si>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</si>
  <si>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</si>
  <si>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</si>
  <si>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</si>
  <si>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</si>
  <si>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</si>
  <si>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</si>
  <si>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</si>
  <si>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</si>
  <si>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</si>
  <si>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</si>
  <si>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</si>
  <si>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</si>
  <si>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</si>
  <si>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</si>
  <si>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</si>
  <si>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</si>
  <si>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</si>
  <si>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</si>
  <si>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</si>
  <si>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</si>
  <si>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</si>
  <si>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</si>
  <si>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</si>
  <si>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</si>
  <si>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</si>
  <si>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</si>
  <si>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</si>
  <si>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</si>
  <si>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</si>
  <si>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</si>
  <si>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</si>
  <si>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</si>
  <si>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</si>
  <si>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</si>
  <si>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</si>
  <si>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</si>
  <si>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</si>
  <si>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</si>
  <si>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</si>
  <si>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</si>
  <si>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</si>
  <si>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</si>
  <si>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</si>
  <si>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</si>
  <si>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</si>
  <si>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</si>
  <si>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</si>
  <si>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</si>
  <si>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</si>
  <si>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</si>
  <si>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</si>
  <si>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</si>
  <si>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</si>
  <si>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</si>
  <si>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</si>
  <si>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</si>
  <si>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</si>
  <si>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</si>
  <si>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</si>
  <si>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</si>
  <si>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</si>
  <si>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</si>
  <si>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</si>
  <si>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</si>
  <si>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</si>
  <si>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</si>
  <si>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</si>
  <si>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</si>
  <si>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</si>
  <si>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</si>
  <si>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</si>
  <si>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</si>
  <si>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</si>
  <si>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</si>
  <si>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</si>
  <si>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</si>
  <si>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</si>
  <si>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</si>
  <si>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</si>
  <si>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</si>
  <si>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</si>
  <si>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</si>
  <si>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</si>
  <si>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</si>
  <si>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</si>
  <si>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</si>
  <si>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</si>
  <si>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</si>
  <si>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</si>
  <si>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</si>
  <si>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</si>
  <si>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</si>
  <si>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</si>
  <si>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</si>
  <si>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</si>
  <si>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</si>
  <si>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</si>
  <si>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</si>
  <si>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</si>
  <si>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</si>
  <si>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</si>
  <si>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</si>
  <si>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</si>
  <si>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</si>
  <si>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</si>
  <si>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</si>
  <si>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</si>
  <si>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</si>
  <si>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</si>
  <si>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</si>
  <si>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</si>
  <si>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</si>
  <si>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</si>
  <si>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</si>
  <si>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</si>
  <si>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</si>
  <si>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</si>
  <si>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</si>
  <si>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</si>
  <si>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</si>
  <si>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</si>
  <si>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</si>
  <si>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</si>
  <si>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</si>
  <si>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</si>
  <si>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</si>
  <si>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</si>
  <si>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</si>
  <si>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</si>
  <si>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</si>
  <si>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</si>
  <si>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</si>
  <si>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</si>
  <si>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</si>
  <si>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</si>
  <si>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</si>
  <si>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</si>
  <si>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</si>
  <si>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</si>
  <si>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</si>
  <si>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</si>
  <si>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</si>
  <si>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</si>
  <si>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</si>
  <si>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</si>
  <si>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</si>
  <si>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</si>
  <si>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</si>
  <si>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</si>
  <si>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</si>
  <si>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</si>
  <si>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</si>
  <si>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</si>
  <si>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</si>
  <si>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</si>
  <si>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</si>
  <si>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</si>
  <si>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</si>
  <si>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</si>
  <si>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</si>
  <si>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</si>
  <si>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</si>
  <si>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</si>
  <si>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</si>
  <si>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</si>
  <si>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</si>
  <si>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</si>
  <si>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</si>
  <si>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</si>
  <si>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</si>
  <si>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</si>
  <si>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</si>
  <si>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</si>
  <si>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</si>
  <si>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</si>
  <si>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</si>
  <si>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</si>
  <si>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</si>
  <si>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</si>
  <si>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</si>
  <si>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</si>
  <si>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</si>
  <si>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</si>
  <si>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</si>
  <si>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</si>
  <si>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</si>
  <si>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</si>
  <si>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</si>
  <si>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</si>
  <si>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</si>
  <si>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</si>
  <si>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</si>
  <si>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</si>
  <si>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</si>
  <si>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</si>
  <si>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</si>
  <si>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</si>
  <si>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</si>
  <si>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</si>
  <si>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</si>
  <si>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</si>
  <si>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</si>
  <si>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</si>
  <si>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</si>
  <si>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</si>
  <si>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</si>
  <si>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</si>
  <si>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</si>
  <si>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</si>
  <si>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</si>
  <si>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</si>
  <si>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</si>
  <si>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</si>
  <si>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</si>
  <si>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</si>
  <si>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</si>
  <si>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</si>
  <si>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</si>
  <si>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</si>
  <si>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</si>
  <si>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</si>
  <si>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</si>
  <si>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</si>
  <si>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</si>
  <si>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</si>
  <si>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</si>
  <si>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</si>
  <si>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</si>
  <si>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</si>
  <si>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</si>
  <si>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</si>
  <si>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</si>
  <si>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</si>
  <si>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</si>
  <si>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</si>
  <si>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</si>
  <si>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</si>
  <si>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</si>
  <si>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</si>
  <si>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</si>
  <si>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</si>
  <si>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</si>
  <si>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</si>
  <si>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</si>
  <si>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</si>
  <si>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</si>
  <si>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</si>
  <si>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</si>
  <si>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</si>
  <si>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</si>
  <si>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</si>
  <si>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</si>
  <si>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</si>
  <si>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</si>
  <si>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</si>
  <si>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</si>
  <si>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</si>
  <si>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</si>
  <si>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</si>
  <si>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</si>
  <si>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</si>
  <si>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</si>
  <si>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</si>
  <si>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</si>
  <si>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</si>
  <si>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</si>
  <si>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</si>
  <si>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</si>
  <si>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</si>
  <si>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</si>
  <si>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</si>
  <si>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</si>
  <si>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</si>
  <si>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</si>
  <si>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</si>
  <si>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</si>
  <si>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</si>
  <si>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</si>
  <si>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</si>
  <si>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</si>
  <si>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</si>
  <si>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</si>
  <si>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</si>
  <si>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</si>
  <si>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</si>
  <si>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</si>
  <si>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</si>
  <si>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</si>
  <si>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</si>
  <si>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</si>
  <si>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</si>
  <si>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</si>
  <si>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</si>
  <si>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</si>
  <si>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</si>
  <si>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</si>
  <si>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</si>
  <si>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</si>
  <si>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</si>
  <si>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</si>
  <si>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</si>
  <si>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</si>
  <si>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</si>
  <si>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</si>
  <si>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</si>
  <si>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</si>
  <si>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</si>
  <si>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</si>
  <si>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</si>
  <si>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</si>
  <si>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</si>
  <si>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</si>
  <si>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</si>
  <si>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</si>
  <si>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</si>
  <si>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</si>
  <si>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</si>
  <si>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</si>
  <si>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</si>
  <si>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</si>
  <si>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</si>
  <si>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</si>
  <si>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</si>
  <si>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</si>
  <si>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</si>
  <si>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</si>
  <si>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</si>
  <si>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</si>
  <si>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</si>
  <si>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</si>
  <si>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</si>
  <si>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</si>
  <si>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</si>
  <si>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</si>
  <si>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</si>
  <si>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</si>
  <si>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</si>
  <si>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</si>
  <si>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</si>
  <si>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</si>
  <si>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</si>
  <si>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</si>
  <si>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</si>
  <si>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</si>
  <si>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</si>
  <si>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</si>
  <si>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</si>
  <si>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</si>
  <si>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</si>
  <si>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</si>
  <si>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</si>
  <si>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</si>
  <si>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</si>
  <si>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</si>
  <si>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</si>
  <si>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</si>
  <si>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</si>
  <si>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</si>
  <si>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</si>
  <si>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</si>
  <si>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</si>
  <si>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</si>
  <si>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</si>
  <si>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</si>
  <si>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</si>
  <si>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</si>
  <si>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</si>
  <si>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</si>
  <si>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</si>
  <si>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</si>
  <si>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</si>
  <si>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</si>
  <si>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</si>
  <si>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</si>
  <si>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</si>
  <si>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</si>
  <si>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</si>
  <si>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</si>
  <si>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</si>
  <si>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</si>
  <si>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</si>
  <si>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</si>
  <si>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</si>
  <si>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</si>
  <si>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</si>
  <si>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</si>
  <si>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</si>
  <si>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</si>
  <si>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</si>
  <si>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</si>
  <si>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</si>
  <si>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</si>
  <si>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</si>
  <si>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</si>
  <si>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</si>
  <si>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</si>
  <si>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</si>
  <si>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</si>
  <si>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</si>
  <si>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</si>
  <si>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</si>
  <si>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</si>
  <si>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</si>
  <si>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</si>
  <si>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</si>
  <si>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</si>
  <si>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</si>
  <si>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</si>
  <si>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</si>
  <si>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</si>
  <si>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</si>
  <si>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</si>
  <si>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</si>
  <si>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</si>
  <si>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</si>
  <si>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</si>
  <si>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</si>
  <si>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</si>
  <si>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</si>
  <si>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</si>
  <si>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</si>
  <si>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</si>
  <si>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</si>
  <si>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</si>
  <si>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</si>
  <si>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</si>
  <si>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</si>
  <si>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</si>
  <si>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</si>
  <si>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</si>
  <si>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</si>
  <si>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</si>
  <si>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</si>
  <si>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</si>
  <si>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</si>
  <si>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</si>
  <si>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</si>
  <si>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</si>
  <si>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</si>
  <si>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</si>
  <si>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</si>
  <si>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</si>
  <si>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</si>
  <si>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</si>
  <si>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</si>
  <si>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</si>
  <si>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</si>
  <si>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</si>
  <si>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</si>
  <si>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</si>
  <si>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</si>
  <si>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</si>
  <si>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</si>
  <si>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</si>
  <si>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</si>
  <si>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</si>
  <si>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</si>
  <si>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</si>
  <si>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</si>
  <si>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</si>
  <si>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</si>
  <si>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</si>
  <si>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</si>
  <si>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</si>
  <si>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</si>
  <si>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</si>
  <si>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</si>
  <si>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</si>
  <si>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</si>
  <si>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</si>
  <si>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</si>
  <si>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</si>
  <si>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</si>
  <si>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</si>
  <si>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</si>
  <si>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</si>
  <si>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</si>
  <si>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</si>
  <si>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</si>
  <si>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</si>
  <si>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</si>
  <si>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</si>
  <si>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</si>
  <si>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</si>
  <si>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</si>
  <si>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</si>
  <si>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</si>
  <si>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</si>
  <si>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</si>
  <si>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</si>
  <si>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</si>
  <si>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</si>
  <si>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</si>
  <si>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</si>
  <si>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</si>
  <si>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</si>
  <si>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</si>
  <si>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</si>
  <si>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</si>
  <si>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</si>
  <si>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</si>
  <si>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</si>
  <si>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</si>
  <si>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</si>
  <si>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</si>
  <si>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</si>
  <si>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</si>
  <si>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</si>
  <si>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</si>
  <si>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</si>
  <si>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</si>
  <si>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</si>
  <si>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</si>
  <si>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</si>
  <si>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</si>
  <si>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</si>
  <si>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</si>
  <si>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</si>
  <si>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</si>
  <si>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</si>
  <si>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</si>
  <si>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</si>
  <si>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</si>
  <si>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</si>
  <si>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</si>
  <si>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</si>
  <si>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</si>
  <si>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</si>
  <si>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</si>
  <si>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</si>
  <si>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</si>
  <si>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</si>
  <si>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</si>
  <si>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</si>
  <si>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</si>
  <si>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</si>
  <si>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</si>
  <si>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</si>
  <si>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</si>
  <si>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</si>
  <si>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</si>
  <si>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</si>
  <si>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</si>
  <si>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</si>
  <si>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</si>
  <si>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</si>
  <si>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</si>
  <si>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</si>
  <si>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</si>
  <si>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</si>
  <si>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</si>
  <si>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</si>
  <si>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</si>
  <si>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</si>
  <si>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</si>
  <si>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</si>
  <si>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</si>
  <si>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</si>
  <si>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</si>
  <si>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</si>
  <si>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</si>
  <si>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</si>
  <si>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</si>
  <si>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</si>
  <si>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</si>
  <si>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</si>
  <si>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</si>
  <si>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</si>
  <si>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</si>
  <si>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</si>
  <si>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</si>
  <si>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</si>
  <si>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</si>
  <si>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</si>
  <si>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</si>
  <si>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</si>
  <si>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</si>
  <si>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</si>
  <si>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</si>
  <si>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</si>
  <si>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</si>
  <si>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</si>
  <si>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</si>
  <si>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</si>
  <si>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</si>
  <si>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</si>
  <si>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</si>
  <si>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</si>
  <si>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</si>
  <si>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</si>
  <si>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</si>
  <si>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</si>
  <si>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</si>
  <si>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</si>
  <si>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</si>
  <si>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</si>
  <si>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</si>
  <si>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</si>
  <si>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</si>
  <si>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</si>
  <si>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</si>
  <si>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</si>
  <si>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</si>
  <si>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</si>
  <si>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</si>
  <si>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</si>
  <si>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</si>
  <si>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</si>
  <si>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</si>
  <si>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</si>
  <si>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</si>
  <si>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</si>
  <si>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</si>
  <si>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</si>
  <si>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</si>
  <si>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</si>
  <si>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</si>
  <si>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</si>
  <si>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</si>
  <si>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</si>
  <si>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</si>
  <si>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</si>
  <si>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</si>
  <si>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</si>
  <si>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</si>
  <si>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</si>
  <si>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</si>
  <si>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</si>
  <si>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</si>
  <si>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</si>
  <si>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</si>
  <si>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</si>
  <si>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</si>
  <si>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</si>
  <si>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</si>
  <si>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</si>
  <si>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</si>
  <si>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</si>
  <si>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</si>
  <si>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</si>
  <si>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</si>
  <si>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</si>
  <si>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</si>
  <si>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</si>
  <si>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</si>
  <si>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</si>
  <si>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</si>
  <si>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</si>
  <si>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</si>
  <si>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</si>
  <si>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</si>
  <si>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</si>
  <si>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</si>
  <si>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</si>
  <si>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</si>
  <si>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</si>
  <si>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</si>
  <si>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</si>
  <si>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</si>
  <si>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</si>
  <si>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</si>
  <si>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</si>
  <si>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</si>
  <si>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</si>
  <si>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</si>
  <si>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</si>
  <si>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</si>
  <si>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</si>
  <si>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</si>
  <si>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</si>
  <si>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</si>
  <si>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</si>
  <si>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</si>
  <si>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</si>
  <si>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</si>
  <si>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</si>
  <si>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</si>
  <si>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</si>
  <si>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</si>
  <si>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</si>
  <si>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</si>
  <si>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</si>
  <si>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</si>
  <si>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BluePeak Specialty Services,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</si>
</sst>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0.39515432008590196</v>
      </c>
      <c r="N28" s="302"/>
      <c r="P28" s="302"/>
      <c r="Q28" s="314"/>
    </row>
    <row r="29" spans="1:18" s="295" customFormat="1" ht="12.75" x14ac:dyDescent="0.35">
      <c r="K29" s="315" t="s">
        <v>23</v>
      </c>
      <c r="L29" s="317">
        <f>L28/(1-L28)</f>
        <v>0.65331428033349426</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372231191.00440776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0.32855924746658799</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50" si="40">SUMIF($B:$B,$B9,$FD:$FD)</f>
        <v>0</v>
      </c>
      <c r="FJ9" s="431">
        <f t="shared" ref="FJ9:FJ50"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50"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49">
        <f t="shared" si="82"/>
        <v>42</v>
      </c>
      <c r="B50" s="404" t="str">
        <f>INDEX('Loan Tape - Settled'!$B$4:$AP$55,MATCH($A50,'Loan Tape - Settled'!$E$4:$E$55,0),MATCH("Obligor Name",'Loan Tape - Settled'!$B$4:$AM$4,0))</f>
        <v>BluePeak Specialty Services, LLC</v>
      </c>
      <c r="C50" s="404" t="str">
        <f>INDEX('Loan Tape - Settled'!$B$4:$AP$55,MATCH($A50,'Loan Tape - Settled'!$E$4:$E$55,0),MATCH("Security",'Loan Tape - Settled'!$B$4:$AM$4,0))</f>
        <v>1st Lien</v>
      </c>
      <c r="D50" s="405" t="str">
        <f>INDEX('Loan Tape - Settled'!$B$4:$AP$55,MATCH($A50,'Loan Tape - Settled'!$E$4:$E$55,0),MATCH("Loan Type",'Loan Tape - Settled'!$B$4:$AM$4,0))</f>
        <v>First Lien</v>
      </c>
      <c r="E50" s="406" t="b">
        <f>IF(ISERROR(MATCH(D50,AGENT!$A$4:$A$10,0))=FALSE, TRUE)</f>
        <v>1</v>
      </c>
      <c r="F50" s="406" t="b">
        <f t="shared" ref="F50" si="85">IF(AND(BZ50="no",CA50="no"),TRUE)</f>
        <v>1</v>
      </c>
      <c r="G50" s="406" t="b">
        <f>IF(D50&lt;&gt;"Second Lien",TRUE, IF(CY50&gt;=AGENT!$B$4,TRUE))</f>
        <v>1</v>
      </c>
      <c r="H50" s="406" t="b">
        <f>IF(DE50&lt;=AGENT!$D$4,TRUE)</f>
        <v>1</v>
      </c>
      <c r="I50" s="406" t="b">
        <f>IF(VLOOKUP(CONCATENATE($A$5,A50),'Loan Tape - Settled'!$A$5:$Q$55,17,FALSE)&gt;=AGENT!$E$4,TRUE)</f>
        <v>1</v>
      </c>
      <c r="J50" s="406" t="b">
        <f>IF(INDEX('Loan Tape - Settled'!$B$4:$AP$55,MATCH($A50,'Loan Tape - Settled'!$E$4:$E$55,0),MATCH("Loan Denomination",'Loan Tape - Settled'!$B$4:$AP$4,0))="USD", TRUE)</f>
        <v>1</v>
      </c>
      <c r="K50" s="406" t="b">
        <f>IF(INDEX('Loan Tape - Settled'!$B$4:$AP$55,MATCH($A50,'Loan Tape - Settled'!$E$4:$E$55,0),MATCH("Exposure Country",'Loan Tape - Settled'!$B$4:$AP$4,0))="United States", TRUE)</f>
        <v>1</v>
      </c>
      <c r="L50" s="406" t="b">
        <f t="shared" ref="L50" si="86">IF(BS50="NO",TRUE)</f>
        <v>1</v>
      </c>
      <c r="M50" s="406" t="b">
        <f>IF(((BM50-BL50)/365)&lt;=AGENT!$F$4,TRUE)</f>
        <v>1</v>
      </c>
      <c r="N50" s="406" t="b">
        <f t="shared" ref="N50" si="87">IF(DX50="Yes",FALSE,TRUE)</f>
        <v>1</v>
      </c>
      <c r="O50" s="453"/>
      <c r="P50" s="709" t="str">
        <f t="shared" ref="P50" si="88">IF($B50="","",IF(OR(O50=TRUE,COUNTIFS($E50:$N50,TRUE)=10),"Yes","No"))</f>
        <v>Yes</v>
      </c>
      <c r="Q50" s="680" t="s">
        <v>243</v>
      </c>
      <c r="R50" s="407" t="str">
        <f t="shared" ref="R50" si="89">IF(P50="Yes",B50,"N/A")</f>
        <v>BluePeak Specialty Services, LLC</v>
      </c>
      <c r="S50" s="407"/>
      <c r="T50" s="408" t="str">
        <f t="array" ref="T50">_xlfn.IFS(D50="Second Lien",D50,D50="First Lien",CONCATENATE(D50," ",EI50),D50="FILO",CONCATENATE(D50," ",EJ50))</f>
        <v>First Lien &lt;= $10MM</v>
      </c>
      <c r="U50" s="409">
        <f>VLOOKUP(T50,'Concentration Limits'!D:G,4,FALSE)</f>
        <v>0.625</v>
      </c>
      <c r="V50" s="410">
        <f t="shared" ref="V50" si="90">AQ50+AW50+BI50</f>
        <v>0</v>
      </c>
      <c r="W50" s="448">
        <f>(SUMIFS('Loan Tape - Settled'!$AR$4:$AR$55,'Loan Tape - Settled'!$E$4:$E$55,$A50,'Loan Tape - Settled'!$C$4:$C$55,$A$5))</f>
        <v>42000000</v>
      </c>
      <c r="X50" s="449">
        <v>1</v>
      </c>
      <c r="Y50" s="411">
        <f t="shared" ref="Y50" si="91">W50*X50</f>
        <v>42000000</v>
      </c>
      <c r="Z50" s="449">
        <f>(SUMIFS('Loan Tape - Settled'!$AQ$4:$AQ$55,'Loan Tape - Settled'!$E$4:$E$55,$A50,'Loan Tape - Settled'!$C$4:$C$55,$A$5))</f>
        <v>42000000</v>
      </c>
      <c r="AA50" s="411">
        <f t="shared" ref="AA50" si="92">Z50*X50</f>
        <v>42000000</v>
      </c>
      <c r="AB50" s="411">
        <f t="shared" ref="AB50" si="93">AA50-Y50</f>
        <v>0</v>
      </c>
      <c r="AC50" s="450">
        <f>VLOOKUP(CONCATENATE($A$5,A50),'Loan Tape - Settled'!$A$5:$Q$55,17,FALSE)</f>
        <v>0.97</v>
      </c>
      <c r="AD50" s="412"/>
      <c r="AE50" s="413">
        <f>INDEX('Loan Tape - Settled'!$B$4:$AP$55,MATCH($A50,'Loan Tape - Settled'!$E$4:$E$55,0),MATCH("FMV",'Loan Tape - Settled'!$B$4:$AM$4,0))</f>
        <v>1</v>
      </c>
      <c r="AF50" s="413">
        <f t="array" ref="AF50">_xlfn.IFS(D50="First Lien",
_xlfn.IFS(AND(DL50&gt;0,DL50&lt;Tier_1_1L),Tier_1_ApplicableValue,
AND(DL50&gt;=Tier_1_1L,DL50&lt;Tier_2_1L),((Tier_1_1L/DL50)*Tier_1_ApplicableValue)+((DL50-Tier_1_1L)/DL50*Tier_2_ApplicableValue),
AND(DL50&gt;=Tier_2_1L, DL50&lt;Tier_3_1L),((Tier_1_1L/DL50)*Tier_1_ApplicableValue+(Tier_2_1L-Tier_1_1L)/DL50*Tier_2_ApplicableValue+(DL50-Tier_2_1L)/DL50*Tier_3_ApplicableValue),
AND(DL50&gt;=Tier_3_1L, DL50&lt;=Tier_totalzerovalue),((Tier_1_1L/DL50)*Tier_1_ApplicableValue+(Tier_2_1L-Tier_1_1L)/DL50*Tier_2_ApplicableValue+(Tier_3_1L-Tier_2_1L)/DL50*Tier_3_ApplicableValue+(DL50-Tier_partialzerovalue)/DL50*0%),
DL50&gt;Tier_totalzerovalue,0%),
OR(D50="Second Lien", D50="FILO"),
_xlfn.IFS(AND(DM50&gt;0,DM50&lt;Tier_1_2L),Tier_1_ApplicableValue,
AND(DM50&gt;=Tier_1_2L,DM50&lt;Tier_2_2L),((Tier_1_2L/DM50)*Tier_1_ApplicableValue)+((DM50-Tier_1_2L)/DM50*Tier_2_ApplicableValue),
AND(DM50&gt;=Tier_2_2L, DM50&lt;Tier_3_2L),((Tier_1_2L/DM50)*Tier_1_ApplicableValue+(Tier_2_2L-Tier_1_2L)/DM50*Tier_2_ApplicableValue+(DM50-Tier_2_2L)/DM50*Tier_3_ApplicableValue),
AND(DM50&gt;=Tier_3_2L, DM50&lt;=Tier_totalzerovalue),((Tier_1_2L/DM50)*Tier_1_ApplicableValue+(Tier_2_2L-Tier_1_2L)/DM50*Tier_2_ApplicableValue+(Tier_3_2L-Tier_2_2L)/DM50*Tier_3_ApplicableValue+(DM50-Tier_partialzerovalue)/DM50*0%),
DM50&gt;Tier_totalzerovalue,0%))</f>
        <v>0</v>
      </c>
      <c r="AG50" s="414" t="str">
        <f>IF(COUNTIFS(VAE!$C$5:$C$96,B50,VAE!$G$5:$G$96,"&lt;="&amp;Availability!$F$8)&gt;=1,"Yes","-")</f>
        <v>-</v>
      </c>
      <c r="AH50" s="414" t="str">
        <f t="array" ref="AH50">IFERROR(IF(AG50="Yes",INDEX(VAE!$D$5:$D$96,MATCH(B50&amp;AJ50,VAE!$C$5:$C$96&amp;VAE!$G$5:$G$96,0)),"-"),0)</f>
        <v>-</v>
      </c>
      <c r="AI50" s="414" t="str">
        <f t="array" ref="AI50">IFERROR(IF(AG50="Yes",INDEX(VAE!$F$5:$F$96,MATCH(B50&amp;AJ50,VAE!$C$5:$C$96&amp;VAE!$G$5:$G$96,0)),"-"),0)</f>
        <v>-</v>
      </c>
      <c r="AJ50" s="415" t="str">
        <f>IF(AG50="-","-",_xlfn.MAXIFS(VAE!$G$5:$G$96,VAE!$C$5:$C$96,$B50))</f>
        <v>-</v>
      </c>
      <c r="AK50" s="416" t="str">
        <f t="array" ref="AK50">IFERROR(IF(AG50="Yes",INDEX(VAE!$P$5:$P$96,MATCH(B50&amp;AJ50,VAE!$C$5:$C$96&amp;VAE!$G$5:$G$96,0)),"-"),0)</f>
        <v>-</v>
      </c>
      <c r="AL50" s="413">
        <f t="shared" ref="AL50" si="94">IF($A50="","",IF(P50="No",0,(IF(AG50="Yes",MIN(AE50,AK50,AF50),MIN(AE50,AF50)))))</f>
        <v>0</v>
      </c>
      <c r="AM50" s="410"/>
      <c r="AN50" s="410"/>
      <c r="AO50" s="410">
        <f t="shared" ref="AO50" si="95">IF(AND(D50="First Lien",P50="No"),0,IF(D50&lt;&gt;"First Lien",0,Y50))</f>
        <v>42000000</v>
      </c>
      <c r="AP50" s="410">
        <f t="shared" ref="AP50" si="96">IF(AND(D50="First Lien",P50="No"),W50,0)</f>
        <v>0</v>
      </c>
      <c r="AQ50" s="410">
        <f t="shared" ref="AQ50" si="97">AL50*AO50</f>
        <v>0</v>
      </c>
      <c r="AR50" s="410"/>
      <c r="AS50" s="410"/>
      <c r="AT50" s="410"/>
      <c r="AU50" s="410">
        <f t="shared" ref="AU50" si="98">IF(AND(D50="FILO",P50="No"),0,IF(D50&lt;&gt;"FILO",0,Y50))</f>
        <v>0</v>
      </c>
      <c r="AV50" s="410">
        <f t="shared" ref="AV50" si="99">IF(AND(D50="FILO",P50="No"),W50,0)</f>
        <v>0</v>
      </c>
      <c r="AW50" s="410">
        <f t="shared" ref="AW50" si="100">AU50*AL50</f>
        <v>0</v>
      </c>
      <c r="AX50" s="410"/>
      <c r="AY50" s="410"/>
      <c r="AZ50" s="410"/>
      <c r="BA50" s="410">
        <f t="shared" ref="BA50" si="101">IF(AND(OR(D50="First Lien",D50="FILO"),P50="No"),0,IF(OR(D50="First Lien",D50="FILO"),0,(Y50)))</f>
        <v>0</v>
      </c>
      <c r="BB50" s="410"/>
      <c r="BC50" s="410"/>
      <c r="BD50" s="410">
        <f t="shared" ref="BD50" si="102">IF(AND(D50="Second Lien",P50="No"),W50,0)</f>
        <v>0</v>
      </c>
      <c r="BE50" s="410"/>
      <c r="BF50" s="410"/>
      <c r="BG50" s="410"/>
      <c r="BH50" s="410"/>
      <c r="BI50" s="410">
        <f t="shared" ref="BI50" si="103">IF(D50="Second Lien",BA50*AL50,0)</f>
        <v>0</v>
      </c>
      <c r="BJ50" s="410" t="b">
        <f t="shared" ref="BJ50" si="104">SUM(AM50:AP50)+SUM(AZ50:BD50)+SUM(AS50:AV50)=Y50</f>
        <v>1</v>
      </c>
      <c r="BK50" s="509">
        <f>INDEX('Loan Tape - Settled'!$B$4:$AP$55,MATCH($A50,'Loan Tape - Settled'!$E$4:$E$55,0),MATCH("Inception Date",'Loan Tape - Settled'!$B$4:$AP$4,0))</f>
        <v>45996</v>
      </c>
      <c r="BL50" s="509">
        <f>INDEX('Loan Tape - Settled'!$B$4:$AP$55,MATCH($A50,'Loan Tape - Settled'!$E$4:$E$55,0),MATCH("Inclusion Date",'Loan Tape - Settled'!$B$4:$AP$4,0))</f>
        <v>46122</v>
      </c>
      <c r="BM50" s="509">
        <f>INDEX('Loan Tape - Settled'!$B$4:$AP$55,MATCH($A50,'Loan Tape - Settled'!$E$4:$E$55,0),MATCH("Maturity Date",'Loan Tape - Settled'!$B$4:$AP$4,0))</f>
        <v>47583</v>
      </c>
      <c r="BN50" s="510"/>
      <c r="BO50" s="510"/>
      <c r="BP50" s="511"/>
      <c r="BQ50" s="510"/>
      <c r="BR50" s="512" t="str">
        <f>INDEX('Loan Tape - Settled'!$B$4:$AP$55,MATCH($A50,'Loan Tape - Settled'!$E$4:$E$55,0),MATCH("Industry Classification",'Loan Tape - Settled'!$B$4:$AP$4,0))</f>
        <v>Professional Services</v>
      </c>
      <c r="BS50" s="510" t="str">
        <f>IF(INDEX('Loan Tape - Settled'!$B$4:$AP$55,MATCH($A50,'Loan Tape - Settled'!$E$4:$E$55,0),MATCH("Covenant Lite",'Loan Tape - Settled'!$B$4:$AP$4,0))=-1, "Yes", "No")</f>
        <v>No</v>
      </c>
      <c r="BT50" s="513">
        <f>INDEX('Loan Tape - Settled'!$B$4:$AP$55,MATCH($A50,'Loan Tape - Settled'!$E$4:$E$55,0),MATCH("Spread / Coupon (%)",'Loan Tape - Settled'!$B$4:$AP$4,0))</f>
        <v>7.0000000000000007E-2</v>
      </c>
      <c r="BU50" s="510" t="str">
        <f>IF(INDEX('Loan Tape - Settled'!$B$4:$AP$55,MATCH($A50,'Loan Tape - Settled'!$E$4:$E$55,0),MATCH("Security Type",'Loan Tape - Settled'!$B$4:$AP$4,0))="Delayed Draw Term Loan", "Yes", "No")</f>
        <v>No</v>
      </c>
      <c r="BV50" s="514" t="s">
        <v>244</v>
      </c>
      <c r="BW50" s="514" t="s">
        <v>244</v>
      </c>
      <c r="BX50" s="506" t="s">
        <v>244</v>
      </c>
      <c r="BY50" s="510" t="str">
        <f>IF(INDEX('Loan Tape - Settled'!$B$4:$AP$55,MATCH($A50,'Loan Tape - Settled'!$E$4:$E$55,0),MATCH("Fixed/Floating",'Loan Tape - Settled'!$B$4:$AP$4,0))="Fixed", "Yes", "No")</f>
        <v>No</v>
      </c>
      <c r="BZ50" s="514" t="s">
        <v>244</v>
      </c>
      <c r="CA50" s="514" t="s">
        <v>244</v>
      </c>
      <c r="CB50" s="510" t="str">
        <f>IF(INDEX('Loan Tape - Settled'!$B$4:$AP$55,MATCH($A50,'Loan Tape - Settled'!$E$4:$E$55,0),MATCH("Loan Denomination",'Loan Tape - Settled'!$B$4:$AP$4,0))="CAD", "Yes", "No")</f>
        <v>No</v>
      </c>
      <c r="CC50" s="510" t="str">
        <f>INDEX('Loan Tape - Settled'!$B$4:$AP$55,MATCH($A50,'Loan Tape - Settled'!$E$4:$E$55,0),MATCH("Payment Frequency",'Loan Tape - Settled'!$B$4:$AP$4,0))</f>
        <v>Q</v>
      </c>
      <c r="CD50" s="514" t="s">
        <v>244</v>
      </c>
      <c r="CE50" s="510">
        <f>INDEX('Loan Tape - Settled'!$B$4:$AP$55,MATCH($A50,'Loan Tape - Settled'!$E$4:$E$55,0),MATCH("S&amp;P Loan Rating (if applicable)",'Loan Tape - Settled'!$B$4:$AP$4,0))</f>
        <v>0</v>
      </c>
      <c r="CF50" s="510">
        <f>INDEX('Loan Tape - Settled'!$B$4:$AP$55,MATCH($A50,'Loan Tape - Settled'!$E$4:$E$55,0),MATCH("Moody's Loan Rating (if applicable)",'Loan Tape - Settled'!$B$4:$AP$4,0))</f>
        <v>0</v>
      </c>
      <c r="CG50" s="510"/>
      <c r="CH50" s="510"/>
      <c r="CI50" s="515"/>
      <c r="CJ50" s="508" t="str">
        <f>INDEX('Loan Tape - Settled'!$B$4:$BF$55,MATCH($A50,'Loan Tape - Settled'!$E$4:$E$55,0),MATCH("Last Financial Received",'Loan Tape - Settled'!$B$4:$BF$4,0))</f>
        <v>9/30/2025 or Latest Financing</v>
      </c>
      <c r="CK50" s="516">
        <f>INDEX('Loan Tape - Settled'!$B$4:$BJ$55,MATCH($A50,'Loan Tape - Settled'!$E$4:$E$55,0),MATCH("Initial Adjusted TTM EBITDA",'Loan Tape - Settled'!$B$4:$BJ$4,0))</f>
        <v>11.6</v>
      </c>
      <c r="CL50" s="516">
        <f>INDEX('Loan Tape - Settled'!$B$4:$BJ$55,MATCH($A50,'Loan Tape - Settled'!$E$4:$E$55,0),MATCH("Initial TTM Non-adjusted EBITDA",'Loan Tape - Settled'!$B$4:$BJ$4,0))</f>
        <v>11.6</v>
      </c>
      <c r="CM50" s="417"/>
      <c r="CN50" s="418"/>
      <c r="CO50" s="418"/>
      <c r="CP50" s="419"/>
      <c r="CQ50" s="420" t="s">
        <v>245</v>
      </c>
      <c r="CR50" s="419"/>
      <c r="CS50" s="421">
        <f t="shared" ref="CS50" si="105">CK50-CP50+CR50</f>
        <v>11.6</v>
      </c>
      <c r="CT50" s="422">
        <f t="shared" ref="CT50" si="106">1-CS50/CK50</f>
        <v>0</v>
      </c>
      <c r="CU50" s="516">
        <f>INDEX('Loan Tape - Settled'!$B$4:$BJ$55,MATCH($A50,'Loan Tape - Settled'!$E$4:$E$55,0),MATCH("Current TTM Non-adjusted EBITDA",'Loan Tape - Settled'!$B$4:$BJ$4,0))</f>
        <v>3.8</v>
      </c>
      <c r="CV50" s="423">
        <f t="shared" ref="CV50" si="107">CT50</f>
        <v>0</v>
      </c>
      <c r="CW50" s="652" t="s">
        <v>245</v>
      </c>
      <c r="CX50" s="517"/>
      <c r="CY50" s="658">
        <f t="shared" ref="CY50" si="108">IF(CW50="N",(1-CV50)*CU50,(1-CX50)*CU50)</f>
        <v>3.8</v>
      </c>
      <c r="CZ50" s="656"/>
      <c r="DA50" s="518"/>
      <c r="DB50" s="519"/>
      <c r="DC50" s="853"/>
      <c r="DD50" s="853">
        <f>INDEX('Loan Tape - Settled'!$B$4:$BJ$55,MATCH($A50,'Loan Tape - Settled'!$E$4:$E$55,0),MATCH("Initial Senior Net Leverage Senior",'Loan Tape - Settled'!$B$4:$BJ$4,0))</f>
        <v>2</v>
      </c>
      <c r="DE50" s="659">
        <f>INDEX('Loan Tape - Settled'!$B$4:$BJ$55,MATCH($A50,'Loan Tape - Settled'!$E$4:$E$55,0),MATCH("Initial Total Net Leverage",'Loan Tape - Settled'!$B$4:$BJ$4,0))</f>
        <v>2</v>
      </c>
      <c r="DF50" s="656"/>
      <c r="DG50" s="518"/>
      <c r="DH50" s="519"/>
      <c r="DI50" s="424">
        <f>INDEX('Loan Tape - Settled'!$B$4:$BJ$55,MATCH($A50,'Loan Tape - Settled'!$E$4:$E$55,0),MATCH("Net Attachment",'Loan Tape - Settled'!$B$4:$BJ$4,0))</f>
        <v>-2.1052631578947367</v>
      </c>
      <c r="DJ50" s="522">
        <f t="array" ref="DJ50">IF(AG50="Yes",INDEX(VAE!$M$5:$M$53,MATCH($B50&amp;$AJ50,VAE!$C$5:$C$53&amp;VAE!$G$5:$G$53,0)),DD50)</f>
        <v>2</v>
      </c>
      <c r="DK50" s="649">
        <f t="array" ref="DK50">IF(AG50="Yes",INDEX(VAE!$N$5:$N$53,MATCH($B50&amp;$AJ50,VAE!$C$5:$C$53&amp;VAE!$G$5:$G$53,0)),DE50)</f>
        <v>2</v>
      </c>
      <c r="DL50" s="651">
        <f>INDEX('Loan Tape - Settled'!$B$4:$BJ$55,MATCH($A50,'Loan Tape - Settled'!$E$4:$E$55,0),MATCH("Current Senior Net Leverage Senior",'Loan Tape - Settled'!$B$4:$BJ$4,0))</f>
        <v>13.684210526315789</v>
      </c>
      <c r="DM50" s="433">
        <f>INDEX('Loan Tape - Settled'!$B$4:$BJ$55,MATCH($A50,'Loan Tape - Settled'!$E$4:$E$55,0),MATCH("Current Total Net Leverage",'Loan Tape - Settled'!$B$4:$BJ$4,0))</f>
        <v>13.684210526315789</v>
      </c>
      <c r="DN50" s="425"/>
      <c r="DO50" s="426">
        <f>INDEX('Loan Tape - Settled'!$B$4:$BJ$55,MATCH($A50,'Loan Tape - Settled'!$E$4:$E$55,0),MATCH("Initial Interest Coverage",'Loan Tape - Settled'!$B$4:$BJ$4,0))</f>
        <v>1.74</v>
      </c>
      <c r="DP50" s="854">
        <f t="array" ref="DP50">IF(AG50="Yes",INDEX(VAE!$O$5:$O$53,MATCH($B50&amp;$AJ50,VAE!$C$5:$C$53&amp;VAE!$G$5:$G$53,0)),DO50)</f>
        <v>1.74</v>
      </c>
      <c r="DQ50" s="427">
        <f>INDEX('Loan Tape - Settled'!$B$4:$BJ$55,MATCH($A50,'Loan Tape - Settled'!$E$4:$E$55,0),MATCH("Current Interest Coverage",'Loan Tape - Settled'!$B$4:$BJ$4,0))</f>
        <v>2.1</v>
      </c>
      <c r="DR50" s="855" t="str">
        <f t="shared" ref="DR50" si="109">IF(OR(DU50="Yes",DU50="N/A",DV50="Yes",DV50="N/A",DW50="Yes",DX50="Yes",DY50="Yes",EF50="Yes",EG50="Yes",EH50="Yes"),"Yes","No")</f>
        <v>Yes</v>
      </c>
      <c r="DS50" s="428" t="str">
        <f>IF(AG50="Yes",DATEDIF(AJ50,Availability!$F$8,"m"),"")</f>
        <v/>
      </c>
      <c r="DT50" s="428" t="str">
        <f t="shared" ref="DT50" si="110">IF(DS50="","No",IF(DS50&gt;12,"Yes","No"))</f>
        <v>No</v>
      </c>
      <c r="DU50" s="647" t="str">
        <f t="shared" ref="DU50" si="111">IFERROR(IF(AND(DQ50/DP50&lt;0.75,DQ50&lt;1.5),"Yes","No"),"N/A")</f>
        <v>No</v>
      </c>
      <c r="DV50" s="648" t="str">
        <f t="shared" ref="DV50" si="112">IFERROR(IF(OR(D50="First Lien",D50="FILO"),IF(AND((DL50-DJ50)&gt;0.75,DL50&gt;4),"Yes","No"),"No"),"N/A")</f>
        <v>Yes</v>
      </c>
      <c r="DW50" s="648" t="str">
        <f t="array" ref="DW50">_xlfn.IFS(D50&lt;&gt;"Second Lien","No",D50="Second Lien",IF(AND((DM50-DK50)&gt;0.5,DM50&gt;4.5),"Yes","No"))</f>
        <v>No</v>
      </c>
      <c r="DX50" s="685" t="s">
        <v>244</v>
      </c>
      <c r="DY50" s="685" t="s">
        <v>244</v>
      </c>
      <c r="DZ50" s="686" t="s">
        <v>244</v>
      </c>
      <c r="EA50" s="686" t="s">
        <v>244</v>
      </c>
      <c r="EB50" s="686" t="s">
        <v>244</v>
      </c>
      <c r="EC50" s="686" t="s">
        <v>244</v>
      </c>
      <c r="ED50" s="686" t="s">
        <v>244</v>
      </c>
      <c r="EE50" s="686" t="s">
        <v>244</v>
      </c>
      <c r="EF50" s="409" t="str">
        <f t="shared" ref="EF50" si="113">IF(OR(DZ50="Yes",EA50="Yes",EB50="Yes",EC50="Yes",ED50="Yes",EE50="Yes"),"Yes","No")</f>
        <v>No</v>
      </c>
      <c r="EG50" s="686" t="s">
        <v>244</v>
      </c>
      <c r="EH50" s="691" t="s">
        <v>244</v>
      </c>
      <c r="EI50" s="856" t="str">
        <f t="array" ref="EI50">IF(D50="First Lien",_xlfn.IFS(CY50&gt;AGENT!$B$23, "&gt; $20MM",CY50&lt;=AGENT!$C$25, "&lt;= $10MM",AND(CY50&lt;=AGENT!$C$24,CY50&gt;AGENT!$B$24),"&lt;= $20MM"), "N/A")</f>
        <v>&lt;= $10MM</v>
      </c>
      <c r="EJ50" s="856" t="str">
        <f t="array" ref="EJ50">IF(D50="FILO",_xlfn.IFS(DI50&gt;AGENT!$B$29, "&gt; 1.25x",DI50&lt;AGENT!$C$27, "&lt; 0.75x",AND(DI50&lt;=AGENT!$C$28,DI50&gt;=AGENT!$B$28),"&lt;= 1.25x"), "N/A")</f>
        <v>N/A</v>
      </c>
      <c r="EK50" s="429">
        <f t="shared" ref="EK50" si="114">V50</f>
        <v>0</v>
      </c>
      <c r="EL50" s="429">
        <f>'Concentration Limits'!$J$49</f>
        <v>46599340.729726665</v>
      </c>
      <c r="EM50" s="429" t="str">
        <f>IF(OR(D50="Second Lien",AND(D50="FILO",DI50&gt;AGENT!$C$57)), "Yes", "No")</f>
        <v>No</v>
      </c>
      <c r="EN50" s="429">
        <f t="shared" ref="EN50" si="115">IF(EM50="Yes",SUMIF(EM:EM,"Yes",EK:EK),0)</f>
        <v>0</v>
      </c>
      <c r="EO50" s="429">
        <f t="shared" ref="EO50" si="116">IF(EN50&gt;EL50,(EN50-EL50)*(EK50/SUMIF(EM:EM,"Yes",EK:EK)),0)</f>
        <v>0</v>
      </c>
      <c r="EP50" s="429">
        <f t="shared" ref="EP50" si="117">MAX(0,EK50-EO50)</f>
        <v>0</v>
      </c>
      <c r="EQ50" s="429">
        <f>'Concentration Limits'!$J$50</f>
        <v>23299670.364863332</v>
      </c>
      <c r="ER50" s="429">
        <f t="shared" ref="ER50" si="118">IF(D50="Second Lien",SUMIF(D:D,D50,EP:EP),0)</f>
        <v>0</v>
      </c>
      <c r="ES50" s="429">
        <f t="shared" ref="ES50" si="119">MAX(0,(ER50-EQ50)*IFERROR((EP50/SUMIF($D:$D,D50,EP:EP )),0) )</f>
        <v>0</v>
      </c>
      <c r="ET50" s="429">
        <f t="shared" ref="ET50" si="120">MAX(0,EP50-ES50)</f>
        <v>0</v>
      </c>
      <c r="EU50" s="429">
        <f>'Concentration Limits'!$J$51</f>
        <v>69899011.094589993</v>
      </c>
      <c r="EV50" s="429" t="str">
        <f>IF(OR(D50="Second Lien", AND(D50="FILO",DI50&gt;AGENT!$C$59)), "Yes", "No")</f>
        <v>No</v>
      </c>
      <c r="EW50" s="429">
        <f t="shared" ref="EW50" si="121">IF(EV50="Yes",SUMIF(EV:EV,"Yes",ET:ET),0)</f>
        <v>0</v>
      </c>
      <c r="EX50" s="429">
        <f t="shared" ref="EX50" si="122">IF(EW50&gt;EU50,(EW50-EU50)*(ET50/SUMIF(EV:EV,"Yes",ET:ET)),0)</f>
        <v>0</v>
      </c>
      <c r="EY50" s="429">
        <f t="shared" ref="EY50" si="123">MAX(0,ET50-EX50)</f>
        <v>0</v>
      </c>
      <c r="EZ50" s="429">
        <f>'Concentration Limits'!$J$52</f>
        <v>34949505.547294997</v>
      </c>
      <c r="FA50" s="429" t="str">
        <f>IF(CY50&gt;'Concentration Limits'!$E$52, "No", "Yes")</f>
        <v>Yes</v>
      </c>
      <c r="FB50" s="429">
        <f t="shared" ref="FB50" si="124">IF(FA50="Yes",SUMIF(FA:FA,"Yes",EY:EY),0)</f>
        <v>0</v>
      </c>
      <c r="FC50" s="429">
        <f t="shared" ref="FC50" si="125">IF(FB50&gt;EZ50,(FB50-EZ50)*(EY50/SUMIF(FA:FA,"Yes",EY:EY)),0)</f>
        <v>0</v>
      </c>
      <c r="FD50" s="429">
        <f t="shared" ref="FD50" si="126">MAX(0,EY50-FC50)</f>
        <v>0</v>
      </c>
      <c r="FE50" s="430">
        <f>'Concentration Limits'!$J$54</f>
        <v>232996703.6486333</v>
      </c>
      <c r="FF50" s="430">
        <f>'Concentration Limits'!$J$55</f>
        <v>232996703.6486333</v>
      </c>
      <c r="FG50" s="430">
        <f>'Concentration Limits'!$J$56</f>
        <v>232996703.6486333</v>
      </c>
      <c r="FH50" s="431">
        <f>'Concentration Limits'!$J$57</f>
        <v>17474752.773647498</v>
      </c>
      <c r="FI50" s="431">
        <f t="shared" si="40"/>
        <v>0</v>
      </c>
      <c r="FJ50" s="431">
        <f t="shared" si="41"/>
        <v>0</v>
      </c>
      <c r="FK50" s="431">
        <f t="shared" ref="FK50" si="127">INDEX(FL$8:FL$60,MATCH(B50,B$8:B$60,0))</f>
        <v>0</v>
      </c>
      <c r="FL50" s="431">
        <f>IF(FJ50&gt;0,RANK(FJ50,$FJ$9:$FJ$60)+COUNTIF($FJ$9:FJ50,FJ50)-1,0)</f>
        <v>0</v>
      </c>
      <c r="FM50" s="430">
        <f t="shared" ref="FM50" si="128">IF(FK50=1,IF(FI50&gt;FE50,(FI50-FE50)*(V50/SUMIF($B:$B,B50,$FD:$FD)),0),0)</f>
        <v>0</v>
      </c>
      <c r="FN50" s="430">
        <f t="shared" ref="FN50" si="129">IF(FK50=2,IF(FI50&gt;FF50,(FI50-FF50)*(V50/SUMIF($B:$B,B50,$FD:$FD)),0),0)</f>
        <v>0</v>
      </c>
      <c r="FO50" s="430">
        <f t="shared" ref="FO50" si="130">IF(FK50=3,IF(FI50&gt;FG50,(FI50-FG50)*(V50/SUMIF($B:$B,B50,$FD:$FD)),0),0)</f>
        <v>0</v>
      </c>
      <c r="FP50" s="431">
        <f t="shared" ref="FP50" si="131">IF(FK50&gt;0,IF(FI50&gt;FH50,(FI50-FH50)*(FD50/(SUMIF($B:$B,$B50,$FD:$FD))),0),0)</f>
        <v>0</v>
      </c>
      <c r="FQ50" s="431">
        <f t="shared" ref="FQ50" si="132">MAX(0,FD50-FM50-FN50-FO50-FP50)</f>
        <v>0</v>
      </c>
      <c r="FR50" s="431">
        <f>'Concentration Limits'!$J$58</f>
        <v>46599340.729726665</v>
      </c>
      <c r="FS50" s="431">
        <f t="shared" ref="FS50" si="133">SUMIF($BR:$BR,$BR50,FQ:FQ)</f>
        <v>24394399.03040082</v>
      </c>
      <c r="FT50" s="431">
        <f>VLOOKUP(BR50,'Concentration Limits'!$E$81:$H$153,4,FALSE)</f>
        <v>2</v>
      </c>
      <c r="FU50" s="431">
        <f t="shared" ref="FU50" si="134">IF(FT50=1,MAX(0,(FS50-FR50)*(FQ50/SUMIF($BR:$BR,BR50,FQ:FQ))),0)</f>
        <v>0</v>
      </c>
      <c r="FV50" s="431">
        <f t="shared" ref="FV50" si="135">MAX(0,FQ50-FU50)</f>
        <v>0</v>
      </c>
      <c r="FW50" s="431">
        <f>'Concentration Limits'!$J$59</f>
        <v>34949505.547294997</v>
      </c>
      <c r="FX50" s="431">
        <f t="shared" ref="FX50" si="136">SUMIF($BR:$BR,$BR50,FV:FV)</f>
        <v>24394399.03040082</v>
      </c>
      <c r="FY50" s="431">
        <f>VLOOKUP(BR50,'Concentration Limits'!$E$81:$H$153,4,FALSE)</f>
        <v>2</v>
      </c>
      <c r="FZ50" s="431">
        <f t="shared" ref="FZ50" si="137">MAX(0,IF(FY50=2,(FX50-FW50)*(FV50/SUMIF($BR:$BR,BR50,FV:FV)),0))</f>
        <v>0</v>
      </c>
      <c r="GA50" s="431">
        <f t="shared" ref="GA50" si="138">MAX(0,FV50-FZ50)</f>
        <v>0</v>
      </c>
      <c r="GB50" s="431">
        <f>'Concentration Limits'!$J$61</f>
        <v>23299670.364863332</v>
      </c>
      <c r="GC50" s="431">
        <f t="shared" ref="GC50" si="139">SUMIF($BR:$BR,$BR50,GA:GA)</f>
        <v>24394399.03040082</v>
      </c>
      <c r="GD50" s="429">
        <f>VLOOKUP(BR50,'Concentration Limits'!$E$81:$H$153,4,FALSE)</f>
        <v>2</v>
      </c>
      <c r="GE50" s="431">
        <f t="shared" ref="GE50" si="140">IF(GA50=0,0,MAX(0,IF(GD50&lt;3,0,(GC50-GB50)*($GA50/SUMIF($BR:$BR,BR50,GA:GA)))))</f>
        <v>0</v>
      </c>
      <c r="GF50" s="431">
        <f t="shared" ref="GF50" si="141">MAX(0,GA50-GE50)</f>
        <v>0</v>
      </c>
      <c r="GG50" s="431">
        <f>'Concentration Limits'!$J$64</f>
        <v>23299670.364863332</v>
      </c>
      <c r="GH50" s="431">
        <f t="shared" ref="GH50" si="142">IF(BY50="Yes",SUMIF(BY:BY,BY50,GF:GF),0)</f>
        <v>0</v>
      </c>
      <c r="GI50" s="431">
        <f t="shared" ref="GI50" si="143">IFERROR(MAX(0,(GH50-GG50)*(GF50/SUMIF($T:$T,T50,GF:GF ))),0)</f>
        <v>0</v>
      </c>
      <c r="GJ50" s="431">
        <f t="shared" ref="GJ50" si="144">MAX(0,GF50-GI50)</f>
        <v>0</v>
      </c>
      <c r="GK50" s="431">
        <f>'Concentration Limits'!$J$67</f>
        <v>23299670.364863332</v>
      </c>
      <c r="GL50" s="429" t="str">
        <f t="shared" ref="GL50" si="145">IF(OR(BV50="Yes",OR(ISNUMBER(SEARCH("Travel",BR50)),ISNUMBER(SEARCH("Energy",BR50)),ISNUMBER(SEARCH("Leisure",BR50)),ISNUMBER(SEARCH("hotel",BR50)))),"Yes","No")</f>
        <v>No</v>
      </c>
      <c r="GM50" s="431">
        <f t="shared" ref="GM50" si="146">IF(GL50="Yes",SUMIF(GL:GL,"Yes",GJ:GJ),0)</f>
        <v>0</v>
      </c>
      <c r="GN50" s="431">
        <f t="shared" ref="GN50" si="147">IF(GM50&gt;GK50,(GM50-GK50)*(GJ50/SUMIF(GL:GL,"Yes",GJ:GJ)),0)</f>
        <v>0</v>
      </c>
      <c r="GO50" s="431">
        <f t="shared" ref="GO50" si="148">MAX(0,GJ50-GN50)</f>
        <v>0</v>
      </c>
      <c r="GP50" s="431">
        <f>'Concentration Limits'!$J$68</f>
        <v>34949505.547294997</v>
      </c>
      <c r="GQ50" s="429" t="str">
        <f t="shared" ref="GQ50" si="149">IF(BU50="Yes","Yes", "No")</f>
        <v>No</v>
      </c>
      <c r="GR50" s="431">
        <f t="shared" ref="GR50" si="150">IF(GQ50="Yes",SUMIF(GQ:GQ,"Yes",GO:GO),0)</f>
        <v>0</v>
      </c>
      <c r="GS50" s="431">
        <f t="shared" ref="GS50" si="151">IF(GR50&gt;GP50,(GR50-GP50)*(GO50/SUMIF(GQ:GQ,"Yes",GO:GO)),0)</f>
        <v>0</v>
      </c>
      <c r="GT50" s="431">
        <f t="shared" ref="GT50" si="152">MAX(0,GO50-GS50)</f>
        <v>0</v>
      </c>
      <c r="GU50" s="429">
        <f>'Concentration Limits'!$J$69</f>
        <v>34949505.547294997</v>
      </c>
      <c r="GV50" s="429" t="str">
        <f t="shared" ref="GV50" si="153">IF(BW50="Yes", "Yes", "No")</f>
        <v>No</v>
      </c>
      <c r="GW50" s="429">
        <f t="shared" ref="GW50" si="154">IF(GV50="Yes",SUMIF(GV:GV,"Yes",GT:GT),0)</f>
        <v>0</v>
      </c>
      <c r="GX50" s="429">
        <f t="shared" ref="GX50" si="155">IF(GW50&gt;GU50,(GW50-GU50)*(GT50/SUMIF(GV:GV,"Yes",GT:GT)),0)</f>
        <v>0</v>
      </c>
      <c r="GY50" s="429">
        <f t="shared" ref="GY50" si="156">MAX(0,GT50-GX50)</f>
        <v>0</v>
      </c>
      <c r="GZ50" s="429">
        <f>'Concentration Limits'!$J$70</f>
        <v>23299670.364863332</v>
      </c>
      <c r="HA50" s="429" t="str">
        <f t="shared" ref="HA50" si="157">IF(BX50="Yes", "Yes", "No")</f>
        <v>No</v>
      </c>
      <c r="HB50" s="429">
        <f t="shared" ref="HB50" si="158">IF(HA50="Yes",SUMIF(HA:HA,"Yes",GY:GY),0)</f>
        <v>0</v>
      </c>
      <c r="HC50" s="429">
        <f t="shared" ref="HC50" si="159">IF(HB50&gt;GZ50,(HB50-GZ50)*(GY50/SUMIF(HA:HA,"Yes",GY:GY)),0)</f>
        <v>0</v>
      </c>
      <c r="HD50" s="429">
        <f t="shared" ref="HD50" si="160">MAX(0,GY50-HC50)</f>
        <v>0</v>
      </c>
      <c r="HE50" s="431">
        <f t="shared" ref="HE50" si="161">IF(AQ50=0,0,HD50*AQ50/(AQ50+AR50))</f>
        <v>0</v>
      </c>
      <c r="HF50" s="431">
        <f t="shared" ref="HF50" si="162">IF(AR50=0,0,HD50*AR50/(AQ50+AR50))</f>
        <v>0</v>
      </c>
      <c r="HG50" s="431">
        <f t="shared" ref="HG50" si="163">IF(AW50=0,0,HD50*AW50/(AW50+AX50))</f>
        <v>0</v>
      </c>
      <c r="HH50" s="431">
        <f t="shared" ref="HH50" si="164">IF(AX50=0,0,HD50*AX50/(AX50+AW50))</f>
        <v>0</v>
      </c>
      <c r="HI50" s="431">
        <f>IF(BE50=0,0,#REF!*BE50/(BE50+BG50))</f>
        <v>0</v>
      </c>
      <c r="HJ50" s="431">
        <f>IF(BG50=0,0,#REF!*BG50/(BG50+BE50))</f>
        <v>0</v>
      </c>
      <c r="HK50" s="857">
        <f>IF(BF50=0,0,#REF!*BF50/(BF50+BH50))</f>
        <v>0</v>
      </c>
      <c r="HL50" s="431">
        <f>IF(BH50=0,0,#REF!*BH50/(BH50+BF50))</f>
        <v>0</v>
      </c>
      <c r="HM50" s="431">
        <f t="shared" ref="HM50" si="165">IF(D50="Second Lien",HD50,0)</f>
        <v>0</v>
      </c>
      <c r="HN50" s="431" t="b">
        <f t="shared" ref="HN50" si="166">SUM(HE50:HM50)=HD50</f>
        <v>1</v>
      </c>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0.61859667453785794</v>
      </c>
      <c r="V61" s="435">
        <f>SUM(V9:V60)</f>
        <v>232996703.6486333</v>
      </c>
      <c r="W61" s="435">
        <f>SUM(W9:W60)</f>
        <v>372231191.00440776</v>
      </c>
      <c r="X61" s="435"/>
      <c r="Y61" s="435">
        <f>SUM(Y9:Y60)</f>
        <v>372231191.00440776</v>
      </c>
      <c r="Z61" s="435"/>
      <c r="AA61" s="435"/>
      <c r="AB61" s="435"/>
      <c r="AC61" s="435"/>
      <c r="AE61" s="436"/>
      <c r="AF61" s="436"/>
      <c r="AG61" s="343"/>
      <c r="AH61" s="343"/>
      <c r="AI61" s="343"/>
      <c r="AJ61" s="343"/>
      <c r="AK61" s="343"/>
      <c r="AL61" s="434">
        <f>AVERAGE(AL9:AL60)</f>
        <v>0.60176135694179556</v>
      </c>
      <c r="AM61" s="436">
        <f t="shared" ref="AM61:BI61" si="167">SUM(AM9:AM60)</f>
        <v>0</v>
      </c>
      <c r="AN61" s="436">
        <f t="shared" si="167"/>
        <v>0</v>
      </c>
      <c r="AO61" s="436">
        <f t="shared" si="167"/>
        <v>195097953.55428821</v>
      </c>
      <c r="AP61" s="436">
        <f t="shared" si="167"/>
        <v>56801870.473609172</v>
      </c>
      <c r="AQ61" s="436">
        <f t="shared" si="167"/>
        <v>134989734.57689992</v>
      </c>
      <c r="AR61" s="436">
        <f t="shared" si="167"/>
        <v>0</v>
      </c>
      <c r="AS61" s="436">
        <f t="shared" si="167"/>
        <v>0</v>
      </c>
      <c r="AT61" s="436">
        <f t="shared" si="167"/>
        <v>0</v>
      </c>
      <c r="AU61" s="436">
        <f t="shared" si="167"/>
        <v>120331366.97651047</v>
      </c>
      <c r="AV61" s="436">
        <f t="shared" si="167"/>
        <v>0</v>
      </c>
      <c r="AW61" s="436">
        <f t="shared" si="167"/>
        <v>98006969.07173337</v>
      </c>
      <c r="AX61" s="436">
        <f t="shared" si="167"/>
        <v>0</v>
      </c>
      <c r="AY61" s="436">
        <f t="shared" si="167"/>
        <v>0</v>
      </c>
      <c r="AZ61" s="436">
        <f t="shared" si="167"/>
        <v>0</v>
      </c>
      <c r="BA61" s="436">
        <f t="shared" si="167"/>
        <v>0</v>
      </c>
      <c r="BB61" s="436">
        <f t="shared" si="167"/>
        <v>0</v>
      </c>
      <c r="BC61" s="436">
        <f t="shared" si="167"/>
        <v>0</v>
      </c>
      <c r="BD61" s="436">
        <f t="shared" si="167"/>
        <v>0</v>
      </c>
      <c r="BE61" s="436">
        <f t="shared" si="167"/>
        <v>0</v>
      </c>
      <c r="BF61" s="436">
        <f t="shared" si="167"/>
        <v>0</v>
      </c>
      <c r="BG61" s="436">
        <f t="shared" si="167"/>
        <v>0</v>
      </c>
      <c r="BH61" s="436">
        <f t="shared" si="167"/>
        <v>0</v>
      </c>
      <c r="BI61" s="436">
        <f t="shared" si="167"/>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W9:CW59 CQ9:CQ59" xr:uid="{00000000-0002-0000-0100-000000000000}">
      <formula1>"N,Y"</formula1>
    </dataValidation>
    <dataValidation type="list" allowBlank="1" showInputMessage="1" showErrorMessage="1" sqref="DX9:DY59 CG9:CH59 CD9:CD59 BZ9:CA59 BV9:BX59 S9:S59 Q9:Q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12</v>
      </c>
      <c r="I5" s="24">
        <f>SUMIF(Portfolio!$T$9:$T$60, 'Concentration Limits'!$D$5, Portfolio!$AO$9:$AO$60)</f>
        <v>54455729.764371179</v>
      </c>
      <c r="J5" s="25">
        <f t="shared" ref="J5:J30" si="0">I5/I$32</f>
        <v>0.14629545046300632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0.1017879455112633</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0.18830282686534053</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0.18953284942609511</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5.0810417673557914E-2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0.11967501064283091</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0.10000922327500147</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0.10358627614290446</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42</v>
      </c>
      <c r="I32" s="859">
        <f>SUM(I5:I31)</f>
        <v>372231191.00440776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42</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371363620.89276171</v>
      </c>
      <c r="AR1" s="208">
        <f>SUM(AR6:AR55)</f>
        <v>371363620.89276171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6"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6" si="3">IF($D5=$AQ$3,$M5-$AP5,0)</f>
        <v>867570.11164605082</v>
      </c>
      <c r="AR5" s="249">
        <f t="shared" ref="AR5:AR46"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6"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6" si="10">+E6+1</f>
        <v>3</v>
      </c>
      <c r="F7" s="287">
        <f t="shared" ref="F7:F46"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t="str">
        <f t="shared" ref="A46" si="12">CONCATENATE(C46,E46)</f>
        <v>smc42</v>
      </c>
      <c r="B46" s="228">
        <f t="shared" si="1"/>
        <v>46022</v>
      </c>
      <c r="C46" s="259" t="s">
        <v>60</v>
      </c>
      <c r="D46" s="260" t="s">
        <v>1</v>
      </c>
      <c r="E46" s="261">
        <f t="shared" si="10"/>
        <v>42</v>
      </c>
      <c r="F46" s="287">
        <f t="shared" si="11"/>
        <v>100042</v>
      </c>
      <c r="G46" s="230" t="s">
        <v>2603</v>
      </c>
      <c r="H46" s="230" t="s">
        <v>448</v>
      </c>
      <c r="I46" s="231"/>
      <c r="J46" s="232" t="s">
        <v>239</v>
      </c>
      <c r="K46" s="232" t="s">
        <v>690</v>
      </c>
      <c r="L46" s="264" t="s">
        <v>102</v>
      </c>
      <c r="M46" s="233">
        <f>INDEX('SM Support'!$D$3:$D$64,MATCH('Loan Tape - Settled'!G46,'SM Support'!$B$3:$B$62,0))</f>
        <v>42000000</v>
      </c>
      <c r="N46" s="234">
        <f t="shared" ref="N46" si="13">M46</f>
        <v>42000000</v>
      </c>
      <c r="O46" s="235"/>
      <c r="P46" s="235"/>
      <c r="Q46" s="236">
        <v>0.97</v>
      </c>
      <c r="R46" s="268"/>
      <c r="S46" s="238">
        <f>INDEX('SM Support'!$E$3:$E$64,MATCH('Loan Tape - Settled'!G46,'SM Support'!$B$3:$B$64,0))/INDEX('SM Support'!$D$3:$D$64,MATCH('Loan Tape - Settled'!G46,'SM Support'!$B$3:$B$64,0))</f>
        <v>1</v>
      </c>
      <c r="T46" s="230" t="s">
        <v>393</v>
      </c>
      <c r="U46" s="277">
        <v>46122</v>
      </c>
      <c r="V46" s="293">
        <v>47583</v>
      </c>
      <c r="W46" s="230" t="s">
        <v>691</v>
      </c>
      <c r="X46" s="278" t="s">
        <v>370</v>
      </c>
      <c r="Y46" s="713" t="s">
        <v>696</v>
      </c>
      <c r="Z46" s="714" t="s">
        <v>244</v>
      </c>
      <c r="AA46" s="715"/>
      <c r="AB46" s="715"/>
      <c r="AC46" s="716"/>
      <c r="AD46" s="717">
        <v>0</v>
      </c>
      <c r="AE46" s="717">
        <v>7.0000000000000007E-2</v>
      </c>
      <c r="AF46" s="717">
        <v>0.01</v>
      </c>
      <c r="AG46" s="243"/>
      <c r="AH46" s="243"/>
      <c r="AI46" s="244"/>
      <c r="AJ46" s="245"/>
      <c r="AK46" s="245"/>
      <c r="AL46" s="245"/>
      <c r="AM46" s="245"/>
      <c r="AN46" s="281">
        <v>45996</v>
      </c>
      <c r="AO46" s="281">
        <v>46122</v>
      </c>
      <c r="AP46" s="247">
        <v>0</v>
      </c>
      <c r="AQ46" s="248">
        <f t="shared" si="3"/>
        <v>42000000</v>
      </c>
      <c r="AR46" s="249">
        <f t="shared" si="4"/>
        <v>42000000</v>
      </c>
      <c r="AT46" s="250" t="s">
        <v>693</v>
      </c>
      <c r="AU46" s="267" t="str">
        <f t="shared" si="9"/>
        <v>9/30/2025 or Latest Financing</v>
      </c>
      <c r="AV46" s="250">
        <v>11.6</v>
      </c>
      <c r="AW46" s="252">
        <f t="shared" ref="AW46" si="14">AV46</f>
        <v>11.6</v>
      </c>
      <c r="AX46" s="279">
        <v>2</v>
      </c>
      <c r="AY46" s="280">
        <f t="shared" ref="AY46" si="15">AX46</f>
        <v>2</v>
      </c>
      <c r="AZ46" s="255">
        <f>INDEX('SM Support'!$G$3:$G$64,MATCH('Loan Tape - Settled'!G46,'SM Support'!$B$3:$B$64,0))/1000000</f>
        <v>3.8</v>
      </c>
      <c r="BA46" s="252">
        <f t="shared" ref="BA46" si="16">AZ46</f>
        <v>3.8</v>
      </c>
      <c r="BB46" s="256"/>
      <c r="BC46" s="257">
        <f>INDEX('SM Support'!$M$3:$M$64,MATCH('Loan Tape - Settled'!G46,'SM Support'!$B$3:$B$64,0))</f>
        <v>13.684210526315789</v>
      </c>
      <c r="BD46" s="280">
        <f t="shared" ref="BD46" si="17">BC46</f>
        <v>13.684210526315789</v>
      </c>
      <c r="BE46" s="286">
        <v>1.74</v>
      </c>
      <c r="BF46" s="285">
        <f>INDEX('SM Support'!O$3:O$64,MATCH('Loan Tape - Settled'!$G46,'SM Support'!$B$3:$B$64,0))</f>
        <v>2.1</v>
      </c>
      <c r="BG46" s="640"/>
      <c r="BH46" s="640"/>
      <c r="BI46" s="258">
        <f>INDEX('SM Support'!$M$3:$M$144,MATCH('Loan Tape - Settled'!G46,'SM Support'!$B$3:$B$144,0))</f>
        <v>13.684210526315789</v>
      </c>
      <c r="BJ46" s="258">
        <f>INDEX('SM Support'!$N$3:$N$144,MATCH('Loan Tape - Settled'!G46,'SM Support'!$B$3:$B$144,0))</f>
        <v>-2.1052631578947367</v>
      </c>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10" t="e">
        <f>IF(VLOOKUP(B43,Portfolio!$B$9:$V$49,21,FALSE)=0,"No","Yes")</f>
        <v>#N/A</v>
      </c>
      <c r="B43" s="611" t="s">
        <v>2603</v>
      </c>
      <c r="C43" s="194" t="s">
        <v>239</v>
      </c>
      <c r="D43" s="664">
        <v>42000000</v>
      </c>
      <c r="E43" s="668">
        <v>42000000</v>
      </c>
      <c r="F43" s="705">
        <v>185000000</v>
      </c>
      <c r="G43" s="705">
        <v>3800000</v>
      </c>
      <c r="H43" s="705">
        <v>0</v>
      </c>
      <c r="I43" s="705">
        <v>0</v>
      </c>
      <c r="J43" s="705">
        <v>0</v>
      </c>
      <c r="K43" s="705">
        <v>60000000</v>
      </c>
      <c r="L43" s="705">
        <v>8000000</v>
      </c>
      <c r="M43" s="199">
        <f t="shared" ref="M43" si="10">IF(SUM(H43:K43,-L43)/G43&lt;0,"N/M",SUM(H43:K43,-L43)/G43)</f>
        <v>13.684210526315789</v>
      </c>
      <c r="N43" s="199">
        <f t="shared" ref="N43" si="11">IF(G43&lt;0,"N/A",IFERROR(((SUM(H43:I43))-L43)/G43,0))</f>
        <v>-2.1052631578947367</v>
      </c>
      <c r="O43" s="712">
        <v>2.1</v>
      </c>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422231191.00440782</v>
      </c>
      <c r="E64" s="873">
        <f>SUM(E3:E62)</f>
        <v>388151280.98247892</v>
      </c>
      <c r="F64" s="873">
        <f>SUMPRODUCT(F3:F62,$D$3:$D$62)/SUM($D$3:$D$62)</f>
        <v>189991948.83118817</v>
      </c>
      <c r="G64" s="873">
        <f>SUMPRODUCT(G3:G62,$D$3:$D$62)/SUM($D$3:$D$62)</f>
        <v>21277299.490095876</v>
      </c>
      <c r="H64" s="873"/>
      <c r="I64" s="873"/>
      <c r="J64" s="873"/>
      <c r="K64" s="873"/>
      <c r="L64" s="873"/>
      <c r="M64" s="874">
        <f>SUMPRODUCT(M3:M62,$D$3:$D$62)/SUM($D$3:$D$62)</f>
        <v>6.6176970208639494</v>
      </c>
      <c r="N64" s="875">
        <f>SUMPRODUCT(N3:N62,$D$3:$D$62)/SUM($D$3:$D$62)</f>
        <v>0.4873430252879079</v>
      </c>
      <c r="O64" s="874">
        <f>SUMPRODUCT(O3:O62,$D$3:$D$62)/SUM($D$3:$D$62)</f>
        <v>1.7524590884284128</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273207638.23737681</v>
      </c>
      <c r="D67" s="196">
        <f>+C67/$C$70</f>
        <v>0.68777992369271224</v>
      </c>
      <c r="E67" s="154" t="s">
        <v>597</v>
      </c>
      <c r="F67" s="705">
        <v>812617188.59429991</v>
      </c>
      <c r="G67" s="705">
        <v>89757112.481433406</v>
      </c>
      <c r="H67" s="705">
        <v>79850000</v>
      </c>
      <c r="I67" s="705">
        <v>45780000</v>
      </c>
      <c r="J67" s="705">
        <v>1751324612.62447</v>
      </c>
      <c r="K67" s="705">
        <v>15236387.3755295</v>
      </c>
      <c r="L67" s="705">
        <v>37631000</v>
      </c>
      <c r="M67" s="199">
        <f t="shared" ref="M67:M107" si="12">IF(SUM(H67:K67,-L67)/G67&lt;0,"N/M",SUM(H67:K67,-L67)/G67)</f>
        <v>20.661983755143886</v>
      </c>
      <c r="T67" s="632"/>
    </row>
    <row r="68" spans="2:21" x14ac:dyDescent="0.45">
      <c r="B68" s="195" t="s">
        <v>736</v>
      </c>
      <c r="C68" s="154">
        <f>SUMIF($C$3:$C$62,B68,$D$3:$D$62)</f>
        <v>124023552.76703103</v>
      </c>
      <c r="D68" s="196">
        <f>+C68/$C$70</f>
        <v>0.31222007630728782</v>
      </c>
      <c r="E68" s="154" t="s">
        <v>593</v>
      </c>
      <c r="F68" s="705">
        <v>86689801.220000029</v>
      </c>
      <c r="G68" s="705">
        <v>3365399.8700000071</v>
      </c>
      <c r="H68" s="705">
        <v>0</v>
      </c>
      <c r="I68" s="705">
        <v>5757265.6634297501</v>
      </c>
      <c r="J68" s="705">
        <v>0</v>
      </c>
      <c r="K68" s="705">
        <v>40212824.636718839</v>
      </c>
      <c r="L68" s="705">
        <v>1268672</v>
      </c>
      <c r="M68" s="199">
        <f t="shared" si="12"/>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2"/>
        <v>N/M</v>
      </c>
      <c r="U69" s="631"/>
    </row>
    <row r="70" spans="2:21" x14ac:dyDescent="0.45">
      <c r="C70" s="877">
        <f>SUM(C67:C69)</f>
        <v>397231191.00440782</v>
      </c>
      <c r="D70" s="878">
        <f>SUM(D67:D69)</f>
        <v>1</v>
      </c>
      <c r="E70" s="154" t="s">
        <v>607</v>
      </c>
      <c r="F70" s="705">
        <v>745987</v>
      </c>
      <c r="G70" s="705">
        <v>745987</v>
      </c>
      <c r="H70" s="705">
        <v>0</v>
      </c>
      <c r="I70" s="705">
        <v>0</v>
      </c>
      <c r="J70" s="705">
        <v>15050702.748</v>
      </c>
      <c r="K70" s="705">
        <v>26849297.252</v>
      </c>
      <c r="L70" s="705">
        <v>30498</v>
      </c>
      <c r="M70" s="199">
        <f t="shared" si="12"/>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2"/>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2"/>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2"/>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2"/>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2"/>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2"/>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2"/>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2"/>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2"/>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2"/>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2"/>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2"/>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2"/>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2"/>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2"/>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2"/>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2"/>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2"/>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2"/>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2"/>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2"/>
        <v>4.3783963249569178</v>
      </c>
    </row>
    <row r="92" spans="5:13" x14ac:dyDescent="0.45">
      <c r="E92" s="154" t="s">
        <v>707</v>
      </c>
      <c r="F92" s="705">
        <v>30464594</v>
      </c>
      <c r="G92" s="705">
        <v>9544317</v>
      </c>
      <c r="H92" s="705">
        <v>1600000</v>
      </c>
      <c r="I92" s="705">
        <v>0</v>
      </c>
      <c r="J92" s="705">
        <v>0</v>
      </c>
      <c r="K92" s="705">
        <v>21326249.999999981</v>
      </c>
      <c r="L92" s="705">
        <v>1580173</v>
      </c>
      <c r="M92" s="199">
        <f t="shared" si="12"/>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2"/>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2"/>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2"/>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2"/>
        <v>6.2929328994173792</v>
      </c>
    </row>
    <row r="97" spans="5:13" x14ac:dyDescent="0.45">
      <c r="E97" s="154" t="s">
        <v>603</v>
      </c>
      <c r="F97" s="705">
        <v>123242000</v>
      </c>
      <c r="G97" s="705">
        <v>19440000</v>
      </c>
      <c r="H97" s="705">
        <v>13971000</v>
      </c>
      <c r="I97" s="705">
        <v>0</v>
      </c>
      <c r="J97" s="705">
        <v>0</v>
      </c>
      <c r="K97" s="705">
        <v>87544537.166724801</v>
      </c>
      <c r="L97" s="705">
        <v>226000</v>
      </c>
      <c r="M97" s="199">
        <f t="shared" si="12"/>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2"/>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2"/>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2"/>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2"/>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2"/>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2"/>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2"/>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2"/>
        <v>2.541914072624246</v>
      </c>
    </row>
    <row r="106" spans="5:13" x14ac:dyDescent="0.45">
      <c r="E106" s="154" t="s">
        <v>711</v>
      </c>
      <c r="F106" s="705">
        <v>50100000</v>
      </c>
      <c r="G106" s="705">
        <v>11600000</v>
      </c>
      <c r="H106" s="705">
        <v>0</v>
      </c>
      <c r="I106" s="705">
        <v>10000000</v>
      </c>
      <c r="J106" s="705">
        <v>0</v>
      </c>
      <c r="K106" s="705">
        <v>15000000</v>
      </c>
      <c r="L106" s="705">
        <v>2058000</v>
      </c>
      <c r="M106" s="199">
        <f t="shared" si="12"/>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2"/>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3">F3-F67</f>
        <v>-4753682.9936000109</v>
      </c>
      <c r="G110" s="154">
        <f t="shared" si="13"/>
        <v>-8001976.7496334016</v>
      </c>
      <c r="H110" s="154">
        <f t="shared" si="13"/>
        <v>0</v>
      </c>
      <c r="I110" s="154">
        <f t="shared" si="13"/>
        <v>-3271000</v>
      </c>
      <c r="J110" s="154">
        <f t="shared" si="13"/>
        <v>-7165406.0099999905</v>
      </c>
      <c r="K110" s="154">
        <f t="shared" si="13"/>
        <v>-37593.990000000224</v>
      </c>
      <c r="L110" s="154">
        <f t="shared" si="13"/>
        <v>11973000</v>
      </c>
      <c r="M110" s="199">
        <f t="shared" ref="M110:M149" si="14">IFERROR(M3-M67,"N/A")</f>
        <v>1.7477766054810076</v>
      </c>
    </row>
    <row r="111" spans="5:13" x14ac:dyDescent="0.45">
      <c r="E111" s="154" t="s">
        <v>593</v>
      </c>
      <c r="F111" s="154">
        <f t="shared" si="13"/>
        <v>-4076256.4899999946</v>
      </c>
      <c r="G111" s="154">
        <f t="shared" si="13"/>
        <v>-1174009.01999998</v>
      </c>
      <c r="H111" s="154">
        <f t="shared" si="13"/>
        <v>0</v>
      </c>
      <c r="I111" s="154">
        <f t="shared" si="13"/>
        <v>333845.60194622912</v>
      </c>
      <c r="J111" s="154">
        <f t="shared" si="13"/>
        <v>0</v>
      </c>
      <c r="K111" s="154">
        <f t="shared" si="13"/>
        <v>-4631720.2307158709</v>
      </c>
      <c r="L111" s="154">
        <f t="shared" si="13"/>
        <v>134444.43999999994</v>
      </c>
      <c r="M111" s="199">
        <f t="shared" si="14"/>
        <v>5.0933991321100223</v>
      </c>
    </row>
    <row r="112" spans="5:13" x14ac:dyDescent="0.45">
      <c r="E112" s="154" t="s">
        <v>697</v>
      </c>
      <c r="F112" s="154">
        <f t="shared" si="13"/>
        <v>-580012.39999999851</v>
      </c>
      <c r="G112" s="154">
        <f t="shared" si="13"/>
        <v>2062558.3000000019</v>
      </c>
      <c r="H112" s="154">
        <f t="shared" si="13"/>
        <v>-1640137</v>
      </c>
      <c r="I112" s="154">
        <f t="shared" si="13"/>
        <v>0</v>
      </c>
      <c r="J112" s="154">
        <f t="shared" si="13"/>
        <v>3970.7357460758649</v>
      </c>
      <c r="K112" s="154">
        <f t="shared" si="13"/>
        <v>281592.76425391994</v>
      </c>
      <c r="L112" s="154">
        <f t="shared" si="13"/>
        <v>-1103577.0300000003</v>
      </c>
      <c r="M112" s="199" t="str">
        <f t="shared" si="14"/>
        <v>N/A</v>
      </c>
    </row>
    <row r="113" spans="5:13" x14ac:dyDescent="0.45">
      <c r="E113" s="154" t="s">
        <v>607</v>
      </c>
      <c r="F113" s="154">
        <f t="shared" si="13"/>
        <v>-92790.890000000014</v>
      </c>
      <c r="G113" s="154">
        <f t="shared" si="13"/>
        <v>-92790.890000000014</v>
      </c>
      <c r="H113" s="154">
        <f t="shared" si="13"/>
        <v>0</v>
      </c>
      <c r="I113" s="154">
        <f t="shared" si="13"/>
        <v>3190000</v>
      </c>
      <c r="J113" s="154">
        <f t="shared" si="13"/>
        <v>-5.4710488766431808E-3</v>
      </c>
      <c r="K113" s="154">
        <f t="shared" si="13"/>
        <v>2711849.2639373913</v>
      </c>
      <c r="L113" s="154">
        <f t="shared" si="13"/>
        <v>49166</v>
      </c>
      <c r="M113" s="199">
        <f t="shared" si="14"/>
        <v>16.933190341333585</v>
      </c>
    </row>
    <row r="114" spans="5:13" x14ac:dyDescent="0.45">
      <c r="E114" s="154" t="s">
        <v>595</v>
      </c>
      <c r="F114" s="154">
        <f t="shared" si="13"/>
        <v>-509550.60000000149</v>
      </c>
      <c r="G114" s="154">
        <f t="shared" si="13"/>
        <v>-4366861.2319218935</v>
      </c>
      <c r="H114" s="154">
        <f t="shared" si="13"/>
        <v>750000</v>
      </c>
      <c r="I114" s="154">
        <f t="shared" si="13"/>
        <v>-225625</v>
      </c>
      <c r="J114" s="154">
        <f t="shared" si="13"/>
        <v>6628198.2887558835</v>
      </c>
      <c r="K114" s="154">
        <f t="shared" si="13"/>
        <v>406360.51007459685</v>
      </c>
      <c r="L114" s="154">
        <f t="shared" si="13"/>
        <v>-789416.54</v>
      </c>
      <c r="M114" s="199">
        <f t="shared" si="14"/>
        <v>24.774173688936074</v>
      </c>
    </row>
    <row r="115" spans="5:13" x14ac:dyDescent="0.45">
      <c r="E115" s="154" t="s">
        <v>450</v>
      </c>
      <c r="F115" s="154">
        <f t="shared" si="13"/>
        <v>0</v>
      </c>
      <c r="G115" s="154">
        <f t="shared" si="13"/>
        <v>0</v>
      </c>
      <c r="H115" s="154">
        <f t="shared" si="13"/>
        <v>0</v>
      </c>
      <c r="I115" s="154">
        <f t="shared" si="13"/>
        <v>0</v>
      </c>
      <c r="J115" s="154">
        <f t="shared" si="13"/>
        <v>0</v>
      </c>
      <c r="K115" s="154">
        <f t="shared" si="13"/>
        <v>0</v>
      </c>
      <c r="L115" s="154">
        <f t="shared" si="13"/>
        <v>0</v>
      </c>
      <c r="M115" s="199" t="str">
        <f t="shared" si="14"/>
        <v>N/A</v>
      </c>
    </row>
    <row r="116" spans="5:13" x14ac:dyDescent="0.45">
      <c r="E116" s="154" t="s">
        <v>694</v>
      </c>
      <c r="F116" s="154">
        <f t="shared" si="13"/>
        <v>4587240.9500002414</v>
      </c>
      <c r="G116" s="154">
        <f t="shared" si="13"/>
        <v>762882.53248476982</v>
      </c>
      <c r="H116" s="154">
        <f t="shared" si="13"/>
        <v>-500000</v>
      </c>
      <c r="I116" s="154">
        <f t="shared" si="13"/>
        <v>-400000</v>
      </c>
      <c r="J116" s="154">
        <f t="shared" si="13"/>
        <v>0</v>
      </c>
      <c r="K116" s="154">
        <f t="shared" si="13"/>
        <v>-19207999.99999997</v>
      </c>
      <c r="L116" s="154">
        <f t="shared" si="13"/>
        <v>-1201966.5099999821</v>
      </c>
      <c r="M116" s="199">
        <f t="shared" si="14"/>
        <v>-1.3212490323206119</v>
      </c>
    </row>
    <row r="117" spans="5:13" x14ac:dyDescent="0.45">
      <c r="E117" s="154" t="s">
        <v>738</v>
      </c>
      <c r="F117" s="154">
        <f t="shared" si="13"/>
        <v>-19813866.154449016</v>
      </c>
      <c r="G117" s="154">
        <f t="shared" si="13"/>
        <v>-3218999.2417942304</v>
      </c>
      <c r="H117" s="154">
        <f t="shared" si="13"/>
        <v>-1993954.2599999979</v>
      </c>
      <c r="I117" s="154">
        <f t="shared" si="13"/>
        <v>-930944.86000000034</v>
      </c>
      <c r="J117" s="154">
        <f t="shared" si="13"/>
        <v>0</v>
      </c>
      <c r="K117" s="154">
        <f t="shared" si="13"/>
        <v>-200000.00000002235</v>
      </c>
      <c r="L117" s="154">
        <f t="shared" si="13"/>
        <v>-1535637.6357200001</v>
      </c>
      <c r="M117" s="199">
        <f t="shared" si="14"/>
        <v>1.1977305352932275</v>
      </c>
    </row>
    <row r="118" spans="5:13" x14ac:dyDescent="0.45">
      <c r="E118" s="154" t="s">
        <v>706</v>
      </c>
      <c r="F118" s="154">
        <f t="shared" si="13"/>
        <v>-2985000</v>
      </c>
      <c r="G118" s="154">
        <f t="shared" si="13"/>
        <v>-1700000</v>
      </c>
      <c r="H118" s="154">
        <f t="shared" si="13"/>
        <v>200000</v>
      </c>
      <c r="I118" s="154">
        <f t="shared" si="13"/>
        <v>4900069.7204181999</v>
      </c>
      <c r="J118" s="154">
        <f t="shared" si="13"/>
        <v>0</v>
      </c>
      <c r="K118" s="154">
        <f t="shared" si="13"/>
        <v>19719430.279581815</v>
      </c>
      <c r="L118" s="154">
        <f t="shared" si="13"/>
        <v>-568000</v>
      </c>
      <c r="M118" s="199">
        <f t="shared" si="14"/>
        <v>0.987504553782518</v>
      </c>
    </row>
    <row r="119" spans="5:13" x14ac:dyDescent="0.45">
      <c r="E119" s="154" t="s">
        <v>600</v>
      </c>
      <c r="F119" s="154">
        <f t="shared" si="13"/>
        <v>3652385.3800000027</v>
      </c>
      <c r="G119" s="154">
        <f t="shared" si="13"/>
        <v>1299337.9450000003</v>
      </c>
      <c r="H119" s="154">
        <f t="shared" si="13"/>
        <v>0</v>
      </c>
      <c r="I119" s="154">
        <f t="shared" si="13"/>
        <v>0</v>
      </c>
      <c r="J119" s="154">
        <f t="shared" si="13"/>
        <v>7224950</v>
      </c>
      <c r="K119" s="154">
        <f t="shared" si="13"/>
        <v>2375000.0048979595</v>
      </c>
      <c r="L119" s="154">
        <f t="shared" si="13"/>
        <v>-201800</v>
      </c>
      <c r="M119" s="199">
        <f t="shared" si="14"/>
        <v>0.71044026217405909</v>
      </c>
    </row>
    <row r="120" spans="5:13" x14ac:dyDescent="0.45">
      <c r="E120" s="154" t="s">
        <v>482</v>
      </c>
      <c r="F120" s="154">
        <f t="shared" ref="F120:L129" si="15">F13-F77</f>
        <v>4150937.9010000974</v>
      </c>
      <c r="G120" s="154">
        <f t="shared" si="15"/>
        <v>-4126520.5602000393</v>
      </c>
      <c r="H120" s="154">
        <f t="shared" si="15"/>
        <v>-6313.9200000001583</v>
      </c>
      <c r="I120" s="154">
        <f t="shared" si="15"/>
        <v>0</v>
      </c>
      <c r="J120" s="154">
        <f t="shared" si="15"/>
        <v>-234026.63462503254</v>
      </c>
      <c r="K120" s="154">
        <f t="shared" si="15"/>
        <v>-325348.36537500471</v>
      </c>
      <c r="L120" s="154">
        <f t="shared" si="15"/>
        <v>-676056.38999999966</v>
      </c>
      <c r="M120" s="199">
        <f t="shared" si="14"/>
        <v>0.63942863076973477</v>
      </c>
    </row>
    <row r="121" spans="5:13" x14ac:dyDescent="0.45">
      <c r="E121" s="154" t="s">
        <v>605</v>
      </c>
      <c r="F121" s="154">
        <f t="shared" si="15"/>
        <v>-2786852.1899999976</v>
      </c>
      <c r="G121" s="154">
        <f t="shared" si="15"/>
        <v>-6084806.526031021</v>
      </c>
      <c r="H121" s="154">
        <f t="shared" si="15"/>
        <v>7205348.9199999999</v>
      </c>
      <c r="I121" s="154">
        <f t="shared" si="15"/>
        <v>0</v>
      </c>
      <c r="J121" s="154">
        <f t="shared" si="15"/>
        <v>-200050.56019761413</v>
      </c>
      <c r="K121" s="154">
        <f t="shared" si="15"/>
        <v>-225013.57980239391</v>
      </c>
      <c r="L121" s="154">
        <f t="shared" si="15"/>
        <v>-1388173.2200000002</v>
      </c>
      <c r="M121" s="199">
        <f t="shared" si="14"/>
        <v>1.5090641658048574</v>
      </c>
    </row>
    <row r="122" spans="5:13" x14ac:dyDescent="0.45">
      <c r="E122" s="154" t="s">
        <v>619</v>
      </c>
      <c r="F122" s="154">
        <f t="shared" si="15"/>
        <v>-21219453.904353902</v>
      </c>
      <c r="G122" s="154">
        <f t="shared" si="15"/>
        <v>812828.21000000089</v>
      </c>
      <c r="H122" s="154">
        <f t="shared" si="15"/>
        <v>0</v>
      </c>
      <c r="I122" s="154">
        <f t="shared" si="15"/>
        <v>0</v>
      </c>
      <c r="J122" s="154">
        <f t="shared" si="15"/>
        <v>-36877.522323910147</v>
      </c>
      <c r="K122" s="154">
        <f t="shared" si="15"/>
        <v>-149408.42867610604</v>
      </c>
      <c r="L122" s="154">
        <f t="shared" si="15"/>
        <v>3126782</v>
      </c>
      <c r="M122" s="199">
        <f t="shared" si="14"/>
        <v>-0.38778794317900989</v>
      </c>
    </row>
    <row r="123" spans="5:13" x14ac:dyDescent="0.45">
      <c r="E123" s="154" t="s">
        <v>626</v>
      </c>
      <c r="F123" s="154">
        <f t="shared" si="15"/>
        <v>-389821.23000000417</v>
      </c>
      <c r="G123" s="154">
        <f t="shared" si="15"/>
        <v>236708.10000000894</v>
      </c>
      <c r="H123" s="154">
        <f t="shared" si="15"/>
        <v>0</v>
      </c>
      <c r="I123" s="154">
        <f t="shared" si="15"/>
        <v>0</v>
      </c>
      <c r="J123" s="154">
        <f t="shared" si="15"/>
        <v>0</v>
      </c>
      <c r="K123" s="154">
        <f t="shared" si="15"/>
        <v>1398775.1545491107</v>
      </c>
      <c r="L123" s="154">
        <f t="shared" si="15"/>
        <v>0</v>
      </c>
      <c r="M123" s="199">
        <f t="shared" si="14"/>
        <v>3.0839633915259235E-2</v>
      </c>
    </row>
    <row r="124" spans="5:13" x14ac:dyDescent="0.45">
      <c r="E124" s="154" t="s">
        <v>629</v>
      </c>
      <c r="F124" s="154">
        <f t="shared" si="15"/>
        <v>-11696055.93</v>
      </c>
      <c r="G124" s="154">
        <f t="shared" si="15"/>
        <v>-3609944.3700000066</v>
      </c>
      <c r="H124" s="154">
        <f t="shared" si="15"/>
        <v>0</v>
      </c>
      <c r="I124" s="154">
        <f t="shared" si="15"/>
        <v>-231250</v>
      </c>
      <c r="J124" s="154">
        <f t="shared" si="15"/>
        <v>0</v>
      </c>
      <c r="K124" s="154">
        <f t="shared" si="15"/>
        <v>227766.85666295886</v>
      </c>
      <c r="L124" s="154">
        <f t="shared" si="15"/>
        <v>-8263.5300000002608</v>
      </c>
      <c r="M124" s="199">
        <f t="shared" si="14"/>
        <v>2.2341361763499368</v>
      </c>
    </row>
    <row r="125" spans="5:13" x14ac:dyDescent="0.45">
      <c r="E125" s="154" t="s">
        <v>590</v>
      </c>
      <c r="F125" s="154">
        <f t="shared" si="15"/>
        <v>-5160120.9200000018</v>
      </c>
      <c r="G125" s="154">
        <f t="shared" si="15"/>
        <v>-2115265.0672090016</v>
      </c>
      <c r="H125" s="154">
        <f t="shared" si="15"/>
        <v>0</v>
      </c>
      <c r="I125" s="154">
        <f t="shared" si="15"/>
        <v>-2331884.3574999981</v>
      </c>
      <c r="J125" s="154">
        <f t="shared" si="15"/>
        <v>-187003.24779351056</v>
      </c>
      <c r="K125" s="154">
        <f t="shared" si="15"/>
        <v>-256958.20470650494</v>
      </c>
      <c r="L125" s="154">
        <f t="shared" si="15"/>
        <v>911751.49000000022</v>
      </c>
      <c r="M125" s="199">
        <f t="shared" si="14"/>
        <v>0.72299645086163444</v>
      </c>
    </row>
    <row r="126" spans="5:13" x14ac:dyDescent="0.45">
      <c r="E126" s="154" t="s">
        <v>699</v>
      </c>
      <c r="F126" s="154">
        <f t="shared" si="15"/>
        <v>-1760495.9699999988</v>
      </c>
      <c r="G126" s="154">
        <f t="shared" si="15"/>
        <v>695527.55333334021</v>
      </c>
      <c r="H126" s="154">
        <f t="shared" si="15"/>
        <v>0</v>
      </c>
      <c r="I126" s="154">
        <f t="shared" si="15"/>
        <v>-281249.99718749896</v>
      </c>
      <c r="J126" s="154">
        <f t="shared" si="15"/>
        <v>0</v>
      </c>
      <c r="K126" s="154">
        <f t="shared" si="15"/>
        <v>-93749.999062541872</v>
      </c>
      <c r="L126" s="154">
        <f t="shared" si="15"/>
        <v>642663.58999999985</v>
      </c>
      <c r="M126" s="199">
        <f t="shared" si="14"/>
        <v>-0.23410925554632067</v>
      </c>
    </row>
    <row r="127" spans="5:13" x14ac:dyDescent="0.45">
      <c r="E127" s="154" t="s">
        <v>476</v>
      </c>
      <c r="F127" s="154">
        <f t="shared" si="15"/>
        <v>-360533.79000000656</v>
      </c>
      <c r="G127" s="154">
        <f t="shared" si="15"/>
        <v>-1370689.8533333279</v>
      </c>
      <c r="H127" s="154">
        <f t="shared" si="15"/>
        <v>0</v>
      </c>
      <c r="I127" s="154">
        <f t="shared" si="15"/>
        <v>-725527.92799130082</v>
      </c>
      <c r="J127" s="154">
        <f t="shared" si="15"/>
        <v>-180909.47896518605</v>
      </c>
      <c r="K127" s="154">
        <f t="shared" si="15"/>
        <v>-667955.27304352075</v>
      </c>
      <c r="L127" s="154">
        <f t="shared" si="15"/>
        <v>2196804.41</v>
      </c>
      <c r="M127" s="199">
        <f t="shared" si="14"/>
        <v>-4.1236227775426348E-2</v>
      </c>
    </row>
    <row r="128" spans="5:13" x14ac:dyDescent="0.45">
      <c r="E128" s="154" t="s">
        <v>599</v>
      </c>
      <c r="F128" s="154">
        <f t="shared" si="15"/>
        <v>-8070458.9444596767</v>
      </c>
      <c r="G128" s="154">
        <f t="shared" si="15"/>
        <v>-2216450.0076401201</v>
      </c>
      <c r="H128" s="154">
        <f t="shared" si="15"/>
        <v>0</v>
      </c>
      <c r="I128" s="154">
        <f t="shared" si="15"/>
        <v>0</v>
      </c>
      <c r="J128" s="154">
        <f t="shared" si="15"/>
        <v>-4768527.6906419694</v>
      </c>
      <c r="K128" s="154">
        <f t="shared" si="15"/>
        <v>10380127.277584806</v>
      </c>
      <c r="L128" s="154">
        <f t="shared" si="15"/>
        <v>529039.76722024055</v>
      </c>
      <c r="M128" s="199" t="str">
        <f t="shared" si="14"/>
        <v>N/A</v>
      </c>
    </row>
    <row r="129" spans="5:13" x14ac:dyDescent="0.45">
      <c r="E129" s="154" t="s">
        <v>695</v>
      </c>
      <c r="F129" s="154">
        <f t="shared" si="15"/>
        <v>0</v>
      </c>
      <c r="G129" s="154">
        <f t="shared" si="15"/>
        <v>0</v>
      </c>
      <c r="H129" s="154">
        <f t="shared" si="15"/>
        <v>0</v>
      </c>
      <c r="I129" s="154">
        <f t="shared" si="15"/>
        <v>0</v>
      </c>
      <c r="J129" s="154">
        <f t="shared" si="15"/>
        <v>0</v>
      </c>
      <c r="K129" s="154">
        <f t="shared" si="15"/>
        <v>0</v>
      </c>
      <c r="L129" s="154">
        <f t="shared" si="15"/>
        <v>0</v>
      </c>
      <c r="M129" s="199">
        <f t="shared" si="14"/>
        <v>0</v>
      </c>
    </row>
    <row r="130" spans="5:13" x14ac:dyDescent="0.45">
      <c r="E130" s="154" t="s">
        <v>471</v>
      </c>
      <c r="F130" s="154">
        <f t="shared" ref="F130:L139" si="16">F23-F87</f>
        <v>2501330.8999999985</v>
      </c>
      <c r="G130" s="154">
        <f t="shared" si="16"/>
        <v>1760240.2300000004</v>
      </c>
      <c r="H130" s="154">
        <f t="shared" si="16"/>
        <v>5200000</v>
      </c>
      <c r="I130" s="154">
        <f t="shared" si="16"/>
        <v>0</v>
      </c>
      <c r="J130" s="154">
        <f t="shared" si="16"/>
        <v>0</v>
      </c>
      <c r="K130" s="154">
        <f t="shared" si="16"/>
        <v>0</v>
      </c>
      <c r="L130" s="154">
        <f t="shared" si="16"/>
        <v>1098037.0699999998</v>
      </c>
      <c r="M130" s="199">
        <f t="shared" si="14"/>
        <v>-5.1320302490189817E-2</v>
      </c>
    </row>
    <row r="131" spans="5:13" x14ac:dyDescent="0.45">
      <c r="E131" s="154" t="s">
        <v>596</v>
      </c>
      <c r="F131" s="154">
        <f t="shared" si="16"/>
        <v>-726179.97865913063</v>
      </c>
      <c r="G131" s="154">
        <f t="shared" si="16"/>
        <v>504567.61161805008</v>
      </c>
      <c r="H131" s="154">
        <f t="shared" si="16"/>
        <v>-2515801.2799999993</v>
      </c>
      <c r="I131" s="154">
        <f t="shared" si="16"/>
        <v>0</v>
      </c>
      <c r="J131" s="154">
        <f t="shared" si="16"/>
        <v>0</v>
      </c>
      <c r="K131" s="154">
        <f t="shared" si="16"/>
        <v>472893.77840646915</v>
      </c>
      <c r="L131" s="154">
        <f t="shared" si="16"/>
        <v>193786.58</v>
      </c>
      <c r="M131" s="199" t="str">
        <f t="shared" si="14"/>
        <v>N/A</v>
      </c>
    </row>
    <row r="132" spans="5:13" x14ac:dyDescent="0.45">
      <c r="E132" s="154" t="s">
        <v>617</v>
      </c>
      <c r="F132" s="154">
        <f t="shared" si="16"/>
        <v>-1947152.5500000119</v>
      </c>
      <c r="G132" s="154">
        <f t="shared" si="16"/>
        <v>137244.54049999826</v>
      </c>
      <c r="H132" s="154">
        <f t="shared" si="16"/>
        <v>-250000</v>
      </c>
      <c r="I132" s="154">
        <f t="shared" si="16"/>
        <v>0</v>
      </c>
      <c r="J132" s="154">
        <f t="shared" si="16"/>
        <v>-18750</v>
      </c>
      <c r="K132" s="154">
        <f t="shared" si="16"/>
        <v>-243750</v>
      </c>
      <c r="L132" s="154">
        <f t="shared" si="16"/>
        <v>-903459.97</v>
      </c>
      <c r="M132" s="199">
        <f t="shared" si="14"/>
        <v>-5.773898527716792E-2</v>
      </c>
    </row>
    <row r="133" spans="5:13" x14ac:dyDescent="0.45">
      <c r="E133" s="154" t="s">
        <v>701</v>
      </c>
      <c r="F133" s="154">
        <f t="shared" si="16"/>
        <v>2525881.2500000149</v>
      </c>
      <c r="G133" s="154">
        <f t="shared" si="16"/>
        <v>882265.69000000134</v>
      </c>
      <c r="H133" s="154">
        <f t="shared" si="16"/>
        <v>0</v>
      </c>
      <c r="I133" s="154">
        <f t="shared" si="16"/>
        <v>-616951.8200000003</v>
      </c>
      <c r="J133" s="154">
        <f t="shared" si="16"/>
        <v>0</v>
      </c>
      <c r="K133" s="154">
        <f t="shared" si="16"/>
        <v>-443737.1799999997</v>
      </c>
      <c r="L133" s="154">
        <f t="shared" si="16"/>
        <v>-699164.61000000034</v>
      </c>
      <c r="M133" s="199">
        <f t="shared" si="14"/>
        <v>-0.41056399732609838</v>
      </c>
    </row>
    <row r="134" spans="5:13" x14ac:dyDescent="0.45">
      <c r="E134" s="154" t="s">
        <v>606</v>
      </c>
      <c r="F134" s="154">
        <f t="shared" si="16"/>
        <v>1274423.5200000033</v>
      </c>
      <c r="G134" s="154">
        <f t="shared" si="16"/>
        <v>87302.51999999769</v>
      </c>
      <c r="H134" s="154">
        <f t="shared" si="16"/>
        <v>474375.37999999989</v>
      </c>
      <c r="I134" s="154">
        <f t="shared" si="16"/>
        <v>-175000</v>
      </c>
      <c r="J134" s="154">
        <f t="shared" si="16"/>
        <v>0</v>
      </c>
      <c r="K134" s="154">
        <f t="shared" si="16"/>
        <v>133304.38154712692</v>
      </c>
      <c r="L134" s="154">
        <f t="shared" si="16"/>
        <v>-1828.210000000021</v>
      </c>
      <c r="M134" s="199">
        <f t="shared" si="14"/>
        <v>6.1217086097009599E-3</v>
      </c>
    </row>
    <row r="135" spans="5:13" x14ac:dyDescent="0.45">
      <c r="E135" s="154" t="s">
        <v>707</v>
      </c>
      <c r="F135" s="154">
        <f t="shared" si="16"/>
        <v>-351204</v>
      </c>
      <c r="G135" s="154">
        <f t="shared" si="16"/>
        <v>859122</v>
      </c>
      <c r="H135" s="154">
        <f t="shared" si="16"/>
        <v>0</v>
      </c>
      <c r="I135" s="154">
        <f t="shared" si="16"/>
        <v>4300000.00476282</v>
      </c>
      <c r="J135" s="154">
        <f t="shared" si="16"/>
        <v>0</v>
      </c>
      <c r="K135" s="154">
        <f t="shared" si="16"/>
        <v>4165625.0047628395</v>
      </c>
      <c r="L135" s="154">
        <f t="shared" si="16"/>
        <v>1889351</v>
      </c>
      <c r="M135" s="199">
        <f t="shared" si="14"/>
        <v>0.44743171665692394</v>
      </c>
    </row>
    <row r="136" spans="5:13" x14ac:dyDescent="0.45">
      <c r="E136" s="154" t="s">
        <v>458</v>
      </c>
      <c r="F136" s="154">
        <f t="shared" si="16"/>
        <v>0</v>
      </c>
      <c r="G136" s="154">
        <f t="shared" si="16"/>
        <v>0</v>
      </c>
      <c r="H136" s="154">
        <f t="shared" si="16"/>
        <v>0</v>
      </c>
      <c r="I136" s="154">
        <f t="shared" si="16"/>
        <v>0</v>
      </c>
      <c r="J136" s="154">
        <f t="shared" si="16"/>
        <v>0</v>
      </c>
      <c r="K136" s="154">
        <f t="shared" si="16"/>
        <v>43798997.529379718</v>
      </c>
      <c r="L136" s="154">
        <f t="shared" si="16"/>
        <v>0</v>
      </c>
      <c r="M136" s="199" t="str">
        <f t="shared" si="14"/>
        <v>N/A</v>
      </c>
    </row>
    <row r="137" spans="5:13" x14ac:dyDescent="0.45">
      <c r="E137" s="154" t="s">
        <v>702</v>
      </c>
      <c r="F137" s="154">
        <f t="shared" si="16"/>
        <v>1970833.6500000134</v>
      </c>
      <c r="G137" s="154">
        <f t="shared" si="16"/>
        <v>1061995.46</v>
      </c>
      <c r="H137" s="154">
        <f t="shared" si="16"/>
        <v>-1300000</v>
      </c>
      <c r="I137" s="154">
        <f t="shared" si="16"/>
        <v>0</v>
      </c>
      <c r="J137" s="154">
        <f t="shared" si="16"/>
        <v>0</v>
      </c>
      <c r="K137" s="154">
        <f t="shared" si="16"/>
        <v>82703.009248199873</v>
      </c>
      <c r="L137" s="154">
        <f t="shared" si="16"/>
        <v>-571347.7799999998</v>
      </c>
      <c r="M137" s="199">
        <f t="shared" si="14"/>
        <v>-0.3390167224496432</v>
      </c>
    </row>
    <row r="138" spans="5:13" x14ac:dyDescent="0.45">
      <c r="E138" s="154" t="s">
        <v>602</v>
      </c>
      <c r="F138" s="154">
        <f t="shared" si="16"/>
        <v>0</v>
      </c>
      <c r="G138" s="154">
        <f t="shared" si="16"/>
        <v>0</v>
      </c>
      <c r="H138" s="154">
        <f t="shared" si="16"/>
        <v>0</v>
      </c>
      <c r="I138" s="154">
        <f t="shared" si="16"/>
        <v>0</v>
      </c>
      <c r="J138" s="154">
        <f t="shared" si="16"/>
        <v>0</v>
      </c>
      <c r="K138" s="154">
        <f t="shared" si="16"/>
        <v>-9250.0000074878335</v>
      </c>
      <c r="L138" s="154">
        <f t="shared" si="16"/>
        <v>0</v>
      </c>
      <c r="M138" s="199">
        <f t="shared" si="14"/>
        <v>-4.9681584054583894E-4</v>
      </c>
    </row>
    <row r="139" spans="5:13" x14ac:dyDescent="0.45">
      <c r="E139" s="154" t="s">
        <v>624</v>
      </c>
      <c r="F139" s="154">
        <f t="shared" si="16"/>
        <v>0</v>
      </c>
      <c r="G139" s="154">
        <f t="shared" si="16"/>
        <v>0</v>
      </c>
      <c r="H139" s="154">
        <f t="shared" si="16"/>
        <v>0</v>
      </c>
      <c r="I139" s="154">
        <f t="shared" si="16"/>
        <v>0</v>
      </c>
      <c r="J139" s="154">
        <f t="shared" si="16"/>
        <v>0</v>
      </c>
      <c r="K139" s="154">
        <f t="shared" si="16"/>
        <v>93728.282145150006</v>
      </c>
      <c r="L139" s="154">
        <f t="shared" si="16"/>
        <v>0</v>
      </c>
      <c r="M139" s="199">
        <f t="shared" si="14"/>
        <v>4.4275780703669554E-2</v>
      </c>
    </row>
    <row r="140" spans="5:13" x14ac:dyDescent="0.45">
      <c r="E140" s="154" t="s">
        <v>603</v>
      </c>
      <c r="F140" s="154">
        <f t="shared" ref="F140:L149" si="17">F33-F97</f>
        <v>-1619000</v>
      </c>
      <c r="G140" s="154">
        <f t="shared" si="17"/>
        <v>-2204000</v>
      </c>
      <c r="H140" s="154">
        <f t="shared" si="17"/>
        <v>2766000</v>
      </c>
      <c r="I140" s="154">
        <f t="shared" si="17"/>
        <v>0</v>
      </c>
      <c r="J140" s="154">
        <f t="shared" si="17"/>
        <v>0</v>
      </c>
      <c r="K140" s="154">
        <f t="shared" si="17"/>
        <v>-712079.59273910522</v>
      </c>
      <c r="L140" s="154">
        <f t="shared" si="17"/>
        <v>124000</v>
      </c>
      <c r="M140" s="199">
        <f t="shared" si="14"/>
        <v>0.77822984334340539</v>
      </c>
    </row>
    <row r="141" spans="5:13" x14ac:dyDescent="0.45">
      <c r="E141" s="154" t="s">
        <v>623</v>
      </c>
      <c r="F141" s="154">
        <f t="shared" si="17"/>
        <v>173376.4141280055</v>
      </c>
      <c r="G141" s="154">
        <f t="shared" si="17"/>
        <v>-3001329.0570770204</v>
      </c>
      <c r="H141" s="154">
        <f t="shared" si="17"/>
        <v>0</v>
      </c>
      <c r="I141" s="154">
        <f t="shared" si="17"/>
        <v>-1256563</v>
      </c>
      <c r="J141" s="154">
        <f t="shared" si="17"/>
        <v>0</v>
      </c>
      <c r="K141" s="154">
        <f t="shared" si="17"/>
        <v>177267.29437090456</v>
      </c>
      <c r="L141" s="154">
        <f t="shared" si="17"/>
        <v>952612.02669200068</v>
      </c>
      <c r="M141" s="199">
        <f t="shared" si="14"/>
        <v>0.97778672638196795</v>
      </c>
    </row>
    <row r="142" spans="5:13" x14ac:dyDescent="0.45">
      <c r="E142" s="154" t="s">
        <v>700</v>
      </c>
      <c r="F142" s="154">
        <f t="shared" si="17"/>
        <v>278464</v>
      </c>
      <c r="G142" s="154">
        <f t="shared" si="17"/>
        <v>-924789.50999999978</v>
      </c>
      <c r="H142" s="154">
        <f t="shared" si="17"/>
        <v>400000</v>
      </c>
      <c r="I142" s="154">
        <f t="shared" si="17"/>
        <v>0</v>
      </c>
      <c r="J142" s="154">
        <f t="shared" si="17"/>
        <v>-78552.233083300292</v>
      </c>
      <c r="K142" s="154">
        <f t="shared" si="17"/>
        <v>-61447.768750000745</v>
      </c>
      <c r="L142" s="154">
        <f t="shared" si="17"/>
        <v>-79755.520000000019</v>
      </c>
      <c r="M142" s="199">
        <f t="shared" si="14"/>
        <v>0.22544242101121315</v>
      </c>
    </row>
    <row r="143" spans="5:13" x14ac:dyDescent="0.45">
      <c r="E143" s="154" t="s">
        <v>598</v>
      </c>
      <c r="F143" s="154">
        <f t="shared" si="17"/>
        <v>639272.06000000238</v>
      </c>
      <c r="G143" s="154">
        <f t="shared" si="17"/>
        <v>154916.14999999991</v>
      </c>
      <c r="H143" s="154">
        <f t="shared" si="17"/>
        <v>0</v>
      </c>
      <c r="I143" s="154">
        <f t="shared" si="17"/>
        <v>-250000</v>
      </c>
      <c r="J143" s="154">
        <f t="shared" si="17"/>
        <v>0</v>
      </c>
      <c r="K143" s="154">
        <f t="shared" si="17"/>
        <v>0</v>
      </c>
      <c r="L143" s="154">
        <f t="shared" si="17"/>
        <v>-91313.310000000056</v>
      </c>
      <c r="M143" s="199">
        <f t="shared" si="14"/>
        <v>-0.61008502938277775</v>
      </c>
    </row>
    <row r="144" spans="5:13" x14ac:dyDescent="0.45">
      <c r="E144" s="154" t="s">
        <v>704</v>
      </c>
      <c r="F144" s="154">
        <f t="shared" si="17"/>
        <v>269581.37585121393</v>
      </c>
      <c r="G144" s="154">
        <f t="shared" si="17"/>
        <v>1536996.7099999897</v>
      </c>
      <c r="H144" s="154">
        <f t="shared" si="17"/>
        <v>1298612.7799999993</v>
      </c>
      <c r="I144" s="154">
        <f t="shared" si="17"/>
        <v>-224125</v>
      </c>
      <c r="J144" s="154">
        <f t="shared" si="17"/>
        <v>0</v>
      </c>
      <c r="K144" s="154">
        <f t="shared" si="17"/>
        <v>6129999.9950000122</v>
      </c>
      <c r="L144" s="154">
        <f t="shared" si="17"/>
        <v>596479.19999999995</v>
      </c>
      <c r="M144" s="199">
        <f t="shared" si="14"/>
        <v>0.1398681137170632</v>
      </c>
    </row>
    <row r="145" spans="2:15" x14ac:dyDescent="0.45">
      <c r="E145" s="154" t="s">
        <v>703</v>
      </c>
      <c r="F145" s="154">
        <f t="shared" si="17"/>
        <v>-4254402.799999997</v>
      </c>
      <c r="G145" s="154">
        <f t="shared" si="17"/>
        <v>-204407.1999999918</v>
      </c>
      <c r="H145" s="154">
        <f t="shared" si="17"/>
        <v>0</v>
      </c>
      <c r="I145" s="154">
        <f t="shared" si="17"/>
        <v>-287796.875</v>
      </c>
      <c r="J145" s="154">
        <f t="shared" si="17"/>
        <v>0</v>
      </c>
      <c r="K145" s="154">
        <f t="shared" si="17"/>
        <v>0</v>
      </c>
      <c r="L145" s="154">
        <f t="shared" si="17"/>
        <v>1543837</v>
      </c>
      <c r="M145" s="199">
        <f t="shared" si="14"/>
        <v>-0.10279042547694212</v>
      </c>
    </row>
    <row r="146" spans="2:15" x14ac:dyDescent="0.45">
      <c r="E146" s="154" t="s">
        <v>708</v>
      </c>
      <c r="F146" s="154">
        <f t="shared" si="17"/>
        <v>210840543.79999995</v>
      </c>
      <c r="G146" s="154">
        <f t="shared" si="17"/>
        <v>15747192.612689629</v>
      </c>
      <c r="H146" s="154">
        <f t="shared" si="17"/>
        <v>0</v>
      </c>
      <c r="I146" s="154">
        <f t="shared" si="17"/>
        <v>21993672.45668751</v>
      </c>
      <c r="J146" s="154">
        <f t="shared" si="17"/>
        <v>3561716.7911249995</v>
      </c>
      <c r="K146" s="154">
        <f t="shared" si="17"/>
        <v>576616.90112500079</v>
      </c>
      <c r="L146" s="154">
        <f t="shared" si="17"/>
        <v>3083347</v>
      </c>
      <c r="M146" s="199">
        <f t="shared" si="14"/>
        <v>-0.31009079364971148</v>
      </c>
    </row>
    <row r="147" spans="2:15" x14ac:dyDescent="0.45">
      <c r="E147" s="154" t="s">
        <v>709</v>
      </c>
      <c r="F147" s="154">
        <f t="shared" si="17"/>
        <v>0</v>
      </c>
      <c r="G147" s="154">
        <f t="shared" si="17"/>
        <v>0</v>
      </c>
      <c r="H147" s="154">
        <f t="shared" si="17"/>
        <v>0</v>
      </c>
      <c r="I147" s="154">
        <f t="shared" si="17"/>
        <v>0</v>
      </c>
      <c r="J147" s="154">
        <f t="shared" si="17"/>
        <v>0</v>
      </c>
      <c r="K147" s="154">
        <f t="shared" si="17"/>
        <v>894817.12298686244</v>
      </c>
      <c r="L147" s="154">
        <f t="shared" si="17"/>
        <v>0</v>
      </c>
      <c r="M147" s="199">
        <f t="shared" si="14"/>
        <v>5.8873420816287769E-3</v>
      </c>
    </row>
    <row r="148" spans="2:15" x14ac:dyDescent="0.45">
      <c r="E148" s="154" t="s">
        <v>705</v>
      </c>
      <c r="F148" s="154">
        <f t="shared" si="17"/>
        <v>-7516512.5700000226</v>
      </c>
      <c r="G148" s="154">
        <f t="shared" si="17"/>
        <v>-1685708.0526935421</v>
      </c>
      <c r="H148" s="154">
        <f t="shared" si="17"/>
        <v>1500000</v>
      </c>
      <c r="I148" s="154">
        <f t="shared" si="17"/>
        <v>-750000</v>
      </c>
      <c r="J148" s="154">
        <f t="shared" si="17"/>
        <v>0</v>
      </c>
      <c r="K148" s="154">
        <f t="shared" si="17"/>
        <v>0</v>
      </c>
      <c r="L148" s="154">
        <f t="shared" si="17"/>
        <v>540343</v>
      </c>
      <c r="M148" s="199">
        <f t="shared" si="14"/>
        <v>0.17608747695383853</v>
      </c>
    </row>
    <row r="149" spans="2:15" x14ac:dyDescent="0.45">
      <c r="E149" s="154" t="s">
        <v>711</v>
      </c>
      <c r="F149" s="154">
        <f t="shared" si="17"/>
        <v>0</v>
      </c>
      <c r="G149" s="154">
        <f t="shared" si="17"/>
        <v>0</v>
      </c>
      <c r="H149" s="154">
        <f t="shared" si="17"/>
        <v>0</v>
      </c>
      <c r="I149" s="154">
        <f t="shared" si="17"/>
        <v>0</v>
      </c>
      <c r="J149" s="154">
        <f t="shared" si="17"/>
        <v>0</v>
      </c>
      <c r="K149" s="154">
        <f t="shared" si="17"/>
        <v>0</v>
      </c>
      <c r="L149" s="154">
        <f t="shared" si="17"/>
        <v>0</v>
      </c>
      <c r="M149" s="199">
        <f t="shared" si="14"/>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READY TO RUN</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t="s">
        <v>239</v>
      </c>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v>185000000</v>
      </c>
      <c r="C14" s="770"/>
      <c r="D14" t="s">
        <v>1209</v>
      </c>
      <c r="K14" t="s">
        <v>1210</v>
      </c>
      <c r="Z14" s="753" t="s">
        <v>322</v>
      </c>
    </row>
    <row r="15" spans="1:26" x14ac:dyDescent="0.45">
      <c r="A15" s="671" t="s">
        <v>1211</v>
      </c>
      <c r="B15" s="770">
        <v>3800000</v>
      </c>
      <c r="C15" s="770"/>
      <c r="D15" t="s">
        <v>1212</v>
      </c>
      <c r="K15" t="s">
        <v>1213</v>
      </c>
      <c r="Z15" s="753" t="s">
        <v>323</v>
      </c>
    </row>
    <row r="16" spans="1:26" x14ac:dyDescent="0.45">
      <c r="A16" s="671" t="s">
        <v>1214</v>
      </c>
      <c r="B16" s="770">
        <v>0</v>
      </c>
      <c r="C16" s="770"/>
      <c r="D16" t="s">
        <v>1215</v>
      </c>
      <c r="J16" t="s">
        <v>1216</v>
      </c>
      <c r="K16" t="s">
        <v>1217</v>
      </c>
      <c r="Z16" s="753" t="s">
        <v>324</v>
      </c>
    </row>
    <row r="17" spans="1:26" x14ac:dyDescent="0.45">
      <c r="A17" s="671" t="s">
        <v>1218</v>
      </c>
      <c r="B17" s="770">
        <v>0</v>
      </c>
      <c r="C17" s="770"/>
      <c r="D17" t="s">
        <v>1215</v>
      </c>
      <c r="K17" t="s">
        <v>1219</v>
      </c>
      <c r="Z17" s="753" t="s">
        <v>325</v>
      </c>
    </row>
    <row r="18" spans="1:26" x14ac:dyDescent="0.45">
      <c r="A18" s="671" t="s">
        <v>1220</v>
      </c>
      <c r="B18" s="770">
        <v>0</v>
      </c>
      <c r="C18" s="770"/>
      <c r="D18" t="s">
        <v>1221</v>
      </c>
      <c r="Z18" s="753" t="s">
        <v>326</v>
      </c>
    </row>
    <row r="19" spans="1:26" x14ac:dyDescent="0.45">
      <c r="A19" s="752" t="s">
        <v>1222</v>
      </c>
      <c r="B19" s="770">
        <v>42000000</v>
      </c>
      <c r="C19" s="770"/>
      <c r="D19" t="s">
        <v>1223</v>
      </c>
      <c r="J19" s="813" t="s">
        <v>1224</v>
      </c>
      <c r="Z19" s="753" t="s">
        <v>327</v>
      </c>
    </row>
    <row r="20" spans="1:26" x14ac:dyDescent="0.45">
      <c r="A20" s="671" t="s">
        <v>1225</v>
      </c>
      <c r="B20" s="770">
        <v>60000000</v>
      </c>
      <c r="C20" s="770"/>
      <c r="D20" t="s">
        <v>1226</v>
      </c>
      <c r="J20" t="s">
        <v>1190</v>
      </c>
      <c r="K20" t="s">
        <v>1227</v>
      </c>
      <c r="Z20" s="753" t="s">
        <v>328</v>
      </c>
    </row>
    <row r="21" spans="1:26" x14ac:dyDescent="0.45">
      <c r="A21" s="671" t="s">
        <v>1228</v>
      </c>
      <c r="B21" s="770">
        <v>8000000</v>
      </c>
      <c r="C21" s="770"/>
      <c r="D21" t="s">
        <v>1229</v>
      </c>
      <c r="K21" t="s">
        <v>1230</v>
      </c>
      <c r="Z21" s="753" t="s">
        <v>329</v>
      </c>
    </row>
    <row r="22" spans="1:26" x14ac:dyDescent="0.45">
      <c r="A22" s="671" t="s">
        <v>1231</v>
      </c>
      <c r="B22" s="771">
        <v>2.1</v>
      </c>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0.97</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v>46122</v>
      </c>
      <c r="C31" s="773"/>
      <c r="D31" t="s">
        <v>1246</v>
      </c>
      <c r="K31" t="s">
        <v>1247</v>
      </c>
      <c r="Z31" s="753" t="s">
        <v>339</v>
      </c>
    </row>
    <row r="32" spans="1:26" x14ac:dyDescent="0.45">
      <c r="A32" s="671" t="s">
        <v>1248</v>
      </c>
      <c r="B32" s="773">
        <v>47583</v>
      </c>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t="s">
        <v>370</v>
      </c>
      <c r="C34" s="769"/>
      <c r="D34" t="s">
        <v>1255</v>
      </c>
      <c r="K34" t="s">
        <v>1256</v>
      </c>
      <c r="Z34" s="753" t="s">
        <v>342</v>
      </c>
    </row>
    <row r="35" spans="1:26" x14ac:dyDescent="0.45">
      <c r="A35" s="671" t="s">
        <v>1257</v>
      </c>
      <c r="B35" s="769" t="s">
        <v>696</v>
      </c>
      <c r="C35" s="769"/>
      <c r="D35" t="s">
        <v>1258</v>
      </c>
      <c r="Z35" s="753" t="s">
        <v>343</v>
      </c>
    </row>
    <row r="36" spans="1:26" x14ac:dyDescent="0.45">
      <c r="A36" s="671" t="s">
        <v>1259</v>
      </c>
      <c r="B36" s="772">
        <v>0</v>
      </c>
      <c r="C36" s="772"/>
      <c r="D36" t="s">
        <v>1260</v>
      </c>
      <c r="Z36" s="753" t="s">
        <v>344</v>
      </c>
    </row>
    <row r="37" spans="1:26" x14ac:dyDescent="0.45">
      <c r="A37" s="671" t="s">
        <v>1261</v>
      </c>
      <c r="B37" s="772">
        <v>7.0000000000000007E-2</v>
      </c>
      <c r="C37" s="772"/>
      <c r="D37" t="s">
        <v>1262</v>
      </c>
      <c r="Z37" s="753" t="s">
        <v>345</v>
      </c>
    </row>
    <row r="38" spans="1:26" x14ac:dyDescent="0.45">
      <c r="A38" s="671" t="s">
        <v>1263</v>
      </c>
      <c r="B38" s="772">
        <v>0.01</v>
      </c>
      <c r="C38" s="772"/>
      <c r="D38" t="s">
        <v>1264</v>
      </c>
      <c r="Z38" s="753" t="s">
        <v>346</v>
      </c>
    </row>
    <row r="39" spans="1:26" x14ac:dyDescent="0.45">
      <c r="A39" s="671" t="s">
        <v>1265</v>
      </c>
      <c r="B39" s="771">
        <v>1.95</v>
      </c>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42000000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60000000</v>
      </c>
      <c r="C64" s="819"/>
      <c r="D64" s="818" t="s">
        <v>1283</v>
      </c>
      <c r="Z64" s="753" t="s">
        <v>372</v>
      </c>
    </row>
    <row r="65" spans="1:26" x14ac:dyDescent="0.45">
      <c r="A65" s="759" t="s">
        <v>1284</v>
      </c>
      <c r="B65" s="760">
        <f>IF(B20&gt;0,B19/B20,"")</f>
        <v>0.7</v>
      </c>
      <c r="C65" s="760"/>
      <c r="D65" t="s">
        <v>1285</v>
      </c>
      <c r="Z65" s="753" t="s">
        <v>373</v>
      </c>
    </row>
    <row r="66" spans="1:26" x14ac:dyDescent="0.45">
      <c r="A66" s="818" t="s">
        <v>1286</v>
      </c>
      <c r="B66" s="820">
        <f>IF(B15&gt;0,(B16+B17+B18+B20-B21)/B15,"")</f>
        <v>13.684210526315789</v>
      </c>
      <c r="C66" s="820"/>
      <c r="D66" s="818" t="s">
        <v>1287</v>
      </c>
      <c r="Z66" s="753" t="s">
        <v>374</v>
      </c>
    </row>
    <row r="67" spans="1:26" x14ac:dyDescent="0.45">
      <c r="A67" s="759" t="s">
        <v>688</v>
      </c>
      <c r="B67" s="761">
        <f>IF(B15&gt;0,(B16+B17+B18+B20-B21)/B15,"")</f>
        <v>13.684210526315789</v>
      </c>
      <c r="C67" s="761"/>
      <c r="D67" t="s">
        <v>1288</v>
      </c>
      <c r="Z67" s="753" t="s">
        <v>375</v>
      </c>
    </row>
    <row r="68" spans="1:26" x14ac:dyDescent="0.45">
      <c r="A68" s="818" t="s">
        <v>689</v>
      </c>
      <c r="B68" s="820">
        <f>IF(B15&gt;0,(B16+B17-B21)/B15,"")</f>
        <v>-2.1052631578947367</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2026-03-10T21:10:01Z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