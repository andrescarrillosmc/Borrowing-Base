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57" documentId="8_{728216CD-0535-40AE-BBA3-1EE4D34659AC}" xr6:coauthVersionLast="47" xr6:coauthVersionMax="47" xr10:uidLastSave="{E098DA9E-A79A-4874-B305-A13DB414AEC6}"/>
  <bookViews>
    <workbookView xWindow="-51720" yWindow="5265" windowWidth="51840" windowHeight="21120"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L50" i="2" l="1"/>
  <c r="HK50" i="2"/>
  <c r="HJ50" i="2"/>
  <c r="HI50" i="2"/>
  <c r="HH50" i="2"/>
  <c r="HF50" i="2"/>
  <c r="HA50" i="2"/>
  <c r="HB50" i="2" s="1"/>
  <c r="GV50" i="2"/>
  <c r="GW50" i="2" s="1"/>
  <c r="EF50" i="2"/>
  <c r="N50" i="2"/>
  <c r="F50" i="2"/>
  <c r="BJ46" i="8"/>
  <c r="BI46" i="8"/>
  <c r="BF46" i="8"/>
  <c r="BC46" i="8"/>
  <c r="BD46" i="8" s="1"/>
  <c r="AZ46" i="8"/>
  <c r="BA46" i="8" s="1"/>
  <c r="AY46" i="8"/>
  <c r="AW46" i="8"/>
  <c r="S46" i="8"/>
  <c r="M46" i="8"/>
  <c r="N46" i="8" s="1"/>
  <c r="AR46" i="8" s="1"/>
  <c r="N43" i="9"/>
  <c r="M43" i="9"/>
  <c r="I89" i="14"/>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D50" i="9" s="1"/>
  <c r="M44" i="8" s="1"/>
  <c r="N50" i="9"/>
  <c r="M50" i="9"/>
  <c r="BI44" i="8" s="1"/>
  <c r="V49" i="9"/>
  <c r="V48" i="9"/>
  <c r="V47" i="9"/>
  <c r="V46" i="9"/>
  <c r="V45" i="9"/>
  <c r="V44" i="9"/>
  <c r="V43" i="9"/>
  <c r="AA42" i="9"/>
  <c r="V42" i="9"/>
  <c r="N42" i="9"/>
  <c r="M42" i="9"/>
  <c r="M149" i="9" s="1"/>
  <c r="D42" i="9"/>
  <c r="AA41" i="9"/>
  <c r="V41" i="9"/>
  <c r="D41" i="9" s="1"/>
  <c r="N41" i="9"/>
  <c r="BJ38" i="8" s="1"/>
  <c r="M41" i="9"/>
  <c r="M148" i="9" s="1"/>
  <c r="AA40" i="9"/>
  <c r="V40" i="9"/>
  <c r="D40" i="9" s="1"/>
  <c r="N40" i="9"/>
  <c r="BJ43" i="8" s="1"/>
  <c r="M40" i="9"/>
  <c r="AA39" i="9"/>
  <c r="V39" i="9"/>
  <c r="D39" i="9" s="1"/>
  <c r="N39" i="9"/>
  <c r="BJ42" i="8" s="1"/>
  <c r="M39" i="9"/>
  <c r="AA38" i="9"/>
  <c r="V38" i="9"/>
  <c r="N38" i="9"/>
  <c r="M38" i="9"/>
  <c r="D38" i="9"/>
  <c r="AA37" i="9"/>
  <c r="V37" i="9"/>
  <c r="D37" i="9" s="1"/>
  <c r="N37" i="9"/>
  <c r="BJ36" i="8" s="1"/>
  <c r="M37" i="9"/>
  <c r="AA36" i="9"/>
  <c r="V36" i="9"/>
  <c r="D36" i="9" s="1"/>
  <c r="N36" i="9"/>
  <c r="M36" i="9"/>
  <c r="BC32" i="8" s="1"/>
  <c r="BD32" i="8" s="1"/>
  <c r="AA35" i="9"/>
  <c r="V35" i="9"/>
  <c r="D35" i="9" s="1"/>
  <c r="E35" i="9" s="1"/>
  <c r="S21" i="8" s="1"/>
  <c r="N35" i="9"/>
  <c r="M35" i="9"/>
  <c r="AA34" i="9"/>
  <c r="V34" i="9"/>
  <c r="N34" i="9"/>
  <c r="BJ13" i="8" s="1"/>
  <c r="M34" i="9"/>
  <c r="M141" i="9" s="1"/>
  <c r="D34" i="9"/>
  <c r="E34" i="9" s="1"/>
  <c r="S13" i="8" s="1"/>
  <c r="AA33" i="9"/>
  <c r="V33" i="9"/>
  <c r="D33" i="9" s="1"/>
  <c r="N33" i="9"/>
  <c r="BJ27" i="8" s="1"/>
  <c r="M33" i="9"/>
  <c r="BI27" i="8" s="1"/>
  <c r="AA32" i="9"/>
  <c r="V32" i="9"/>
  <c r="D32" i="9" s="1"/>
  <c r="N32" i="9"/>
  <c r="BJ25" i="8" s="1"/>
  <c r="M32" i="9"/>
  <c r="AA31" i="9"/>
  <c r="V31" i="9"/>
  <c r="D31" i="9" s="1"/>
  <c r="N31" i="9"/>
  <c r="M31" i="9"/>
  <c r="BC18" i="8" s="1"/>
  <c r="BD18" i="8" s="1"/>
  <c r="AA30" i="9"/>
  <c r="V30" i="9"/>
  <c r="D30" i="9" s="1"/>
  <c r="M23" i="8" s="1"/>
  <c r="N30" i="9"/>
  <c r="M30" i="9"/>
  <c r="AA29" i="9"/>
  <c r="V29" i="9"/>
  <c r="D29" i="9" s="1"/>
  <c r="N29" i="9"/>
  <c r="M29" i="9"/>
  <c r="AA28" i="9"/>
  <c r="V28" i="9"/>
  <c r="D28" i="9" s="1"/>
  <c r="M28" i="9"/>
  <c r="BC41" i="8" s="1"/>
  <c r="BD41" i="8" s="1"/>
  <c r="AA27" i="9"/>
  <c r="V27" i="9"/>
  <c r="D27" i="9" s="1"/>
  <c r="N27" i="9"/>
  <c r="BJ37" i="8" s="1"/>
  <c r="M27" i="9"/>
  <c r="AA26" i="9"/>
  <c r="V26" i="9"/>
  <c r="D26" i="9" s="1"/>
  <c r="N26" i="9"/>
  <c r="M26" i="9"/>
  <c r="M133" i="9" s="1"/>
  <c r="AA25" i="9"/>
  <c r="V25" i="9"/>
  <c r="N25" i="9"/>
  <c r="BJ31" i="8" s="1"/>
  <c r="M25" i="9"/>
  <c r="D25" i="9"/>
  <c r="M31" i="8" s="1"/>
  <c r="AA24" i="9"/>
  <c r="V24" i="9"/>
  <c r="N24" i="9"/>
  <c r="D24" i="9"/>
  <c r="AA23" i="9"/>
  <c r="V23" i="9"/>
  <c r="D23" i="9" s="1"/>
  <c r="N23" i="9"/>
  <c r="BJ7" i="8" s="1"/>
  <c r="M23" i="9"/>
  <c r="AA22" i="9"/>
  <c r="V22" i="9"/>
  <c r="D22" i="9" s="1"/>
  <c r="N22" i="9"/>
  <c r="BJ14" i="8" s="1"/>
  <c r="M22" i="9"/>
  <c r="BC14" i="8" s="1"/>
  <c r="BD14" i="8" s="1"/>
  <c r="AA21" i="9"/>
  <c r="V21" i="9"/>
  <c r="D21" i="9" s="1"/>
  <c r="N21" i="9"/>
  <c r="M21" i="9"/>
  <c r="AA20" i="9"/>
  <c r="V20" i="9"/>
  <c r="D20" i="9" s="1"/>
  <c r="M8" i="8" s="1"/>
  <c r="N20" i="9"/>
  <c r="M20" i="9"/>
  <c r="M127" i="9" s="1"/>
  <c r="AA19" i="9"/>
  <c r="V19" i="9"/>
  <c r="D19" i="9" s="1"/>
  <c r="N19" i="9"/>
  <c r="M19" i="9"/>
  <c r="M126" i="9" s="1"/>
  <c r="AA18" i="9"/>
  <c r="V18" i="9"/>
  <c r="D18" i="9" s="1"/>
  <c r="N18" i="9"/>
  <c r="M18" i="9"/>
  <c r="M125" i="9" s="1"/>
  <c r="AA17" i="9"/>
  <c r="V17" i="9"/>
  <c r="D17" i="9" s="1"/>
  <c r="M17" i="9"/>
  <c r="AA16" i="9"/>
  <c r="V16" i="9"/>
  <c r="D16" i="9" s="1"/>
  <c r="N16" i="9"/>
  <c r="BJ16" i="8" s="1"/>
  <c r="M16" i="9"/>
  <c r="M123" i="9" s="1"/>
  <c r="AA15" i="9"/>
  <c r="V15" i="9"/>
  <c r="N15" i="9"/>
  <c r="BJ35" i="8" s="1"/>
  <c r="M15" i="9"/>
  <c r="M122" i="9" s="1"/>
  <c r="D15" i="9"/>
  <c r="M35" i="8" s="1"/>
  <c r="AA14" i="9"/>
  <c r="V14" i="9"/>
  <c r="D14" i="9" s="1"/>
  <c r="N14" i="9"/>
  <c r="M14" i="9"/>
  <c r="AA13" i="9"/>
  <c r="V13" i="9"/>
  <c r="D13" i="9" s="1"/>
  <c r="N13" i="9"/>
  <c r="M13" i="9"/>
  <c r="BI9" i="8" s="1"/>
  <c r="AA12" i="9"/>
  <c r="V12" i="9"/>
  <c r="D12" i="9" s="1"/>
  <c r="E12" i="9" s="1"/>
  <c r="S28" i="8" s="1"/>
  <c r="N12" i="9"/>
  <c r="M12" i="9"/>
  <c r="AA11" i="9"/>
  <c r="V11" i="9"/>
  <c r="N11" i="9"/>
  <c r="BJ39" i="8" s="1"/>
  <c r="M11" i="9"/>
  <c r="BI39" i="8" s="1"/>
  <c r="D11" i="9"/>
  <c r="E11" i="9" s="1"/>
  <c r="S39" i="8" s="1"/>
  <c r="AA10" i="9"/>
  <c r="V10" i="9"/>
  <c r="D10" i="9" s="1"/>
  <c r="N10" i="9"/>
  <c r="BJ11" i="8" s="1"/>
  <c r="M10" i="9"/>
  <c r="M117" i="9" s="1"/>
  <c r="AA9" i="9"/>
  <c r="U9" i="9"/>
  <c r="N9" i="9"/>
  <c r="BJ12" i="8" s="1"/>
  <c r="M9" i="9"/>
  <c r="BC12" i="8" s="1"/>
  <c r="BD12" i="8" s="1"/>
  <c r="AA8" i="9"/>
  <c r="V8" i="9"/>
  <c r="D8" i="9" s="1"/>
  <c r="N8" i="9"/>
  <c r="BJ5" i="8" s="1"/>
  <c r="DI9" i="2" s="1"/>
  <c r="AA7" i="9"/>
  <c r="V7" i="9"/>
  <c r="D7" i="9" s="1"/>
  <c r="N7" i="9"/>
  <c r="BJ30" i="8" s="1"/>
  <c r="M7" i="9"/>
  <c r="AA6" i="9"/>
  <c r="V6" i="9"/>
  <c r="D6" i="9" s="1"/>
  <c r="N6" i="9"/>
  <c r="M6" i="9"/>
  <c r="BI15" i="8" s="1"/>
  <c r="AA5" i="9"/>
  <c r="V5" i="9"/>
  <c r="N5" i="9"/>
  <c r="M5" i="9"/>
  <c r="M112" i="9" s="1"/>
  <c r="D5" i="9"/>
  <c r="AA4" i="9"/>
  <c r="V4" i="9"/>
  <c r="D4" i="9" s="1"/>
  <c r="N4" i="9"/>
  <c r="BJ10" i="8" s="1"/>
  <c r="M4" i="9"/>
  <c r="BI10" i="8" s="1"/>
  <c r="AA3" i="9"/>
  <c r="V3" i="9"/>
  <c r="D3" i="9" s="1"/>
  <c r="M29" i="8" s="1"/>
  <c r="N3" i="9"/>
  <c r="M3" i="9"/>
  <c r="BC29" i="8" s="1"/>
  <c r="BD29" i="8" s="1"/>
  <c r="BJ45" i="8"/>
  <c r="BF45" i="8"/>
  <c r="BC45" i="8"/>
  <c r="BD45" i="8" s="1"/>
  <c r="AZ45" i="8"/>
  <c r="BA45" i="8" s="1"/>
  <c r="AY45" i="8"/>
  <c r="AW45" i="8"/>
  <c r="BJ44" i="8"/>
  <c r="BF44" i="8"/>
  <c r="AZ44" i="8"/>
  <c r="BA44" i="8" s="1"/>
  <c r="AY44" i="8"/>
  <c r="AW44" i="8"/>
  <c r="BI43" i="8"/>
  <c r="BF43" i="8"/>
  <c r="BC43" i="8"/>
  <c r="BD43" i="8" s="1"/>
  <c r="AZ43" i="8"/>
  <c r="BA43" i="8" s="1"/>
  <c r="AY43" i="8"/>
  <c r="AW43" i="8"/>
  <c r="BI42" i="8"/>
  <c r="BF42" i="8"/>
  <c r="BC42" i="8"/>
  <c r="BD42" i="8" s="1"/>
  <c r="AZ42" i="8"/>
  <c r="BA42" i="8" s="1"/>
  <c r="AY42" i="8"/>
  <c r="AW42" i="8"/>
  <c r="BJ41" i="8"/>
  <c r="BF41" i="8"/>
  <c r="AZ41" i="8"/>
  <c r="BA41" i="8" s="1"/>
  <c r="AY41" i="8"/>
  <c r="AW41" i="8"/>
  <c r="BJ40" i="8"/>
  <c r="BI40" i="8"/>
  <c r="BF40" i="8"/>
  <c r="BC40" i="8"/>
  <c r="BD40" i="8" s="1"/>
  <c r="AZ40" i="8"/>
  <c r="BA40" i="8" s="1"/>
  <c r="AY40" i="8"/>
  <c r="AW40" i="8"/>
  <c r="BF39" i="8"/>
  <c r="AZ39" i="8"/>
  <c r="BA39" i="8" s="1"/>
  <c r="AY39" i="8"/>
  <c r="AW39" i="8"/>
  <c r="BI38" i="8"/>
  <c r="BF38" i="8"/>
  <c r="AZ38" i="8"/>
  <c r="BA38" i="8" s="1"/>
  <c r="AY38" i="8"/>
  <c r="AW38" i="8"/>
  <c r="BI37" i="8"/>
  <c r="BF37" i="8"/>
  <c r="BC37" i="8"/>
  <c r="BD37" i="8" s="1"/>
  <c r="AZ37" i="8"/>
  <c r="BA37" i="8" s="1"/>
  <c r="AY37" i="8"/>
  <c r="AW37" i="8"/>
  <c r="BF36" i="8"/>
  <c r="BC36" i="8"/>
  <c r="BD36" i="8" s="1"/>
  <c r="AZ36" i="8"/>
  <c r="BA36" i="8" s="1"/>
  <c r="AY36" i="8"/>
  <c r="AW36" i="8"/>
  <c r="BF35" i="8"/>
  <c r="AZ35" i="8"/>
  <c r="BA35" i="8" s="1"/>
  <c r="AY35" i="8"/>
  <c r="AW35" i="8"/>
  <c r="BJ34" i="8"/>
  <c r="BI34" i="8"/>
  <c r="BF34" i="8"/>
  <c r="AZ34" i="8"/>
  <c r="BA34" i="8" s="1"/>
  <c r="AY34" i="8"/>
  <c r="AW34" i="8"/>
  <c r="BJ33" i="8"/>
  <c r="BI33" i="8"/>
  <c r="BF33" i="8"/>
  <c r="BC33" i="8"/>
  <c r="BD33" i="8" s="1"/>
  <c r="AZ33" i="8"/>
  <c r="BA33" i="8" s="1"/>
  <c r="AY33" i="8"/>
  <c r="AW33" i="8"/>
  <c r="BJ32" i="8"/>
  <c r="BI32" i="8"/>
  <c r="BF32" i="8"/>
  <c r="AZ32" i="8"/>
  <c r="BA32" i="8" s="1"/>
  <c r="AY32" i="8"/>
  <c r="AW32" i="8"/>
  <c r="BF31" i="8"/>
  <c r="AZ31" i="8"/>
  <c r="BA31" i="8" s="1"/>
  <c r="AY31" i="8"/>
  <c r="AW31" i="8"/>
  <c r="BI30" i="8"/>
  <c r="BF30" i="8"/>
  <c r="BC30" i="8"/>
  <c r="BD30" i="8" s="1"/>
  <c r="AZ30" i="8"/>
  <c r="BA30" i="8" s="1"/>
  <c r="AY30" i="8"/>
  <c r="AW30" i="8"/>
  <c r="BJ29" i="8"/>
  <c r="BI29" i="8"/>
  <c r="BF29" i="8"/>
  <c r="AZ29" i="8"/>
  <c r="BA29" i="8" s="1"/>
  <c r="AY29" i="8"/>
  <c r="AW29" i="8"/>
  <c r="BJ28" i="8"/>
  <c r="BI28" i="8"/>
  <c r="BF28" i="8"/>
  <c r="P5" i="7" s="1"/>
  <c r="BC28" i="8"/>
  <c r="BD28" i="8" s="1"/>
  <c r="AZ28" i="8"/>
  <c r="BA28" i="8" s="1"/>
  <c r="I5" i="7" s="1"/>
  <c r="K5" i="7" s="1"/>
  <c r="AY28" i="8"/>
  <c r="AW28" i="8"/>
  <c r="BF27" i="8"/>
  <c r="BC27" i="8"/>
  <c r="BD27" i="8" s="1"/>
  <c r="AZ27" i="8"/>
  <c r="BA27" i="8" s="1"/>
  <c r="AY27" i="8"/>
  <c r="AW27" i="8"/>
  <c r="BJ26" i="8"/>
  <c r="BF26" i="8"/>
  <c r="AZ26" i="8"/>
  <c r="BA26" i="8" s="1"/>
  <c r="AY26" i="8"/>
  <c r="AW26" i="8"/>
  <c r="M26" i="8"/>
  <c r="BI25" i="8"/>
  <c r="BF25" i="8"/>
  <c r="BC25" i="8"/>
  <c r="BD25" i="8" s="1"/>
  <c r="AZ25" i="8"/>
  <c r="BA25" i="8" s="1"/>
  <c r="AY25" i="8"/>
  <c r="AW25" i="8"/>
  <c r="BJ24" i="8"/>
  <c r="BI24" i="8"/>
  <c r="BF24" i="8"/>
  <c r="BC24" i="8"/>
  <c r="BD24" i="8" s="1"/>
  <c r="AZ24" i="8"/>
  <c r="BA24" i="8" s="1"/>
  <c r="AY24" i="8"/>
  <c r="AW24" i="8"/>
  <c r="BJ23" i="8"/>
  <c r="BF23" i="8"/>
  <c r="AZ23" i="8"/>
  <c r="BA23" i="8" s="1"/>
  <c r="AY23" i="8"/>
  <c r="AW23" i="8"/>
  <c r="BJ22" i="8"/>
  <c r="BF22" i="8"/>
  <c r="AZ22" i="8"/>
  <c r="BA22" i="8" s="1"/>
  <c r="AY22" i="8"/>
  <c r="AW22" i="8"/>
  <c r="BJ21" i="8"/>
  <c r="BI21" i="8"/>
  <c r="BF21" i="8"/>
  <c r="BC21" i="8"/>
  <c r="BD21" i="8" s="1"/>
  <c r="AZ21" i="8"/>
  <c r="BA21" i="8" s="1"/>
  <c r="AY21" i="8"/>
  <c r="AW21" i="8"/>
  <c r="BJ20" i="8"/>
  <c r="BF20" i="8"/>
  <c r="AZ20" i="8"/>
  <c r="BA20" i="8" s="1"/>
  <c r="AY20" i="8"/>
  <c r="AW20" i="8"/>
  <c r="BJ19" i="8"/>
  <c r="BF19" i="8"/>
  <c r="AZ19" i="8"/>
  <c r="BA19" i="8" s="1"/>
  <c r="AY19" i="8"/>
  <c r="AW19" i="8"/>
  <c r="M19" i="8"/>
  <c r="BJ18" i="8"/>
  <c r="BI18" i="8"/>
  <c r="BF18" i="8"/>
  <c r="AZ18" i="8"/>
  <c r="BA18" i="8" s="1"/>
  <c r="AY18" i="8"/>
  <c r="AW18" i="8"/>
  <c r="BJ17" i="8"/>
  <c r="BI17" i="8"/>
  <c r="BF17" i="8"/>
  <c r="BC17" i="8"/>
  <c r="BD17" i="8" s="1"/>
  <c r="AZ17" i="8"/>
  <c r="BA17" i="8" s="1"/>
  <c r="AY17" i="8"/>
  <c r="AW17" i="8"/>
  <c r="BI16" i="8"/>
  <c r="BF16" i="8"/>
  <c r="BC16" i="8"/>
  <c r="BD16" i="8" s="1"/>
  <c r="AZ16" i="8"/>
  <c r="BA16" i="8" s="1"/>
  <c r="AY16" i="8"/>
  <c r="AW16" i="8"/>
  <c r="BJ15" i="8"/>
  <c r="BF15" i="8"/>
  <c r="BC15" i="8"/>
  <c r="BD15" i="8" s="1"/>
  <c r="AZ15" i="8"/>
  <c r="BA15" i="8" s="1"/>
  <c r="AY15" i="8"/>
  <c r="AW15" i="8"/>
  <c r="BI14" i="8"/>
  <c r="BF14" i="8"/>
  <c r="AZ14" i="8"/>
  <c r="BA14" i="8" s="1"/>
  <c r="AY14" i="8"/>
  <c r="AW14" i="8"/>
  <c r="BF13" i="8"/>
  <c r="BC13" i="8"/>
  <c r="BD13" i="8" s="1"/>
  <c r="AZ13" i="8"/>
  <c r="BA13" i="8" s="1"/>
  <c r="AY13" i="8"/>
  <c r="AW13" i="8"/>
  <c r="BI12" i="8"/>
  <c r="BF12" i="8"/>
  <c r="AZ12" i="8"/>
  <c r="BA12" i="8" s="1"/>
  <c r="AY12" i="8"/>
  <c r="AW12" i="8"/>
  <c r="BI11" i="8"/>
  <c r="BF11" i="8"/>
  <c r="BC11" i="8"/>
  <c r="BD11" i="8" s="1"/>
  <c r="AZ11" i="8"/>
  <c r="BA11" i="8" s="1"/>
  <c r="AY11" i="8"/>
  <c r="AW11" i="8"/>
  <c r="BF10" i="8"/>
  <c r="AZ10" i="8"/>
  <c r="BA10" i="8" s="1"/>
  <c r="AY10" i="8"/>
  <c r="AW10" i="8"/>
  <c r="BJ9" i="8"/>
  <c r="BF9" i="8"/>
  <c r="AZ9" i="8"/>
  <c r="BA9" i="8" s="1"/>
  <c r="AY9" i="8"/>
  <c r="AW9" i="8"/>
  <c r="BJ8" i="8"/>
  <c r="BF8" i="8"/>
  <c r="AZ8" i="8"/>
  <c r="BA8" i="8" s="1"/>
  <c r="AY8" i="8"/>
  <c r="AW8" i="8"/>
  <c r="BI7" i="8"/>
  <c r="BF7" i="8"/>
  <c r="BC7" i="8"/>
  <c r="BD7" i="8" s="1"/>
  <c r="AZ7" i="8"/>
  <c r="BA7" i="8" s="1"/>
  <c r="AY7" i="8"/>
  <c r="AW7" i="8"/>
  <c r="BJ6"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F46" i="8" s="1"/>
  <c r="E6" i="8"/>
  <c r="E7" i="8" s="1"/>
  <c r="BI5" i="8"/>
  <c r="BF5" i="8"/>
  <c r="BC5" i="8"/>
  <c r="BD5" i="8" s="1"/>
  <c r="DM9" i="2" s="1"/>
  <c r="AZ5" i="8"/>
  <c r="BA5" i="8" s="1"/>
  <c r="CU9" i="2" s="1"/>
  <c r="AY5" i="8"/>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5" i="8"/>
  <c r="A2" i="8"/>
  <c r="B46" i="8" s="1"/>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P6" i="7"/>
  <c r="L6"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K20" i="4"/>
  <c r="F20" i="4"/>
  <c r="AB19" i="4"/>
  <c r="U19" i="4"/>
  <c r="P19" i="4"/>
  <c r="F19" i="4" s="1"/>
  <c r="AB18" i="4"/>
  <c r="U18" i="4"/>
  <c r="P18" i="4"/>
  <c r="F18" i="4"/>
  <c r="AB17" i="4"/>
  <c r="U17" i="4"/>
  <c r="P17" i="4"/>
  <c r="F17" i="4" s="1"/>
  <c r="AB16" i="4"/>
  <c r="U16" i="4"/>
  <c r="P16" i="4"/>
  <c r="F16" i="4" s="1"/>
  <c r="AB15" i="4"/>
  <c r="U15" i="4"/>
  <c r="P15" i="4"/>
  <c r="F15" i="4" s="1"/>
  <c r="AB14" i="4"/>
  <c r="U14" i="4"/>
  <c r="P14" i="4"/>
  <c r="F14" i="4" s="1"/>
  <c r="AB13" i="4"/>
  <c r="U13" i="4"/>
  <c r="P13" i="4"/>
  <c r="F13" i="4" s="1"/>
  <c r="AB12" i="4"/>
  <c r="U12" i="4"/>
  <c r="P12" i="4"/>
  <c r="F12" i="4"/>
  <c r="AB11" i="4"/>
  <c r="U11" i="4"/>
  <c r="P11" i="4"/>
  <c r="F11" i="4" s="1"/>
  <c r="AB10" i="4"/>
  <c r="U10" i="4"/>
  <c r="P10" i="4"/>
  <c r="F10" i="4" s="1"/>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E9" i="2"/>
  <c r="H9" i="2" s="1"/>
  <c r="DD9" i="2"/>
  <c r="CL9" i="2"/>
  <c r="CK9" i="2"/>
  <c r="CS9" i="2" s="1"/>
  <c r="CT9" i="2" s="1"/>
  <c r="CV9" i="2" s="1"/>
  <c r="CJ9" i="2"/>
  <c r="CF9" i="2"/>
  <c r="CE9" i="2"/>
  <c r="CC9" i="2"/>
  <c r="CB9" i="2"/>
  <c r="BY9" i="2"/>
  <c r="GH9" i="2" s="1"/>
  <c r="BU9" i="2"/>
  <c r="BT9" i="2"/>
  <c r="BS9" i="2"/>
  <c r="L9" i="2" s="1"/>
  <c r="BR9" i="2"/>
  <c r="BM9" i="2"/>
  <c r="BL9" i="2"/>
  <c r="BK9" i="2"/>
  <c r="AC9" i="2"/>
  <c r="N9" i="2"/>
  <c r="K9" i="2"/>
  <c r="J9" i="2"/>
  <c r="I9" i="2"/>
  <c r="F9" i="2"/>
  <c r="D9" i="2"/>
  <c r="C9" i="2"/>
  <c r="B9" i="2"/>
  <c r="L54" i="1"/>
  <c r="Q40" i="1"/>
  <c r="P39" i="1" s="1"/>
  <c r="P38" i="1"/>
  <c r="P37" i="1"/>
  <c r="P36" i="1"/>
  <c r="R36" i="1" s="1"/>
  <c r="P35" i="1"/>
  <c r="R35" i="1" s="1"/>
  <c r="P34" i="1"/>
  <c r="P33" i="1"/>
  <c r="R33" i="1" s="1"/>
  <c r="P32" i="1"/>
  <c r="L22" i="1"/>
  <c r="BC9" i="8" l="1"/>
  <c r="BD9" i="8" s="1"/>
  <c r="BI22" i="8"/>
  <c r="BI41" i="8"/>
  <c r="M128" i="9"/>
  <c r="M136" i="9"/>
  <c r="M145" i="9"/>
  <c r="E42" i="9"/>
  <c r="S45" i="8" s="1"/>
  <c r="A6" i="8"/>
  <c r="BC39" i="8"/>
  <c r="BD39" i="8" s="1"/>
  <c r="M111" i="9"/>
  <c r="M132" i="9"/>
  <c r="M140" i="9"/>
  <c r="BI20" i="8"/>
  <c r="M113" i="9"/>
  <c r="R34" i="1"/>
  <c r="BI13" i="8"/>
  <c r="BC19" i="8"/>
  <c r="BD19" i="8" s="1"/>
  <c r="BC38" i="8"/>
  <c r="BD38" i="8" s="1"/>
  <c r="BC44" i="8"/>
  <c r="BD44" i="8" s="1"/>
  <c r="BI45" i="8"/>
  <c r="M121" i="9"/>
  <c r="M144" i="9"/>
  <c r="M129" i="9"/>
  <c r="E24" i="9"/>
  <c r="S17" i="8" s="1"/>
  <c r="M137" i="9"/>
  <c r="R37" i="1"/>
  <c r="BC22" i="8"/>
  <c r="BD22" i="8" s="1"/>
  <c r="I6" i="7"/>
  <c r="K6" i="7" s="1"/>
  <c r="M9" i="2"/>
  <c r="AQ46" i="8"/>
  <c r="DL9" i="2"/>
  <c r="AF9" i="2" s="1" a="1"/>
  <c r="AF9" i="2" s="1"/>
  <c r="E13" i="9"/>
  <c r="S9" i="8" s="1"/>
  <c r="M9" i="8"/>
  <c r="E17" i="9"/>
  <c r="S40" i="8" s="1"/>
  <c r="M40" i="8"/>
  <c r="AQ40" i="8" s="1"/>
  <c r="E19" i="9"/>
  <c r="S20" i="8" s="1"/>
  <c r="M20" i="8"/>
  <c r="AQ20" i="8" s="1"/>
  <c r="E21" i="9"/>
  <c r="S33" i="8" s="1"/>
  <c r="M33" i="8"/>
  <c r="AQ33" i="8" s="1"/>
  <c r="E23" i="9"/>
  <c r="S7" i="8" s="1"/>
  <c r="M7" i="8"/>
  <c r="E29" i="9"/>
  <c r="S6" i="8" s="1"/>
  <c r="M6" i="8"/>
  <c r="AQ6" i="8" s="1"/>
  <c r="E40" i="9"/>
  <c r="S43" i="8" s="1"/>
  <c r="M43" i="8"/>
  <c r="N43" i="8" s="1"/>
  <c r="AR43" i="8" s="1"/>
  <c r="E6" i="9"/>
  <c r="S15" i="8" s="1"/>
  <c r="M15" i="8"/>
  <c r="N15" i="8" s="1"/>
  <c r="AR15" i="8" s="1"/>
  <c r="E18" i="9"/>
  <c r="S24" i="8" s="1"/>
  <c r="M24" i="8"/>
  <c r="E37" i="9"/>
  <c r="S36" i="8" s="1"/>
  <c r="M36" i="8"/>
  <c r="E8" i="9"/>
  <c r="S5" i="8" s="1"/>
  <c r="AE9" i="2" s="1"/>
  <c r="M5" i="8"/>
  <c r="AQ5" i="8" s="1"/>
  <c r="E31" i="9"/>
  <c r="S18" i="8" s="1"/>
  <c r="M18" i="8"/>
  <c r="N18" i="8" s="1"/>
  <c r="AR18" i="8" s="1"/>
  <c r="F24" i="4"/>
  <c r="E16" i="9"/>
  <c r="S16" i="8" s="1"/>
  <c r="M16" i="8"/>
  <c r="AQ16" i="8" s="1"/>
  <c r="E22" i="9"/>
  <c r="S14" i="8" s="1"/>
  <c r="M14" i="8"/>
  <c r="E28" i="9"/>
  <c r="S41" i="8" s="1"/>
  <c r="M41" i="8"/>
  <c r="N41" i="8" s="1"/>
  <c r="AR41" i="8" s="1"/>
  <c r="E39" i="9"/>
  <c r="S42" i="8" s="1"/>
  <c r="M42" i="8"/>
  <c r="AQ42" i="8" s="1"/>
  <c r="E41" i="9"/>
  <c r="S38" i="8" s="1"/>
  <c r="M38" i="8"/>
  <c r="N38" i="8" s="1"/>
  <c r="AR38" i="8" s="1"/>
  <c r="E7" i="9"/>
  <c r="S30" i="8" s="1"/>
  <c r="M30" i="8"/>
  <c r="AQ30" i="8" s="1"/>
  <c r="E36" i="9"/>
  <c r="S32" i="8" s="1"/>
  <c r="M32" i="8"/>
  <c r="AQ32" i="8" s="1"/>
  <c r="E4" i="9"/>
  <c r="S10" i="8" s="1"/>
  <c r="M10" i="8"/>
  <c r="AQ10" i="8" s="1"/>
  <c r="E10" i="9"/>
  <c r="S11" i="8" s="1"/>
  <c r="M11" i="8"/>
  <c r="AQ11" i="8" s="1"/>
  <c r="E27" i="9"/>
  <c r="S37" i="8" s="1"/>
  <c r="M37" i="8"/>
  <c r="E33" i="9"/>
  <c r="S27" i="8" s="1"/>
  <c r="M27" i="8"/>
  <c r="N27" i="8" s="1"/>
  <c r="AR27" i="8" s="1"/>
  <c r="E14" i="9"/>
  <c r="S34" i="8" s="1"/>
  <c r="M34" i="8"/>
  <c r="N34" i="8" s="1"/>
  <c r="AR34" i="8" s="1"/>
  <c r="E26" i="9"/>
  <c r="S22" i="8" s="1"/>
  <c r="M22" i="8"/>
  <c r="N22" i="8" s="1"/>
  <c r="AR22" i="8" s="1"/>
  <c r="E32" i="9"/>
  <c r="S25" i="8" s="1"/>
  <c r="M25" i="8"/>
  <c r="HK61" i="2"/>
  <c r="BC31" i="8"/>
  <c r="BD31" i="8" s="1"/>
  <c r="R38" i="1"/>
  <c r="HL61" i="2"/>
  <c r="BC23" i="8"/>
  <c r="BD23" i="8" s="1"/>
  <c r="M28" i="8"/>
  <c r="M45" i="8"/>
  <c r="AQ45" i="8" s="1"/>
  <c r="M118" i="9"/>
  <c r="R39" i="1"/>
  <c r="P24" i="4"/>
  <c r="BC6" i="8"/>
  <c r="BD6" i="8" s="1"/>
  <c r="DM10" i="2" s="1"/>
  <c r="M13" i="8"/>
  <c r="M21" i="8"/>
  <c r="BI31" i="8"/>
  <c r="M138" i="9"/>
  <c r="M146" i="9"/>
  <c r="BI23" i="8"/>
  <c r="BC34" i="8"/>
  <c r="BD34" i="8" s="1"/>
  <c r="M39" i="8"/>
  <c r="AQ39" i="8" s="1"/>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BC20" i="8"/>
  <c r="BD20" i="8" s="1"/>
  <c r="BI26" i="8"/>
  <c r="BI35" i="8"/>
  <c r="M119" i="9"/>
  <c r="M142" i="9"/>
  <c r="CY9" i="2"/>
  <c r="FA9" i="2" s="1"/>
  <c r="HJ61" i="2"/>
  <c r="BI19" i="8"/>
  <c r="BI36" i="8"/>
  <c r="M114" i="9"/>
  <c r="M124" i="9"/>
  <c r="M134" i="9"/>
  <c r="M139" i="9"/>
  <c r="M147" i="9"/>
  <c r="P40" i="1"/>
  <c r="R32" i="1"/>
  <c r="L59" i="1"/>
  <c r="AG9" i="2"/>
  <c r="HM9" i="2"/>
  <c r="EV9" i="2"/>
  <c r="EW9" i="2" s="1"/>
  <c r="ER9" i="2"/>
  <c r="EM9" i="2"/>
  <c r="EN9" i="2" s="1"/>
  <c r="EJ9" i="2" a="1"/>
  <c r="EJ9" i="2" s="1"/>
  <c r="BI9" i="2"/>
  <c r="G9" i="2"/>
  <c r="E9" i="2"/>
  <c r="GL9" i="2"/>
  <c r="GM9" i="2" s="1"/>
  <c r="GQ9" i="2"/>
  <c r="GR9" i="2" s="1"/>
  <c r="HB61" i="2"/>
  <c r="L70" i="3" s="1"/>
  <c r="A11" i="2"/>
  <c r="DQ10" i="2"/>
  <c r="DO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E8" i="8"/>
  <c r="A7" i="8"/>
  <c r="AQ7" i="8"/>
  <c r="N7" i="8"/>
  <c r="AR7" i="8" s="1"/>
  <c r="AQ8" i="8"/>
  <c r="N8" i="8"/>
  <c r="AR8" i="8" s="1"/>
  <c r="AQ9" i="8"/>
  <c r="N9" i="8"/>
  <c r="AR9" i="8" s="1"/>
  <c r="N11" i="8"/>
  <c r="AR11" i="8" s="1"/>
  <c r="AQ13" i="8"/>
  <c r="N13" i="8"/>
  <c r="AR13" i="8" s="1"/>
  <c r="AQ14" i="8"/>
  <c r="N14" i="8"/>
  <c r="AR14" i="8" s="1"/>
  <c r="AQ15" i="8"/>
  <c r="N16" i="8"/>
  <c r="AR16" i="8" s="1"/>
  <c r="AQ17" i="8"/>
  <c r="N17" i="8"/>
  <c r="AR17" i="8" s="1"/>
  <c r="AQ19" i="8"/>
  <c r="N19" i="8"/>
  <c r="AR19" i="8" s="1"/>
  <c r="AQ21" i="8"/>
  <c r="N21" i="8"/>
  <c r="AR21" i="8" s="1"/>
  <c r="AQ22" i="8"/>
  <c r="AQ23" i="8"/>
  <c r="N23" i="8"/>
  <c r="AR23" i="8" s="1"/>
  <c r="AQ24" i="8"/>
  <c r="N24" i="8"/>
  <c r="AR24" i="8" s="1"/>
  <c r="AQ25" i="8"/>
  <c r="N25" i="8"/>
  <c r="AR25" i="8" s="1"/>
  <c r="AQ26" i="8"/>
  <c r="N26" i="8"/>
  <c r="AR26" i="8" s="1"/>
  <c r="AQ28" i="8"/>
  <c r="N28" i="8"/>
  <c r="AR28" i="8" s="1"/>
  <c r="AQ29" i="8"/>
  <c r="N29" i="8"/>
  <c r="AR29" i="8" s="1"/>
  <c r="AQ31" i="8"/>
  <c r="N31" i="8"/>
  <c r="AR31" i="8" s="1"/>
  <c r="AQ34" i="8"/>
  <c r="AQ35" i="8"/>
  <c r="N35" i="8"/>
  <c r="AR35" i="8" s="1"/>
  <c r="AQ36" i="8"/>
  <c r="N36" i="8"/>
  <c r="AR36" i="8" s="1"/>
  <c r="AQ37" i="8"/>
  <c r="N37" i="8"/>
  <c r="AR37" i="8" s="1"/>
  <c r="AQ38" i="8"/>
  <c r="N40" i="8"/>
  <c r="AR40" i="8" s="1"/>
  <c r="AQ44" i="8"/>
  <c r="N44" i="8"/>
  <c r="AR44" i="8" s="1"/>
  <c r="C67" i="9"/>
  <c r="E3" i="9"/>
  <c r="M110" i="9"/>
  <c r="U64" i="9"/>
  <c r="V9" i="9"/>
  <c r="K116" i="9"/>
  <c r="M73" i="9"/>
  <c r="M116" i="9" s="1"/>
  <c r="I30" i="10"/>
  <c r="I32" i="10" s="1"/>
  <c r="I17" i="10"/>
  <c r="R40" i="1" l="1"/>
  <c r="AQ18" i="8"/>
  <c r="N32" i="8"/>
  <c r="AR32" i="8" s="1"/>
  <c r="AQ41" i="8"/>
  <c r="AQ27" i="8"/>
  <c r="DL10" i="2"/>
  <c r="AF10" i="2" s="1" a="1"/>
  <c r="AF10" i="2" s="1"/>
  <c r="N33" i="8"/>
  <c r="AR33" i="8" s="1"/>
  <c r="N6" i="8"/>
  <c r="AR6" i="8" s="1"/>
  <c r="N45" i="8"/>
  <c r="AR45" i="8" s="1"/>
  <c r="N39" i="8"/>
  <c r="AR39" i="8" s="1"/>
  <c r="N20" i="8"/>
  <c r="AR20" i="8" s="1"/>
  <c r="AQ43" i="8"/>
  <c r="EI9" i="2" a="1"/>
  <c r="EI9" i="2" s="1"/>
  <c r="T9" i="2" s="1" a="1"/>
  <c r="T9" i="2" s="1"/>
  <c r="U9" i="2" s="1"/>
  <c r="N5" i="8"/>
  <c r="AR5" i="8" s="1"/>
  <c r="N30" i="8"/>
  <c r="AR30" i="8" s="1"/>
  <c r="P9" i="2"/>
  <c r="AU9" i="2" s="1"/>
  <c r="N10" i="8"/>
  <c r="AR10" i="8" s="1"/>
  <c r="N42" i="8"/>
  <c r="AR42" i="8" s="1"/>
  <c r="CY10" i="2"/>
  <c r="FA10" i="2" s="1"/>
  <c r="D9" i="9"/>
  <c r="V64" i="9"/>
  <c r="S29" i="8"/>
  <c r="E9" i="8"/>
  <c r="A8" i="8"/>
  <c r="U27" i="4"/>
  <c r="AG10" i="2"/>
  <c r="HM10" i="2"/>
  <c r="EV10" i="2"/>
  <c r="EW10" i="2" s="1"/>
  <c r="ER10" i="2"/>
  <c r="EM10" i="2"/>
  <c r="EN10" i="2" s="1"/>
  <c r="EJ10" i="2" a="1"/>
  <c r="EJ10" i="2" s="1"/>
  <c r="BI10" i="2"/>
  <c r="G10" i="2"/>
  <c r="E10" i="2"/>
  <c r="M10" i="2"/>
  <c r="GL10" i="2"/>
  <c r="GM10" i="2" s="1"/>
  <c r="GQ10" i="2"/>
  <c r="GR10" i="2" s="1"/>
  <c r="A12" i="2"/>
  <c r="DQ11" i="2"/>
  <c r="DO11" i="2"/>
  <c r="DM11" i="2"/>
  <c r="DL11" i="2"/>
  <c r="DI11" i="2"/>
  <c r="DE11" i="2"/>
  <c r="H11" i="2" s="1"/>
  <c r="DD11" i="2"/>
  <c r="CU11" i="2"/>
  <c r="CL11" i="2"/>
  <c r="CK11" i="2"/>
  <c r="CS11" i="2" s="1"/>
  <c r="CT11" i="2" s="1"/>
  <c r="CV11" i="2" s="1"/>
  <c r="CJ11" i="2"/>
  <c r="CF11" i="2"/>
  <c r="CE11" i="2"/>
  <c r="CC11" i="2"/>
  <c r="CB11" i="2"/>
  <c r="BY11" i="2"/>
  <c r="GH11" i="2" s="1"/>
  <c r="BU11" i="2"/>
  <c r="BT11" i="2"/>
  <c r="BS11" i="2"/>
  <c r="L11" i="2" s="1"/>
  <c r="BR11" i="2"/>
  <c r="BM11" i="2"/>
  <c r="BL11" i="2"/>
  <c r="BK11" i="2"/>
  <c r="AE11" i="2"/>
  <c r="AC11" i="2"/>
  <c r="K11" i="2"/>
  <c r="J11" i="2"/>
  <c r="I11" i="2"/>
  <c r="D11" i="2"/>
  <c r="C11" i="2"/>
  <c r="B11" i="2"/>
  <c r="D89" i="14"/>
  <c r="AJ9" i="2"/>
  <c r="AI9" i="2" s="1" a="1"/>
  <c r="AI9" i="2" s="1"/>
  <c r="CY11" i="2" l="1"/>
  <c r="FA11" i="2" s="1"/>
  <c r="FB11" i="2" s="1"/>
  <c r="BD9" i="2"/>
  <c r="R9" i="2"/>
  <c r="AL9" i="2"/>
  <c r="AW9" i="2" s="1"/>
  <c r="AV9" i="2"/>
  <c r="BA9" i="2"/>
  <c r="AO9" i="2"/>
  <c r="EI10" i="2" a="1"/>
  <c r="EI10" i="2" s="1"/>
  <c r="T10" i="2" s="1" a="1"/>
  <c r="T10" i="2" s="1"/>
  <c r="U10" i="2" s="1"/>
  <c r="AH9" i="2" a="1"/>
  <c r="AH9" i="2" s="1"/>
  <c r="DS9" i="2"/>
  <c r="DT9" i="2" s="1"/>
  <c r="DP9" i="2" a="1"/>
  <c r="DP9" i="2" s="1"/>
  <c r="DU9" i="2" s="1"/>
  <c r="DK9" i="2" a="1"/>
  <c r="DK9" i="2" s="1"/>
  <c r="DW9" i="2" s="1" a="1"/>
  <c r="DW9" i="2" s="1"/>
  <c r="DJ9" i="2" a="1"/>
  <c r="DJ9" i="2" s="1"/>
  <c r="DV9" i="2" s="1"/>
  <c r="AK9" i="2" a="1"/>
  <c r="AK9" i="2" s="1"/>
  <c r="AG11" i="2"/>
  <c r="HM11" i="2"/>
  <c r="EV11" i="2"/>
  <c r="EW11" i="2" s="1"/>
  <c r="ER11" i="2"/>
  <c r="EM11" i="2"/>
  <c r="EN11" i="2" s="1"/>
  <c r="EJ11" i="2" a="1"/>
  <c r="EJ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AQ9" i="2" l="1"/>
  <c r="EI11" i="2" a="1"/>
  <c r="EI11" i="2" s="1"/>
  <c r="T11" i="2" s="1" a="1"/>
  <c r="T11" i="2" s="1"/>
  <c r="U11" i="2" s="1"/>
  <c r="CY12" i="2"/>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AJ11" i="2"/>
  <c r="AI11" i="2" s="1" a="1"/>
  <c r="AI11" i="2" s="1"/>
  <c r="HG9" i="2"/>
  <c r="HE9" i="2"/>
  <c r="V9" i="2"/>
  <c r="DR9" i="2"/>
  <c r="EI12" i="2" l="1" a="1"/>
  <c r="EI12" i="2" s="1"/>
  <c r="T12" i="2" s="1" a="1"/>
  <c r="T12" i="2" s="1"/>
  <c r="U12" i="2" s="1"/>
  <c r="AH11" i="2"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O11" i="2"/>
  <c r="AG13" i="2"/>
  <c r="HM13" i="2"/>
  <c r="EV13" i="2"/>
  <c r="EW13" i="2" s="1"/>
  <c r="ER13" i="2"/>
  <c r="EM13" i="2"/>
  <c r="EN13" i="2" s="1"/>
  <c r="EJ13" i="2" a="1"/>
  <c r="EJ13" i="2" s="1"/>
  <c r="EI13" i="2" a="1"/>
  <c r="EI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T13" i="2" l="1" a="1"/>
  <c r="T13" i="2" s="1"/>
  <c r="AW11" i="2"/>
  <c r="HG11" i="2" s="1"/>
  <c r="CY14" i="2"/>
  <c r="FA14" i="2" s="1"/>
  <c r="D70" i="9"/>
  <c r="E13" i="8"/>
  <c r="A12" i="8"/>
  <c r="HE10" i="2"/>
  <c r="V10" i="2"/>
  <c r="HG10" i="2"/>
  <c r="DR12" i="2"/>
  <c r="R12" i="2"/>
  <c r="AL12" i="2"/>
  <c r="BD12" i="2"/>
  <c r="BA12" i="2"/>
  <c r="AV12" i="2"/>
  <c r="AU12" i="2"/>
  <c r="AP12" i="2"/>
  <c r="AG14" i="2"/>
  <c r="HM14" i="2"/>
  <c r="EV14" i="2"/>
  <c r="EW14" i="2" s="1"/>
  <c r="ER14" i="2"/>
  <c r="EM14" i="2"/>
  <c r="EN14" i="2" s="1"/>
  <c r="EJ14" i="2" a="1"/>
  <c r="EJ14" i="2" s="1"/>
  <c r="EI14" i="2" a="1"/>
  <c r="EI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U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T14" i="2" l="1" a="1"/>
  <c r="T14" i="2" s="1"/>
  <c r="U14" i="2" s="1"/>
  <c r="CY15" i="2"/>
  <c r="FA15" i="2" s="1"/>
  <c r="FB15" i="2" s="1"/>
  <c r="HE11" i="2"/>
  <c r="V11" i="2"/>
  <c r="DR13" i="2"/>
  <c r="R13" i="2"/>
  <c r="AL13" i="2"/>
  <c r="BD13" i="2"/>
  <c r="BA13" i="2"/>
  <c r="AV13" i="2"/>
  <c r="AU13" i="2"/>
  <c r="AP13" i="2"/>
  <c r="AG15" i="2"/>
  <c r="HM15" i="2"/>
  <c r="EV15" i="2"/>
  <c r="EW15" i="2" s="1"/>
  <c r="ER15" i="2"/>
  <c r="EM15" i="2"/>
  <c r="EN15" i="2" s="1"/>
  <c r="EJ15" i="2" a="1"/>
  <c r="EJ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J16" i="2"/>
  <c r="CF16" i="2"/>
  <c r="CE16" i="2"/>
  <c r="CC16" i="2"/>
  <c r="CB16" i="2"/>
  <c r="BY16" i="2"/>
  <c r="GH16" i="2" s="1"/>
  <c r="BU16" i="2"/>
  <c r="BT16" i="2"/>
  <c r="BS16" i="2"/>
  <c r="L16" i="2" s="1"/>
  <c r="BR16" i="2"/>
  <c r="BM16" i="2"/>
  <c r="BL16" i="2"/>
  <c r="BK16" i="2"/>
  <c r="AE16" i="2"/>
  <c r="AC16" i="2"/>
  <c r="K16" i="2"/>
  <c r="J16" i="2"/>
  <c r="I16" i="2"/>
  <c r="D16" i="2"/>
  <c r="C16" i="2"/>
  <c r="B16" i="2"/>
  <c r="P14" i="2"/>
  <c r="AJ14" i="2"/>
  <c r="AI14" i="2" s="1" a="1"/>
  <c r="AI14" i="2" s="1"/>
  <c r="AW12" i="2"/>
  <c r="EK10" i="2"/>
  <c r="A29" i="9"/>
  <c r="E14" i="8"/>
  <c r="A13" i="8"/>
  <c r="EI15" i="2" l="1" a="1"/>
  <c r="EI15" i="2" s="1"/>
  <c r="T15" i="2" s="1" a="1"/>
  <c r="T15" i="2" s="1"/>
  <c r="U15" i="2" s="1"/>
  <c r="CY16" i="2"/>
  <c r="FA16" i="2" s="1"/>
  <c r="FB16" i="2" s="1"/>
  <c r="AH14" i="2"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AJ15" i="2"/>
  <c r="AI15" i="2" s="1" a="1"/>
  <c r="AI15" i="2" s="1"/>
  <c r="EK11" i="2"/>
  <c r="A23" i="9"/>
  <c r="T16" i="2" l="1" a="1"/>
  <c r="T16" i="2" s="1"/>
  <c r="U16" i="2" s="1"/>
  <c r="AH15" i="2"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G17" i="2"/>
  <c r="E17" i="2"/>
  <c r="M17" i="2"/>
  <c r="GL17" i="2"/>
  <c r="GM17" i="2" s="1"/>
  <c r="GQ17" i="2"/>
  <c r="GR17" i="2" s="1"/>
  <c r="A19" i="2"/>
  <c r="DQ18" i="2"/>
  <c r="DO18" i="2"/>
  <c r="DM18" i="2"/>
  <c r="DL18" i="2"/>
  <c r="DI18" i="2"/>
  <c r="DE18" i="2"/>
  <c r="H18" i="2" s="1"/>
  <c r="DD18" i="2"/>
  <c r="CU18" i="2"/>
  <c r="CL18" i="2"/>
  <c r="CK18" i="2"/>
  <c r="CS18" i="2" s="1"/>
  <c r="CT18" i="2" s="1"/>
  <c r="CV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T17" i="2" l="1" a="1"/>
  <c r="T17" i="2" s="1"/>
  <c r="U17" i="2" s="1"/>
  <c r="CY18" i="2"/>
  <c r="FA18" i="2" s="1"/>
  <c r="FB18" i="2" s="1"/>
  <c r="AW15" i="2"/>
  <c r="HG15" i="2" s="1"/>
  <c r="E17" i="8"/>
  <c r="A16" i="8"/>
  <c r="HE14" i="2"/>
  <c r="V14" i="2"/>
  <c r="HG14" i="2"/>
  <c r="DR16" i="2"/>
  <c r="R16" i="2"/>
  <c r="AL16" i="2"/>
  <c r="BD16" i="2"/>
  <c r="BA16" i="2"/>
  <c r="AV16" i="2"/>
  <c r="AP16" i="2"/>
  <c r="AO16" i="2"/>
  <c r="AG18" i="2"/>
  <c r="HM18" i="2"/>
  <c r="EV18" i="2"/>
  <c r="EW18" i="2" s="1"/>
  <c r="ER18" i="2"/>
  <c r="EM18" i="2"/>
  <c r="EN18" i="2" s="1"/>
  <c r="EJ18" i="2" a="1"/>
  <c r="EJ18" i="2" s="1"/>
  <c r="BI18" i="2"/>
  <c r="AF18" i="2" a="1"/>
  <c r="AF18" i="2" s="1"/>
  <c r="G18" i="2"/>
  <c r="E18" i="2"/>
  <c r="M18" i="2"/>
  <c r="GL18" i="2"/>
  <c r="GM18" i="2" s="1"/>
  <c r="GQ18" i="2"/>
  <c r="GR18" i="2" s="1"/>
  <c r="A20" i="2"/>
  <c r="DQ19" i="2"/>
  <c r="DO19" i="2"/>
  <c r="DM19" i="2"/>
  <c r="DL19" i="2"/>
  <c r="DI19" i="2"/>
  <c r="DE19" i="2"/>
  <c r="H19" i="2" s="1"/>
  <c r="DD19" i="2"/>
  <c r="CU19" i="2"/>
  <c r="CL19" i="2"/>
  <c r="CK19" i="2"/>
  <c r="CS19" i="2" s="1"/>
  <c r="CT19" i="2" s="1"/>
  <c r="CV19" i="2" s="1"/>
  <c r="CJ19" i="2"/>
  <c r="CF19" i="2"/>
  <c r="CE19" i="2"/>
  <c r="CC19" i="2"/>
  <c r="CB19" i="2"/>
  <c r="BY19" i="2"/>
  <c r="GH19" i="2" s="1"/>
  <c r="BU19" i="2"/>
  <c r="BT19" i="2"/>
  <c r="BS19" i="2"/>
  <c r="L19" i="2" s="1"/>
  <c r="BR19" i="2"/>
  <c r="BM19" i="2"/>
  <c r="BL19" i="2"/>
  <c r="BK19" i="2"/>
  <c r="AE19" i="2"/>
  <c r="AC19" i="2"/>
  <c r="K19" i="2"/>
  <c r="J19" i="2"/>
  <c r="I19" i="2"/>
  <c r="D19" i="2"/>
  <c r="C19" i="2"/>
  <c r="B19" i="2"/>
  <c r="P17" i="2"/>
  <c r="AJ17" i="2"/>
  <c r="AH17" i="2" s="1" a="1"/>
  <c r="AH17" i="2" s="1"/>
  <c r="DR15" i="2"/>
  <c r="EI18" i="2" l="1" a="1"/>
  <c r="EI18" i="2" s="1"/>
  <c r="T18" i="2" s="1" a="1"/>
  <c r="T18" i="2" s="1"/>
  <c r="CY19" i="2"/>
  <c r="FA19" i="2" s="1"/>
  <c r="AI17" i="2" a="1"/>
  <c r="AI17" i="2" s="1"/>
  <c r="DS17" i="2"/>
  <c r="DT17" i="2" s="1"/>
  <c r="DP17" i="2" a="1"/>
  <c r="DP17" i="2" s="1"/>
  <c r="DU17" i="2" s="1"/>
  <c r="DK17" i="2" a="1"/>
  <c r="DK17" i="2" s="1"/>
  <c r="DW17" i="2" s="1" a="1"/>
  <c r="DW17" i="2" s="1"/>
  <c r="DJ17" i="2" a="1"/>
  <c r="DJ17" i="2" s="1"/>
  <c r="DV17" i="2" s="1"/>
  <c r="AK17" i="2" a="1"/>
  <c r="AK17" i="2" s="1"/>
  <c r="AL17" i="2" s="1"/>
  <c r="R17" i="2"/>
  <c r="BD17" i="2"/>
  <c r="BA17" i="2"/>
  <c r="AV17" i="2"/>
  <c r="AP17" i="2"/>
  <c r="AO17" i="2"/>
  <c r="AG19" i="2"/>
  <c r="HM19" i="2"/>
  <c r="EV19" i="2"/>
  <c r="EW19" i="2" s="1"/>
  <c r="ER19" i="2"/>
  <c r="EM19" i="2"/>
  <c r="EN19" i="2" s="1"/>
  <c r="EJ19" i="2" a="1"/>
  <c r="EJ19" i="2" s="1"/>
  <c r="EI19" i="2" a="1"/>
  <c r="EI19" i="2" s="1"/>
  <c r="T19" i="2" s="1" a="1"/>
  <c r="T19" i="2" s="1"/>
  <c r="BI19" i="2"/>
  <c r="AF19" i="2" a="1"/>
  <c r="AF19" i="2" s="1"/>
  <c r="G19" i="2"/>
  <c r="E19" i="2"/>
  <c r="M19" i="2"/>
  <c r="GL19" i="2"/>
  <c r="GM19" i="2" s="1"/>
  <c r="GQ19" i="2"/>
  <c r="GR19" i="2" s="1"/>
  <c r="A21" i="2"/>
  <c r="DQ20" i="2"/>
  <c r="DO20" i="2"/>
  <c r="DM20" i="2"/>
  <c r="DL20" i="2"/>
  <c r="DI20" i="2"/>
  <c r="DE20" i="2"/>
  <c r="H20" i="2" s="1"/>
  <c r="DD20" i="2"/>
  <c r="CU20" i="2"/>
  <c r="CL20" i="2"/>
  <c r="CK20" i="2"/>
  <c r="CS20" i="2" s="1"/>
  <c r="CT20" i="2" s="1"/>
  <c r="CV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CY20" i="2" l="1"/>
  <c r="FA20" i="2" s="1"/>
  <c r="FB20" i="2" s="1"/>
  <c r="E19" i="8"/>
  <c r="A18" i="8"/>
  <c r="HE16" i="2"/>
  <c r="DR18" i="2"/>
  <c r="R18" i="2"/>
  <c r="AL18" i="2"/>
  <c r="BD18" i="2"/>
  <c r="BA18" i="2"/>
  <c r="AV18" i="2"/>
  <c r="AU18" i="2"/>
  <c r="AP18" i="2"/>
  <c r="AG20" i="2"/>
  <c r="HM20" i="2"/>
  <c r="EV20" i="2"/>
  <c r="ER20" i="2"/>
  <c r="EM20" i="2"/>
  <c r="EJ20" i="2" a="1"/>
  <c r="EJ20" i="2" s="1"/>
  <c r="EI20" i="2" a="1"/>
  <c r="EI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Y21" i="2" s="1"/>
  <c r="FA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H19" i="2" s="1" a="1"/>
  <c r="AH19" i="2" s="1"/>
  <c r="AQ17" i="2"/>
  <c r="DR17" i="2"/>
  <c r="T20" i="2" l="1" a="1"/>
  <c r="T20" i="2" s="1"/>
  <c r="AI19" i="2" a="1"/>
  <c r="AI19" i="2" s="1"/>
  <c r="AW18" i="2"/>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T21" i="2" s="1" a="1"/>
  <c r="T21" i="2" s="1"/>
  <c r="BI21" i="2"/>
  <c r="AF21" i="2" a="1"/>
  <c r="AF21" i="2" s="1"/>
  <c r="G21" i="2"/>
  <c r="E21" i="2"/>
  <c r="M21" i="2"/>
  <c r="GL21" i="2"/>
  <c r="GQ21" i="2"/>
  <c r="GR21" i="2" s="1"/>
  <c r="A23" i="2"/>
  <c r="DQ22" i="2"/>
  <c r="DO22" i="2"/>
  <c r="DM22" i="2"/>
  <c r="DL22" i="2"/>
  <c r="DI22" i="2"/>
  <c r="DE22" i="2"/>
  <c r="H22" i="2" s="1"/>
  <c r="DD22" i="2"/>
  <c r="CU22" i="2"/>
  <c r="CL22" i="2"/>
  <c r="CK22" i="2"/>
  <c r="CS22" i="2" s="1"/>
  <c r="CT22" i="2" s="1"/>
  <c r="CV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CY22" i="2" l="1"/>
  <c r="FA22" i="2" s="1"/>
  <c r="FB22" i="2" s="1"/>
  <c r="AH20" i="2"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O21" i="2"/>
  <c r="AG23" i="2"/>
  <c r="HM23" i="2"/>
  <c r="EV23" i="2"/>
  <c r="EW23" i="2" s="1"/>
  <c r="ER23" i="2"/>
  <c r="EM23" i="2"/>
  <c r="EN23" i="2" s="1"/>
  <c r="EJ23" i="2" a="1"/>
  <c r="EJ23" i="2" s="1"/>
  <c r="EI23" i="2" a="1"/>
  <c r="EI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AW21" i="2" l="1"/>
  <c r="HG21" i="2" s="1"/>
  <c r="T23" i="2" a="1"/>
  <c r="T23" i="2" s="1"/>
  <c r="AH22" i="2"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T24" i="2" l="1" a="1"/>
  <c r="T24" i="2" s="1"/>
  <c r="U24" i="2" s="1"/>
  <c r="CY25" i="2"/>
  <c r="FA25" i="2" s="1"/>
  <c r="FB25" i="2" s="1"/>
  <c r="AW22" i="2"/>
  <c r="HG22" i="2" s="1"/>
  <c r="HE21" i="2"/>
  <c r="V21" i="2"/>
  <c r="DR23" i="2"/>
  <c r="R23" i="2"/>
  <c r="AL23" i="2"/>
  <c r="BD23" i="2"/>
  <c r="BA23" i="2"/>
  <c r="AV23" i="2"/>
  <c r="AU23" i="2"/>
  <c r="AO23" i="2"/>
  <c r="AG25" i="2"/>
  <c r="HM25" i="2"/>
  <c r="EV25" i="2"/>
  <c r="EW25" i="2" s="1"/>
  <c r="ER25" i="2"/>
  <c r="EM25" i="2"/>
  <c r="EN25" i="2" s="1"/>
  <c r="EJ25" i="2" a="1"/>
  <c r="EJ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J26" i="2"/>
  <c r="CF26" i="2"/>
  <c r="CE26" i="2"/>
  <c r="CC26" i="2"/>
  <c r="CB26" i="2"/>
  <c r="BY26" i="2"/>
  <c r="GH26" i="2" s="1"/>
  <c r="BU26" i="2"/>
  <c r="BT26" i="2"/>
  <c r="BS26" i="2"/>
  <c r="L26" i="2" s="1"/>
  <c r="BR26" i="2"/>
  <c r="BM26" i="2"/>
  <c r="BL26" i="2"/>
  <c r="BK26" i="2"/>
  <c r="AE26" i="2"/>
  <c r="AC26" i="2"/>
  <c r="K26" i="2"/>
  <c r="J26" i="2"/>
  <c r="I26" i="2"/>
  <c r="D26" i="2"/>
  <c r="C26" i="2"/>
  <c r="B26" i="2"/>
  <c r="P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EI25" i="2" l="1" a="1"/>
  <c r="EI25" i="2" s="1"/>
  <c r="T25" i="2" s="1" a="1"/>
  <c r="T25" i="2" s="1"/>
  <c r="U25" i="2" s="1"/>
  <c r="CY26" i="2"/>
  <c r="FA26" i="2" s="1"/>
  <c r="FB26"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T26" i="2" l="1" a="1"/>
  <c r="T26" i="2" s="1"/>
  <c r="HE23" i="2"/>
  <c r="V23" i="2"/>
  <c r="DR25" i="2"/>
  <c r="R25" i="2"/>
  <c r="AL25" i="2"/>
  <c r="BD25" i="2"/>
  <c r="BA25" i="2"/>
  <c r="AV25" i="2"/>
  <c r="AU25" i="2"/>
  <c r="AP25" i="2"/>
  <c r="AG27" i="2"/>
  <c r="HM27" i="2"/>
  <c r="EV27" i="2"/>
  <c r="EW27" i="2" s="1"/>
  <c r="ER27" i="2"/>
  <c r="EM27" i="2"/>
  <c r="EN27" i="2" s="1"/>
  <c r="EJ27" i="2" a="1"/>
  <c r="EJ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U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T27" i="2" l="1" a="1"/>
  <c r="T27" i="2" s="1"/>
  <c r="U27" i="2" s="1"/>
  <c r="CY28" i="2"/>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G28" i="2"/>
  <c r="E28" i="2"/>
  <c r="M28" i="2"/>
  <c r="GL28" i="2"/>
  <c r="GM28" i="2" s="1"/>
  <c r="GQ28" i="2"/>
  <c r="GR28" i="2" s="1"/>
  <c r="A30" i="2"/>
  <c r="DQ29" i="2"/>
  <c r="DO29" i="2"/>
  <c r="DM29" i="2"/>
  <c r="DL29" i="2"/>
  <c r="DI29" i="2"/>
  <c r="DE29" i="2"/>
  <c r="H29" i="2" s="1"/>
  <c r="DD29" i="2"/>
  <c r="CU29" i="2"/>
  <c r="CL29" i="2"/>
  <c r="CK29" i="2"/>
  <c r="CS29" i="2" s="1"/>
  <c r="CT29" i="2" s="1"/>
  <c r="CV29" i="2" s="1"/>
  <c r="CJ29" i="2"/>
  <c r="CF29" i="2"/>
  <c r="CE29" i="2"/>
  <c r="CC29" i="2"/>
  <c r="CB29" i="2"/>
  <c r="BY29" i="2"/>
  <c r="GH29" i="2" s="1"/>
  <c r="BU29" i="2"/>
  <c r="BT29" i="2"/>
  <c r="BS29" i="2"/>
  <c r="L29" i="2" s="1"/>
  <c r="BR29" i="2"/>
  <c r="BM29" i="2"/>
  <c r="BL29" i="2"/>
  <c r="BK29" i="2"/>
  <c r="AE29" i="2"/>
  <c r="AC29" i="2"/>
  <c r="K29" i="2"/>
  <c r="J29" i="2"/>
  <c r="I29" i="2"/>
  <c r="D29" i="2"/>
  <c r="C29" i="2"/>
  <c r="B29" i="2"/>
  <c r="P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T28" i="2" l="1" a="1"/>
  <c r="T28" i="2" s="1"/>
  <c r="CY29" i="2"/>
  <c r="FA29" i="2" s="1"/>
  <c r="DR27" i="2"/>
  <c r="R27" i="2"/>
  <c r="AL27" i="2"/>
  <c r="BD27" i="2"/>
  <c r="BA27" i="2"/>
  <c r="AV27" i="2"/>
  <c r="AU27" i="2"/>
  <c r="AO27" i="2"/>
  <c r="AG29" i="2"/>
  <c r="HM29" i="2"/>
  <c r="EV29" i="2"/>
  <c r="EW29" i="2" s="1"/>
  <c r="ER29" i="2"/>
  <c r="EM29" i="2"/>
  <c r="EN29" i="2" s="1"/>
  <c r="EJ29" i="2" a="1"/>
  <c r="EJ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EI29" i="2" l="1" a="1"/>
  <c r="EI29" i="2" s="1"/>
  <c r="T29" i="2" s="1" a="1"/>
  <c r="T29" i="2" s="1"/>
  <c r="U29" i="2" s="1"/>
  <c r="AW27" i="2"/>
  <c r="HG27" i="2" s="1"/>
  <c r="AH28" i="2"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AJ29" i="2"/>
  <c r="AI29" i="2" s="1" a="1"/>
  <c r="AI29" i="2" s="1"/>
  <c r="AQ27" i="2"/>
  <c r="T30" i="2" l="1" a="1"/>
  <c r="T30" i="2" s="1"/>
  <c r="AH29" i="2"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O29" i="2"/>
  <c r="AG31" i="2"/>
  <c r="HM31" i="2"/>
  <c r="EV31" i="2"/>
  <c r="EW31" i="2" s="1"/>
  <c r="ER31" i="2"/>
  <c r="EM31" i="2"/>
  <c r="EN31" i="2" s="1"/>
  <c r="EJ31" i="2" a="1"/>
  <c r="EJ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EI31" i="2" l="1" a="1"/>
  <c r="EI31" i="2" s="1"/>
  <c r="T31" i="2" s="1" a="1"/>
  <c r="T31" i="2" s="1"/>
  <c r="U31" i="2" s="1"/>
  <c r="AW29" i="2"/>
  <c r="HG29" i="2" s="1"/>
  <c r="CY32" i="2"/>
  <c r="FA32" i="2" s="1"/>
  <c r="FB32" i="2" s="1"/>
  <c r="E31" i="8"/>
  <c r="A30" i="8"/>
  <c r="HE28" i="2"/>
  <c r="DR30" i="2"/>
  <c r="R30" i="2"/>
  <c r="AL30" i="2"/>
  <c r="BD30" i="2"/>
  <c r="BA30" i="2"/>
  <c r="AV30" i="2"/>
  <c r="AP30" i="2"/>
  <c r="AO30" i="2"/>
  <c r="AG32" i="2"/>
  <c r="HM32" i="2"/>
  <c r="EV32" i="2"/>
  <c r="EW32" i="2" s="1"/>
  <c r="ER32" i="2"/>
  <c r="EM32" i="2"/>
  <c r="EN32" i="2" s="1"/>
  <c r="EJ32" i="2" a="1"/>
  <c r="EJ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AJ31" i="2"/>
  <c r="AH31" i="2" s="1" a="1"/>
  <c r="AH31" i="2" s="1"/>
  <c r="AQ29" i="2"/>
  <c r="DR29" i="2"/>
  <c r="EK27" i="2"/>
  <c r="A30" i="9"/>
  <c r="EI32" i="2" l="1" a="1"/>
  <c r="EI32" i="2" s="1"/>
  <c r="T32" i="2" s="1" a="1"/>
  <c r="T32" i="2" s="1"/>
  <c r="U32" i="2" s="1"/>
  <c r="CY33" i="2"/>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AJ32" i="2"/>
  <c r="AI32" i="2" s="1" a="1"/>
  <c r="AI32" i="2" s="1"/>
  <c r="AQ30" i="2"/>
  <c r="E32" i="8"/>
  <c r="A31" i="8"/>
  <c r="EI33" i="2" l="1" a="1"/>
  <c r="EI33" i="2" s="1"/>
  <c r="T33" i="2" s="1" a="1"/>
  <c r="T33" i="2" s="1"/>
  <c r="U33" i="2" s="1"/>
  <c r="AW31" i="2"/>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AJ33" i="2"/>
  <c r="AI33" i="2" s="1" a="1"/>
  <c r="AI33" i="2" s="1"/>
  <c r="DR31" i="2"/>
  <c r="EK29" i="2"/>
  <c r="A32" i="9"/>
  <c r="EI34" i="2" l="1" a="1"/>
  <c r="EI34" i="2" s="1"/>
  <c r="T34" i="2" s="1" a="1"/>
  <c r="T34" i="2" s="1"/>
  <c r="U34" i="2" s="1"/>
  <c r="AW32" i="2"/>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AJ34" i="2"/>
  <c r="AI34" i="2" s="1" a="1"/>
  <c r="AI34" i="2" s="1"/>
  <c r="DR32" i="2"/>
  <c r="E34" i="8"/>
  <c r="A33" i="8"/>
  <c r="EI35" i="2" l="1" a="1"/>
  <c r="EI35" i="2" s="1"/>
  <c r="T35" i="2" s="1" a="1"/>
  <c r="T35" i="2" s="1"/>
  <c r="U35" i="2" s="1"/>
  <c r="AH34" i="2"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AJ35" i="2"/>
  <c r="AI35" i="2" s="1" a="1"/>
  <c r="AI35" i="2" s="1"/>
  <c r="Q5" i="7"/>
  <c r="AQ33" i="2"/>
  <c r="DR33" i="2"/>
  <c r="T36" i="2" l="1" a="1"/>
  <c r="T36" i="2" s="1"/>
  <c r="U36" i="2" s="1"/>
  <c r="AW34" i="2"/>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AJ36" i="2"/>
  <c r="AI36" i="2" s="1" a="1"/>
  <c r="AI36" i="2" s="1"/>
  <c r="DR34" i="2"/>
  <c r="E36" i="8"/>
  <c r="A35" i="8"/>
  <c r="EI37" i="2" l="1" a="1"/>
  <c r="EI37" i="2" s="1"/>
  <c r="T37" i="2" s="1" a="1"/>
  <c r="T37" i="2" s="1"/>
  <c r="U37" i="2" s="1"/>
  <c r="AW35" i="2"/>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J39" i="2"/>
  <c r="CF39" i="2"/>
  <c r="CE39" i="2"/>
  <c r="CC39" i="2"/>
  <c r="CB39" i="2"/>
  <c r="BY39" i="2"/>
  <c r="GH39" i="2" s="1"/>
  <c r="BU39" i="2"/>
  <c r="BT39" i="2"/>
  <c r="BS39" i="2"/>
  <c r="L39" i="2" s="1"/>
  <c r="BR39" i="2"/>
  <c r="BM39" i="2"/>
  <c r="BL39" i="2"/>
  <c r="BK39" i="2"/>
  <c r="AE39" i="2"/>
  <c r="AC39" i="2"/>
  <c r="K39" i="2"/>
  <c r="J39" i="2"/>
  <c r="I39" i="2"/>
  <c r="D39" i="2"/>
  <c r="C39" i="2"/>
  <c r="B39" i="2"/>
  <c r="P37" i="2"/>
  <c r="AJ37" i="2"/>
  <c r="AI37" i="2" s="1" a="1"/>
  <c r="AI37" i="2" s="1"/>
  <c r="DR35" i="2"/>
  <c r="EK33" i="2"/>
  <c r="A3" i="9"/>
  <c r="T38" i="2" l="1" a="1"/>
  <c r="T38" i="2" s="1"/>
  <c r="U38" i="2" s="1"/>
  <c r="CY39" i="2"/>
  <c r="FA39" i="2" s="1"/>
  <c r="FB39" i="2" s="1"/>
  <c r="AH37" i="2"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BI39" i="2"/>
  <c r="AF39" i="2" a="1"/>
  <c r="AF39" i="2" s="1"/>
  <c r="G39" i="2"/>
  <c r="E39" i="2"/>
  <c r="M39" i="2"/>
  <c r="GL39" i="2"/>
  <c r="GM39" i="2" s="1"/>
  <c r="GQ39" i="2"/>
  <c r="GR39" i="2" s="1"/>
  <c r="A41" i="2"/>
  <c r="DQ40" i="2"/>
  <c r="DO40" i="2"/>
  <c r="DM40" i="2"/>
  <c r="DL40" i="2"/>
  <c r="DI40" i="2"/>
  <c r="DE40" i="2"/>
  <c r="H40" i="2" s="1"/>
  <c r="DD40" i="2"/>
  <c r="CU40" i="2"/>
  <c r="CL40" i="2"/>
  <c r="CK40" i="2"/>
  <c r="CS40" i="2" s="1"/>
  <c r="CT40" i="2" s="1"/>
  <c r="CV40" i="2" s="1"/>
  <c r="CJ40" i="2"/>
  <c r="CF40" i="2"/>
  <c r="CE40" i="2"/>
  <c r="CC40" i="2"/>
  <c r="CB40" i="2"/>
  <c r="BY40" i="2"/>
  <c r="GH40" i="2" s="1"/>
  <c r="BU40" i="2"/>
  <c r="BT40" i="2"/>
  <c r="BS40" i="2"/>
  <c r="L40" i="2" s="1"/>
  <c r="BR40" i="2"/>
  <c r="BM40" i="2"/>
  <c r="BL40" i="2"/>
  <c r="BK40" i="2"/>
  <c r="AE40" i="2"/>
  <c r="AC40" i="2"/>
  <c r="K40" i="2"/>
  <c r="J40" i="2"/>
  <c r="I40" i="2"/>
  <c r="D40" i="2"/>
  <c r="C40" i="2"/>
  <c r="B40" i="2"/>
  <c r="P38" i="2"/>
  <c r="AJ38" i="2"/>
  <c r="AH38" i="2" s="1" a="1"/>
  <c r="AH38" i="2" s="1"/>
  <c r="AQ36" i="2"/>
  <c r="DR36" i="2"/>
  <c r="E38" i="8"/>
  <c r="A37" i="8"/>
  <c r="T39" i="2" l="1" a="1"/>
  <c r="T39" i="2" s="1"/>
  <c r="CY40" i="2"/>
  <c r="FA40" i="2" s="1"/>
  <c r="FB40" i="2" s="1"/>
  <c r="AI38" i="2" a="1"/>
  <c r="AI38" i="2" s="1"/>
  <c r="AW37" i="2"/>
  <c r="HG37" i="2" s="1"/>
  <c r="E39" i="8"/>
  <c r="A38" i="8"/>
  <c r="HE36" i="2"/>
  <c r="DS38" i="2"/>
  <c r="DT38" i="2" s="1"/>
  <c r="DP38" i="2" a="1"/>
  <c r="DP38" i="2" s="1"/>
  <c r="DU38" i="2" s="1"/>
  <c r="DK38" i="2" a="1"/>
  <c r="DK38" i="2" s="1"/>
  <c r="DW38" i="2" s="1" a="1"/>
  <c r="DW38" i="2" s="1"/>
  <c r="DJ38" i="2" a="1"/>
  <c r="DJ38" i="2" s="1"/>
  <c r="DV38" i="2" s="1"/>
  <c r="AK38" i="2" a="1"/>
  <c r="AK38" i="2" s="1"/>
  <c r="AL38" i="2" s="1"/>
  <c r="R38" i="2"/>
  <c r="BD38" i="2"/>
  <c r="BA38" i="2"/>
  <c r="AV38" i="2"/>
  <c r="AU38" i="2"/>
  <c r="AP38" i="2"/>
  <c r="AG40" i="2"/>
  <c r="HM40" i="2"/>
  <c r="EV40" i="2"/>
  <c r="ER40" i="2"/>
  <c r="EM40" i="2"/>
  <c r="EN40" i="2" s="1"/>
  <c r="EJ40" i="2" a="1"/>
  <c r="EJ40" i="2" s="1"/>
  <c r="EI40" i="2" a="1"/>
  <c r="EI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T40" i="2" l="1" a="1"/>
  <c r="T40" i="2" s="1"/>
  <c r="AW38" i="2"/>
  <c r="HG38" i="2" s="1"/>
  <c r="AH39" i="2"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T41" i="2" l="1" a="1"/>
  <c r="T41" i="2" s="1"/>
  <c r="U41" i="2" s="1"/>
  <c r="AW39" i="2"/>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AJ41" i="2"/>
  <c r="AI41" i="2" s="1" a="1"/>
  <c r="AI41" i="2" s="1"/>
  <c r="Q6" i="7"/>
  <c r="DR39" i="2"/>
  <c r="EK37" i="2"/>
  <c r="A21" i="9"/>
  <c r="T42" i="2" l="1" a="1"/>
  <c r="T42" i="2" s="1"/>
  <c r="AH41" i="2" a="1"/>
  <c r="AH41" i="2" s="1"/>
  <c r="CY43" i="2"/>
  <c r="FA43" i="2" s="1"/>
  <c r="FB43" i="2" s="1"/>
  <c r="DS41" i="2"/>
  <c r="DT41" i="2" s="1"/>
  <c r="DP41" i="2" a="1"/>
  <c r="DP41" i="2" s="1"/>
  <c r="DU41" i="2" s="1"/>
  <c r="DK41" i="2" a="1"/>
  <c r="DK41" i="2" s="1"/>
  <c r="DW41" i="2" s="1" a="1"/>
  <c r="DW41" i="2" s="1"/>
  <c r="DJ41" i="2" a="1"/>
  <c r="DJ41" i="2" s="1"/>
  <c r="DV41" i="2" s="1"/>
  <c r="AK41" i="2" a="1"/>
  <c r="AK41" i="2" s="1"/>
  <c r="AL41" i="2" s="1"/>
  <c r="R41" i="2"/>
  <c r="BD41" i="2"/>
  <c r="BA41" i="2"/>
  <c r="AV41" i="2"/>
  <c r="AP41" i="2"/>
  <c r="AO41" i="2"/>
  <c r="AG43" i="2"/>
  <c r="HM43" i="2"/>
  <c r="EV43" i="2"/>
  <c r="ER43" i="2"/>
  <c r="EM43" i="2"/>
  <c r="EN43" i="2" s="1"/>
  <c r="EJ43" i="2" a="1"/>
  <c r="EJ43" i="2" s="1"/>
  <c r="EI43" i="2" a="1"/>
  <c r="EI43" i="2" s="1"/>
  <c r="BI43" i="2"/>
  <c r="AF43" i="2" a="1"/>
  <c r="AF43" i="2" s="1"/>
  <c r="G43" i="2"/>
  <c r="E43" i="2"/>
  <c r="M43" i="2"/>
  <c r="GL43" i="2"/>
  <c r="GM43" i="2" s="1"/>
  <c r="GQ43" i="2"/>
  <c r="GR43" i="2" s="1"/>
  <c r="A45" i="2"/>
  <c r="DQ44" i="2"/>
  <c r="DO44" i="2"/>
  <c r="DM44" i="2"/>
  <c r="DL44" i="2"/>
  <c r="DI44" i="2"/>
  <c r="DE44" i="2"/>
  <c r="H44" i="2" s="1"/>
  <c r="DD44" i="2"/>
  <c r="CU44" i="2"/>
  <c r="CL44" i="2"/>
  <c r="CK44" i="2"/>
  <c r="CS44" i="2" s="1"/>
  <c r="CT44" i="2" s="1"/>
  <c r="CV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T43" i="2" l="1" a="1"/>
  <c r="T43" i="2" s="1"/>
  <c r="CY44" i="2"/>
  <c r="FA44" i="2" s="1"/>
  <c r="FB44" i="2" s="1"/>
  <c r="E43" i="8"/>
  <c r="A42" i="8"/>
  <c r="HE40" i="2"/>
  <c r="DR42" i="2"/>
  <c r="R42" i="2"/>
  <c r="AL42" i="2"/>
  <c r="BD42" i="2"/>
  <c r="BA42" i="2"/>
  <c r="AV42" i="2"/>
  <c r="AP42" i="2"/>
  <c r="AO42" i="2"/>
  <c r="AG44" i="2"/>
  <c r="HM44" i="2"/>
  <c r="EV44" i="2"/>
  <c r="ER44" i="2"/>
  <c r="EM44" i="2"/>
  <c r="EN44" i="2" s="1"/>
  <c r="EJ44" i="2" a="1"/>
  <c r="EJ44" i="2" s="1"/>
  <c r="EI44" i="2" a="1"/>
  <c r="EI44" i="2" s="1"/>
  <c r="BI44" i="2"/>
  <c r="AF44" i="2" a="1"/>
  <c r="AF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T44" i="2" l="1" a="1"/>
  <c r="T44" i="2" s="1"/>
  <c r="U44" i="2" s="1"/>
  <c r="HE41" i="2"/>
  <c r="DR43" i="2"/>
  <c r="R43" i="2"/>
  <c r="AL43" i="2"/>
  <c r="BD43" i="2"/>
  <c r="BA43" i="2"/>
  <c r="AV43" i="2"/>
  <c r="AP43" i="2"/>
  <c r="AO43" i="2"/>
  <c r="AG45" i="2"/>
  <c r="HM45" i="2"/>
  <c r="EV45" i="2"/>
  <c r="EW45" i="2" s="1"/>
  <c r="ER45" i="2"/>
  <c r="EM45" i="2"/>
  <c r="EN45" i="2" s="1"/>
  <c r="EJ45" i="2" a="1"/>
  <c r="EJ45" i="2" s="1"/>
  <c r="EI45" i="2" a="1"/>
  <c r="EI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CY46" i="2" l="1"/>
  <c r="FA46" i="2" s="1"/>
  <c r="FB46" i="2" s="1"/>
  <c r="T45" i="2" a="1"/>
  <c r="T45" i="2" s="1"/>
  <c r="U45" i="2" s="1"/>
  <c r="E45" i="8"/>
  <c r="E46" i="8" s="1"/>
  <c r="A46" i="8" s="1"/>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AW44" i="2" l="1"/>
  <c r="T46" i="2" a="1"/>
  <c r="T46" i="2" s="1"/>
  <c r="U46" i="2" s="1"/>
  <c r="BJ43"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BI47" i="2"/>
  <c r="AF47" i="2" a="1"/>
  <c r="AF47" i="2" s="1"/>
  <c r="G47" i="2"/>
  <c r="E47" i="2"/>
  <c r="AB47" i="2"/>
  <c r="M47" i="2"/>
  <c r="GL47" i="2"/>
  <c r="GM47" i="2" s="1"/>
  <c r="GQ47" i="2"/>
  <c r="GR47" i="2" s="1"/>
  <c r="A49" i="2"/>
  <c r="A50" i="2" s="1"/>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B33" i="2" s="1"/>
  <c r="AP33" i="2"/>
  <c r="BJ32" i="2"/>
  <c r="AQ32" i="2"/>
  <c r="AB32" i="2"/>
  <c r="BJ31" i="2"/>
  <c r="AQ31" i="2"/>
  <c r="AB31" i="2"/>
  <c r="AW30" i="2"/>
  <c r="BJ30" i="2"/>
  <c r="AB30" i="2"/>
  <c r="Y29" i="2"/>
  <c r="AB29" i="2" s="1"/>
  <c r="AP29" i="2"/>
  <c r="AW28" i="2"/>
  <c r="BJ28" i="2"/>
  <c r="AB28" i="2"/>
  <c r="Y27" i="2"/>
  <c r="AB27" i="2" s="1"/>
  <c r="AP27" i="2"/>
  <c r="AW26" i="2"/>
  <c r="BJ26" i="2"/>
  <c r="AB26" i="2"/>
  <c r="BJ25" i="2"/>
  <c r="AQ25" i="2"/>
  <c r="AB25" i="2"/>
  <c r="AW24" i="2"/>
  <c r="BJ24" i="2"/>
  <c r="AB24" i="2"/>
  <c r="Y23" i="2"/>
  <c r="AB23" i="2" s="1"/>
  <c r="AP23" i="2"/>
  <c r="BJ22" i="2"/>
  <c r="AQ22" i="2"/>
  <c r="AB22" i="2"/>
  <c r="Y21" i="2"/>
  <c r="AB21" i="2" s="1"/>
  <c r="AP21" i="2"/>
  <c r="AW20" i="2"/>
  <c r="BJ20" i="2"/>
  <c r="AB20" i="2"/>
  <c r="Y19" i="2"/>
  <c r="AB19" i="2" s="1"/>
  <c r="AP19" i="2"/>
  <c r="BJ18" i="2"/>
  <c r="AQ18" i="2"/>
  <c r="AB18" i="2"/>
  <c r="AW17" i="2"/>
  <c r="BJ17" i="2"/>
  <c r="AB17" i="2"/>
  <c r="AW16" i="2"/>
  <c r="BJ16" i="2"/>
  <c r="AB16" i="2"/>
  <c r="BJ15" i="2"/>
  <c r="AQ15" i="2"/>
  <c r="AB15" i="2"/>
  <c r="Y14" i="2"/>
  <c r="AB14" i="2" s="1"/>
  <c r="AP14" i="2"/>
  <c r="BJ13" i="2"/>
  <c r="AQ13" i="2"/>
  <c r="AB13" i="2"/>
  <c r="BJ12" i="2"/>
  <c r="AQ12" i="2"/>
  <c r="AB12" i="2"/>
  <c r="Y11" i="2"/>
  <c r="AB11" i="2" s="1"/>
  <c r="AP11" i="2"/>
  <c r="Y9" i="2"/>
  <c r="AP9" i="2"/>
  <c r="A45" i="8"/>
  <c r="W10" i="2"/>
  <c r="Z10" i="2"/>
  <c r="AA10" i="2" s="1"/>
  <c r="CF50" i="2" l="1"/>
  <c r="K50" i="2"/>
  <c r="CE50" i="2"/>
  <c r="J50" i="2"/>
  <c r="CC50" i="2"/>
  <c r="BR50" i="2"/>
  <c r="GL50" i="2" s="1"/>
  <c r="GM50" i="2" s="1"/>
  <c r="D50" i="2"/>
  <c r="BM50" i="2"/>
  <c r="M50" i="2" s="1"/>
  <c r="C50" i="2"/>
  <c r="BL50" i="2"/>
  <c r="B50" i="2"/>
  <c r="AC50" i="2"/>
  <c r="DI50" i="2"/>
  <c r="EV50" i="2" s="1"/>
  <c r="EW50" i="2" s="1"/>
  <c r="BU50" i="2"/>
  <c r="GQ50" i="2" s="1"/>
  <c r="GR50" i="2" s="1"/>
  <c r="DL50" i="2"/>
  <c r="BT50" i="2"/>
  <c r="CL50" i="2"/>
  <c r="BY50" i="2"/>
  <c r="GH50" i="2" s="1"/>
  <c r="W50" i="2"/>
  <c r="Y50" i="2" s="1"/>
  <c r="CK50" i="2"/>
  <c r="CS50" i="2" s="1"/>
  <c r="CT50" i="2" s="1"/>
  <c r="CV50" i="2" s="1"/>
  <c r="I50" i="2"/>
  <c r="BS50" i="2"/>
  <c r="L50" i="2" s="1"/>
  <c r="DE50" i="2"/>
  <c r="H50" i="2" s="1"/>
  <c r="AE50" i="2"/>
  <c r="BK50" i="2"/>
  <c r="CJ50" i="2"/>
  <c r="DO50" i="2"/>
  <c r="CB50" i="2"/>
  <c r="DD50" i="2"/>
  <c r="CU50" i="2"/>
  <c r="DQ50" i="2"/>
  <c r="DM50" i="2"/>
  <c r="Z50" i="2"/>
  <c r="AA50" i="2" s="1"/>
  <c r="AB50" i="2" s="1"/>
  <c r="BJ29" i="2"/>
  <c r="EI47" i="2" a="1"/>
  <c r="EI47" i="2" s="1"/>
  <c r="T47" i="2" s="1" a="1"/>
  <c r="T47" i="2" s="1"/>
  <c r="BJ21" i="2"/>
  <c r="BJ37" i="2"/>
  <c r="BJ14" i="2"/>
  <c r="CY48" i="2"/>
  <c r="FA48" i="2" s="1"/>
  <c r="FB48" i="2" s="1"/>
  <c r="BJ19" i="2"/>
  <c r="BJ27" i="2"/>
  <c r="BJ45" i="2"/>
  <c r="BJ33" i="2"/>
  <c r="AW45" i="2"/>
  <c r="HG45" i="2" s="1"/>
  <c r="BJ23" i="2"/>
  <c r="Y10" i="2"/>
  <c r="AB10" i="2" s="1"/>
  <c r="AP10" i="2"/>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F91" i="3" s="1"/>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E50" i="2" l="1"/>
  <c r="HM50" i="2"/>
  <c r="G50" i="2"/>
  <c r="EI50" i="2" a="1"/>
  <c r="EI50" i="2" s="1"/>
  <c r="ER50" i="2"/>
  <c r="BI50" i="2"/>
  <c r="AF50" i="2" a="1"/>
  <c r="AF50" i="2" s="1"/>
  <c r="EJ50" i="2" a="1"/>
  <c r="EJ50" i="2" s="1"/>
  <c r="T50" i="2" s="1" a="1"/>
  <c r="T50" i="2" s="1"/>
  <c r="U50" i="2" s="1"/>
  <c r="EM50" i="2"/>
  <c r="EN50" i="2" s="1"/>
  <c r="AV50" i="2"/>
  <c r="AU50" i="2"/>
  <c r="AO50" i="2"/>
  <c r="CY50" i="2"/>
  <c r="FA50" i="2" s="1"/>
  <c r="FB50" i="2" s="1"/>
  <c r="AG50" i="2"/>
  <c r="P50" i="2"/>
  <c r="AP50" i="2" s="1"/>
  <c r="EI48" i="2" a="1"/>
  <c r="EI48" i="2" s="1"/>
  <c r="T48" i="2" s="1" a="1"/>
  <c r="T48" i="2" s="1"/>
  <c r="BJ10" i="2"/>
  <c r="CY49" i="2"/>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DP50" i="2" l="1" a="1"/>
  <c r="DP50" i="2" s="1"/>
  <c r="DU50" i="2" s="1"/>
  <c r="AH50" i="2" a="1"/>
  <c r="AH50" i="2" s="1"/>
  <c r="AI50" i="2" a="1"/>
  <c r="AI50" i="2" s="1"/>
  <c r="AK50" i="2" a="1"/>
  <c r="AK50" i="2" s="1"/>
  <c r="DS50" i="2"/>
  <c r="DT50" i="2" s="1"/>
  <c r="DJ50" i="2" a="1"/>
  <c r="DJ50" i="2" s="1"/>
  <c r="DV50" i="2" s="1"/>
  <c r="AJ50" i="2"/>
  <c r="DK50" i="2" a="1"/>
  <c r="DK50" i="2" s="1"/>
  <c r="DW50" i="2" s="1" a="1"/>
  <c r="DW50" i="2" s="1"/>
  <c r="BD50" i="2"/>
  <c r="BA50" i="2"/>
  <c r="BJ50" i="2" s="1"/>
  <c r="R50" i="2"/>
  <c r="AL50" i="2"/>
  <c r="AQ50" i="2" s="1"/>
  <c r="T49" i="2" a="1"/>
  <c r="T49" i="2" s="1"/>
  <c r="I25" i="3" s="1"/>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HE50" i="2" l="1"/>
  <c r="AW50" i="2"/>
  <c r="V50" i="2" s="1"/>
  <c r="EK50" i="2" s="1"/>
  <c r="DR50" i="2"/>
  <c r="H21" i="3"/>
  <c r="I6" i="3"/>
  <c r="I14" i="3"/>
  <c r="I22" i="3"/>
  <c r="I29" i="3"/>
  <c r="H29" i="3"/>
  <c r="K6" i="3"/>
  <c r="K14" i="3"/>
  <c r="K22" i="3"/>
  <c r="K29" i="3"/>
  <c r="H5" i="3"/>
  <c r="I7" i="3"/>
  <c r="I15" i="3"/>
  <c r="I23" i="3"/>
  <c r="U49" i="2"/>
  <c r="U61" i="2" s="1"/>
  <c r="H9" i="3"/>
  <c r="H17" i="3"/>
  <c r="H25" i="3"/>
  <c r="I18" i="3"/>
  <c r="I26" i="3"/>
  <c r="I12" i="3"/>
  <c r="K18" i="3"/>
  <c r="K26" i="3"/>
  <c r="H13" i="3"/>
  <c r="I10" i="3"/>
  <c r="K10" i="3"/>
  <c r="I28" i="3"/>
  <c r="I11" i="3"/>
  <c r="I19" i="3"/>
  <c r="I27" i="3"/>
  <c r="I5" i="3"/>
  <c r="I30" i="3"/>
  <c r="I21" i="3"/>
  <c r="I24" i="3"/>
  <c r="I8" i="3"/>
  <c r="I9" i="3"/>
  <c r="V47" i="2"/>
  <c r="DR49" i="2"/>
  <c r="R49" i="2"/>
  <c r="AL49" i="2"/>
  <c r="AL61" i="2" s="1"/>
  <c r="BD49" i="2"/>
  <c r="BD61" i="2" s="1"/>
  <c r="BA49" i="2"/>
  <c r="BA61" i="2" s="1"/>
  <c r="AV49" i="2"/>
  <c r="I20" i="3" s="1"/>
  <c r="AU49" i="2"/>
  <c r="AU61" i="2" s="1"/>
  <c r="AP49" i="2"/>
  <c r="AP61" i="2" s="1"/>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I16" i="3"/>
  <c r="AW48" i="2"/>
  <c r="AQ48" i="2"/>
  <c r="L37" i="1" a="1"/>
  <c r="EK46" i="2"/>
  <c r="A39" i="9"/>
  <c r="GD34" i="2"/>
  <c r="FY34" i="2"/>
  <c r="FZ34" i="2" s="1"/>
  <c r="FT34" i="2"/>
  <c r="FU34" i="2" s="1"/>
  <c r="EN61" i="2"/>
  <c r="L49" i="3" s="1"/>
  <c r="H32" i="3" l="1"/>
  <c r="AV61" i="2"/>
  <c r="L37" i="1"/>
  <c r="BJ49" i="2"/>
  <c r="V48" i="2"/>
  <c r="HG48" i="2"/>
  <c r="FU9" i="2"/>
  <c r="FZ9" i="2"/>
  <c r="AW49" i="2"/>
  <c r="I17" i="3"/>
  <c r="AQ49" i="2"/>
  <c r="EK47" i="2"/>
  <c r="A40" i="9"/>
  <c r="F146" i="3"/>
  <c r="HE49" i="2" l="1"/>
  <c r="V49" i="2"/>
  <c r="AQ61" i="2"/>
  <c r="I32" i="3"/>
  <c r="AW61" i="2"/>
  <c r="EK48" i="2"/>
  <c r="A50" i="9"/>
  <c r="F94" i="3"/>
  <c r="V64" i="2" l="1"/>
  <c r="B14" i="13" s="1"/>
  <c r="A43" i="9"/>
  <c r="V61" i="2"/>
  <c r="M43" i="3" s="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L33" i="1" l="1"/>
  <c r="H89" i="3"/>
  <c r="H150" i="3"/>
  <c r="H137" i="3"/>
  <c r="H116" i="3"/>
  <c r="H128" i="3"/>
  <c r="H135" i="3"/>
  <c r="H92" i="3"/>
  <c r="H151" i="3"/>
  <c r="H109" i="3"/>
  <c r="H112" i="3"/>
  <c r="H147" i="3"/>
  <c r="H114" i="3"/>
  <c r="H101" i="3"/>
  <c r="F157" i="3"/>
  <c r="H91" i="3"/>
  <c r="H123" i="3"/>
  <c r="H146" i="3"/>
  <c r="H94" i="3"/>
  <c r="EK61" i="2"/>
  <c r="J32" i="3"/>
  <c r="M63" i="3"/>
  <c r="J63" i="3"/>
  <c r="M62" i="3"/>
  <c r="J62" i="3"/>
  <c r="M56" i="3"/>
  <c r="J56" i="3"/>
  <c r="FG50" i="2" s="1"/>
  <c r="M55" i="3"/>
  <c r="J55" i="3"/>
  <c r="FF50" i="2" s="1"/>
  <c r="M54" i="3"/>
  <c r="J54" i="3"/>
  <c r="FE50" i="2" s="1"/>
  <c r="M53" i="3"/>
  <c r="J53" i="3"/>
  <c r="J49" i="3"/>
  <c r="EL50" i="2" s="1"/>
  <c r="EO50" i="2" s="1"/>
  <c r="EP50" i="2" s="1"/>
  <c r="J50" i="3"/>
  <c r="EQ50" i="2" s="1"/>
  <c r="J51" i="3"/>
  <c r="EU50" i="2" s="1"/>
  <c r="EX50" i="2" s="1"/>
  <c r="J52" i="3"/>
  <c r="EZ50" i="2" s="1"/>
  <c r="FC50" i="2" s="1"/>
  <c r="J57" i="3"/>
  <c r="FH50" i="2" s="1"/>
  <c r="J58" i="3"/>
  <c r="FR50" i="2" s="1"/>
  <c r="J59" i="3"/>
  <c r="FW50" i="2" s="1"/>
  <c r="J61" i="3"/>
  <c r="GB50" i="2" s="1"/>
  <c r="J64" i="3"/>
  <c r="GG50" i="2" s="1"/>
  <c r="J67" i="3"/>
  <c r="GK50" i="2" s="1"/>
  <c r="GN50" i="2" s="1"/>
  <c r="J68" i="3"/>
  <c r="GP50" i="2" s="1"/>
  <c r="GS50" i="2" s="1"/>
  <c r="J69" i="3"/>
  <c r="GU50" i="2" s="1"/>
  <c r="GX50" i="2" s="1"/>
  <c r="J70" i="3"/>
  <c r="GZ50" i="2" s="1"/>
  <c r="HC50" i="2" s="1"/>
  <c r="M70" i="3"/>
  <c r="M50" i="3"/>
  <c r="M68" i="3"/>
  <c r="M49" i="3"/>
  <c r="FY50" i="2" l="1"/>
  <c r="FZ50" i="2" s="1"/>
  <c r="GD50" i="2"/>
  <c r="FT50" i="2"/>
  <c r="C89" i="14"/>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ES50" i="2" l="1"/>
  <c r="ET50" i="2" s="1"/>
  <c r="EY50" i="2" s="1"/>
  <c r="FD50" i="2" s="1"/>
  <c r="GS61" i="2"/>
  <c r="K68" i="3" s="1"/>
  <c r="E87" i="14" s="1"/>
  <c r="HC61" i="2"/>
  <c r="K70" i="3" s="1"/>
  <c r="E89" i="14" s="1"/>
  <c r="FU12" i="2"/>
  <c r="FZ12" i="2"/>
  <c r="G157" i="3"/>
  <c r="EO61" i="2"/>
  <c r="K49" i="3" s="1"/>
  <c r="EP9" i="2"/>
  <c r="ES10" i="2" s="1"/>
  <c r="ET10" i="2" s="1"/>
  <c r="EY10" i="2" s="1"/>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6" i="2"/>
  <c r="ET36" i="2" s="1"/>
  <c r="EY36" i="2" s="1"/>
  <c r="ES40" i="2"/>
  <c r="ET40" i="2" s="1"/>
  <c r="ES41" i="2"/>
  <c r="ET41" i="2" s="1"/>
  <c r="EY41" i="2" s="1"/>
  <c r="FD41" i="2" s="1"/>
  <c r="ES42" i="2"/>
  <c r="ET42" i="2" s="1"/>
  <c r="EY42" i="2" s="1"/>
  <c r="FD42" i="2" s="1"/>
  <c r="ES43" i="2"/>
  <c r="ET43" i="2" s="1"/>
  <c r="ES44" i="2"/>
  <c r="ET44" i="2" s="1"/>
  <c r="ES49" i="2"/>
  <c r="ET49" i="2" s="1"/>
  <c r="EY49" i="2" s="1"/>
  <c r="FD49" i="2" s="1"/>
  <c r="FI50" i="2" l="1"/>
  <c r="FJ50" i="2" s="1"/>
  <c r="ES9" i="2"/>
  <c r="ET9" i="2" s="1"/>
  <c r="ES25" i="2"/>
  <c r="ET25" i="2" s="1"/>
  <c r="EY25" i="2" s="1"/>
  <c r="FD25" i="2" s="1"/>
  <c r="ES33" i="2"/>
  <c r="ET33" i="2" s="1"/>
  <c r="EY33" i="2" s="1"/>
  <c r="FD33" i="2" s="1"/>
  <c r="FI33" i="2" s="1"/>
  <c r="FJ33" i="2" s="1"/>
  <c r="FL33" i="2" s="1"/>
  <c r="FK33" i="2" s="1"/>
  <c r="ES48" i="2"/>
  <c r="ET48" i="2" s="1"/>
  <c r="EY48" i="2" s="1"/>
  <c r="FD48" i="2" s="1"/>
  <c r="ES32" i="2"/>
  <c r="ET32" i="2" s="1"/>
  <c r="EY32" i="2" s="1"/>
  <c r="FD32" i="2" s="1"/>
  <c r="FI32" i="2" s="1"/>
  <c r="FJ32" i="2" s="1"/>
  <c r="ES14" i="2"/>
  <c r="ET14" i="2" s="1"/>
  <c r="EY14" i="2" s="1"/>
  <c r="ES13" i="2"/>
  <c r="ET13" i="2" s="1"/>
  <c r="EY13" i="2" s="1"/>
  <c r="FD13" i="2" s="1"/>
  <c r="FI13" i="2" s="1"/>
  <c r="FJ13" i="2" s="1"/>
  <c r="ES31" i="2"/>
  <c r="ET31" i="2" s="1"/>
  <c r="EY31" i="2" s="1"/>
  <c r="FD31" i="2" s="1"/>
  <c r="FI31" i="2" s="1"/>
  <c r="FJ31" i="2" s="1"/>
  <c r="ES46" i="2"/>
  <c r="ET46" i="2" s="1"/>
  <c r="EY46" i="2" s="1"/>
  <c r="FD46" i="2" s="1"/>
  <c r="FI46" i="2" s="1"/>
  <c r="FJ46" i="2" s="1"/>
  <c r="ES12" i="2"/>
  <c r="ET12" i="2" s="1"/>
  <c r="EY12" i="2" s="1"/>
  <c r="FD12" i="2" s="1"/>
  <c r="ES39" i="2"/>
  <c r="ET39" i="2" s="1"/>
  <c r="EY39" i="2" s="1"/>
  <c r="FD39" i="2" s="1"/>
  <c r="FI39" i="2" s="1"/>
  <c r="FJ39" i="2" s="1"/>
  <c r="ES15" i="2"/>
  <c r="ET15" i="2" s="1"/>
  <c r="EY15" i="2" s="1"/>
  <c r="FD15" i="2" s="1"/>
  <c r="ES38" i="2"/>
  <c r="ET38" i="2" s="1"/>
  <c r="EY38" i="2" s="1"/>
  <c r="FD38" i="2" s="1"/>
  <c r="FI38" i="2" s="1"/>
  <c r="FJ38" i="2" s="1"/>
  <c r="ES22" i="2"/>
  <c r="ET22" i="2" s="1"/>
  <c r="EY22" i="2" s="1"/>
  <c r="FD22" i="2" s="1"/>
  <c r="FI22" i="2" s="1"/>
  <c r="FJ22" i="2" s="1"/>
  <c r="ES45" i="2"/>
  <c r="ET45" i="2" s="1"/>
  <c r="EY45" i="2" s="1"/>
  <c r="FD45" i="2" s="1"/>
  <c r="FI45" i="2" s="1"/>
  <c r="FJ45" i="2" s="1"/>
  <c r="ES29" i="2"/>
  <c r="ET29" i="2" s="1"/>
  <c r="EY29" i="2" s="1"/>
  <c r="ES35" i="2"/>
  <c r="ET35" i="2" s="1"/>
  <c r="EY35" i="2" s="1"/>
  <c r="FD35" i="2" s="1"/>
  <c r="FI35" i="2" s="1"/>
  <c r="FJ35" i="2" s="1"/>
  <c r="ES27" i="2"/>
  <c r="ET27" i="2" s="1"/>
  <c r="EY27" i="2" s="1"/>
  <c r="FD27" i="2" s="1"/>
  <c r="ES19" i="2"/>
  <c r="ET19" i="2" s="1"/>
  <c r="EY19" i="2" s="1"/>
  <c r="ES11" i="2"/>
  <c r="ET11" i="2" s="1"/>
  <c r="EY11" i="2" s="1"/>
  <c r="FD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18" i="2" s="1"/>
  <c r="FJ18" i="2" s="1"/>
  <c r="FI49" i="2"/>
  <c r="FJ49" i="2" s="1"/>
  <c r="FI48" i="2"/>
  <c r="FJ48" i="2" s="1"/>
  <c r="FI42" i="2"/>
  <c r="FJ42" i="2" s="1"/>
  <c r="FI41" i="2"/>
  <c r="FJ41" i="2" s="1"/>
  <c r="FI30" i="2"/>
  <c r="FJ30" i="2" s="1"/>
  <c r="FI28" i="2"/>
  <c r="FJ28" i="2" s="1"/>
  <c r="FL28" i="2" s="1"/>
  <c r="FK28" i="2" s="1"/>
  <c r="FI27" i="2"/>
  <c r="FJ27" i="2" s="1"/>
  <c r="FL27" i="2" s="1"/>
  <c r="FK27" i="2" s="1"/>
  <c r="FI26" i="2"/>
  <c r="FJ26" i="2" s="1"/>
  <c r="FI25" i="2"/>
  <c r="FJ25" i="2" s="1"/>
  <c r="FI24" i="2"/>
  <c r="FJ24"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2" i="2"/>
  <c r="FJ12" i="2" s="1"/>
  <c r="FI11" i="2"/>
  <c r="FJ11" i="2" s="1"/>
  <c r="FL11" i="2" s="1"/>
  <c r="FK11" i="2" s="1"/>
  <c r="ES61" i="2" l="1"/>
  <c r="K50" i="3" s="1"/>
  <c r="ET61" i="2"/>
  <c r="EY9" i="2"/>
  <c r="FP11" i="2"/>
  <c r="FO11" i="2"/>
  <c r="FN11" i="2"/>
  <c r="FM11" i="2"/>
  <c r="FI44" i="2"/>
  <c r="FJ44" i="2" s="1"/>
  <c r="FI43" i="2"/>
  <c r="FJ43" i="2" s="1"/>
  <c r="FI40" i="2"/>
  <c r="FJ40" i="2" s="1"/>
  <c r="FI20" i="2"/>
  <c r="FJ20" i="2" s="1"/>
  <c r="EX17" i="2"/>
  <c r="EW61" i="2"/>
  <c r="L51" i="3" s="1"/>
  <c r="M51" i="3" s="1"/>
  <c r="FP27" i="2"/>
  <c r="FO27" i="2"/>
  <c r="FN27" i="2"/>
  <c r="FM27" i="2"/>
  <c r="FP28" i="2"/>
  <c r="FO28" i="2"/>
  <c r="FN28" i="2"/>
  <c r="FM28" i="2"/>
  <c r="FP33" i="2"/>
  <c r="FO33" i="2"/>
  <c r="FN33" i="2"/>
  <c r="FM33" i="2"/>
  <c r="FQ11" i="2" l="1"/>
  <c r="FQ28" i="2"/>
  <c r="FV28" i="2" s="1"/>
  <c r="GA28" i="2" s="1"/>
  <c r="GE28" i="2" s="1"/>
  <c r="GF28" i="2" s="1"/>
  <c r="FQ33" i="2"/>
  <c r="FV33" i="2" s="1"/>
  <c r="FQ27" i="2"/>
  <c r="EX61" i="2"/>
  <c r="K51" i="3" s="1"/>
  <c r="EY17" i="2"/>
  <c r="FD17" i="2" s="1"/>
  <c r="FV11" i="2"/>
  <c r="FS1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FS33" i="2" l="1"/>
  <c r="EY61" i="2"/>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P19" i="2"/>
  <c r="FO19" i="2"/>
  <c r="FN19" i="2"/>
  <c r="FM19" i="2"/>
  <c r="FP21" i="2"/>
  <c r="FO21" i="2"/>
  <c r="FN21" i="2"/>
  <c r="FM21" i="2"/>
  <c r="FP23" i="2"/>
  <c r="FO23" i="2"/>
  <c r="FN23" i="2"/>
  <c r="FM23" i="2"/>
  <c r="FP29" i="2"/>
  <c r="FO29" i="2"/>
  <c r="FN29" i="2"/>
  <c r="FM29" i="2"/>
  <c r="FP34" i="2"/>
  <c r="FO34" i="2"/>
  <c r="FN34" i="2"/>
  <c r="FM34" i="2"/>
  <c r="FP36" i="2"/>
  <c r="FO36" i="2"/>
  <c r="FN36" i="2"/>
  <c r="FM36" i="2"/>
  <c r="FP37" i="2"/>
  <c r="FO37" i="2"/>
  <c r="FN37" i="2"/>
  <c r="FM37" i="2"/>
  <c r="FQ36" i="2" l="1"/>
  <c r="FV36" i="2" s="1"/>
  <c r="FQ14" i="2"/>
  <c r="FV14" i="2" s="1"/>
  <c r="FQ29" i="2"/>
  <c r="FV29" i="2" s="1"/>
  <c r="FQ21" i="2"/>
  <c r="FV21" i="2" s="1"/>
  <c r="FQ37" i="2"/>
  <c r="FV37" i="2" s="1"/>
  <c r="FQ34" i="2"/>
  <c r="FV34" i="2" s="1"/>
  <c r="FQ23" i="2"/>
  <c r="FV23" i="2" s="1"/>
  <c r="FQ19" i="2"/>
  <c r="FV19" i="2" s="1"/>
  <c r="GA19" i="2" s="1"/>
  <c r="GE19" i="2" s="1"/>
  <c r="GF19" i="2" s="1"/>
  <c r="FQ10" i="2"/>
  <c r="FV10" i="2" s="1"/>
  <c r="FS29" i="2"/>
  <c r="FD61" i="2"/>
  <c r="FI9" i="2"/>
  <c r="K53" i="3"/>
  <c r="K52" i="3"/>
  <c r="FS21" i="2" l="1"/>
  <c r="FS37" i="2"/>
  <c r="FS10" i="2"/>
  <c r="FS34" i="2"/>
  <c r="FI61" i="2"/>
  <c r="FJ9" i="2"/>
  <c r="FL50" i="2" s="1"/>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L20" i="2"/>
  <c r="FK20" i="2" s="1"/>
  <c r="FL40" i="2"/>
  <c r="FK40" i="2" s="1"/>
  <c r="FL43" i="2"/>
  <c r="FK43" i="2" s="1"/>
  <c r="FL44" i="2"/>
  <c r="FK44" i="2" s="1"/>
  <c r="FL17" i="2"/>
  <c r="FK17" i="2" s="1"/>
  <c r="FK49" i="2" l="1"/>
  <c r="FM49" i="2" s="1"/>
  <c r="FK50" i="2"/>
  <c r="FP17" i="2"/>
  <c r="FO17" i="2"/>
  <c r="FN17" i="2"/>
  <c r="FM17" i="2"/>
  <c r="FP44" i="2"/>
  <c r="FO44" i="2"/>
  <c r="FN44" i="2"/>
  <c r="FM44" i="2"/>
  <c r="FP43" i="2"/>
  <c r="FO43" i="2"/>
  <c r="FN43" i="2"/>
  <c r="FM43" i="2"/>
  <c r="FP40" i="2"/>
  <c r="FO40" i="2"/>
  <c r="FN40" i="2"/>
  <c r="FM40" i="2"/>
  <c r="FP20" i="2"/>
  <c r="FO20" i="2"/>
  <c r="FN20" i="2"/>
  <c r="FM20" i="2"/>
  <c r="FP48" i="2"/>
  <c r="FO48" i="2"/>
  <c r="FN48" i="2"/>
  <c r="FM48" i="2"/>
  <c r="FP47" i="2"/>
  <c r="FO47" i="2"/>
  <c r="FN47" i="2"/>
  <c r="FM47" i="2"/>
  <c r="FP46" i="2"/>
  <c r="FO46" i="2"/>
  <c r="FN46" i="2"/>
  <c r="FM46" i="2"/>
  <c r="FP45" i="2"/>
  <c r="FO45" i="2"/>
  <c r="FN45" i="2"/>
  <c r="FM45" i="2"/>
  <c r="FP42" i="2"/>
  <c r="FO42" i="2"/>
  <c r="FN42" i="2"/>
  <c r="FM42" i="2"/>
  <c r="FP41" i="2"/>
  <c r="FO41" i="2"/>
  <c r="FN41" i="2"/>
  <c r="FM41" i="2"/>
  <c r="FP39" i="2"/>
  <c r="FO39" i="2"/>
  <c r="FN39" i="2"/>
  <c r="FM39" i="2"/>
  <c r="FP38" i="2"/>
  <c r="FO38" i="2"/>
  <c r="FN38" i="2"/>
  <c r="FM38" i="2"/>
  <c r="FP35" i="2"/>
  <c r="FO35" i="2"/>
  <c r="FN35" i="2"/>
  <c r="FM35" i="2"/>
  <c r="FP32" i="2"/>
  <c r="FO32" i="2"/>
  <c r="FN32" i="2"/>
  <c r="FM32" i="2"/>
  <c r="FP31" i="2"/>
  <c r="FO31" i="2"/>
  <c r="FN31" i="2"/>
  <c r="FM31" i="2"/>
  <c r="FP30" i="2"/>
  <c r="FO30" i="2"/>
  <c r="FN30" i="2"/>
  <c r="FM30" i="2"/>
  <c r="FP26" i="2"/>
  <c r="FO26" i="2"/>
  <c r="FN26" i="2"/>
  <c r="FM26" i="2"/>
  <c r="FP25" i="2"/>
  <c r="FO25" i="2"/>
  <c r="FN25" i="2"/>
  <c r="FM25" i="2"/>
  <c r="FP24" i="2"/>
  <c r="FO24" i="2"/>
  <c r="FN24" i="2"/>
  <c r="FM24" i="2"/>
  <c r="FP22" i="2"/>
  <c r="FO22" i="2"/>
  <c r="FN22" i="2"/>
  <c r="FM22" i="2"/>
  <c r="FP18" i="2"/>
  <c r="FO18" i="2"/>
  <c r="FN18" i="2"/>
  <c r="FM18" i="2"/>
  <c r="FP16" i="2"/>
  <c r="FO16" i="2"/>
  <c r="FN16" i="2"/>
  <c r="FM16" i="2"/>
  <c r="FP15" i="2"/>
  <c r="FO15" i="2"/>
  <c r="FN15" i="2"/>
  <c r="FM15" i="2"/>
  <c r="FP13" i="2"/>
  <c r="FO13" i="2"/>
  <c r="FN13" i="2"/>
  <c r="FM13" i="2"/>
  <c r="FP12" i="2"/>
  <c r="FO12" i="2"/>
  <c r="FN12" i="2"/>
  <c r="FM12" i="2"/>
  <c r="FP9" i="2"/>
  <c r="FO9" i="2"/>
  <c r="FN9" i="2"/>
  <c r="FM9" i="2"/>
  <c r="GH23" i="2"/>
  <c r="FQ13" i="2" l="1"/>
  <c r="FQ22" i="2"/>
  <c r="FQ16" i="2"/>
  <c r="FN49" i="2"/>
  <c r="FO49" i="2"/>
  <c r="FP49" i="2"/>
  <c r="FQ25" i="2"/>
  <c r="FV25" i="2" s="1"/>
  <c r="FQ30" i="2"/>
  <c r="FV30" i="2" s="1"/>
  <c r="FQ32" i="2"/>
  <c r="FV32" i="2" s="1"/>
  <c r="FQ41" i="2"/>
  <c r="FV41" i="2" s="1"/>
  <c r="GA41" i="2" s="1"/>
  <c r="FQ17" i="2"/>
  <c r="FV17" i="2" s="1"/>
  <c r="FQ45" i="2"/>
  <c r="FV45" i="2" s="1"/>
  <c r="FQ47" i="2"/>
  <c r="FS36" i="2" s="1"/>
  <c r="FQ40" i="2"/>
  <c r="FQ44" i="2"/>
  <c r="FV44" i="2" s="1"/>
  <c r="FP50" i="2"/>
  <c r="FO50" i="2"/>
  <c r="FN50" i="2"/>
  <c r="FM50" i="2"/>
  <c r="FM61" i="2" s="1"/>
  <c r="K54" i="3" s="1"/>
  <c r="FQ38" i="2"/>
  <c r="FS23" i="2" s="1"/>
  <c r="FQ18" i="2"/>
  <c r="FQ26" i="2"/>
  <c r="FV26" i="2" s="1"/>
  <c r="GA26" i="2" s="1"/>
  <c r="FQ39" i="2"/>
  <c r="FV39" i="2" s="1"/>
  <c r="FQ42" i="2"/>
  <c r="FV42" i="2" s="1"/>
  <c r="GA42" i="2" s="1"/>
  <c r="FQ48" i="2"/>
  <c r="FQ43" i="2"/>
  <c r="FV43" i="2" s="1"/>
  <c r="FQ12" i="2"/>
  <c r="FV12" i="2" s="1"/>
  <c r="FQ15" i="2"/>
  <c r="FV15" i="2" s="1"/>
  <c r="FQ24" i="2"/>
  <c r="FV24" i="2" s="1"/>
  <c r="FQ31" i="2"/>
  <c r="FV31" i="2" s="1"/>
  <c r="FQ35" i="2"/>
  <c r="FV35" i="2" s="1"/>
  <c r="GA35" i="2" s="1"/>
  <c r="FQ46" i="2"/>
  <c r="FQ20" i="2"/>
  <c r="FS20" i="2" s="1"/>
  <c r="GH61" i="2"/>
  <c r="L64" i="3" s="1"/>
  <c r="M64" i="3" s="1"/>
  <c r="FQ9" i="2"/>
  <c r="FV16" i="2"/>
  <c r="FS16" i="2"/>
  <c r="FV22" i="2"/>
  <c r="FS32" i="2"/>
  <c r="FS45" i="2"/>
  <c r="FS26" i="2" l="1"/>
  <c r="FS47" i="2"/>
  <c r="FV47" i="2"/>
  <c r="FS38" i="2"/>
  <c r="FS17" i="2"/>
  <c r="FV38" i="2"/>
  <c r="GA38" i="2" s="1"/>
  <c r="FS39" i="2"/>
  <c r="FS24" i="2"/>
  <c r="FO61" i="2"/>
  <c r="K56" i="3" s="1"/>
  <c r="FP61" i="2"/>
  <c r="K57" i="3" s="1"/>
  <c r="L57" i="3" s="1"/>
  <c r="M57" i="3" s="1"/>
  <c r="FS44" i="2"/>
  <c r="FS15" i="2"/>
  <c r="FN61" i="2"/>
  <c r="K55" i="3" s="1"/>
  <c r="FS25" i="2"/>
  <c r="FS28" i="2"/>
  <c r="FS14" i="2"/>
  <c r="FQ49" i="2"/>
  <c r="FV49" i="2" s="1"/>
  <c r="GA49" i="2" s="1"/>
  <c r="FS42" i="2"/>
  <c r="FS22" i="2"/>
  <c r="FS30" i="2"/>
  <c r="FQ50" i="2"/>
  <c r="FS46" i="2" s="1"/>
  <c r="FU46" i="2" s="1"/>
  <c r="FV46" i="2" s="1"/>
  <c r="GA46" i="2" s="1"/>
  <c r="GE46" i="2" s="1"/>
  <c r="GF46" i="2" s="1"/>
  <c r="FS41" i="2"/>
  <c r="FV20" i="2"/>
  <c r="FX20" i="2" s="1"/>
  <c r="FS31" i="2"/>
  <c r="FS35" i="2"/>
  <c r="FS19" i="2"/>
  <c r="FS12" i="2"/>
  <c r="FS43" i="2"/>
  <c r="GA17" i="2"/>
  <c r="FX17" i="2"/>
  <c r="FX26" i="2"/>
  <c r="GA43" i="2"/>
  <c r="FX43" i="2"/>
  <c r="GA47" i="2"/>
  <c r="FX36" i="2"/>
  <c r="FX47" i="2"/>
  <c r="GA45" i="2"/>
  <c r="FX45" i="2"/>
  <c r="GA39" i="2"/>
  <c r="FX14" i="2"/>
  <c r="FX28" i="2"/>
  <c r="FX39" i="2"/>
  <c r="FX41" i="2"/>
  <c r="GA32" i="2"/>
  <c r="FX32" i="2"/>
  <c r="GA31" i="2"/>
  <c r="FX31" i="2"/>
  <c r="GA25" i="2"/>
  <c r="FX25" i="2"/>
  <c r="GA22" i="2"/>
  <c r="FX22" i="2"/>
  <c r="FX42" i="2"/>
  <c r="GA16" i="2"/>
  <c r="FX16" i="2"/>
  <c r="FX15" i="2"/>
  <c r="FX24" i="2"/>
  <c r="FZ24" i="2" s="1"/>
  <c r="GA24" i="2" s="1"/>
  <c r="FX30" i="2"/>
  <c r="FZ30" i="2" s="1"/>
  <c r="GA30" i="2" s="1"/>
  <c r="FX44" i="2"/>
  <c r="FZ44" i="2" s="1"/>
  <c r="GA44" i="2" s="1"/>
  <c r="GA12" i="2"/>
  <c r="FX12" i="2"/>
  <c r="FX19" i="2"/>
  <c r="FX35" i="2"/>
  <c r="FV9" i="2"/>
  <c r="FS9" i="2"/>
  <c r="FS13" i="2" l="1"/>
  <c r="FU13" i="2" s="1"/>
  <c r="FV13" i="2" s="1"/>
  <c r="FS18" i="2"/>
  <c r="FU18" i="2" s="1"/>
  <c r="FV18" i="2" s="1"/>
  <c r="GA18" i="2" s="1"/>
  <c r="GE18" i="2" s="1"/>
  <c r="GF18" i="2" s="1"/>
  <c r="FS40" i="2"/>
  <c r="FU40" i="2" s="1"/>
  <c r="FV40" i="2" s="1"/>
  <c r="GA40" i="2" s="1"/>
  <c r="GE40" i="2" s="1"/>
  <c r="GF40" i="2" s="1"/>
  <c r="FS48" i="2"/>
  <c r="FU48" i="2" s="1"/>
  <c r="FV48" i="2" s="1"/>
  <c r="GA48" i="2" s="1"/>
  <c r="GE48" i="2" s="1"/>
  <c r="GF48" i="2" s="1"/>
  <c r="FS27" i="2"/>
  <c r="FU27" i="2" s="1"/>
  <c r="FV27" i="2" s="1"/>
  <c r="GA27" i="2" s="1"/>
  <c r="GE27" i="2" s="1"/>
  <c r="GF27" i="2" s="1"/>
  <c r="FX38" i="2"/>
  <c r="FX23" i="2"/>
  <c r="FQ61" i="2"/>
  <c r="FS61" i="2"/>
  <c r="L58" i="3" s="1"/>
  <c r="M58" i="3" s="1"/>
  <c r="GA20" i="2"/>
  <c r="GC20" i="2" s="1"/>
  <c r="GE20" i="2" s="1"/>
  <c r="GF20" i="2" s="1"/>
  <c r="FS49" i="2"/>
  <c r="FS50" i="2"/>
  <c r="FU50" i="2" s="1"/>
  <c r="FV50" i="2" s="1"/>
  <c r="GA9" i="2"/>
  <c r="FX9" i="2"/>
  <c r="GC12" i="2"/>
  <c r="GC19" i="2"/>
  <c r="GC35" i="2"/>
  <c r="GE35" i="2" s="1"/>
  <c r="GF35" i="2" s="1"/>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C45" i="2"/>
  <c r="GE45" i="2" s="1"/>
  <c r="GF45" i="2" s="1"/>
  <c r="GC36" i="2"/>
  <c r="GC47" i="2"/>
  <c r="GE47" i="2" s="1"/>
  <c r="GF47" i="2" s="1"/>
  <c r="GC43" i="2"/>
  <c r="GE43" i="2" s="1"/>
  <c r="GF43" i="2" s="1"/>
  <c r="GC17" i="2"/>
  <c r="GE17" i="2" s="1"/>
  <c r="GF17" i="2" s="1"/>
  <c r="GC26" i="2"/>
  <c r="GE26" i="2" s="1"/>
  <c r="GF26" i="2" s="1"/>
  <c r="FU61" i="2" l="1"/>
  <c r="K58" i="3" s="1"/>
  <c r="GA50" i="2"/>
  <c r="FX50" i="2"/>
  <c r="FX49" i="2"/>
  <c r="GI17" i="2"/>
  <c r="GJ17" i="2" s="1"/>
  <c r="GO17" i="2" s="1"/>
  <c r="GT17" i="2" s="1"/>
  <c r="GY17" i="2" s="1"/>
  <c r="HD17" i="2" s="1"/>
  <c r="HG17" i="2" s="1"/>
  <c r="GI43" i="2"/>
  <c r="GJ43" i="2" s="1"/>
  <c r="GO43" i="2" s="1"/>
  <c r="GT43" i="2" s="1"/>
  <c r="GY43" i="2" s="1"/>
  <c r="HD43" i="2" s="1"/>
  <c r="HG43" i="2" s="1"/>
  <c r="HN43" i="2" s="1"/>
  <c r="GI20" i="2"/>
  <c r="GJ20" i="2" s="1"/>
  <c r="GO20" i="2" s="1"/>
  <c r="GT20" i="2" s="1"/>
  <c r="GY20" i="2" s="1"/>
  <c r="HD20" i="2" s="1"/>
  <c r="HG20" i="2" s="1"/>
  <c r="HN20" i="2" s="1"/>
  <c r="FZ61" i="2"/>
  <c r="K59" i="3" s="1"/>
  <c r="GA15" i="2"/>
  <c r="GA13" i="2"/>
  <c r="FX13" i="2"/>
  <c r="FX18" i="2"/>
  <c r="FX27" i="2"/>
  <c r="FX40" i="2"/>
  <c r="FX46" i="2"/>
  <c r="FX48" i="2"/>
  <c r="FV61" i="2"/>
  <c r="GC61" i="2"/>
  <c r="GE12" i="2"/>
  <c r="GF12" i="2" s="1"/>
  <c r="GE9" i="2"/>
  <c r="GC9" i="2"/>
  <c r="GA61" i="2" l="1"/>
  <c r="GC50" i="2"/>
  <c r="GE50" i="2" s="1"/>
  <c r="GF50" i="2" s="1"/>
  <c r="GC49" i="2"/>
  <c r="GE49" i="2" s="1"/>
  <c r="GF49" i="2" s="1"/>
  <c r="GF9" i="2"/>
  <c r="GE13" i="2"/>
  <c r="GC13" i="2"/>
  <c r="GC18" i="2"/>
  <c r="GC27" i="2"/>
  <c r="GC40" i="2"/>
  <c r="GC46" i="2"/>
  <c r="GC48" i="2"/>
  <c r="GE15" i="2"/>
  <c r="GF15" i="2" s="1"/>
  <c r="GC15" i="2"/>
  <c r="GC24" i="2"/>
  <c r="GC30" i="2"/>
  <c r="GC44" i="2"/>
  <c r="K25" i="3"/>
  <c r="HN17" i="2"/>
  <c r="GI40" i="2" l="1"/>
  <c r="GJ40" i="2" s="1"/>
  <c r="GO40" i="2" s="1"/>
  <c r="GT40" i="2" s="1"/>
  <c r="GY40" i="2" s="1"/>
  <c r="HD40" i="2" s="1"/>
  <c r="HG40" i="2" s="1"/>
  <c r="GI41" i="2"/>
  <c r="GJ41" i="2" s="1"/>
  <c r="GO41" i="2" s="1"/>
  <c r="GT41" i="2" s="1"/>
  <c r="GY41" i="2" s="1"/>
  <c r="HD41" i="2" s="1"/>
  <c r="HG41" i="2" s="1"/>
  <c r="HN41" i="2" s="1"/>
  <c r="GI42" i="2"/>
  <c r="GJ42" i="2" s="1"/>
  <c r="GO42" i="2" s="1"/>
  <c r="GT42" i="2" s="1"/>
  <c r="GY42" i="2" s="1"/>
  <c r="HD42" i="2" s="1"/>
  <c r="HG42" i="2" s="1"/>
  <c r="HN42" i="2" s="1"/>
  <c r="GI44" i="2"/>
  <c r="GJ44" i="2" s="1"/>
  <c r="GO44" i="2" s="1"/>
  <c r="GT44" i="2" s="1"/>
  <c r="GY44" i="2" s="1"/>
  <c r="HD44" i="2" s="1"/>
  <c r="HG44" i="2" s="1"/>
  <c r="HN44" i="2" s="1"/>
  <c r="GI50" i="2"/>
  <c r="GJ50" i="2" s="1"/>
  <c r="GO50" i="2" s="1"/>
  <c r="GT50" i="2" s="1"/>
  <c r="GY50" i="2" s="1"/>
  <c r="HD50" i="2" s="1"/>
  <c r="GI49" i="2"/>
  <c r="GJ49" i="2" s="1"/>
  <c r="GO49" i="2" s="1"/>
  <c r="GT49" i="2" s="1"/>
  <c r="GY49" i="2" s="1"/>
  <c r="HD49" i="2" s="1"/>
  <c r="HG49" i="2" s="1"/>
  <c r="HN49" i="2" s="1"/>
  <c r="GI24" i="2"/>
  <c r="GJ24" i="2" s="1"/>
  <c r="GO24" i="2" s="1"/>
  <c r="GT24" i="2" s="1"/>
  <c r="GY24" i="2" s="1"/>
  <c r="HD24" i="2" s="1"/>
  <c r="HG24" i="2" s="1"/>
  <c r="HN24" i="2" s="1"/>
  <c r="GI26" i="2"/>
  <c r="GJ26" i="2" s="1"/>
  <c r="GO26" i="2" s="1"/>
  <c r="GT26" i="2" s="1"/>
  <c r="GY26" i="2" s="1"/>
  <c r="HD26" i="2" s="1"/>
  <c r="HG26" i="2" s="1"/>
  <c r="HN26" i="2" s="1"/>
  <c r="GI16" i="2"/>
  <c r="GJ16" i="2" s="1"/>
  <c r="GO16" i="2" s="1"/>
  <c r="GT16" i="2" s="1"/>
  <c r="GI28" i="2"/>
  <c r="GJ28" i="2" s="1"/>
  <c r="GO28" i="2" s="1"/>
  <c r="GT28" i="2" s="1"/>
  <c r="GY28" i="2" s="1"/>
  <c r="HD28" i="2" s="1"/>
  <c r="HN28" i="2" s="1"/>
  <c r="GI30" i="2"/>
  <c r="GJ30" i="2" s="1"/>
  <c r="GO30" i="2" s="1"/>
  <c r="GT30" i="2" s="1"/>
  <c r="GY30" i="2" s="1"/>
  <c r="HD30" i="2" s="1"/>
  <c r="HG30" i="2" s="1"/>
  <c r="HN30" i="2" s="1"/>
  <c r="GI36" i="2"/>
  <c r="GJ36" i="2" s="1"/>
  <c r="GO36" i="2" s="1"/>
  <c r="GT36" i="2" s="1"/>
  <c r="GI15" i="2"/>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s="1"/>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40" i="2" l="1"/>
  <c r="HG50" i="2"/>
  <c r="HN50" i="2" s="1"/>
  <c r="HN35" i="2"/>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K21" i="3" l="1"/>
  <c r="HN32" i="2"/>
  <c r="K9" i="3"/>
  <c r="GJ11" i="2"/>
  <c r="GO11" i="2" s="1"/>
  <c r="GT11" i="2" s="1"/>
  <c r="GY11" i="2" s="1"/>
  <c r="HD11" i="2" s="1"/>
  <c r="HN11" i="2" s="1"/>
  <c r="GI61" i="2"/>
  <c r="K64" i="3" s="1"/>
  <c r="HN12" i="2"/>
  <c r="HE61" i="2"/>
  <c r="K13" i="3"/>
  <c r="GO9" i="2"/>
  <c r="K17" i="3"/>
  <c r="HG61" i="2"/>
  <c r="HN16" i="2"/>
  <c r="GX10" i="2"/>
  <c r="GW61" i="2"/>
  <c r="L69" i="3" s="1"/>
  <c r="GN21" i="2"/>
  <c r="GM61" i="2"/>
  <c r="L67" i="3" s="1"/>
  <c r="M67" i="3" s="1"/>
  <c r="GJ61" i="2" l="1"/>
  <c r="K32" i="3"/>
  <c r="L5" i="3" s="1"/>
  <c r="GN61" i="2"/>
  <c r="K67" i="3" s="1"/>
  <c r="GO21" i="2"/>
  <c r="GT21" i="2" s="1"/>
  <c r="GY21" i="2" s="1"/>
  <c r="HD21" i="2" s="1"/>
  <c r="HN21" i="2" s="1"/>
  <c r="D88" i="14"/>
  <c r="M69" i="3"/>
  <c r="GX61" i="2"/>
  <c r="K69" i="3" s="1"/>
  <c r="E88" i="14" s="1"/>
  <c r="GY10" i="2"/>
  <c r="HD10" i="2" s="1"/>
  <c r="HN10" i="2" s="1"/>
  <c r="GT9" i="2"/>
  <c r="L13" i="3" l="1"/>
  <c r="L21" i="3"/>
  <c r="L17" i="3"/>
  <c r="L26" i="3"/>
  <c r="L22" i="3"/>
  <c r="L18" i="3"/>
  <c r="L14" i="3"/>
  <c r="L10" i="3"/>
  <c r="L9" i="3"/>
  <c r="L6" i="3"/>
  <c r="L25" i="3"/>
  <c r="L29" i="3"/>
  <c r="M44" i="3"/>
  <c r="L34" i="1" s="1"/>
  <c r="L35" i="1" s="1"/>
  <c r="GO61" i="2"/>
  <c r="GT61" i="2"/>
  <c r="GY9" i="2"/>
  <c r="G38" i="3" l="1"/>
  <c r="G174" i="3" s="1"/>
  <c r="G175" i="3" s="1"/>
  <c r="L32" i="3"/>
  <c r="M45" i="3"/>
  <c r="GY61" i="2"/>
  <c r="HD9" i="2"/>
  <c r="L48" i="1" l="1"/>
  <c r="L23" i="1" s="1"/>
  <c r="L26" i="1" s="1"/>
  <c r="B54" i="14" s="1"/>
  <c r="HD61" i="2"/>
  <c r="HN9" i="2"/>
  <c r="AJ24" i="4"/>
  <c r="AJ29" i="4" s="1"/>
  <c r="AF24" i="4"/>
  <c r="AE24" i="4"/>
  <c r="AE29" i="4" s="1"/>
  <c r="AD24" i="4"/>
  <c r="AD29" i="4" s="1"/>
  <c r="AC24" i="4"/>
  <c r="AC29" i="4" s="1"/>
  <c r="AB24" i="4"/>
  <c r="AB29" i="4" s="1"/>
  <c r="AA24" i="4"/>
  <c r="AA29" i="4" s="1"/>
  <c r="Z24" i="4"/>
  <c r="Z29" i="4" s="1"/>
  <c r="Y24" i="4"/>
  <c r="X24" i="4"/>
  <c r="X29" i="4" s="1"/>
  <c r="T24" i="4"/>
  <c r="T29" i="4" s="1"/>
  <c r="S24" i="4"/>
  <c r="S29" i="4" s="1"/>
  <c r="R24" i="4"/>
  <c r="R29" i="4" s="1"/>
  <c r="Q24" i="4"/>
  <c r="Q29" i="4" s="1"/>
  <c r="K24" i="4"/>
  <c r="K29" i="4" s="1"/>
  <c r="Y29" i="4"/>
  <c r="AF29" i="4"/>
  <c r="U29" i="4" l="1"/>
  <c r="U24" i="4"/>
  <c r="L28" i="1"/>
  <c r="L29" i="1" s="1"/>
  <c r="L42" i="1"/>
  <c r="L58" i="1"/>
  <c r="L56" i="1"/>
  <c r="L62" i="1"/>
  <c r="B1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<sst xmlns="http://schemas.openxmlformats.org/spreadsheetml/2006/main" count="5770" uniqueCount="2604">
  <si>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</si>
  <si>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</si>
  <si>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</si>
  <si>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</si>
  <si>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</si>
  <si>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</si>
  <si>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</si>
  <si>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</si>
  <si>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</si>
  <si>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</si>
  <si>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</si>
  <si>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</si>
  <si>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</si>
  <si>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</si>
  <si>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</si>
  <si>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</si>
  <si>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</si>
  <si>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</si>
  <si>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</si>
  <si>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</si>
  <si>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</si>
  <si>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</si>
  <si>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</si>
  <si>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</si>
  <si>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</si>
  <si>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</si>
  <si>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</si>
  <si>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</si>
  <si>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</si>
  <si>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</si>
  <si>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</si>
  <si>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</si>
  <si>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</si>
  <si>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</si>
  <si>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</si>
  <si>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</si>
  <si>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</si>
  <si>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</si>
  <si>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</si>
  <si>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</si>
  <si>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</si>
  <si>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</si>
  <si>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</si>
  <si>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</si>
  <si>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</si>
  <si>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</si>
  <si>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</si>
  <si>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</si>
  <si>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</si>
  <si>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</si>
  <si>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</si>
  <si>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</si>
  <si>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</si>
  <si>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</si>
  <si>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</si>
  <si>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</si>
  <si>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</si>
  <si>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</si>
  <si>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</si>
  <si>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</si>
  <si>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</si>
  <si>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</si>
  <si>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</si>
  <si>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</si>
  <si>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</si>
  <si>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</si>
  <si>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</si>
  <si>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</si>
  <si>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</si>
  <si>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</si>
  <si>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</si>
  <si>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</si>
  <si>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</si>
  <si>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</si>
  <si>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</si>
  <si>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</si>
  <si>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</si>
  <si>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</si>
  <si>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</si>
  <si>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</si>
  <si>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</si>
  <si>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</si>
  <si>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</si>
  <si>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</si>
  <si>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</si>
  <si>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</si>
  <si>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</si>
  <si>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</si>
  <si>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</si>
  <si>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</si>
  <si>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</si>
  <si>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</si>
  <si>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</si>
  <si>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</si>
  <si>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</si>
  <si>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</si>
  <si>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</si>
  <si>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</si>
  <si>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</si>
  <si>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</si>
  <si>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</si>
  <si>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</si>
  <si>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</si>
  <si>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</si>
  <si>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</si>
  <si>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</si>
  <si>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</si>
  <si>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</si>
  <si>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</si>
  <si>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</si>
  <si>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</si>
  <si>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</si>
  <si>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</si>
  <si>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</si>
  <si>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</si>
  <si>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</si>
  <si>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</si>
  <si>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</si>
  <si>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</si>
  <si>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</si>
  <si>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</si>
  <si>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</si>
  <si>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</si>
  <si>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</si>
  <si>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</si>
  <si>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</si>
  <si>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</si>
  <si>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</si>
  <si>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</si>
  <si>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</si>
  <si>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</si>
  <si>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</si>
  <si>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</si>
  <si>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</si>
  <si>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</si>
  <si>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</si>
  <si>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</si>
  <si>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</si>
  <si>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</si>
  <si>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</si>
  <si>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</si>
  <si>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</si>
  <si>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</si>
  <si>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</si>
  <si>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</si>
  <si>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</si>
  <si>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</si>
  <si>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</si>
  <si>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</si>
  <si>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</si>
  <si>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</si>
  <si>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</si>
  <si>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</si>
  <si>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</si>
  <si>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</si>
  <si>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</si>
  <si>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</si>
  <si>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</si>
  <si>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</si>
  <si>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</si>
  <si>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</si>
  <si>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</si>
  <si>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</si>
  <si>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</si>
  <si>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</si>
  <si>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</si>
  <si>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</si>
  <si>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</si>
  <si>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</si>
  <si>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</si>
  <si>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</si>
  <si>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</si>
  <si>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</si>
  <si>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</si>
  <si>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</si>
  <si>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</si>
  <si>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</si>
  <si>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</si>
  <si>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</si>
  <si>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</si>
  <si>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</si>
  <si>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</si>
  <si>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</si>
  <si>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</si>
  <si>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</si>
  <si>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</si>
  <si>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</si>
  <si>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</si>
  <si>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</si>
  <si>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</si>
  <si>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</si>
  <si>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</si>
  <si>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</si>
  <si>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</si>
  <si>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</si>
  <si>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</si>
  <si>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</si>
  <si>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</si>
  <si>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</si>
  <si>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</si>
  <si>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</si>
  <si>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</si>
  <si>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</si>
  <si>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</si>
  <si>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</si>
  <si>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</si>
  <si>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</si>
  <si>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</si>
  <si>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</si>
  <si>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</si>
  <si>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</si>
  <si>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</si>
  <si>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</si>
  <si>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</si>
  <si>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</si>
  <si>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</si>
  <si>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</si>
  <si>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</si>
  <si>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</si>
  <si>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</si>
  <si>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</si>
  <si>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</si>
  <si>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</si>
  <si>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</si>
  <si>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</si>
  <si>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</si>
  <si>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</si>
  <si>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</si>
  <si>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</si>
  <si>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</si>
  <si>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</si>
  <si>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</si>
  <si>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</si>
  <si>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</si>
  <si>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</si>
  <si>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</si>
  <si>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</si>
  <si>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</si>
  <si>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</si>
  <si>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</si>
  <si>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</si>
  <si>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</si>
  <si>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</si>
  <si>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</si>
  <si>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</si>
  <si>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</si>
  <si>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</si>
  <si>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</si>
  <si>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</si>
  <si>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</si>
  <si>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</si>
  <si>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</si>
  <si>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</si>
  <si>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</si>
  <si>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</si>
  <si>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</si>
  <si>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</si>
  <si>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</si>
  <si>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</si>
  <si>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</si>
  <si>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</si>
  <si>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</si>
  <si>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</si>
  <si>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</si>
  <si>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</si>
  <si>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</si>
  <si>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</si>
  <si>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</si>
  <si>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</si>
  <si>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</si>
  <si>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</si>
  <si>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</si>
  <si>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</si>
  <si>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</si>
  <si>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</si>
  <si>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</si>
  <si>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</si>
  <si>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</si>
  <si>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</si>
  <si>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</si>
  <si>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</si>
  <si>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</si>
  <si>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</si>
  <si>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</si>
  <si>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</si>
  <si>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</si>
  <si>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</si>
  <si>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</si>
  <si>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</si>
  <si>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</si>
  <si>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</si>
  <si>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</si>
  <si>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</si>
  <si>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</si>
  <si>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</si>
  <si>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</si>
  <si>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</si>
  <si>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</si>
  <si>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</si>
  <si>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</si>
  <si>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</si>
  <si>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</si>
  <si>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</si>
  <si>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</si>
  <si>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</si>
  <si>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</si>
  <si>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</si>
  <si>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</si>
  <si>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</si>
  <si>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</si>
  <si>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</si>
  <si>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</si>
  <si>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</si>
  <si>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</si>
  <si>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</si>
  <si>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</si>
  <si>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</si>
  <si>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</si>
  <si>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</si>
  <si>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</si>
  <si>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</si>
  <si>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</si>
  <si>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</si>
  <si>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</si>
  <si>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</si>
  <si>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</si>
  <si>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</si>
  <si>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</si>
  <si>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</si>
  <si>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</si>
  <si>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</si>
  <si>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</si>
  <si>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</si>
  <si>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</si>
  <si>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</si>
  <si>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</si>
  <si>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</si>
  <si>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</si>
  <si>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</si>
  <si>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</si>
  <si>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</si>
  <si>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</si>
  <si>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</si>
  <si>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</si>
  <si>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</si>
  <si>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</si>
  <si>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</si>
  <si>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</si>
  <si>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</si>
  <si>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</si>
  <si>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</si>
  <si>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</si>
  <si>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</si>
  <si>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</si>
  <si>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</si>
  <si>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</si>
  <si>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</si>
  <si>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</si>
  <si>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</si>
  <si>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</si>
  <si>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</si>
  <si>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</si>
  <si>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</si>
  <si>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</si>
  <si>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</si>
  <si>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</si>
  <si>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</si>
  <si>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</si>
  <si>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</si>
  <si>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</si>
  <si>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</si>
  <si>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</si>
  <si>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</si>
  <si>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</si>
  <si>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</si>
  <si>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</si>
  <si>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</si>
  <si>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</si>
  <si>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</si>
  <si>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</si>
  <si>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</si>
  <si>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</si>
  <si>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</si>
  <si>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</si>
  <si>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</si>
  <si>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</si>
  <si>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</si>
  <si>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</si>
  <si>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</si>
  <si>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</si>
  <si>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</si>
  <si>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</si>
  <si>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</si>
  <si>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</si>
  <si>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</si>
  <si>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</si>
  <si>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</si>
  <si>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</si>
  <si>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</si>
  <si>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</si>
  <si>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</si>
  <si>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</si>
  <si>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</si>
  <si>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</si>
  <si>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</si>
  <si>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</si>
  <si>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</si>
  <si>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</si>
  <si>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</si>
  <si>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</si>
  <si>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</si>
  <si>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</si>
  <si>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</si>
  <si>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</si>
  <si>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</si>
  <si>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</si>
  <si>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</si>
  <si>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</si>
  <si>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</si>
  <si>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</si>
  <si>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</si>
  <si>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</si>
  <si>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</si>
  <si>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</si>
  <si>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</si>
  <si>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</si>
  <si>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</si>
  <si>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</si>
  <si>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</si>
  <si>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</si>
  <si>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</si>
  <si>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</si>
  <si>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</si>
  <si>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</si>
  <si>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</si>
  <si>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</si>
  <si>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</si>
  <si>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</si>
  <si>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</si>
  <si>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</si>
  <si>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</si>
  <si>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</si>
  <si>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</si>
  <si>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</si>
  <si>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</si>
  <si>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</si>
  <si>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</si>
  <si>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</si>
  <si>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</si>
  <si>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</si>
  <si>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</si>
  <si>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</si>
  <si>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</si>
  <si>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</si>
  <si>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</si>
  <si>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</si>
  <si>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</si>
  <si>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</si>
  <si>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</si>
  <si>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</si>
  <si>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</si>
  <si>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</si>
  <si>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</si>
  <si>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</si>
  <si>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</si>
  <si>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</si>
  <si>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</si>
  <si>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</si>
  <si>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</si>
  <si>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</si>
  <si>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</si>
  <si>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</si>
  <si>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</si>
  <si>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</si>
  <si>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</si>
  <si>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</si>
  <si>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</si>
  <si>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</si>
  <si>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</si>
  <si>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</si>
  <si>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</si>
  <si>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</si>
  <si>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</si>
  <si>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</si>
  <si>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</si>
  <si>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</si>
  <si>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</si>
  <si>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</si>
  <si>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</si>
  <si>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</si>
  <si>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</si>
  <si>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</si>
  <si>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</si>
  <si>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</si>
  <si>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</si>
  <si>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</si>
  <si>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</si>
  <si>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</si>
  <si>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</si>
  <si>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</si>
  <si>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</si>
  <si>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</si>
  <si>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</si>
  <si>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</si>
  <si>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</si>
  <si>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</si>
  <si>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</si>
  <si>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</si>
  <si>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</si>
  <si>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</si>
  <si>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</si>
  <si>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</si>
  <si>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</si>
  <si>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</si>
  <si>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</si>
  <si>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</si>
  <si>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</si>
  <si>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</si>
  <si>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</si>
  <si>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</si>
  <si>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</si>
  <si>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</si>
  <si>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</si>
  <si>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</si>
  <si>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</si>
  <si>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</si>
  <si>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</si>
  <si>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</si>
  <si>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</si>
  <si>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</si>
  <si>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</si>
  <si>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</si>
  <si>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</si>
  <si>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</si>
  <si>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</si>
  <si>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</si>
  <si>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</si>
  <si>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</si>
  <si>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</si>
  <si>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</si>
  <si>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</si>
  <si>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</si>
  <si>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</si>
  <si>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</si>
  <si>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</si>
  <si>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</si>
  <si>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</si>
  <si>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</si>
  <si>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</si>
  <si>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</si>
  <si>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</si>
  <si>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</si>
  <si>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</si>
  <si>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</si>
  <si>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</si>
  <si>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</si>
  <si>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</si>
  <si>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</si>
  <si>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</si>
  <si>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</si>
  <si>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</si>
  <si>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</si>
  <si>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</si>
  <si>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</si>
  <si>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</si>
  <si>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</si>
  <si>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</si>
  <si>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</si>
  <si>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</si>
  <si>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</si>
  <si>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</si>
  <si>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</si>
  <si>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</si>
  <si>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</si>
  <si>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</si>
  <si>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</si>
  <si>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</si>
  <si>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</si>
  <si>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</si>
  <si>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</si>
  <si>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</si>
  <si>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</si>
  <si>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</si>
  <si>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</si>
  <si>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</si>
  <si>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</si>
  <si>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</si>
  <si>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</si>
  <si>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</si>
  <si>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</si>
  <si>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</si>
  <si>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</si>
  <si>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</si>
  <si>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</si>
  <si>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</si>
  <si>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</si>
  <si>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</si>
  <si>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</si>
  <si>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</si>
  <si>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</si>
  <si>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</si>
  <si>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</si>
  <si>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</si>
  <si>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</si>
  <si>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</si>
  <si>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</si>
  <si>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</si>
  <si>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</si>
  <si>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</si>
  <si>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</si>
  <si>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</si>
  <si>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</si>
  <si>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</si>
  <si>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</si>
  <si>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</si>
  <si>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</si>
  <si>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</si>
  <si>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</si>
  <si>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</si>
  <si>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</si>
  <si>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</si>
  <si>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</si>
  <si>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</si>
  <si>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</si>
  <si>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</si>
  <si>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</si>
  <si>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</si>
  <si>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</si>
  <si>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</si>
  <si>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</si>
  <si>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</si>
  <si>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</si>
  <si>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</si>
  <si>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</si>
  <si>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</si>
  <si>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</si>
  <si>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</si>
  <si>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</si>
  <si>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</si>
  <si>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</si>
  <si>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</si>
  <si>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</si>
  <si>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</si>
  <si>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</si>
  <si>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</si>
  <si>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</si>
  <si>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</si>
  <si>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</si>
  <si>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</si>
  <si>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</si>
  <si>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</si>
  <si>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</si>
  <si>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</si>
  <si>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</si>
  <si>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</si>
  <si>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</si>
  <si>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</si>
  <si>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</si>
  <si>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</si>
  <si>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</si>
  <si>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</si>
  <si>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</si>
  <si>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</si>
  <si>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</si>
  <si>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</si>
  <si>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</si>
  <si>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</si>
  <si>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</si>
  <si>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</si>
  <si>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</si>
  <si>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</si>
  <si>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</si>
  <si>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</si>
  <si>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</si>
  <si>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</si>
  <si>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</si>
  <si>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</si>
  <si>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</si>
  <si>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</si>
  <si>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</si>
  <si>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</si>
  <si>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</si>
  <si>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</si>
  <si>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</si>
  <si>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</si>
  <si>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</si>
  <si>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</si>
  <si>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</si>
  <si>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</si>
  <si>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</si>
  <si>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</si>
  <si>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</si>
  <si>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</si>
  <si>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</si>
  <si>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</si>
  <si>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</si>
  <si>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</si>
  <si>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</si>
  <si>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</si>
  <si>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</si>
  <si>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</si>
  <si>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</si>
  <si>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</si>
  <si>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</si>
  <si>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</si>
  <si>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</si>
  <si>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</si>
  <si>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</si>
  <si>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</si>
  <si>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</si>
  <si>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</si>
  <si>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</si>
  <si>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</si>
  <si>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</si>
  <si>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</si>
  <si>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</si>
  <si>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</si>
  <si>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</si>
  <si>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</si>
  <si>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</si>
  <si>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</si>
  <si>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</si>
  <si>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</si>
  <si>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</si>
  <si>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</si>
  <si>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</si>
  <si>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</si>
  <si>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</si>
  <si>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</si>
  <si>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</si>
  <si>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</si>
  <si>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</si>
  <si>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</si>
  <si>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</si>
  <si>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</si>
  <si>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</si>
  <si>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</si>
  <si>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</si>
  <si>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</si>
  <si>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</si>
  <si>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</si>
  <si>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</si>
  <si>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</si>
  <si>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</si>
  <si>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</si>
  <si>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</si>
  <si>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</si>
  <si>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</si>
  <si>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</si>
  <si>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</si>
  <si>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</si>
  <si>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</si>
  <si>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</si>
  <si>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</si>
  <si>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</si>
  <si>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</si>
  <si>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</si>
  <si>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</si>
  <si>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</si>
  <si>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</si>
  <si>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</si>
  <si>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</si>
  <si>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</si>
  <si>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</si>
  <si>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</si>
  <si>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</si>
  <si>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</si>
  <si>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</si>
  <si>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</si>
  <si>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</si>
  <si>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</si>
  <si>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</si>
  <si>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</si>
  <si>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</si>
  <si>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</si>
  <si>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</si>
  <si>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</si>
  <si>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</si>
  <si>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</si>
  <si>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</si>
  <si>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</si>
  <si>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</si>
  <si>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</si>
  <si>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</si>
  <si>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</si>
  <si>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</si>
  <si>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</si>
  <si>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</si>
  <si>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</si>
  <si>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</si>
  <si>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</si>
  <si>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</si>
  <si>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</si>
  <si>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</si>
  <si>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</si>
  <si>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</si>
  <si>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</si>
  <si>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</si>
  <si>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</si>
  <si>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</si>
  <si>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</si>
  <si>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</si>
  <si>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</si>
  <si>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</si>
  <si>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</si>
  <si>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</si>
  <si>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</si>
  <si>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</si>
  <si>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</si>
  <si>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</si>
  <si>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</si>
  <si>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</si>
  <si>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</si>
  <si>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</si>
  <si>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</si>
  <si>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</si>
  <si>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</si>
  <si>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</si>
  <si>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</si>
  <si>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</si>
  <si>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</si>
  <si>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</si>
  <si>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</si>
  <si>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</si>
  <si>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</si>
  <si>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</si>
  <si>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</si>
  <si>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</si>
  <si>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</si>
  <si>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</si>
  <si>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</si>
  <si>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</si>
  <si>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</si>
  <si>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</si>
  <si>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</si>
  <si>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</si>
  <si>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</si>
  <si>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</si>
  <si>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</si>
  <si>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</si>
  <si>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</si>
  <si>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</si>
  <si>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</si>
  <si>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</si>
  <si>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</si>
  <si>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</si>
  <si>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</si>
  <si>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</si>
  <si>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</si>
  <si>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</si>
  <si>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</si>
  <si>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</si>
  <si>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</si>
  <si>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</si>
  <si>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</si>
  <si>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</si>
  <si>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</si>
  <si>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</si>
  <si>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</si>
  <si>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</si>
  <si>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</si>
  <si>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</si>
  <si>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</si>
  <si>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</si>
  <si>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</si>
  <si>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</si>
  <si>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</si>
  <si>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</si>
  <si>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</si>
  <si>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</si>
  <si>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</si>
  <si>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</si>
  <si>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</si>
  <si>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</si>
  <si>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</si>
  <si>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</si>
  <si>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</si>
  <si>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</si>
  <si>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</si>
  <si>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</si>
  <si>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</si>
  <si>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</si>
  <si>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</si>
  <si>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</si>
  <si>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</si>
  <si>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</si>
  <si>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</si>
  <si>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</si>
  <si>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</si>
  <si>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</si>
  <si>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</si>
  <si>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</si>
  <si>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</si>
  <si>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</si>
  <si>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</si>
  <si>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</si>
  <si>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</si>
  <si>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</si>
  <si>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</si>
  <si>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</si>
  <si>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</si>
  <si>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</si>
  <si>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</si>
  <si>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</si>
  <si>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</si>
  <si>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</si>
  <si>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</si>
  <si>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</si>
  <si>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</si>
  <si>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</si>
  <si>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</si>
  <si>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</si>
  <si>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</si>
  <si>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</si>
  <si>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</si>
  <si>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</si>
  <si>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</si>
  <si>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</si>
  <si>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</si>
  <si>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</si>
  <si>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</si>
  <si>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</si>
  <si>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</si>
  <si>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</si>
  <si>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</si>
  <si>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</si>
  <si>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</si>
  <si>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</si>
  <si>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</si>
  <si>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</si>
  <si>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</si>
  <si>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</si>
  <si>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</si>
  <si>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</si>
  <si>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</si>
  <si>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</si>
  <si>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</si>
  <si>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</si>
  <si>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</si>
  <si>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</si>
  <si>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</si>
  <si>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</si>
  <si>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</si>
  <si>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</si>
  <si>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</si>
  <si>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</si>
  <si>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</si>
  <si>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</si>
  <si>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</si>
  <si>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</si>
  <si>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</si>
  <si>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</si>
  <si>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</si>
  <si>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</si>
  <si>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</si>
  <si>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</si>
  <si>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</si>
  <si>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</si>
  <si>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</si>
  <si>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</si>
  <si>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</si>
  <si>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</si>
  <si>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</si>
  <si>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</si>
  <si>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</si>
  <si>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</si>
  <si>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</si>
  <si>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</si>
  <si>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</si>
  <si>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</si>
  <si>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</si>
  <si>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</si>
  <si>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</si>
  <si>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</si>
  <si>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</si>
  <si>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</si>
  <si>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</si>
  <si>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</si>
  <si>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</si>
  <si>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</si>
  <si>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</si>
  <si>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</si>
  <si>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</si>
  <si>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</si>
  <si>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</si>
  <si>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</si>
  <si>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</si>
  <si>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</si>
  <si>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</si>
  <si>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</si>
  <si>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</si>
  <si>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</si>
  <si>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</si>
  <si>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</si>
  <si>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</si>
  <si>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</si>
  <si>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</si>
  <si>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</si>
  <si>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</si>
  <si>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</si>
  <si>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</si>
  <si>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</si>
  <si>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</si>
  <si>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</si>
  <si>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</si>
  <si>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</si>
  <si>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</si>
  <si>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</si>
  <si>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</si>
  <si>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</si>
  <si>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</si>
  <si>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</si>
  <si>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</si>
  <si>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</si>
  <si>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</si>
  <si>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</si>
  <si>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</si>
  <si>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</si>
  <si>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</si>
  <si>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</si>
  <si>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</si>
  <si>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</si>
  <si>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</si>
  <si>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</si>
  <si>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</si>
  <si>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</si>
  <si>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</si>
  <si>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</si>
  <si>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</si>
  <si>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</si>
  <si>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</si>
  <si>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</si>
  <si>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</si>
  <si>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</si>
  <si>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</si>
  <si>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</si>
  <si>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</si>
  <si>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</si>
  <si>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</si>
  <si>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</si>
  <si>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</si>
  <si>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</si>
  <si>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</si>
  <si>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</si>
  <si>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</si>
  <si>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</si>
  <si>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</si>
  <si>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</si>
  <si>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</si>
  <si>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</si>
  <si>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</si>
  <si>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</si>
  <si>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</si>
  <si>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</si>
  <si>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</si>
  <si>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</si>
  <si>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</si>
  <si>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</si>
  <si>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</si>
  <si>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</si>
  <si>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</si>
  <si>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</si>
  <si>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</si>
  <si>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</si>
  <si>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</si>
  <si>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</si>
  <si>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</si>
  <si>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</si>
  <si>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</si>
  <si>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</si>
  <si>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</si>
  <si>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</si>
  <si>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</si>
  <si>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</si>
  <si>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</si>
  <si>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</si>
  <si>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</si>
  <si>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</si>
  <si>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</si>
  <si>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</si>
  <si>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</si>
  <si>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</si>
  <si>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</si>
  <si>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</si>
  <si>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</si>
  <si>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</si>
  <si>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</si>
  <si>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</si>
  <si>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</si>
  <si>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</si>
  <si>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</si>
  <si>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</si>
  <si>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</si>
  <si>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</si>
  <si>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</si>
  <si>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</si>
  <si>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</si>
  <si>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</si>
  <si>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</si>
  <si>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</si>
  <si>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</si>
  <si>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</si>
  <si>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</si>
  <si>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</si>
  <si>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</si>
  <si>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</si>
  <si>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</si>
  <si>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</si>
  <si>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</si>
  <si>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</si>
  <si>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</si>
  <si>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</si>
  <si>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</si>
  <si>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</si>
  <si>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</si>
  <si>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</si>
  <si>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</si>
  <si>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</si>
  <si>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</si>
  <si>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</si>
  <si>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</si>
  <si>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</si>
  <si>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</si>
  <si>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</si>
  <si>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</si>
  <si>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</si>
  <si>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</si>
  <si>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</si>
  <si>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</si>
  <si>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</si>
  <si>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</si>
  <si>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</si>
  <si>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</si>
  <si>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</si>
  <si>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</si>
  <si>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</si>
  <si>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</si>
  <si>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</si>
  <si>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</si>
  <si>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</si>
  <si>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</si>
  <si>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</si>
  <si>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</si>
  <si>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</si>
  <si>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</si>
  <si>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</si>
  <si>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</si>
  <si>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</si>
  <si>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</si>
  <si>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</si>
  <si>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</si>
  <si>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</si>
  <si>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</si>
  <si>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</si>
  <si>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</si>
  <si>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</si>
  <si>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</si>
  <si>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</si>
  <si>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</si>
  <si>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</si>
  <si>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</si>
  <si>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</si>
  <si>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</si>
  <si>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</si>
  <si>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</si>
  <si>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</si>
  <si>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</si>
  <si>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</si>
  <si>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</si>
  <si>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</si>
  <si>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</si>
  <si>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</si>
  <si>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</si>
  <si>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</si>
  <si>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</si>
  <si>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</si>
  <si>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</si>
  <si>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</si>
  <si>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</si>
  <si>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</si>
  <si>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</si>
  <si>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</si>
  <si>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</si>
  <si>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</si>
  <si>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</si>
  <si>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</si>
  <si>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</si>
  <si>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</si>
  <si>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</si>
  <si>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</si>
  <si>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</si>
  <si>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</si>
  <si>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</si>
  <si>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</si>
  <si>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</si>
  <si>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</si>
  <si>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</si>
  <si>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</si>
  <si>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</si>
  <si>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</si>
  <si>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</si>
  <si>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</si>
  <si>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</si>
  <si>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</si>
  <si>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</si>
  <si>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</si>
  <si>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</si>
  <si>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</si>
  <si>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</si>
  <si>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</si>
  <si>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</si>
  <si>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</si>
  <si>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</si>
  <si>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</si>
  <si>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</si>
  <si>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</si>
  <si>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</si>
  <si>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</si>
  <si>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</si>
  <si>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</si>
  <si>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</si>
  <si>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</si>
  <si>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</si>
  <si>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</si>
  <si>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</si>
  <si>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</si>
  <si>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</si>
  <si>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</si>
  <si>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</si>
  <si>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</si>
  <si>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</si>
  <si>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</si>
  <si>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</si>
  <si>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</si>
  <si>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</si>
  <si>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</si>
  <si>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</si>
  <si>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</si>
  <si>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</si>
  <si>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</si>
  <si>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</si>
  <si>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</si>
  <si>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</si>
  <si>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</si>
  <si>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</si>
  <si>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</si>
  <si>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</si>
  <si>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</si>
  <si>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</si>
  <si>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</si>
  <si>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</si>
  <si>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</si>
  <si>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</si>
  <si>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</si>
  <si>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</si>
  <si>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</si>
  <si>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</si>
  <si>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</si>
  <si>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</si>
  <si>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</si>
  <si>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</si>
  <si>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</si>
  <si>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</si>
  <si>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</si>
  <si>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</si>
  <si>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</si>
  <si>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</si>
  <si>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</si>
  <si>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</si>
  <si>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</si>
  <si>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</si>
  <si>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</si>
  <si>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</si>
  <si>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</si>
  <si>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</si>
  <si>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</si>
  <si>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</si>
  <si>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</si>
  <si>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</si>
  <si>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</si>
  <si>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</si>
  <si>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</si>
  <si>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</si>
  <si>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</si>
  <si>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</si>
  <si>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</si>
  <si>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</si>
  <si>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</si>
  <si>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</si>
  <si>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</si>
  <si>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</si>
  <si>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</si>
  <si>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</si>
  <si>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</si>
  <si>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</si>
  <si>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</si>
  <si>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</si>
  <si>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</si>
  <si>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</si>
  <si>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</si>
  <si>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</si>
  <si>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</si>
  <si>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</si>
  <si>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</si>
  <si>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</si>
  <si>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</si>
  <si>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</si>
  <si>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</si>
  <si>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</si>
  <si>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</si>
  <si>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</si>
  <si>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</si>
  <si>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</si>
  <si>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</si>
  <si>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</si>
  <si>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</si>
  <si>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</si>
  <si>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</si>
  <si>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</si>
  <si>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</si>
  <si>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</si>
  <si>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</si>
  <si>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</si>
  <si>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</si>
  <si>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</si>
  <si>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</si>
  <si>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</si>
  <si>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</si>
  <si>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</si>
  <si>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</si>
  <si>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</si>
  <si>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</si>
  <si>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</si>
  <si>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</si>
  <si>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</si>
  <si>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</si>
  <si>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</si>
  <si>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</si>
  <si>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</si>
  <si>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</si>
  <si>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</si>
  <si>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</si>
  <si>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</si>
  <si>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</si>
  <si>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</si>
  <si>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</si>
  <si>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</si>
  <si>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</si>
  <si>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</si>
  <si>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</si>
  <si>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</si>
  <si>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</si>
  <si>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</si>
  <si>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</si>
  <si>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</si>
  <si>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</si>
  <si>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</si>
  <si>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</si>
  <si>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</si>
  <si>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</si>
  <si>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</si>
  <si>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</si>
  <si>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</si>
  <si>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</si>
  <si>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</si>
  <si>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</si>
  <si>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</si>
  <si>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</si>
  <si>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</si>
  <si>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</si>
  <si>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</si>
  <si>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</si>
  <si>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</si>
  <si>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</si>
  <si>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</si>
  <si>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</si>
  <si>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</si>
  <si>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</si>
  <si>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</si>
  <si>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</si>
  <si>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</si>
  <si>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</si>
  <si>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</si>
  <si>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</si>
  <si>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</si>
  <si>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</si>
  <si>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</si>
  <si>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</si>
  <si>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</si>
  <si>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</si>
  <si>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</si>
  <si>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</si>
  <si>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</si>
  <si>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</si>
  <si>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</si>
  <si>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</si>
  <si>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</si>
  <si>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</si>
  <si>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</si>
  <si>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</si>
  <si>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</si>
  <si>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</si>
  <si>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</si>
  <si>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</si>
  <si>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</si>
  <si>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</si>
  <si>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</si>
  <si>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</si>
  <si>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</si>
  <si>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</si>
  <si>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</si>
  <si>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</si>
  <si>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</si>
  <si>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</si>
  <si>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</si>
  <si>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</si>
  <si>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</si>
  <si>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</si>
  <si>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</si>
  <si>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</si>
  <si>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</si>
  <si>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</si>
  <si>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</si>
  <si>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</si>
  <si>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</si>
  <si>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</si>
  <si>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</si>
  <si>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</si>
  <si>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</si>
  <si>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</si>
  <si>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</si>
  <si>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</si>
  <si>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</si>
  <si>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</si>
  <si>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</si>
  <si>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</si>
  <si>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</si>
  <si>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</si>
  <si>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</si>
  <si>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</si>
  <si>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</si>
  <si>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</si>
  <si>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</si>
  <si>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</si>
  <si>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</si>
  <si>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</si>
  <si>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</si>
  <si>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</si>
  <si>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</si>
  <si>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</si>
  <si>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</si>
  <si>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</si>
  <si>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</si>
  <si>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</si>
  <si>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</si>
  <si>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</si>
  <si>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</si>
  <si>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</si>
  <si>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</si>
  <si>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</si>
  <si>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</si>
  <si>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</si>
  <si>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</si>
  <si>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</si>
  <si>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</si>
  <si>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</si>
  <si>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</si>
  <si>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</si>
  <si>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</si>
  <si>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</si>
  <si>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</si>
  <si>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</si>
  <si>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</si>
  <si>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</si>
  <si>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</si>
  <si>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</si>
  <si>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</si>
  <si>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</si>
  <si>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</si>
  <si>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</si>
  <si>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</si>
  <si>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</si>
  <si>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</si>
  <si>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</si>
  <si>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</si>
  <si>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</si>
  <si>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</si>
  <si>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</si>
  <si>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</si>
  <si>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</si>
  <si>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</si>
  <si>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</si>
  <si>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</si>
  <si>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</si>
  <si>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</si>
  <si>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</si>
  <si>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</si>
  <si>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</si>
  <si>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</si>
  <si>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</si>
  <si>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</si>
  <si>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</si>
  <si>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</si>
  <si>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</si>
  <si>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</si>
  <si>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</si>
  <si>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</si>
  <si>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</si>
  <si>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</si>
  <si>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</si>
  <si>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</si>
  <si>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</si>
  <si>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</si>
  <si>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</si>
  <si>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</si>
  <si>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</si>
  <si>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</si>
  <si>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</si>
  <si>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</si>
  <si>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</si>
  <si>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</si>
  <si>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</si>
  <si>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</si>
  <si>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</si>
  <si>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</si>
  <si>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</si>
  <si>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</si>
  <si>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</si>
  <si>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</si>
  <si>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</si>
  <si>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</si>
  <si>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</si>
  <si>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</si>
  <si>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</si>
  <si>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</si>
  <si>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</si>
  <si>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</si>
  <si>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</si>
  <si>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</si>
  <si>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</si>
  <si>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</si>
  <si>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</si>
  <si>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</si>
  <si>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</si>
  <si>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</si>
  <si>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</si>
  <si>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</si>
  <si>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</si>
  <si>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</si>
  <si>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</si>
  <si>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</si>
  <si>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</si>
  <si>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</si>
  <si>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</si>
  <si>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</si>
  <si>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</si>
  <si>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</si>
  <si>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</si>
  <si>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</si>
  <si>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</si>
  <si>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</si>
  <si>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</si>
  <si>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</si>
  <si>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</si>
  <si>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</si>
  <si>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</si>
  <si>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</si>
  <si>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</si>
  <si>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</si>
  <si>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</si>
  <si>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</si>
  <si>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</si>
  <si>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</si>
  <si>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</si>
  <si>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</si>
  <si>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</si>
  <si>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</si>
  <si>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</si>
  <si>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</si>
  <si>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</si>
  <si>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</si>
  <si>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</si>
  <si>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</si>
  <si>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</si>
  <si>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</si>
  <si>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</si>
  <si>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</si>
  <si>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</si>
  <si>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</si>
  <si>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</si>
  <si>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</si>
  <si>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</si>
  <si>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</si>
  <si>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</si>
  <si>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</si>
  <si>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</si>
  <si>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</si>
  <si>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</si>
  <si>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</si>
  <si>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</si>
  <si>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</si>
  <si>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</si>
  <si>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</si>
  <si>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</si>
  <si>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</si>
  <si>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</si>
  <si>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</si>
  <si>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</si>
  <si>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</si>
  <si>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</si>
  <si>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</si>
  <si>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</si>
  <si>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</si>
  <si>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</si>
  <si>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</si>
  <si>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</si>
  <si>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</si>
  <si>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</si>
  <si>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</si>
  <si>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</si>
  <si>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</si>
  <si>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</si>
  <si>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</si>
  <si>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</si>
  <si>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</si>
  <si>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</si>
  <si>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</si>
  <si>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</si>
  <si>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</si>
  <si>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</si>
  <si>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</si>
  <si>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</si>
  <si>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</si>
  <si>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</si>
  <si>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</si>
  <si>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</si>
  <si>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</si>
  <si>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</si>
  <si>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</si>
  <si>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</si>
  <si>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</si>
  <si>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</si>
  <si>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</si>
  <si>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</si>
  <si>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</si>
  <si>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</si>
  <si>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</si>
  <si>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</si>
  <si>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</si>
  <si>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</si>
  <si>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</si>
  <si>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</si>
  <si>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</si>
  <si>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</si>
  <si>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</si>
  <si>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</si>
  <si>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</si>
  <si>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</si>
  <si>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</si>
  <si>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</si>
  <si>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</si>
  <si>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</si>
  <si>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</si>
  <si>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</si>
  <si>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</si>
  <si>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</si>
  <si>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</si>
  <si>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</si>
  <si>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</si>
  <si>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</si>
  <si>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</si>
  <si>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</si>
  <si>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</si>
  <si>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</si>
  <si>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</si>
  <si>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</si>
  <si>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</si>
  <si>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</si>
  <si>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</si>
  <si>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</si>
  <si>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</si>
  <si>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</si>
  <si>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</si>
  <si>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</si>
  <si>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</si>
  <si>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</si>
  <si>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</si>
  <si>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</si>
  <si>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</si>
  <si>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</si>
  <si>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</si>
  <si>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</si>
  <si>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</si>
  <si>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</si>
  <si>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</si>
  <si>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</si>
  <si>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</si>
  <si>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</si>
  <si>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</si>
  <si>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</si>
  <si>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</si>
  <si>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</si>
  <si>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</si>
  <si>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</si>
  <si>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</si>
  <si>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</si>
  <si>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</si>
  <si>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</si>
  <si>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</si>
  <si>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</si>
  <si>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</si>
  <si>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</si>
  <si>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</si>
  <si>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</si>
  <si>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</si>
  <si>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</si>
  <si>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</si>
  <si>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</si>
  <si>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</si>
  <si>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</si>
  <si>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</si>
  <si>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</si>
  <si>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</si>
  <si>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</si>
  <si>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</si>
  <si>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</si>
  <si>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</si>
  <si>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</si>
  <si>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</si>
  <si>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</si>
  <si>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</si>
  <si>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</si>
  <si>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</si>
  <si>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</si>
  <si>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</si>
  <si>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</si>
  <si>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</si>
  <si>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</si>
  <si>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</si>
  <si>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</si>
  <si>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</si>
  <si>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</si>
  <si>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</si>
  <si>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</si>
  <si>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</si>
  <si>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</si>
  <si>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</si>
  <si>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</si>
  <si>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</si>
  <si>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</si>
  <si>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</si>
  <si>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</si>
  <si>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</si>
  <si>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</si>
  <si>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</si>
  <si>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</si>
  <si>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</si>
  <si>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</si>
  <si>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</si>
  <si>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</si>
  <si>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</si>
  <si>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</si>
  <si>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</si>
  <si>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</si>
  <si>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</si>
  <si>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</si>
  <si>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</si>
  <si>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</si>
  <si>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</si>
  <si>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</si>
  <si>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</si>
  <si>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</si>
  <si>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</si>
  <si>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</si>
  <si>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</si>
  <si>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</si>
  <si>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</si>
  <si>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</si>
  <si>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</si>
  <si>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</si>
  <si>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</si>
  <si>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</si>
  <si>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</si>
  <si>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</si>
  <si>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</si>
  <si>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</si>
  <si>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</si>
  <si>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</si>
  <si>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</si>
  <si>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</si>
  <si>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</si>
  <si>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</si>
  <si>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</si>
  <si>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</si>
  <si>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</si>
  <si>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</si>
  <si>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</si>
  <si>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</si>
  <si>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</si>
  <si>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</si>
  <si>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</si>
  <si>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</si>
  <si>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</si>
  <si>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</si>
  <si>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</si>
  <si>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</si>
  <si>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</si>
  <si>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</si>
  <si>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</si>
  <si>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</si>
  <si>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</si>
  <si>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</si>
  <si>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</si>
  <si>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</si>
  <si>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</si>
  <si>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</si>
  <si>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</si>
  <si>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</si>
  <si>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</si>
  <si>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</si>
  <si>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</si>
  <si>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</si>
  <si>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</si>
  <si>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</si>
  <si>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</si>
  <si>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</si>
  <si>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</si>
  <si>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</si>
  <si>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</si>
  <si>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</si>
  <si>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</si>
  <si>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</si>
  <si>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</si>
  <si>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</si>
  <si>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</si>
  <si>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</si>
  <si>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</si>
  <si>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</si>
  <si>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</si>
  <si>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</si>
  <si>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</si>
  <si>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</si>
  <si>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</si>
  <si>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</si>
  <si>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</si>
  <si>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</si>
  <si>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</si>
  <si>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</si>
  <si>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</si>
  <si>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</si>
  <si>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</si>
  <si>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</si>
  <si>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</si>
  <si>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</si>
  <si>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</si>
  <si>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</si>
  <si>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</si>
  <si>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</si>
  <si>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</si>
  <si>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</si>
  <si>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</si>
  <si>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</si>
  <si>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</si>
  <si>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</si>
  <si>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</si>
  <si>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</si>
  <si>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</si>
  <si>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</si>
  <si>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</si>
  <si>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</si>
  <si>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</si>
  <si>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</si>
  <si>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</si>
  <si>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</si>
  <si>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</si>
  <si>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</si>
  <si>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</si>
  <si>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</si>
  <si>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</si>
  <si>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</si>
  <si>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</si>
  <si>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</si>
  <si>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</si>
  <si>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</si>
  <si>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</si>
  <si>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</si>
  <si>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</si>
  <si>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</si>
  <si>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</si>
  <si>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</si>
  <si>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</si>
  <si>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</si>
  <si>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</si>
  <si>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</si>
  <si>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</si>
  <si>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</si>
  <si>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</si>
  <si>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</si>
  <si>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</si>
  <si>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</si>
  <si>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</si>
  <si>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</si>
  <si>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</si>
  <si>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</si>
  <si>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</si>
  <si>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</si>
  <si>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</si>
  <si>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</si>
  <si>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</si>
  <si>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</si>
  <si>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</si>
  <si>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</si>
  <si>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</si>
  <si>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</si>
  <si>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</si>
  <si>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</si>
  <si>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</si>
  <si>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</si>
  <si>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</si>
  <si>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</si>
  <si>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</si>
  <si>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</si>
  <si>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</si>
  <si>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</si>
  <si>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</si>
  <si>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</si>
  <si>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</si>
  <si>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</si>
  <si>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</si>
  <si>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</si>
  <si>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</si>
  <si>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</si>
  <si>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</si>
  <si>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</si>
  <si>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</si>
  <si>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</si>
  <si>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</si>
  <si>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</si>
  <si>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</si>
  <si>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</si>
  <si>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</si>
  <si>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</si>
  <si>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</si>
  <si>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</si>
  <si>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</si>
  <si>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</si>
  <si>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</si>
  <si>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</si>
  <si>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</si>
  <si>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</si>
  <si>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</si>
  <si>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</si>
  <si>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</si>
  <si>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</si>
  <si>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</si>
  <si>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</si>
  <si>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</si>
  <si>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</si>
  <si>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</si>
  <si>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</si>
  <si>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</si>
  <si>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</si>
  <si>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</si>
  <si>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</si>
  <si>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</si>
  <si>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</si>
  <si>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</si>
  <si>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</si>
  <si>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</si>
  <si>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</si>
  <si>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</si>
  <si>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</si>
  <si>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</si>
  <si>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</si>
  <si>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</si>
  <si>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</si>
  <si>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</si>
  <si>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</si>
  <si>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</si>
  <si>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</si>
  <si>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</si>
  <si>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</si>
  <si>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</si>
  <si>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</si>
  <si>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</si>
  <si>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</si>
  <si>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</si>
  <si>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</si>
  <si>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</si>
  <si>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</si>
  <si>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</si>
  <si>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</si>
  <si>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</si>
  <si>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</si>
  <si>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</si>
  <si>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</si>
  <si>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</si>
  <si>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</si>
  <si>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</si>
  <si>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</si>
  <si>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</si>
  <si>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</si>
  <si>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</si>
  <si>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</si>
  <si>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</si>
  <si>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</si>
  <si>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</si>
  <si>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</si>
  <si>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</si>
  <si>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</si>
  <si>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</si>
  <si>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</si>
  <si>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</si>
  <si>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</si>
  <si>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</si>
  <si>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</si>
  <si>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</si>
  <si>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</si>
  <si>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</si>
  <si>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</si>
  <si>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</si>
  <si>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</si>
  <si>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</si>
  <si>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</si>
  <si>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</si>
  <si>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</si>
  <si>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</si>
  <si>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</si>
  <si>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</si>
  <si>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</si>
  <si>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</si>
  <si>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</si>
  <si>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</si>
  <si>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</si>
  <si>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</si>
  <si>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</si>
  <si>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</si>
  <si>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</si>
  <si>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</si>
  <si>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</si>
  <si>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</si>
  <si>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</si>
  <si>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</si>
  <si>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</si>
  <si>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</si>
  <si>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</si>
  <si>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</si>
  <si>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</si>
  <si>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</si>
  <si>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</si>
  <si>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</si>
  <si>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</si>
  <si>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</si>
  <si>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</si>
  <si>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</si>
  <si>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</si>
  <si>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</si>
  <si>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</si>
  <si>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</si>
  <si>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</si>
  <si>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</si>
  <si>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</si>
  <si>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</si>
  <si>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</si>
  <si>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</si>
  <si>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</si>
  <si>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</si>
  <si>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</si>
  <si>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</si>
  <si>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</si>
  <si>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</si>
  <si>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</si>
  <si>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</si>
  <si>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</si>
  <si>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</si>
  <si>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</si>
  <si>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</si>
  <si>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</si>
  <si>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</si>
  <si>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</si>
  <si>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</si>
  <si>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</si>
  <si>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</si>
  <si>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</si>
  <si>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</si>
  <si>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</si>
  <si>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</si>
  <si>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</si>
  <si>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</si>
  <si>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</si>
  <si>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</si>
  <si>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</si>
  <si>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</si>
  <si>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</si>
  <si>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</si>
  <si>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</si>
  <si>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</si>
  <si>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</si>
  <si>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</si>
  <si>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</si>
  <si>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</si>
  <si>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</si>
  <si>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</si>
  <si>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</si>
  <si>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</si>
  <si>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</si>
  <si>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</si>
  <si>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</si>
  <si>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</si>
  <si>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</si>
  <si>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</si>
  <si>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</si>
  <si>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</si>
  <si>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</si>
  <si>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</si>
  <si>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</si>
  <si>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</si>
  <si>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</si>
  <si>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</si>
  <si>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</si>
  <si>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</si>
  <si>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</si>
  <si>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</si>
  <si>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</si>
  <si>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</si>
  <si>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</si>
  <si>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</si>
  <si>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</si>
  <si>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</si>
  <si>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</si>
  <si>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</si>
  <si>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</si>
  <si>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</si>
  <si>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</si>
  <si>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</si>
  <si>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</si>
  <si>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</si>
  <si>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</si>
  <si>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</si>
  <si>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</si>
  <si>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</si>
  <si>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</si>
  <si>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</si>
  <si>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</si>
  <si>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</si>
  <si>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</si>
  <si>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</si>
  <si>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</si>
  <si>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</si>
  <si>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</si>
  <si>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</si>
  <si>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</si>
  <si>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</si>
  <si>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</si>
  <si>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</si>
  <si>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</si>
  <si>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</si>
  <si>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</si>
  <si>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</si>
  <si>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</si>
  <si>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</si>
  <si>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</si>
  <si>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</si>
  <si>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</si>
  <si>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</si>
  <si>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</si>
  <si>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</si>
  <si>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</si>
  <si>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</si>
  <si>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</si>
  <si>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</si>
  <si>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</si>
  <si>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</si>
  <si>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</si>
  <si>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</si>
  <si>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</si>
  <si>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</si>
  <si>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</si>
  <si>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</si>
  <si>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</si>
  <si>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</si>
  <si>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</si>
  <si>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</si>
  <si>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</si>
  <si>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</si>
  <si>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</si>
  <si>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</si>
  <si>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</si>
  <si>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</si>
  <si>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</si>
  <si>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</si>
  <si>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</si>
  <si>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</si>
  <si>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</si>
  <si>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</si>
  <si>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</si>
  <si>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</si>
  <si>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</si>
  <si>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</si>
  <si>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</si>
  <si>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</si>
  <si>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</si>
  <si>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</si>
  <si>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</si>
  <si>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</si>
  <si>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</si>
  <si>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</si>
  <si>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</si>
  <si>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</si>
  <si>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</si>
  <si>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</si>
  <si>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</si>
  <si>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</si>
  <si>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</si>
  <si>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</si>
  <si>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</si>
  <si>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</si>
  <si>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</si>
  <si>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</si>
  <si>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</si>
  <si>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</si>
  <si>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</si>
  <si>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</si>
  <si>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</si>
  <si>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</si>
  <si>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</si>
  <si>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</si>
  <si>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</si>
  <si>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</si>
  <si>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</si>
  <si>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</si>
  <si>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</si>
  <si>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</si>
  <si>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</si>
  <si>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</si>
  <si>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</si>
  <si>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</si>
  <si>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</si>
  <si>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</si>
  <si>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</si>
  <si>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</si>
  <si>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</si>
  <si>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</si>
  <si>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</si>
  <si>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</si>
  <si>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</si>
  <si>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</si>
  <si>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</si>
  <si>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</si>
  <si>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</si>
  <si>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</si>
  <si>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</si>
  <si>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</si>
  <si>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</si>
  <si>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</si>
  <si>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</si>
  <si>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</si>
  <si>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</si>
  <si>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</si>
  <si>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</si>
  <si>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</si>
  <si>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</si>
  <si>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</si>
  <si>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</si>
  <si>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</si>
  <si>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</si>
  <si>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</si>
  <si>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</si>
  <si>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</si>
  <si>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</si>
  <si>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</si>
  <si>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</si>
  <si>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</si>
  <si>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</si>
  <si>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</si>
  <si>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</si>
  <si>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</si>
  <si>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</si>
  <si>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</si>
  <si>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</si>
  <si>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</si>
  <si>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</si>
  <si>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</si>
  <si>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</si>
  <si>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</si>
  <si>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</si>
  <si>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</si>
  <si>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</si>
  <si>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</si>
  <si>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</si>
  <si>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</si>
  <si>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</si>
  <si>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</si>
  <si>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</si>
  <si>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</si>
  <si>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</si>
  <si>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</si>
  <si>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</si>
  <si>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</si>
  <si>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</si>
  <si>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</si>
  <si>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</si>
  <si>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</si>
  <si>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</si>
  <si>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</si>
  <si>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</si>
  <si>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</si>
  <si>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</si>
  <si>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</si>
  <si>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</si>
  <si>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</si>
  <si>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</si>
  <si>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</si>
  <si>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</si>
  <si>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</si>
  <si>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</si>
  <si>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</si>
  <si>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</si>
  <si>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</si>
  <si>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</si>
  <si>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</si>
  <si>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</si>
  <si>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</si>
  <si>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</si>
  <si>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</si>
  <si>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</si>
  <si>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</si>
  <si>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</si>
  <si>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</si>
  <si>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</si>
  <si>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</si>
  <si>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</si>
  <si>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</si>
  <si>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</si>
  <si>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</si>
  <si>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</si>
  <si>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</si>
  <si>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</si>
  <si>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</si>
  <si>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</si>
  <si>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</si>
  <si>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</si>
  <si>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</si>
  <si>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</si>
  <si>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</si>
  <si>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</si>
  <si>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</si>
  <si>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</si>
  <si>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</si>
  <si>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</si>
  <si>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</si>
  <si>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</si>
  <si>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</si>
  <si>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</si>
  <si>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</si>
  <si>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</si>
  <si>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</si>
  <si>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</si>
  <si>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</si>
  <si>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</si>
  <si>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</si>
  <si>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</si>
  <si>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</si>
  <si>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</si>
  <si>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</si>
  <si>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</si>
  <si>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</si>
  <si>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</si>
  <si>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</si>
  <si>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</si>
  <si>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</si>
  <si>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</si>
  <si>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</si>
  <si>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</si>
  <si>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</si>
  <si>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</si>
  <si>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</si>
  <si>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</si>
  <si>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</si>
  <si>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</si>
  <si>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</si>
  <si>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</si>
  <si>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</si>
  <si>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</si>
  <si>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</si>
  <si>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</si>
  <si>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</si>
  <si>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</si>
  <si>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</si>
  <si>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</si>
  <si>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</si>
  <si>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</si>
  <si>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</si>
  <si>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</si>
  <si>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</si>
  <si>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</si>
  <si>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</si>
  <si>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</si>
  <si>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</si>
  <si>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</si>
  <si>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</si>
  <si>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</si>
  <si>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</si>
  <si>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</si>
  <si>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</si>
  <si>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</si>
  <si>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</si>
  <si>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</si>
  <si>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</si>
  <si>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</si>
  <si>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</si>
  <si>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</si>
  <si>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</si>
  <si>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</si>
  <si>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</si>
  <si>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</si>
  <si>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</si>
  <si>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</si>
  <si>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</si>
  <si>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</si>
  <si>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</si>
  <si>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</si>
  <si>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</si>
  <si>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</si>
  <si>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</si>
  <si>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</si>
  <si>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</si>
  <si>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</si>
  <si>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</si>
  <si>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</si>
  <si>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</si>
  <si>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</si>
  <si>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</si>
  <si>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</si>
  <si>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</si>
  <si>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</si>
  <si>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</si>
  <si>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</si>
  <si>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</si>
  <si>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</si>
  <si>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</si>
  <si>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</si>
  <si>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</si>
  <si>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</si>
  <si>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</si>
  <si>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</si>
  <si>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</si>
  <si>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</si>
  <si>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</si>
  <si>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</si>
  <si>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</si>
  <si>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</si>
  <si>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</si>
  <si>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</si>
  <si>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</si>
  <si>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</si>
  <si>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</si>
  <si>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</si>
  <si>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</si>
  <si>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</si>
  <si>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</si>
  <si>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</si>
  <si>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</si>
  <si>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</si>
  <si>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</si>
  <si>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</si>
  <si>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</si>
  <si>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</si>
  <si>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</si>
  <si>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</si>
  <si>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</si>
  <si>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</si>
  <si>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</si>
  <si>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</si>
  <si>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</si>
  <si>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</si>
  <si>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</si>
  <si>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</si>
  <si>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</si>
  <si>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</si>
  <si>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</si>
  <si>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</si>
  <si>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</si>
  <si>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</si>
  <si>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</si>
  <si>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</si>
  <si>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</si>
  <si>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</si>
  <si>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</si>
  <si>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</si>
  <si>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</si>
  <si>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</si>
  <si>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</si>
  <si>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</si>
  <si>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</si>
  <si>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</si>
  <si>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</si>
  <si>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</si>
  <si>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</si>
  <si>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</si>
  <si>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</si>
  <si>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</si>
  <si>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</si>
  <si>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</si>
  <si>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</si>
  <si>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</si>
  <si>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</si>
  <si>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</si>
  <si>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</si>
  <si>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</si>
  <si>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</si>
  <si>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</si>
  <si>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</si>
  <si>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</si>
  <si>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</si>
  <si>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</si>
  <si>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</si>
  <si>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</si>
  <si>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</si>
  <si>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</si>
  <si>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</si>
  <si>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</si>
  <si>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</si>
  <si>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</si>
  <si>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</si>
  <si>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</si>
  <si>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</si>
  <si>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</si>
  <si>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</si>
  <si>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</si>
  <si>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</si>
  <si>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</si>
  <si>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</si>
  <si>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</si>
  <si>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</si>
  <si>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</si>
  <si>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</si>
  <si>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</si>
  <si>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</si>
  <si>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</si>
  <si>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</si>
  <si>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</si>
  <si>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</si>
  <si>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</si>
  <si>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</si>
  <si>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</si>
  <si>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</si>
  <si>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</si>
  <si>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</si>
  <si>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</si>
  <si>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</si>
  <si>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</si>
  <si>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</si>
  <si>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</si>
  <si>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</si>
  <si>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</si>
  <si>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</si>
  <si>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</si>
  <si>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</si>
  <si>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</si>
  <si>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</si>
  <si>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</si>
  <si>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</si>
  <si>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</si>
  <si>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</si>
  <si>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</si>
  <si>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</si>
  <si>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</si>
  <si>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</si>
  <si>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</si>
  <si>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</si>
  <si>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</si>
  <si>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</si>
  <si>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</si>
  <si>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</si>
  <si>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</si>
  <si>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</si>
  <si>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</si>
  <si>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</si>
  <si>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</si>
  <si>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</si>
  <si>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</si>
  <si>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</si>
  <si>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</si>
  <si>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</si>
  <si>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</si>
  <si>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</si>
  <si>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</si>
  <si>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</si>
  <si>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</si>
  <si>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</si>
  <si>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</si>
  <si>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</si>
  <si>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</si>
  <si>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</si>
  <si>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</si>
  <si>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</si>
  <si>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</si>
  <si>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</si>
  <si>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</si>
  <si>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</si>
  <si>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</si>
  <si>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</si>
  <si>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BluePeak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</si>
</sst>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149203243.0278998</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201222482.6163289</v>
      </c>
      <c r="M25" s="309"/>
    </row>
    <row r="26" spans="1:18" s="295" customFormat="1" ht="15" customHeight="1" x14ac:dyDescent="0.45">
      <c r="C26" s="295" t="s">
        <v>21</v>
      </c>
      <c r="L26" s="312">
        <f>MIN(L22,L23,L25)</f>
        <v>149203243.0278998</v>
      </c>
      <c r="M26" s="719"/>
      <c r="N26" s="718"/>
      <c r="P26" s="302"/>
      <c r="Q26" s="313"/>
    </row>
    <row r="27" spans="1:18" s="295" customFormat="1" ht="12.75" x14ac:dyDescent="0.35">
      <c r="L27" s="296"/>
      <c r="N27" s="302"/>
      <c r="P27" s="302"/>
      <c r="Q27" s="314"/>
    </row>
    <row r="28" spans="1:18" s="295" customFormat="1" ht="12.75" x14ac:dyDescent="0.35">
      <c r="K28" s="315" t="s">
        <v>22</v>
      </c>
      <c r="L28" s="316">
        <f>L26/L31</f>
        <v>0.43218355384926632</v>
      </c>
      <c r="N28" s="302"/>
      <c r="P28" s="302"/>
      <c r="Q28" s="314"/>
    </row>
    <row r="29" spans="1:18" s="295" customFormat="1" ht="12.75" x14ac:dyDescent="0.35">
      <c r="K29" s="315" t="s">
        <v>23</v>
      </c>
      <c r="L29" s="317">
        <f>L28/(1-L28)</f>
        <v>0.76113250466602023</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345231191.00440776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247996703.6486333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12351510.505125251</v>
      </c>
      <c r="N34" s="295" t="s">
        <v>33</v>
      </c>
      <c r="P34" s="322">
        <f t="shared" si="0"/>
        <v>0.1</v>
      </c>
      <c r="Q34" s="323">
        <v>20000000</v>
      </c>
      <c r="R34" s="324">
        <f t="shared" si="1"/>
        <v>12230000</v>
      </c>
    </row>
    <row r="35" spans="2:18" s="295" customFormat="1" ht="12.75" x14ac:dyDescent="0.35">
      <c r="B35" s="295" t="s">
        <v>34</v>
      </c>
      <c r="L35" s="296">
        <f>L33-L34</f>
        <v>235645193.14350805</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52245198.582304403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0.60995203662128927</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0.81968727701938016</v>
      </c>
    </row>
    <row r="59" spans="2:17" s="295" customFormat="1" ht="12.75" x14ac:dyDescent="0.35">
      <c r="B59" s="295" t="s">
        <v>52</v>
      </c>
      <c r="L59" s="335">
        <f>L54/L16</f>
        <v>0.61150000000000004</v>
      </c>
    </row>
    <row r="60" spans="2:17" s="295" customFormat="1" ht="12.75" x14ac:dyDescent="0.35">
      <c r="B60" s="295" t="s">
        <v>53</v>
      </c>
      <c r="L60" s="335">
        <f>L54/L31</f>
        <v>0.35425536042726374</v>
      </c>
    </row>
    <row r="61" spans="2:17" s="295" customFormat="1" ht="15" customHeight="1" x14ac:dyDescent="0.45">
      <c r="L61" s="296"/>
      <c r="M61" s="707"/>
    </row>
    <row r="62" spans="2:17" s="295" customFormat="1" ht="12.75" x14ac:dyDescent="0.35">
      <c r="L62" s="436">
        <f>L26-L51</f>
        <v>26903243.027899802</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49599340.729726665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24799670.364863332</v>
      </c>
      <c r="ER9" s="429">
        <f t="shared" ref="ER9:ER49" si="32">IF(D9="Second Lien",SUMIF(D:D,D9,EP:EP),0)</f>
        <v>0</v>
      </c>
      <c r="ES9" s="429">
        <f>MAX(0,(ER9-EQ9)*IFERROR((EP9/SUMIF($D:$D,D9,EP:EP )),0)                  )</f>
        <v>0</v>
      </c>
      <c r="ET9" s="429">
        <f t="shared" ref="ET9:ET49" si="33">MAX(0,EP9-ES9)</f>
        <v>0</v>
      </c>
      <c r="EU9" s="429">
        <f>'Concentration Limits'!$J$51</f>
        <v>74399011.094589993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37199505.547294997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247996703.6486333</v>
      </c>
      <c r="FF9" s="430">
        <f>'Concentration Limits'!$J$55</f>
        <v>247996703.6486333</v>
      </c>
      <c r="FG9" s="430">
        <f>'Concentration Limits'!$J$56</f>
        <v>247996703.6486333</v>
      </c>
      <c r="FH9" s="431">
        <f>'Concentration Limits'!$J$57</f>
        <v>18599752.773647498</v>
      </c>
      <c r="FI9" s="431">
        <f t="shared" ref="FI9:FI50" si="40">SUMIF($B:$B,$B9,$FD:$FD)</f>
        <v>0</v>
      </c>
      <c r="FJ9" s="431">
        <f t="shared" ref="FJ9:FJ50"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49599340.729726665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37199505.547294997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24799670.364863332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24799670.364863332</v>
      </c>
      <c r="GH9" s="431">
        <f t="shared" ref="GH9:GH49" si="57">IF(BY9="Yes",SUMIF(BY:BY,BY9,GF:GF),0)</f>
        <v>0</v>
      </c>
      <c r="GI9" s="431">
        <f t="shared" ref="GI9:GI49" si="58">IFERROR(MAX(0,(GH9-GG9)*(GF9/SUMIF($T:$T,T9,GF:GF ))),0)</f>
        <v>0</v>
      </c>
      <c r="GJ9" s="431">
        <f t="shared" ref="GJ9:GJ49" si="59">MAX(0,GF9-GI9)</f>
        <v>0</v>
      </c>
      <c r="GK9" s="431">
        <f>'Concentration Limits'!$J$67</f>
        <v>24799670.364863332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37199505.547294997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37199505.547294997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24799670.364863332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50"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49599340.729726665</v>
      </c>
      <c r="EM10" s="429" t="str">
        <f>IF(OR(D10="Second Lien",AND(D10="FILO",DI10&gt;AGENT!$C$57)), "Yes", "No")</f>
        <v>No</v>
      </c>
      <c r="EN10" s="429">
        <f t="shared" si="29"/>
        <v>0</v>
      </c>
      <c r="EO10" s="429">
        <f t="shared" si="30"/>
        <v>0</v>
      </c>
      <c r="EP10" s="429">
        <f t="shared" si="31"/>
        <v>0</v>
      </c>
      <c r="EQ10" s="429">
        <f>'Concentration Limits'!$J$50</f>
        <v>24799670.364863332</v>
      </c>
      <c r="ER10" s="429">
        <f t="shared" si="32"/>
        <v>0</v>
      </c>
      <c r="ES10" s="429">
        <f t="shared" ref="ES10:ES49" si="84">MAX(0,(ER10-EQ10)*IFERROR((EP10/SUMIF($D:$D,D10,EP:EP )),0) )</f>
        <v>0</v>
      </c>
      <c r="ET10" s="429">
        <f t="shared" si="33"/>
        <v>0</v>
      </c>
      <c r="EU10" s="429">
        <f>'Concentration Limits'!$J$51</f>
        <v>74399011.094589993</v>
      </c>
      <c r="EV10" s="429" t="str">
        <f>IF(OR(D10="Second Lien", AND(D10="FILO",DI10&gt;AGENT!$C$59)), "Yes", "No")</f>
        <v>No</v>
      </c>
      <c r="EW10" s="429">
        <f t="shared" si="34"/>
        <v>0</v>
      </c>
      <c r="EX10" s="429">
        <f t="shared" si="35"/>
        <v>0</v>
      </c>
      <c r="EY10" s="429">
        <f t="shared" si="36"/>
        <v>0</v>
      </c>
      <c r="EZ10" s="429">
        <f>'Concentration Limits'!$J$52</f>
        <v>37199505.547294997</v>
      </c>
      <c r="FA10" s="429" t="str">
        <f>IF(CY10&gt;'Concentration Limits'!$E$52, "No", "Yes")</f>
        <v>Yes</v>
      </c>
      <c r="FB10" s="429">
        <f t="shared" si="37"/>
        <v>0</v>
      </c>
      <c r="FC10" s="429">
        <f t="shared" si="38"/>
        <v>0</v>
      </c>
      <c r="FD10" s="429">
        <f t="shared" si="39"/>
        <v>0</v>
      </c>
      <c r="FE10" s="430">
        <f>'Concentration Limits'!$J$54</f>
        <v>247996703.6486333</v>
      </c>
      <c r="FF10" s="430">
        <f>'Concentration Limits'!$J$55</f>
        <v>247996703.6486333</v>
      </c>
      <c r="FG10" s="430">
        <f>'Concentration Limits'!$J$56</f>
        <v>247996703.6486333</v>
      </c>
      <c r="FH10" s="431">
        <f>'Concentration Limits'!$J$57</f>
        <v>18599752.773647498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49599340.729726665</v>
      </c>
      <c r="FS10" s="431">
        <f t="shared" si="48"/>
        <v>0</v>
      </c>
      <c r="FT10" s="431" t="str">
        <f>VLOOKUP(BR10,'Concentration Limits'!$E$81:$H$153,4,FALSE)</f>
        <v/>
      </c>
      <c r="FU10" s="431">
        <f t="shared" si="49"/>
        <v>0</v>
      </c>
      <c r="FV10" s="431">
        <f t="shared" si="50"/>
        <v>0</v>
      </c>
      <c r="FW10" s="431">
        <f>'Concentration Limits'!$J$59</f>
        <v>37199505.547294997</v>
      </c>
      <c r="FX10" s="431">
        <f t="shared" si="51"/>
        <v>0</v>
      </c>
      <c r="FY10" s="431" t="str">
        <f>VLOOKUP(BR10,'Concentration Limits'!$E$81:$H$153,4,FALSE)</f>
        <v/>
      </c>
      <c r="FZ10" s="431">
        <f t="shared" si="52"/>
        <v>0</v>
      </c>
      <c r="GA10" s="431">
        <f t="shared" si="53"/>
        <v>0</v>
      </c>
      <c r="GB10" s="431">
        <f>'Concentration Limits'!$J$61</f>
        <v>24799670.364863332</v>
      </c>
      <c r="GC10" s="431">
        <f t="shared" si="54"/>
        <v>0</v>
      </c>
      <c r="GD10" s="429" t="str">
        <f>VLOOKUP(BR10,'Concentration Limits'!$E$81:$H$153,4,FALSE)</f>
        <v/>
      </c>
      <c r="GE10" s="431">
        <f t="shared" si="55"/>
        <v>0</v>
      </c>
      <c r="GF10" s="431">
        <f t="shared" si="56"/>
        <v>0</v>
      </c>
      <c r="GG10" s="431">
        <f>'Concentration Limits'!$J$64</f>
        <v>24799670.364863332</v>
      </c>
      <c r="GH10" s="431">
        <f t="shared" si="57"/>
        <v>0</v>
      </c>
      <c r="GI10" s="431">
        <f t="shared" si="58"/>
        <v>0</v>
      </c>
      <c r="GJ10" s="431">
        <f t="shared" si="59"/>
        <v>0</v>
      </c>
      <c r="GK10" s="431">
        <f>'Concentration Limits'!$J$67</f>
        <v>24799670.364863332</v>
      </c>
      <c r="GL10" s="429" t="str">
        <f t="shared" si="60"/>
        <v>No</v>
      </c>
      <c r="GM10" s="431">
        <f t="shared" si="61"/>
        <v>0</v>
      </c>
      <c r="GN10" s="431">
        <f t="shared" si="62"/>
        <v>0</v>
      </c>
      <c r="GO10" s="431">
        <f t="shared" si="63"/>
        <v>0</v>
      </c>
      <c r="GP10" s="431">
        <f>'Concentration Limits'!$J$68</f>
        <v>37199505.547294997</v>
      </c>
      <c r="GQ10" s="429" t="str">
        <f t="shared" si="64"/>
        <v>No</v>
      </c>
      <c r="GR10" s="431">
        <f t="shared" si="65"/>
        <v>0</v>
      </c>
      <c r="GS10" s="431">
        <f t="shared" si="66"/>
        <v>0</v>
      </c>
      <c r="GT10" s="431">
        <f t="shared" si="67"/>
        <v>0</v>
      </c>
      <c r="GU10" s="429">
        <f>'Concentration Limits'!$J$69</f>
        <v>37199505.547294997</v>
      </c>
      <c r="GV10" s="429" t="str">
        <f t="shared" si="68"/>
        <v>Yes</v>
      </c>
      <c r="GW10" s="429">
        <f t="shared" si="69"/>
        <v>12656117.589817706</v>
      </c>
      <c r="GX10" s="429">
        <f t="shared" si="70"/>
        <v>0</v>
      </c>
      <c r="GY10" s="429">
        <f t="shared" si="71"/>
        <v>0</v>
      </c>
      <c r="GZ10" s="429">
        <f>'Concentration Limits'!$J$70</f>
        <v>24799670.364863332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49599340.729726665</v>
      </c>
      <c r="EM11" s="429" t="str">
        <f>IF(OR(D11="Second Lien",AND(D11="FILO",DI11&gt;AGENT!$C$57)), "Yes", "No")</f>
        <v>No</v>
      </c>
      <c r="EN11" s="429">
        <f t="shared" si="29"/>
        <v>0</v>
      </c>
      <c r="EO11" s="429">
        <f t="shared" si="30"/>
        <v>0</v>
      </c>
      <c r="EP11" s="429">
        <f t="shared" si="31"/>
        <v>0</v>
      </c>
      <c r="EQ11" s="429">
        <f>'Concentration Limits'!$J$50</f>
        <v>24799670.364863332</v>
      </c>
      <c r="ER11" s="429">
        <f t="shared" si="32"/>
        <v>0</v>
      </c>
      <c r="ES11" s="429">
        <f t="shared" si="84"/>
        <v>0</v>
      </c>
      <c r="ET11" s="429">
        <f t="shared" si="33"/>
        <v>0</v>
      </c>
      <c r="EU11" s="429">
        <f>'Concentration Limits'!$J$51</f>
        <v>74399011.094589993</v>
      </c>
      <c r="EV11" s="429" t="str">
        <f>IF(OR(D11="Second Lien", AND(D11="FILO",DI11&gt;AGENT!$C$59)), "Yes", "No")</f>
        <v>No</v>
      </c>
      <c r="EW11" s="429">
        <f t="shared" si="34"/>
        <v>0</v>
      </c>
      <c r="EX11" s="429">
        <f t="shared" si="35"/>
        <v>0</v>
      </c>
      <c r="EY11" s="429">
        <f t="shared" si="36"/>
        <v>0</v>
      </c>
      <c r="EZ11" s="429">
        <f>'Concentration Limits'!$J$52</f>
        <v>37199505.547294997</v>
      </c>
      <c r="FA11" s="429" t="str">
        <f>IF(CY11&gt;'Concentration Limits'!$E$52, "No", "Yes")</f>
        <v>No</v>
      </c>
      <c r="FB11" s="429">
        <f t="shared" si="37"/>
        <v>0</v>
      </c>
      <c r="FC11" s="429">
        <f t="shared" si="38"/>
        <v>0</v>
      </c>
      <c r="FD11" s="429">
        <f t="shared" si="39"/>
        <v>0</v>
      </c>
      <c r="FE11" s="430">
        <f>'Concentration Limits'!$J$54</f>
        <v>247996703.6486333</v>
      </c>
      <c r="FF11" s="430">
        <f>'Concentration Limits'!$J$55</f>
        <v>247996703.6486333</v>
      </c>
      <c r="FG11" s="430">
        <f>'Concentration Limits'!$J$56</f>
        <v>247996703.6486333</v>
      </c>
      <c r="FH11" s="431">
        <f>'Concentration Limits'!$J$57</f>
        <v>18599752.773647498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49599340.729726665</v>
      </c>
      <c r="FS11" s="431">
        <f t="shared" si="48"/>
        <v>0</v>
      </c>
      <c r="FT11" s="431" t="str">
        <f>VLOOKUP(BR11,'Concentration Limits'!$E$81:$H$153,4,FALSE)</f>
        <v/>
      </c>
      <c r="FU11" s="431">
        <f t="shared" si="49"/>
        <v>0</v>
      </c>
      <c r="FV11" s="431">
        <f t="shared" si="50"/>
        <v>0</v>
      </c>
      <c r="FW11" s="431">
        <f>'Concentration Limits'!$J$59</f>
        <v>37199505.547294997</v>
      </c>
      <c r="FX11" s="431">
        <f t="shared" si="51"/>
        <v>0</v>
      </c>
      <c r="FY11" s="431" t="str">
        <f>VLOOKUP(BR11,'Concentration Limits'!$E$81:$H$153,4,FALSE)</f>
        <v/>
      </c>
      <c r="FZ11" s="431">
        <f t="shared" si="52"/>
        <v>0</v>
      </c>
      <c r="GA11" s="431">
        <f t="shared" si="53"/>
        <v>0</v>
      </c>
      <c r="GB11" s="431">
        <f>'Concentration Limits'!$J$61</f>
        <v>24799670.364863332</v>
      </c>
      <c r="GC11" s="431">
        <f t="shared" si="54"/>
        <v>0</v>
      </c>
      <c r="GD11" s="429" t="str">
        <f>VLOOKUP(BR11,'Concentration Limits'!$E$81:$H$153,4,FALSE)</f>
        <v/>
      </c>
      <c r="GE11" s="431">
        <f t="shared" si="55"/>
        <v>0</v>
      </c>
      <c r="GF11" s="431">
        <f t="shared" si="56"/>
        <v>0</v>
      </c>
      <c r="GG11" s="431">
        <f>'Concentration Limits'!$J$64</f>
        <v>24799670.364863332</v>
      </c>
      <c r="GH11" s="431">
        <f t="shared" si="57"/>
        <v>0</v>
      </c>
      <c r="GI11" s="431">
        <f t="shared" si="58"/>
        <v>0</v>
      </c>
      <c r="GJ11" s="431">
        <f t="shared" si="59"/>
        <v>0</v>
      </c>
      <c r="GK11" s="431">
        <f>'Concentration Limits'!$J$67</f>
        <v>24799670.364863332</v>
      </c>
      <c r="GL11" s="429" t="str">
        <f t="shared" si="60"/>
        <v>No</v>
      </c>
      <c r="GM11" s="431">
        <f t="shared" si="61"/>
        <v>0</v>
      </c>
      <c r="GN11" s="431">
        <f t="shared" si="62"/>
        <v>0</v>
      </c>
      <c r="GO11" s="431">
        <f t="shared" si="63"/>
        <v>0</v>
      </c>
      <c r="GP11" s="431">
        <f>'Concentration Limits'!$J$68</f>
        <v>37199505.547294997</v>
      </c>
      <c r="GQ11" s="429" t="str">
        <f t="shared" si="64"/>
        <v>No</v>
      </c>
      <c r="GR11" s="431">
        <f t="shared" si="65"/>
        <v>0</v>
      </c>
      <c r="GS11" s="431">
        <f t="shared" si="66"/>
        <v>0</v>
      </c>
      <c r="GT11" s="431">
        <f t="shared" si="67"/>
        <v>0</v>
      </c>
      <c r="GU11" s="429">
        <f>'Concentration Limits'!$J$69</f>
        <v>37199505.547294997</v>
      </c>
      <c r="GV11" s="429" t="str">
        <f t="shared" si="68"/>
        <v>No</v>
      </c>
      <c r="GW11" s="429">
        <f t="shared" si="69"/>
        <v>0</v>
      </c>
      <c r="GX11" s="429">
        <f t="shared" si="70"/>
        <v>0</v>
      </c>
      <c r="GY11" s="429">
        <f t="shared" si="71"/>
        <v>0</v>
      </c>
      <c r="GZ11" s="429">
        <f>'Concentration Limits'!$J$70</f>
        <v>24799670.364863332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49599340.729726665</v>
      </c>
      <c r="EM12" s="429" t="str">
        <f>IF(OR(D12="Second Lien",AND(D12="FILO",DI12&gt;AGENT!$C$57)), "Yes", "No")</f>
        <v>No</v>
      </c>
      <c r="EN12" s="429">
        <f t="shared" si="29"/>
        <v>0</v>
      </c>
      <c r="EO12" s="429">
        <f t="shared" si="30"/>
        <v>0</v>
      </c>
      <c r="EP12" s="429">
        <f t="shared" si="31"/>
        <v>17737566.439047478</v>
      </c>
      <c r="EQ12" s="429">
        <f>'Concentration Limits'!$J$50</f>
        <v>24799670.364863332</v>
      </c>
      <c r="ER12" s="429">
        <f t="shared" si="32"/>
        <v>0</v>
      </c>
      <c r="ES12" s="429">
        <f t="shared" si="84"/>
        <v>0</v>
      </c>
      <c r="ET12" s="429">
        <f t="shared" si="33"/>
        <v>17737566.439047478</v>
      </c>
      <c r="EU12" s="429">
        <f>'Concentration Limits'!$J$51</f>
        <v>74399011.094589993</v>
      </c>
      <c r="EV12" s="429" t="str">
        <f>IF(OR(D12="Second Lien", AND(D12="FILO",DI12&gt;AGENT!$C$59)), "Yes", "No")</f>
        <v>No</v>
      </c>
      <c r="EW12" s="429">
        <f t="shared" si="34"/>
        <v>0</v>
      </c>
      <c r="EX12" s="429">
        <f t="shared" si="35"/>
        <v>0</v>
      </c>
      <c r="EY12" s="429">
        <f t="shared" si="36"/>
        <v>17737566.439047478</v>
      </c>
      <c r="EZ12" s="429">
        <f>'Concentration Limits'!$J$52</f>
        <v>37199505.547294997</v>
      </c>
      <c r="FA12" s="429" t="str">
        <f>IF(CY12&gt;'Concentration Limits'!$E$52, "No", "Yes")</f>
        <v>No</v>
      </c>
      <c r="FB12" s="429">
        <f t="shared" si="37"/>
        <v>0</v>
      </c>
      <c r="FC12" s="429">
        <f t="shared" si="38"/>
        <v>0</v>
      </c>
      <c r="FD12" s="429">
        <f t="shared" si="39"/>
        <v>17737566.439047478</v>
      </c>
      <c r="FE12" s="430">
        <f>'Concentration Limits'!$J$54</f>
        <v>247996703.6486333</v>
      </c>
      <c r="FF12" s="430">
        <f>'Concentration Limits'!$J$55</f>
        <v>247996703.6486333</v>
      </c>
      <c r="FG12" s="430">
        <f>'Concentration Limits'!$J$56</f>
        <v>247996703.6486333</v>
      </c>
      <c r="FH12" s="431">
        <f>'Concentration Limits'!$J$57</f>
        <v>18599752.773647498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0</v>
      </c>
      <c r="FQ12" s="431">
        <f t="shared" si="47"/>
        <v>17737566.439047478</v>
      </c>
      <c r="FR12" s="431">
        <f>'Concentration Limits'!$J$58</f>
        <v>49599340.729726665</v>
      </c>
      <c r="FS12" s="431">
        <f t="shared" si="48"/>
        <v>22404509.370220263</v>
      </c>
      <c r="FT12" s="431">
        <f>VLOOKUP(BR12,'Concentration Limits'!$E$81:$H$153,4,FALSE)</f>
        <v>3</v>
      </c>
      <c r="FU12" s="431">
        <f t="shared" si="49"/>
        <v>0</v>
      </c>
      <c r="FV12" s="431">
        <f t="shared" si="50"/>
        <v>17737566.439047478</v>
      </c>
      <c r="FW12" s="431">
        <f>'Concentration Limits'!$J$59</f>
        <v>37199505.547294997</v>
      </c>
      <c r="FX12" s="431">
        <f t="shared" si="51"/>
        <v>22404509.370220263</v>
      </c>
      <c r="FY12" s="431">
        <f>VLOOKUP(BR12,'Concentration Limits'!$E$81:$H$153,4,FALSE)</f>
        <v>3</v>
      </c>
      <c r="FZ12" s="431">
        <f t="shared" si="52"/>
        <v>0</v>
      </c>
      <c r="GA12" s="431">
        <f t="shared" si="53"/>
        <v>17737566.439047478</v>
      </c>
      <c r="GB12" s="431">
        <f>'Concentration Limits'!$J$61</f>
        <v>24799670.364863332</v>
      </c>
      <c r="GC12" s="431">
        <f t="shared" si="54"/>
        <v>22404509.370220263</v>
      </c>
      <c r="GD12" s="429">
        <f>VLOOKUP(BR12,'Concentration Limits'!$E$81:$H$153,4,FALSE)</f>
        <v>3</v>
      </c>
      <c r="GE12" s="431">
        <f t="shared" si="55"/>
        <v>0</v>
      </c>
      <c r="GF12" s="431">
        <f t="shared" si="56"/>
        <v>17737566.439047478</v>
      </c>
      <c r="GG12" s="431">
        <f>'Concentration Limits'!$J$64</f>
        <v>24799670.364863332</v>
      </c>
      <c r="GH12" s="431">
        <f t="shared" si="57"/>
        <v>0</v>
      </c>
      <c r="GI12" s="431">
        <f t="shared" si="58"/>
        <v>0</v>
      </c>
      <c r="GJ12" s="431">
        <f t="shared" si="59"/>
        <v>17737566.439047478</v>
      </c>
      <c r="GK12" s="431">
        <f>'Concentration Limits'!$J$67</f>
        <v>24799670.364863332</v>
      </c>
      <c r="GL12" s="429" t="str">
        <f t="shared" si="60"/>
        <v>No</v>
      </c>
      <c r="GM12" s="431">
        <f t="shared" si="61"/>
        <v>0</v>
      </c>
      <c r="GN12" s="431">
        <f t="shared" si="62"/>
        <v>0</v>
      </c>
      <c r="GO12" s="431">
        <f t="shared" si="63"/>
        <v>17737566.439047478</v>
      </c>
      <c r="GP12" s="431">
        <f>'Concentration Limits'!$J$68</f>
        <v>37199505.547294997</v>
      </c>
      <c r="GQ12" s="429" t="str">
        <f t="shared" si="64"/>
        <v>No</v>
      </c>
      <c r="GR12" s="431">
        <f t="shared" si="65"/>
        <v>0</v>
      </c>
      <c r="GS12" s="431">
        <f t="shared" si="66"/>
        <v>0</v>
      </c>
      <c r="GT12" s="431">
        <f t="shared" si="67"/>
        <v>17737566.439047478</v>
      </c>
      <c r="GU12" s="429">
        <f>'Concentration Limits'!$J$69</f>
        <v>37199505.547294997</v>
      </c>
      <c r="GV12" s="429" t="str">
        <f t="shared" si="68"/>
        <v>No</v>
      </c>
      <c r="GW12" s="429">
        <f t="shared" si="69"/>
        <v>0</v>
      </c>
      <c r="GX12" s="429">
        <f t="shared" si="70"/>
        <v>0</v>
      </c>
      <c r="GY12" s="429">
        <f t="shared" si="71"/>
        <v>17737566.439047478</v>
      </c>
      <c r="GZ12" s="429">
        <f>'Concentration Limits'!$J$70</f>
        <v>24799670.364863332</v>
      </c>
      <c r="HA12" s="429" t="str">
        <f t="shared" si="72"/>
        <v>No</v>
      </c>
      <c r="HB12" s="429">
        <f t="shared" si="73"/>
        <v>0</v>
      </c>
      <c r="HC12" s="429">
        <f t="shared" si="74"/>
        <v>0</v>
      </c>
      <c r="HD12" s="429">
        <f t="shared" si="75"/>
        <v>17737566.439047478</v>
      </c>
      <c r="HE12" s="431">
        <f t="shared" si="76"/>
        <v>17737566.439047478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49599340.729726665</v>
      </c>
      <c r="EM13" s="429" t="str">
        <f>IF(OR(D13="Second Lien",AND(D13="FILO",DI13&gt;AGENT!$C$57)), "Yes", "No")</f>
        <v>No</v>
      </c>
      <c r="EN13" s="429">
        <f t="shared" si="29"/>
        <v>0</v>
      </c>
      <c r="EO13" s="429">
        <f t="shared" si="30"/>
        <v>0</v>
      </c>
      <c r="EP13" s="429">
        <f t="shared" si="31"/>
        <v>4023228.1043379111</v>
      </c>
      <c r="EQ13" s="429">
        <f>'Concentration Limits'!$J$50</f>
        <v>24799670.364863332</v>
      </c>
      <c r="ER13" s="429">
        <f t="shared" si="32"/>
        <v>0</v>
      </c>
      <c r="ES13" s="429">
        <f t="shared" si="84"/>
        <v>0</v>
      </c>
      <c r="ET13" s="429">
        <f t="shared" si="33"/>
        <v>4023228.1043379111</v>
      </c>
      <c r="EU13" s="429">
        <f>'Concentration Limits'!$J$51</f>
        <v>74399011.094589993</v>
      </c>
      <c r="EV13" s="429" t="str">
        <f>IF(OR(D13="Second Lien", AND(D13="FILO",DI13&gt;AGENT!$C$59)), "Yes", "No")</f>
        <v>No</v>
      </c>
      <c r="EW13" s="429">
        <f t="shared" si="34"/>
        <v>0</v>
      </c>
      <c r="EX13" s="429">
        <f t="shared" si="35"/>
        <v>0</v>
      </c>
      <c r="EY13" s="429">
        <f t="shared" si="36"/>
        <v>4023228.1043379111</v>
      </c>
      <c r="EZ13" s="429">
        <f>'Concentration Limits'!$J$52</f>
        <v>37199505.547294997</v>
      </c>
      <c r="FA13" s="429" t="str">
        <f>IF(CY13&gt;'Concentration Limits'!$E$52, "No", "Yes")</f>
        <v>No</v>
      </c>
      <c r="FB13" s="429">
        <f t="shared" si="37"/>
        <v>0</v>
      </c>
      <c r="FC13" s="429">
        <f t="shared" si="38"/>
        <v>0</v>
      </c>
      <c r="FD13" s="429">
        <f t="shared" si="39"/>
        <v>4023228.1043379111</v>
      </c>
      <c r="FE13" s="430">
        <f>'Concentration Limits'!$J$54</f>
        <v>247996703.6486333</v>
      </c>
      <c r="FF13" s="430">
        <f>'Concentration Limits'!$J$55</f>
        <v>247996703.6486333</v>
      </c>
      <c r="FG13" s="430">
        <f>'Concentration Limits'!$J$56</f>
        <v>247996703.6486333</v>
      </c>
      <c r="FH13" s="431">
        <f>'Concentration Limits'!$J$57</f>
        <v>18599752.773647498</v>
      </c>
      <c r="FI13" s="431">
        <f t="shared" si="40"/>
        <v>4023228.1043379111</v>
      </c>
      <c r="FJ13" s="431">
        <f t="shared" si="41"/>
        <v>4023228.1043379111</v>
      </c>
      <c r="FK13" s="431">
        <f t="shared" si="42"/>
        <v>24</v>
      </c>
      <c r="FL13" s="431">
        <f>IF(FJ13&gt;0,RANK(FJ13,$FJ$9:$FJ$60)+COUNTIF($FJ$9:FJ13,FJ13)-1,0)</f>
        <v>24</v>
      </c>
      <c r="FM13" s="430">
        <f t="shared" si="43"/>
        <v>0</v>
      </c>
      <c r="FN13" s="430">
        <f t="shared" si="44"/>
        <v>0</v>
      </c>
      <c r="FO13" s="430">
        <f t="shared" si="45"/>
        <v>0</v>
      </c>
      <c r="FP13" s="431">
        <f t="shared" si="46"/>
        <v>0</v>
      </c>
      <c r="FQ13" s="431">
        <f t="shared" si="47"/>
        <v>4023228.1043379111</v>
      </c>
      <c r="FR13" s="431">
        <f>'Concentration Limits'!$J$58</f>
        <v>49599340.729726665</v>
      </c>
      <c r="FS13" s="431">
        <f t="shared" si="48"/>
        <v>61042971.865242489</v>
      </c>
      <c r="FT13" s="431">
        <f>VLOOKUP(BR13,'Concentration Limits'!$E$81:$H$153,4,FALSE)</f>
        <v>1</v>
      </c>
      <c r="FU13" s="431">
        <f t="shared" si="49"/>
        <v>754228.32462550409</v>
      </c>
      <c r="FV13" s="431">
        <f t="shared" si="50"/>
        <v>3268999.7797124069</v>
      </c>
      <c r="FW13" s="431">
        <f>'Concentration Limits'!$J$59</f>
        <v>37199505.547294997</v>
      </c>
      <c r="FX13" s="431">
        <f t="shared" si="51"/>
        <v>49599340.729726657</v>
      </c>
      <c r="FY13" s="431">
        <f>VLOOKUP(BR13,'Concentration Limits'!$E$81:$H$153,4,FALSE)</f>
        <v>1</v>
      </c>
      <c r="FZ13" s="431">
        <f t="shared" si="52"/>
        <v>0</v>
      </c>
      <c r="GA13" s="431">
        <f t="shared" si="53"/>
        <v>3268999.7797124069</v>
      </c>
      <c r="GB13" s="431">
        <f>'Concentration Limits'!$J$61</f>
        <v>24799670.364863332</v>
      </c>
      <c r="GC13" s="431">
        <f t="shared" si="54"/>
        <v>49599340.729726657</v>
      </c>
      <c r="GD13" s="429">
        <f>VLOOKUP(BR13,'Concentration Limits'!$E$81:$H$153,4,FALSE)</f>
        <v>1</v>
      </c>
      <c r="GE13" s="431">
        <f t="shared" si="55"/>
        <v>0</v>
      </c>
      <c r="GF13" s="431">
        <f t="shared" si="56"/>
        <v>3268999.7797124069</v>
      </c>
      <c r="GG13" s="431">
        <f>'Concentration Limits'!$J$64</f>
        <v>24799670.364863332</v>
      </c>
      <c r="GH13" s="431">
        <f t="shared" si="57"/>
        <v>0</v>
      </c>
      <c r="GI13" s="431">
        <f t="shared" si="58"/>
        <v>0</v>
      </c>
      <c r="GJ13" s="431">
        <f t="shared" si="59"/>
        <v>3268999.7797124069</v>
      </c>
      <c r="GK13" s="431">
        <f>'Concentration Limits'!$J$67</f>
        <v>24799670.364863332</v>
      </c>
      <c r="GL13" s="429" t="str">
        <f t="shared" si="60"/>
        <v>No</v>
      </c>
      <c r="GM13" s="431">
        <f t="shared" si="61"/>
        <v>0</v>
      </c>
      <c r="GN13" s="431">
        <f t="shared" si="62"/>
        <v>0</v>
      </c>
      <c r="GO13" s="431">
        <f t="shared" si="63"/>
        <v>3268999.7797124069</v>
      </c>
      <c r="GP13" s="431">
        <f>'Concentration Limits'!$J$68</f>
        <v>37199505.547294997</v>
      </c>
      <c r="GQ13" s="429" t="str">
        <f t="shared" si="64"/>
        <v>No</v>
      </c>
      <c r="GR13" s="431">
        <f t="shared" si="65"/>
        <v>0</v>
      </c>
      <c r="GS13" s="431">
        <f t="shared" si="66"/>
        <v>0</v>
      </c>
      <c r="GT13" s="431">
        <f t="shared" si="67"/>
        <v>3268999.7797124069</v>
      </c>
      <c r="GU13" s="429">
        <f>'Concentration Limits'!$J$69</f>
        <v>37199505.547294997</v>
      </c>
      <c r="GV13" s="429" t="str">
        <f t="shared" si="68"/>
        <v>No</v>
      </c>
      <c r="GW13" s="429">
        <f t="shared" si="69"/>
        <v>0</v>
      </c>
      <c r="GX13" s="429">
        <f t="shared" si="70"/>
        <v>0</v>
      </c>
      <c r="GY13" s="429">
        <f t="shared" si="71"/>
        <v>3268999.7797124069</v>
      </c>
      <c r="GZ13" s="429">
        <f>'Concentration Limits'!$J$70</f>
        <v>24799670.364863332</v>
      </c>
      <c r="HA13" s="429" t="str">
        <f t="shared" si="72"/>
        <v>No</v>
      </c>
      <c r="HB13" s="429">
        <f t="shared" si="73"/>
        <v>0</v>
      </c>
      <c r="HC13" s="429">
        <f t="shared" si="74"/>
        <v>0</v>
      </c>
      <c r="HD13" s="429">
        <f t="shared" si="75"/>
        <v>3268999.7797124069</v>
      </c>
      <c r="HE13" s="431">
        <f t="shared" si="76"/>
        <v>3268999.7797124069</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49599340.729726665</v>
      </c>
      <c r="EM14" s="429" t="str">
        <f>IF(OR(D14="Second Lien",AND(D14="FILO",DI14&gt;AGENT!$C$57)), "Yes", "No")</f>
        <v>No</v>
      </c>
      <c r="EN14" s="429">
        <f t="shared" si="29"/>
        <v>0</v>
      </c>
      <c r="EO14" s="429">
        <f t="shared" si="30"/>
        <v>0</v>
      </c>
      <c r="EP14" s="429">
        <f t="shared" si="31"/>
        <v>0</v>
      </c>
      <c r="EQ14" s="429">
        <f>'Concentration Limits'!$J$50</f>
        <v>24799670.364863332</v>
      </c>
      <c r="ER14" s="429">
        <f t="shared" si="32"/>
        <v>0</v>
      </c>
      <c r="ES14" s="429">
        <f t="shared" si="84"/>
        <v>0</v>
      </c>
      <c r="ET14" s="429">
        <f t="shared" si="33"/>
        <v>0</v>
      </c>
      <c r="EU14" s="429">
        <f>'Concentration Limits'!$J$51</f>
        <v>74399011.094589993</v>
      </c>
      <c r="EV14" s="429" t="str">
        <f>IF(OR(D14="Second Lien", AND(D14="FILO",DI14&gt;AGENT!$C$59)), "Yes", "No")</f>
        <v>No</v>
      </c>
      <c r="EW14" s="429">
        <f t="shared" si="34"/>
        <v>0</v>
      </c>
      <c r="EX14" s="429">
        <f t="shared" si="35"/>
        <v>0</v>
      </c>
      <c r="EY14" s="429">
        <f t="shared" si="36"/>
        <v>0</v>
      </c>
      <c r="EZ14" s="429">
        <f>'Concentration Limits'!$J$52</f>
        <v>37199505.547294997</v>
      </c>
      <c r="FA14" s="429" t="str">
        <f>IF(CY14&gt;'Concentration Limits'!$E$52, "No", "Yes")</f>
        <v>Yes</v>
      </c>
      <c r="FB14" s="429">
        <f t="shared" si="37"/>
        <v>0</v>
      </c>
      <c r="FC14" s="429">
        <f t="shared" si="38"/>
        <v>0</v>
      </c>
      <c r="FD14" s="429">
        <f t="shared" si="39"/>
        <v>0</v>
      </c>
      <c r="FE14" s="430">
        <f>'Concentration Limits'!$J$54</f>
        <v>247996703.6486333</v>
      </c>
      <c r="FF14" s="430">
        <f>'Concentration Limits'!$J$55</f>
        <v>247996703.6486333</v>
      </c>
      <c r="FG14" s="430">
        <f>'Concentration Limits'!$J$56</f>
        <v>247996703.6486333</v>
      </c>
      <c r="FH14" s="431">
        <f>'Concentration Limits'!$J$57</f>
        <v>18599752.773647498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49599340.729726665</v>
      </c>
      <c r="FS14" s="431">
        <f t="shared" si="48"/>
        <v>16096607.119937314</v>
      </c>
      <c r="FT14" s="431">
        <f>VLOOKUP(BR14,'Concentration Limits'!$E$81:$H$153,4,FALSE)</f>
        <v>5</v>
      </c>
      <c r="FU14" s="431">
        <f t="shared" si="49"/>
        <v>0</v>
      </c>
      <c r="FV14" s="431">
        <f t="shared" si="50"/>
        <v>0</v>
      </c>
      <c r="FW14" s="431">
        <f>'Concentration Limits'!$J$59</f>
        <v>37199505.547294997</v>
      </c>
      <c r="FX14" s="431">
        <f t="shared" si="51"/>
        <v>16096607.119937314</v>
      </c>
      <c r="FY14" s="431">
        <f>VLOOKUP(BR14,'Concentration Limits'!$E$81:$H$153,4,FALSE)</f>
        <v>5</v>
      </c>
      <c r="FZ14" s="431">
        <f t="shared" si="52"/>
        <v>0</v>
      </c>
      <c r="GA14" s="431">
        <f t="shared" si="53"/>
        <v>0</v>
      </c>
      <c r="GB14" s="431">
        <f>'Concentration Limits'!$J$61</f>
        <v>24799670.364863332</v>
      </c>
      <c r="GC14" s="431">
        <f t="shared" si="54"/>
        <v>16096607.119937314</v>
      </c>
      <c r="GD14" s="429">
        <f>VLOOKUP(BR14,'Concentration Limits'!$E$81:$H$153,4,FALSE)</f>
        <v>5</v>
      </c>
      <c r="GE14" s="431">
        <f t="shared" si="55"/>
        <v>0</v>
      </c>
      <c r="GF14" s="431">
        <f t="shared" si="56"/>
        <v>0</v>
      </c>
      <c r="GG14" s="431">
        <f>'Concentration Limits'!$J$64</f>
        <v>24799670.364863332</v>
      </c>
      <c r="GH14" s="431">
        <f t="shared" si="57"/>
        <v>0</v>
      </c>
      <c r="GI14" s="431">
        <f t="shared" si="58"/>
        <v>0</v>
      </c>
      <c r="GJ14" s="431">
        <f t="shared" si="59"/>
        <v>0</v>
      </c>
      <c r="GK14" s="431">
        <f>'Concentration Limits'!$J$67</f>
        <v>24799670.364863332</v>
      </c>
      <c r="GL14" s="429" t="str">
        <f t="shared" si="60"/>
        <v>No</v>
      </c>
      <c r="GM14" s="431">
        <f t="shared" si="61"/>
        <v>0</v>
      </c>
      <c r="GN14" s="431">
        <f t="shared" si="62"/>
        <v>0</v>
      </c>
      <c r="GO14" s="431">
        <f t="shared" si="63"/>
        <v>0</v>
      </c>
      <c r="GP14" s="431">
        <f>'Concentration Limits'!$J$68</f>
        <v>37199505.547294997</v>
      </c>
      <c r="GQ14" s="429" t="str">
        <f t="shared" si="64"/>
        <v>No</v>
      </c>
      <c r="GR14" s="431">
        <f t="shared" si="65"/>
        <v>0</v>
      </c>
      <c r="GS14" s="431">
        <f t="shared" si="66"/>
        <v>0</v>
      </c>
      <c r="GT14" s="431">
        <f t="shared" si="67"/>
        <v>0</v>
      </c>
      <c r="GU14" s="429">
        <f>'Concentration Limits'!$J$69</f>
        <v>37199505.547294997</v>
      </c>
      <c r="GV14" s="429" t="str">
        <f t="shared" si="68"/>
        <v>No</v>
      </c>
      <c r="GW14" s="429">
        <f t="shared" si="69"/>
        <v>0</v>
      </c>
      <c r="GX14" s="429">
        <f t="shared" si="70"/>
        <v>0</v>
      </c>
      <c r="GY14" s="429">
        <f t="shared" si="71"/>
        <v>0</v>
      </c>
      <c r="GZ14" s="429">
        <f>'Concentration Limits'!$J$70</f>
        <v>24799670.364863332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49599340.729726665</v>
      </c>
      <c r="EM15" s="429" t="str">
        <f>IF(OR(D15="Second Lien",AND(D15="FILO",DI15&gt;AGENT!$C$57)), "Yes", "No")</f>
        <v>No</v>
      </c>
      <c r="EN15" s="429">
        <f t="shared" si="29"/>
        <v>0</v>
      </c>
      <c r="EO15" s="429">
        <f t="shared" si="30"/>
        <v>0</v>
      </c>
      <c r="EP15" s="429">
        <f t="shared" si="31"/>
        <v>6414577.7793968087</v>
      </c>
      <c r="EQ15" s="429">
        <f>'Concentration Limits'!$J$50</f>
        <v>24799670.364863332</v>
      </c>
      <c r="ER15" s="429">
        <f t="shared" si="32"/>
        <v>0</v>
      </c>
      <c r="ES15" s="429">
        <f t="shared" si="84"/>
        <v>0</v>
      </c>
      <c r="ET15" s="429">
        <f t="shared" si="33"/>
        <v>6414577.7793968087</v>
      </c>
      <c r="EU15" s="429">
        <f>'Concentration Limits'!$J$51</f>
        <v>74399011.094589993</v>
      </c>
      <c r="EV15" s="429" t="str">
        <f>IF(OR(D15="Second Lien", AND(D15="FILO",DI15&gt;AGENT!$C$59)), "Yes", "No")</f>
        <v>No</v>
      </c>
      <c r="EW15" s="429">
        <f t="shared" si="34"/>
        <v>0</v>
      </c>
      <c r="EX15" s="429">
        <f t="shared" si="35"/>
        <v>0</v>
      </c>
      <c r="EY15" s="429">
        <f t="shared" si="36"/>
        <v>6414577.7793968087</v>
      </c>
      <c r="EZ15" s="429">
        <f>'Concentration Limits'!$J$52</f>
        <v>37199505.547294997</v>
      </c>
      <c r="FA15" s="429" t="str">
        <f>IF(CY15&gt;'Concentration Limits'!$E$52, "No", "Yes")</f>
        <v>No</v>
      </c>
      <c r="FB15" s="429">
        <f t="shared" si="37"/>
        <v>0</v>
      </c>
      <c r="FC15" s="429">
        <f t="shared" si="38"/>
        <v>0</v>
      </c>
      <c r="FD15" s="429">
        <f t="shared" si="39"/>
        <v>6414577.7793968087</v>
      </c>
      <c r="FE15" s="430">
        <f>'Concentration Limits'!$J$54</f>
        <v>247996703.6486333</v>
      </c>
      <c r="FF15" s="430">
        <f>'Concentration Limits'!$J$55</f>
        <v>247996703.6486333</v>
      </c>
      <c r="FG15" s="430">
        <f>'Concentration Limits'!$J$56</f>
        <v>247996703.6486333</v>
      </c>
      <c r="FH15" s="431">
        <f>'Concentration Limits'!$J$57</f>
        <v>18599752.773647498</v>
      </c>
      <c r="FI15" s="431">
        <f t="shared" si="40"/>
        <v>6414577.7793968087</v>
      </c>
      <c r="FJ15" s="431">
        <f t="shared" si="41"/>
        <v>6414577.7793968087</v>
      </c>
      <c r="FK15" s="431">
        <f t="shared" si="42"/>
        <v>20</v>
      </c>
      <c r="FL15" s="431">
        <f>IF(FJ15&gt;0,RANK(FJ15,$FJ$9:$FJ$60)+COUNTIF($FJ$9:FJ15,FJ15)-1,0)</f>
        <v>20</v>
      </c>
      <c r="FM15" s="430">
        <f t="shared" si="43"/>
        <v>0</v>
      </c>
      <c r="FN15" s="430">
        <f t="shared" si="44"/>
        <v>0</v>
      </c>
      <c r="FO15" s="430">
        <f t="shared" si="45"/>
        <v>0</v>
      </c>
      <c r="FP15" s="431">
        <f t="shared" si="46"/>
        <v>0</v>
      </c>
      <c r="FQ15" s="431">
        <f t="shared" si="47"/>
        <v>6414577.7793968087</v>
      </c>
      <c r="FR15" s="431">
        <f>'Concentration Limits'!$J$58</f>
        <v>49599340.729726665</v>
      </c>
      <c r="FS15" s="431">
        <f t="shared" si="48"/>
        <v>24394399.03040082</v>
      </c>
      <c r="FT15" s="431">
        <f>VLOOKUP(BR15,'Concentration Limits'!$E$81:$H$153,4,FALSE)</f>
        <v>2</v>
      </c>
      <c r="FU15" s="431">
        <f t="shared" si="49"/>
        <v>0</v>
      </c>
      <c r="FV15" s="431">
        <f t="shared" si="50"/>
        <v>6414577.7793968087</v>
      </c>
      <c r="FW15" s="431">
        <f>'Concentration Limits'!$J$59</f>
        <v>37199505.547294997</v>
      </c>
      <c r="FX15" s="431">
        <f t="shared" si="51"/>
        <v>24394399.03040082</v>
      </c>
      <c r="FY15" s="431">
        <f>VLOOKUP(BR15,'Concentration Limits'!$E$81:$H$153,4,FALSE)</f>
        <v>2</v>
      </c>
      <c r="FZ15" s="431">
        <f t="shared" si="52"/>
        <v>0</v>
      </c>
      <c r="GA15" s="431">
        <f t="shared" si="53"/>
        <v>6414577.7793968087</v>
      </c>
      <c r="GB15" s="431">
        <f>'Concentration Limits'!$J$61</f>
        <v>24799670.364863332</v>
      </c>
      <c r="GC15" s="431">
        <f t="shared" si="54"/>
        <v>24394399.03040082</v>
      </c>
      <c r="GD15" s="429">
        <f>VLOOKUP(BR15,'Concentration Limits'!$E$81:$H$153,4,FALSE)</f>
        <v>2</v>
      </c>
      <c r="GE15" s="431">
        <f t="shared" si="55"/>
        <v>0</v>
      </c>
      <c r="GF15" s="431">
        <f t="shared" si="56"/>
        <v>6414577.7793968087</v>
      </c>
      <c r="GG15" s="431">
        <f>'Concentration Limits'!$J$64</f>
        <v>24799670.364863332</v>
      </c>
      <c r="GH15" s="431">
        <f t="shared" si="57"/>
        <v>0</v>
      </c>
      <c r="GI15" s="431">
        <f t="shared" si="58"/>
        <v>0</v>
      </c>
      <c r="GJ15" s="431">
        <f t="shared" si="59"/>
        <v>6414577.7793968087</v>
      </c>
      <c r="GK15" s="431">
        <f>'Concentration Limits'!$J$67</f>
        <v>24799670.364863332</v>
      </c>
      <c r="GL15" s="429" t="str">
        <f t="shared" si="60"/>
        <v>No</v>
      </c>
      <c r="GM15" s="431">
        <f t="shared" si="61"/>
        <v>0</v>
      </c>
      <c r="GN15" s="431">
        <f t="shared" si="62"/>
        <v>0</v>
      </c>
      <c r="GO15" s="431">
        <f t="shared" si="63"/>
        <v>6414577.7793968087</v>
      </c>
      <c r="GP15" s="431">
        <f>'Concentration Limits'!$J$68</f>
        <v>37199505.547294997</v>
      </c>
      <c r="GQ15" s="429" t="str">
        <f t="shared" si="64"/>
        <v>No</v>
      </c>
      <c r="GR15" s="431">
        <f t="shared" si="65"/>
        <v>0</v>
      </c>
      <c r="GS15" s="431">
        <f t="shared" si="66"/>
        <v>0</v>
      </c>
      <c r="GT15" s="431">
        <f t="shared" si="67"/>
        <v>6414577.7793968087</v>
      </c>
      <c r="GU15" s="429">
        <f>'Concentration Limits'!$J$69</f>
        <v>37199505.547294997</v>
      </c>
      <c r="GV15" s="429" t="str">
        <f t="shared" si="68"/>
        <v>No</v>
      </c>
      <c r="GW15" s="429">
        <f t="shared" si="69"/>
        <v>0</v>
      </c>
      <c r="GX15" s="429">
        <f t="shared" si="70"/>
        <v>0</v>
      </c>
      <c r="GY15" s="429">
        <f t="shared" si="71"/>
        <v>6414577.7793968087</v>
      </c>
      <c r="GZ15" s="429">
        <f>'Concentration Limits'!$J$70</f>
        <v>24799670.364863332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49599340.729726665</v>
      </c>
      <c r="EM16" s="429" t="str">
        <f>IF(OR(D16="Second Lien",AND(D16="FILO",DI16&gt;AGENT!$C$57)), "Yes", "No")</f>
        <v>No</v>
      </c>
      <c r="EN16" s="429">
        <f t="shared" si="29"/>
        <v>0</v>
      </c>
      <c r="EO16" s="429">
        <f t="shared" si="30"/>
        <v>0</v>
      </c>
      <c r="EP16" s="429">
        <f t="shared" si="31"/>
        <v>12656117.589817706</v>
      </c>
      <c r="EQ16" s="429">
        <f>'Concentration Limits'!$J$50</f>
        <v>24799670.364863332</v>
      </c>
      <c r="ER16" s="429">
        <f t="shared" si="32"/>
        <v>0</v>
      </c>
      <c r="ES16" s="429">
        <f t="shared" si="84"/>
        <v>0</v>
      </c>
      <c r="ET16" s="429">
        <f t="shared" si="33"/>
        <v>12656117.589817706</v>
      </c>
      <c r="EU16" s="429">
        <f>'Concentration Limits'!$J$51</f>
        <v>74399011.094589993</v>
      </c>
      <c r="EV16" s="429" t="str">
        <f>IF(OR(D16="Second Lien", AND(D16="FILO",DI16&gt;AGENT!$C$59)), "Yes", "No")</f>
        <v>No</v>
      </c>
      <c r="EW16" s="429">
        <f t="shared" si="34"/>
        <v>0</v>
      </c>
      <c r="EX16" s="429">
        <f t="shared" si="35"/>
        <v>0</v>
      </c>
      <c r="EY16" s="429">
        <f t="shared" si="36"/>
        <v>12656117.589817706</v>
      </c>
      <c r="EZ16" s="429">
        <f>'Concentration Limits'!$J$52</f>
        <v>37199505.547294997</v>
      </c>
      <c r="FA16" s="429" t="str">
        <f>IF(CY16&gt;'Concentration Limits'!$E$52, "No", "Yes")</f>
        <v>No</v>
      </c>
      <c r="FB16" s="429">
        <f t="shared" si="37"/>
        <v>0</v>
      </c>
      <c r="FC16" s="429">
        <f t="shared" si="38"/>
        <v>0</v>
      </c>
      <c r="FD16" s="429">
        <f t="shared" si="39"/>
        <v>12656117.589817706</v>
      </c>
      <c r="FE16" s="430">
        <f>'Concentration Limits'!$J$54</f>
        <v>247996703.6486333</v>
      </c>
      <c r="FF16" s="430">
        <f>'Concentration Limits'!$J$55</f>
        <v>247996703.6486333</v>
      </c>
      <c r="FG16" s="430">
        <f>'Concentration Limits'!$J$56</f>
        <v>247996703.6486333</v>
      </c>
      <c r="FH16" s="431">
        <f>'Concentration Limits'!$J$57</f>
        <v>18599752.773647498</v>
      </c>
      <c r="FI16" s="431">
        <f t="shared" si="40"/>
        <v>12656117.589817706</v>
      </c>
      <c r="FJ16" s="431">
        <f t="shared" si="41"/>
        <v>12656117.589817706</v>
      </c>
      <c r="FK16" s="431">
        <f t="shared" si="42"/>
        <v>5</v>
      </c>
      <c r="FL16" s="431">
        <f>IF(FJ16&gt;0,RANK(FJ16,$FJ$9:$FJ$60)+COUNTIF($FJ$9:FJ16,FJ16)-1,0)</f>
        <v>5</v>
      </c>
      <c r="FM16" s="430">
        <f t="shared" si="43"/>
        <v>0</v>
      </c>
      <c r="FN16" s="430">
        <f t="shared" si="44"/>
        <v>0</v>
      </c>
      <c r="FO16" s="430">
        <f t="shared" si="45"/>
        <v>0</v>
      </c>
      <c r="FP16" s="431">
        <f t="shared" si="46"/>
        <v>0</v>
      </c>
      <c r="FQ16" s="431">
        <f t="shared" si="47"/>
        <v>12656117.589817706</v>
      </c>
      <c r="FR16" s="431">
        <f>'Concentration Limits'!$J$58</f>
        <v>49599340.729726665</v>
      </c>
      <c r="FS16" s="431">
        <f t="shared" si="48"/>
        <v>12656117.589817706</v>
      </c>
      <c r="FT16" s="431">
        <f>VLOOKUP(BR16,'Concentration Limits'!$E$81:$H$153,4,FALSE)</f>
        <v>10</v>
      </c>
      <c r="FU16" s="431">
        <f t="shared" si="49"/>
        <v>0</v>
      </c>
      <c r="FV16" s="431">
        <f t="shared" si="50"/>
        <v>12656117.589817706</v>
      </c>
      <c r="FW16" s="431">
        <f>'Concentration Limits'!$J$59</f>
        <v>37199505.547294997</v>
      </c>
      <c r="FX16" s="431">
        <f t="shared" si="51"/>
        <v>12656117.589817706</v>
      </c>
      <c r="FY16" s="431">
        <f>VLOOKUP(BR16,'Concentration Limits'!$E$81:$H$153,4,FALSE)</f>
        <v>10</v>
      </c>
      <c r="FZ16" s="431">
        <f t="shared" si="52"/>
        <v>0</v>
      </c>
      <c r="GA16" s="431">
        <f t="shared" si="53"/>
        <v>12656117.589817706</v>
      </c>
      <c r="GB16" s="431">
        <f>'Concentration Limits'!$J$61</f>
        <v>24799670.364863332</v>
      </c>
      <c r="GC16" s="431">
        <f t="shared" si="54"/>
        <v>12656117.589817706</v>
      </c>
      <c r="GD16" s="429">
        <f>VLOOKUP(BR16,'Concentration Limits'!$E$81:$H$153,4,FALSE)</f>
        <v>10</v>
      </c>
      <c r="GE16" s="431">
        <f t="shared" si="55"/>
        <v>0</v>
      </c>
      <c r="GF16" s="431">
        <f t="shared" si="56"/>
        <v>12656117.589817706</v>
      </c>
      <c r="GG16" s="431">
        <f>'Concentration Limits'!$J$64</f>
        <v>24799670.364863332</v>
      </c>
      <c r="GH16" s="431">
        <f t="shared" si="57"/>
        <v>0</v>
      </c>
      <c r="GI16" s="431">
        <f t="shared" si="58"/>
        <v>0</v>
      </c>
      <c r="GJ16" s="431">
        <f t="shared" si="59"/>
        <v>12656117.589817706</v>
      </c>
      <c r="GK16" s="431">
        <f>'Concentration Limits'!$J$67</f>
        <v>24799670.364863332</v>
      </c>
      <c r="GL16" s="429" t="str">
        <f t="shared" si="60"/>
        <v>No</v>
      </c>
      <c r="GM16" s="431">
        <f t="shared" si="61"/>
        <v>0</v>
      </c>
      <c r="GN16" s="431">
        <f t="shared" si="62"/>
        <v>0</v>
      </c>
      <c r="GO16" s="431">
        <f t="shared" si="63"/>
        <v>12656117.589817706</v>
      </c>
      <c r="GP16" s="431">
        <f>'Concentration Limits'!$J$68</f>
        <v>37199505.547294997</v>
      </c>
      <c r="GQ16" s="429" t="str">
        <f t="shared" si="64"/>
        <v>No</v>
      </c>
      <c r="GR16" s="431">
        <f t="shared" si="65"/>
        <v>0</v>
      </c>
      <c r="GS16" s="431">
        <f t="shared" si="66"/>
        <v>0</v>
      </c>
      <c r="GT16" s="431">
        <f t="shared" si="67"/>
        <v>12656117.589817706</v>
      </c>
      <c r="GU16" s="429">
        <f>'Concentration Limits'!$J$69</f>
        <v>37199505.547294997</v>
      </c>
      <c r="GV16" s="429" t="str">
        <f t="shared" si="68"/>
        <v>Yes</v>
      </c>
      <c r="GW16" s="429">
        <f t="shared" si="69"/>
        <v>12656117.589817706</v>
      </c>
      <c r="GX16" s="429">
        <f t="shared" si="70"/>
        <v>0</v>
      </c>
      <c r="GY16" s="429">
        <f t="shared" si="71"/>
        <v>12656117.589817706</v>
      </c>
      <c r="GZ16" s="429">
        <f>'Concentration Limits'!$J$70</f>
        <v>24799670.364863332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49599340.729726665</v>
      </c>
      <c r="EM17" s="429" t="str">
        <f>IF(OR(D17="Second Lien",AND(D17="FILO",DI17&gt;AGENT!$C$57)), "Yes", "No")</f>
        <v>No</v>
      </c>
      <c r="EN17" s="429">
        <f t="shared" si="29"/>
        <v>0</v>
      </c>
      <c r="EO17" s="429">
        <f t="shared" si="30"/>
        <v>0</v>
      </c>
      <c r="EP17" s="429">
        <f t="shared" si="31"/>
        <v>11075134.805091927</v>
      </c>
      <c r="EQ17" s="429">
        <f>'Concentration Limits'!$J$50</f>
        <v>24799670.364863332</v>
      </c>
      <c r="ER17" s="429">
        <f t="shared" si="32"/>
        <v>0</v>
      </c>
      <c r="ES17" s="429">
        <f t="shared" si="84"/>
        <v>0</v>
      </c>
      <c r="ET17" s="429">
        <f t="shared" si="33"/>
        <v>11075134.805091927</v>
      </c>
      <c r="EU17" s="429">
        <f>'Concentration Limits'!$J$51</f>
        <v>74399011.094589993</v>
      </c>
      <c r="EV17" s="429" t="str">
        <f>IF(OR(D17="Second Lien", AND(D17="FILO",DI17&gt;AGENT!$C$59)), "Yes", "No")</f>
        <v>Yes</v>
      </c>
      <c r="EW17" s="429">
        <f t="shared" si="34"/>
        <v>53940434.707607172</v>
      </c>
      <c r="EX17" s="429">
        <f t="shared" si="35"/>
        <v>0</v>
      </c>
      <c r="EY17" s="429">
        <f t="shared" si="36"/>
        <v>11075134.805091927</v>
      </c>
      <c r="EZ17" s="429">
        <f>'Concentration Limits'!$J$52</f>
        <v>37199505.547294997</v>
      </c>
      <c r="FA17" s="429" t="str">
        <f>IF(CY17&gt;'Concentration Limits'!$E$52, "No", "Yes")</f>
        <v>No</v>
      </c>
      <c r="FB17" s="429">
        <f t="shared" si="37"/>
        <v>0</v>
      </c>
      <c r="FC17" s="429">
        <f t="shared" si="38"/>
        <v>0</v>
      </c>
      <c r="FD17" s="429">
        <f t="shared" si="39"/>
        <v>11075134.805091927</v>
      </c>
      <c r="FE17" s="430">
        <f>'Concentration Limits'!$J$54</f>
        <v>247996703.6486333</v>
      </c>
      <c r="FF17" s="430">
        <f>'Concentration Limits'!$J$55</f>
        <v>247996703.6486333</v>
      </c>
      <c r="FG17" s="430">
        <f>'Concentration Limits'!$J$56</f>
        <v>247996703.6486333</v>
      </c>
      <c r="FH17" s="431">
        <f>'Concentration Limits'!$J$57</f>
        <v>18599752.773647498</v>
      </c>
      <c r="FI17" s="431">
        <f t="shared" si="40"/>
        <v>11075134.805091927</v>
      </c>
      <c r="FJ17" s="431">
        <f t="shared" si="41"/>
        <v>11075134.805091927</v>
      </c>
      <c r="FK17" s="431">
        <f t="shared" si="42"/>
        <v>10</v>
      </c>
      <c r="FL17" s="431">
        <f>IF(FJ17&gt;0,RANK(FJ17,$FJ$9:$FJ$60)+COUNTIF($FJ$9:FJ17,FJ17)-1,0)</f>
        <v>10</v>
      </c>
      <c r="FM17" s="430">
        <f t="shared" si="43"/>
        <v>0</v>
      </c>
      <c r="FN17" s="430">
        <f t="shared" si="44"/>
        <v>0</v>
      </c>
      <c r="FO17" s="430">
        <f t="shared" si="45"/>
        <v>0</v>
      </c>
      <c r="FP17" s="431">
        <f t="shared" si="46"/>
        <v>0</v>
      </c>
      <c r="FQ17" s="431">
        <f t="shared" si="47"/>
        <v>11075134.805091927</v>
      </c>
      <c r="FR17" s="431">
        <f>'Concentration Limits'!$J$58</f>
        <v>49599340.729726665</v>
      </c>
      <c r="FS17" s="431">
        <f t="shared" si="48"/>
        <v>13656662.095759427</v>
      </c>
      <c r="FT17" s="431">
        <f>VLOOKUP(BR17,'Concentration Limits'!$E$81:$H$153,4,FALSE)</f>
        <v>7</v>
      </c>
      <c r="FU17" s="431">
        <f t="shared" si="49"/>
        <v>0</v>
      </c>
      <c r="FV17" s="431">
        <f t="shared" si="50"/>
        <v>11075134.805091927</v>
      </c>
      <c r="FW17" s="431">
        <f>'Concentration Limits'!$J$59</f>
        <v>37199505.547294997</v>
      </c>
      <c r="FX17" s="431">
        <f t="shared" si="51"/>
        <v>13656662.095759427</v>
      </c>
      <c r="FY17" s="431">
        <f>VLOOKUP(BR17,'Concentration Limits'!$E$81:$H$153,4,FALSE)</f>
        <v>7</v>
      </c>
      <c r="FZ17" s="431">
        <f t="shared" si="52"/>
        <v>0</v>
      </c>
      <c r="GA17" s="431">
        <f t="shared" si="53"/>
        <v>11075134.805091927</v>
      </c>
      <c r="GB17" s="431">
        <f>'Concentration Limits'!$J$61</f>
        <v>24799670.364863332</v>
      </c>
      <c r="GC17" s="431">
        <f t="shared" si="54"/>
        <v>13656662.095759427</v>
      </c>
      <c r="GD17" s="429">
        <f>VLOOKUP(BR17,'Concentration Limits'!$E$81:$H$153,4,FALSE)</f>
        <v>7</v>
      </c>
      <c r="GE17" s="431">
        <f t="shared" si="55"/>
        <v>0</v>
      </c>
      <c r="GF17" s="431">
        <f t="shared" si="56"/>
        <v>11075134.805091927</v>
      </c>
      <c r="GG17" s="431">
        <f>'Concentration Limits'!$J$64</f>
        <v>24799670.364863332</v>
      </c>
      <c r="GH17" s="431">
        <f t="shared" si="57"/>
        <v>0</v>
      </c>
      <c r="GI17" s="431">
        <f t="shared" si="58"/>
        <v>0</v>
      </c>
      <c r="GJ17" s="431">
        <f t="shared" si="59"/>
        <v>11075134.805091927</v>
      </c>
      <c r="GK17" s="431">
        <f>'Concentration Limits'!$J$67</f>
        <v>24799670.364863332</v>
      </c>
      <c r="GL17" s="429" t="str">
        <f t="shared" si="60"/>
        <v>No</v>
      </c>
      <c r="GM17" s="431">
        <f t="shared" si="61"/>
        <v>0</v>
      </c>
      <c r="GN17" s="431">
        <f t="shared" si="62"/>
        <v>0</v>
      </c>
      <c r="GO17" s="431">
        <f t="shared" si="63"/>
        <v>11075134.805091927</v>
      </c>
      <c r="GP17" s="431">
        <f>'Concentration Limits'!$J$68</f>
        <v>37199505.547294997</v>
      </c>
      <c r="GQ17" s="429" t="str">
        <f t="shared" si="64"/>
        <v>No</v>
      </c>
      <c r="GR17" s="431">
        <f t="shared" si="65"/>
        <v>0</v>
      </c>
      <c r="GS17" s="431">
        <f t="shared" si="66"/>
        <v>0</v>
      </c>
      <c r="GT17" s="431">
        <f t="shared" si="67"/>
        <v>11075134.805091927</v>
      </c>
      <c r="GU17" s="429">
        <f>'Concentration Limits'!$J$69</f>
        <v>37199505.547294997</v>
      </c>
      <c r="GV17" s="429" t="str">
        <f t="shared" si="68"/>
        <v>No</v>
      </c>
      <c r="GW17" s="429">
        <f t="shared" si="69"/>
        <v>0</v>
      </c>
      <c r="GX17" s="429">
        <f t="shared" si="70"/>
        <v>0</v>
      </c>
      <c r="GY17" s="429">
        <f t="shared" si="71"/>
        <v>11075134.805091927</v>
      </c>
      <c r="GZ17" s="429">
        <f>'Concentration Limits'!$J$70</f>
        <v>24799670.364863332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49599340.729726665</v>
      </c>
      <c r="EM18" s="429" t="str">
        <f>IF(OR(D18="Second Lien",AND(D18="FILO",DI18&gt;AGENT!$C$57)), "Yes", "No")</f>
        <v>No</v>
      </c>
      <c r="EN18" s="429">
        <f t="shared" si="29"/>
        <v>0</v>
      </c>
      <c r="EO18" s="429">
        <f t="shared" si="30"/>
        <v>0</v>
      </c>
      <c r="EP18" s="429">
        <f t="shared" si="31"/>
        <v>6210559.5391558968</v>
      </c>
      <c r="EQ18" s="429">
        <f>'Concentration Limits'!$J$50</f>
        <v>24799670.364863332</v>
      </c>
      <c r="ER18" s="429">
        <f t="shared" si="32"/>
        <v>0</v>
      </c>
      <c r="ES18" s="429">
        <f t="shared" si="84"/>
        <v>0</v>
      </c>
      <c r="ET18" s="429">
        <f t="shared" si="33"/>
        <v>6210559.5391558968</v>
      </c>
      <c r="EU18" s="429">
        <f>'Concentration Limits'!$J$51</f>
        <v>74399011.094589993</v>
      </c>
      <c r="EV18" s="429" t="str">
        <f>IF(OR(D18="Second Lien", AND(D18="FILO",DI18&gt;AGENT!$C$59)), "Yes", "No")</f>
        <v>No</v>
      </c>
      <c r="EW18" s="429">
        <f t="shared" si="34"/>
        <v>0</v>
      </c>
      <c r="EX18" s="429">
        <f t="shared" si="35"/>
        <v>0</v>
      </c>
      <c r="EY18" s="429">
        <f t="shared" si="36"/>
        <v>6210559.5391558968</v>
      </c>
      <c r="EZ18" s="429">
        <f>'Concentration Limits'!$J$52</f>
        <v>37199505.547294997</v>
      </c>
      <c r="FA18" s="429" t="str">
        <f>IF(CY18&gt;'Concentration Limits'!$E$52, "No", "Yes")</f>
        <v>No</v>
      </c>
      <c r="FB18" s="429">
        <f t="shared" si="37"/>
        <v>0</v>
      </c>
      <c r="FC18" s="429">
        <f t="shared" si="38"/>
        <v>0</v>
      </c>
      <c r="FD18" s="429">
        <f t="shared" si="39"/>
        <v>6210559.5391558968</v>
      </c>
      <c r="FE18" s="430">
        <f>'Concentration Limits'!$J$54</f>
        <v>247996703.6486333</v>
      </c>
      <c r="FF18" s="430">
        <f>'Concentration Limits'!$J$55</f>
        <v>247996703.6486333</v>
      </c>
      <c r="FG18" s="430">
        <f>'Concentration Limits'!$J$56</f>
        <v>247996703.6486333</v>
      </c>
      <c r="FH18" s="431">
        <f>'Concentration Limits'!$J$57</f>
        <v>18599752.773647498</v>
      </c>
      <c r="FI18" s="431">
        <f t="shared" si="40"/>
        <v>6210559.5391558968</v>
      </c>
      <c r="FJ18" s="431">
        <f t="shared" si="41"/>
        <v>6210559.5391558968</v>
      </c>
      <c r="FK18" s="431">
        <f t="shared" si="42"/>
        <v>21</v>
      </c>
      <c r="FL18" s="431">
        <f>IF(FJ18&gt;0,RANK(FJ18,$FJ$9:$FJ$60)+COUNTIF($FJ$9:FJ18,FJ18)-1,0)</f>
        <v>21</v>
      </c>
      <c r="FM18" s="430">
        <f t="shared" si="43"/>
        <v>0</v>
      </c>
      <c r="FN18" s="430">
        <f t="shared" si="44"/>
        <v>0</v>
      </c>
      <c r="FO18" s="430">
        <f t="shared" si="45"/>
        <v>0</v>
      </c>
      <c r="FP18" s="431">
        <f t="shared" si="46"/>
        <v>0</v>
      </c>
      <c r="FQ18" s="431">
        <f t="shared" si="47"/>
        <v>6210559.5391558968</v>
      </c>
      <c r="FR18" s="431">
        <f>'Concentration Limits'!$J$58</f>
        <v>49599340.729726665</v>
      </c>
      <c r="FS18" s="431">
        <f t="shared" si="48"/>
        <v>61042971.865242489</v>
      </c>
      <c r="FT18" s="431">
        <f>VLOOKUP(BR18,'Concentration Limits'!$E$81:$H$153,4,FALSE)</f>
        <v>1</v>
      </c>
      <c r="FU18" s="431">
        <f t="shared" si="49"/>
        <v>1164283.9517734365</v>
      </c>
      <c r="FV18" s="431">
        <f t="shared" si="50"/>
        <v>5046275.58738246</v>
      </c>
      <c r="FW18" s="431">
        <f>'Concentration Limits'!$J$59</f>
        <v>37199505.547294997</v>
      </c>
      <c r="FX18" s="431">
        <f t="shared" si="51"/>
        <v>49599340.729726657</v>
      </c>
      <c r="FY18" s="431">
        <f>VLOOKUP(BR18,'Concentration Limits'!$E$81:$H$153,4,FALSE)</f>
        <v>1</v>
      </c>
      <c r="FZ18" s="431">
        <f t="shared" si="52"/>
        <v>0</v>
      </c>
      <c r="GA18" s="431">
        <f t="shared" si="53"/>
        <v>5046275.58738246</v>
      </c>
      <c r="GB18" s="431">
        <f>'Concentration Limits'!$J$61</f>
        <v>24799670.364863332</v>
      </c>
      <c r="GC18" s="431">
        <f t="shared" si="54"/>
        <v>49599340.729726657</v>
      </c>
      <c r="GD18" s="429">
        <f>VLOOKUP(BR18,'Concentration Limits'!$E$81:$H$153,4,FALSE)</f>
        <v>1</v>
      </c>
      <c r="GE18" s="431">
        <f t="shared" si="55"/>
        <v>0</v>
      </c>
      <c r="GF18" s="431">
        <f t="shared" si="56"/>
        <v>5046275.58738246</v>
      </c>
      <c r="GG18" s="431">
        <f>'Concentration Limits'!$J$64</f>
        <v>24799670.364863332</v>
      </c>
      <c r="GH18" s="431">
        <f t="shared" si="57"/>
        <v>0</v>
      </c>
      <c r="GI18" s="431">
        <f t="shared" si="58"/>
        <v>0</v>
      </c>
      <c r="GJ18" s="431">
        <f t="shared" si="59"/>
        <v>5046275.58738246</v>
      </c>
      <c r="GK18" s="431">
        <f>'Concentration Limits'!$J$67</f>
        <v>24799670.364863332</v>
      </c>
      <c r="GL18" s="429" t="str">
        <f t="shared" si="60"/>
        <v>No</v>
      </c>
      <c r="GM18" s="431">
        <f t="shared" si="61"/>
        <v>0</v>
      </c>
      <c r="GN18" s="431">
        <f t="shared" si="62"/>
        <v>0</v>
      </c>
      <c r="GO18" s="431">
        <f t="shared" si="63"/>
        <v>5046275.58738246</v>
      </c>
      <c r="GP18" s="431">
        <f>'Concentration Limits'!$J$68</f>
        <v>37199505.547294997</v>
      </c>
      <c r="GQ18" s="429" t="str">
        <f t="shared" si="64"/>
        <v>No</v>
      </c>
      <c r="GR18" s="431">
        <f t="shared" si="65"/>
        <v>0</v>
      </c>
      <c r="GS18" s="431">
        <f t="shared" si="66"/>
        <v>0</v>
      </c>
      <c r="GT18" s="431">
        <f t="shared" si="67"/>
        <v>5046275.58738246</v>
      </c>
      <c r="GU18" s="429">
        <f>'Concentration Limits'!$J$69</f>
        <v>37199505.547294997</v>
      </c>
      <c r="GV18" s="429" t="str">
        <f t="shared" si="68"/>
        <v>No</v>
      </c>
      <c r="GW18" s="429">
        <f t="shared" si="69"/>
        <v>0</v>
      </c>
      <c r="GX18" s="429">
        <f t="shared" si="70"/>
        <v>0</v>
      </c>
      <c r="GY18" s="429">
        <f t="shared" si="71"/>
        <v>5046275.58738246</v>
      </c>
      <c r="GZ18" s="429">
        <f>'Concentration Limits'!$J$70</f>
        <v>24799670.364863332</v>
      </c>
      <c r="HA18" s="429" t="str">
        <f t="shared" si="72"/>
        <v>No</v>
      </c>
      <c r="HB18" s="429">
        <f t="shared" si="73"/>
        <v>0</v>
      </c>
      <c r="HC18" s="429">
        <f t="shared" si="74"/>
        <v>0</v>
      </c>
      <c r="HD18" s="429">
        <f t="shared" si="75"/>
        <v>5046275.58738246</v>
      </c>
      <c r="HE18" s="431">
        <f t="shared" si="76"/>
        <v>5046275.58738246</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49599340.729726665</v>
      </c>
      <c r="EM19" s="429" t="str">
        <f>IF(OR(D19="Second Lien",AND(D19="FILO",DI19&gt;AGENT!$C$57)), "Yes", "No")</f>
        <v>No</v>
      </c>
      <c r="EN19" s="429">
        <f t="shared" si="29"/>
        <v>0</v>
      </c>
      <c r="EO19" s="429">
        <f t="shared" si="30"/>
        <v>0</v>
      </c>
      <c r="EP19" s="429">
        <f t="shared" si="31"/>
        <v>0</v>
      </c>
      <c r="EQ19" s="429">
        <f>'Concentration Limits'!$J$50</f>
        <v>24799670.364863332</v>
      </c>
      <c r="ER19" s="429">
        <f t="shared" si="32"/>
        <v>0</v>
      </c>
      <c r="ES19" s="429">
        <f t="shared" si="84"/>
        <v>0</v>
      </c>
      <c r="ET19" s="429">
        <f t="shared" si="33"/>
        <v>0</v>
      </c>
      <c r="EU19" s="429">
        <f>'Concentration Limits'!$J$51</f>
        <v>74399011.094589993</v>
      </c>
      <c r="EV19" s="429" t="str">
        <f>IF(OR(D19="Second Lien", AND(D19="FILO",DI19&gt;AGENT!$C$59)), "Yes", "No")</f>
        <v>No</v>
      </c>
      <c r="EW19" s="429">
        <f t="shared" si="34"/>
        <v>0</v>
      </c>
      <c r="EX19" s="429">
        <f t="shared" si="35"/>
        <v>0</v>
      </c>
      <c r="EY19" s="429">
        <f t="shared" si="36"/>
        <v>0</v>
      </c>
      <c r="EZ19" s="429">
        <f>'Concentration Limits'!$J$52</f>
        <v>37199505.547294997</v>
      </c>
      <c r="FA19" s="429" t="str">
        <f>IF(CY19&gt;'Concentration Limits'!$E$52, "No", "Yes")</f>
        <v>Yes</v>
      </c>
      <c r="FB19" s="429">
        <f t="shared" si="37"/>
        <v>0</v>
      </c>
      <c r="FC19" s="429">
        <f t="shared" si="38"/>
        <v>0</v>
      </c>
      <c r="FD19" s="429">
        <f t="shared" si="39"/>
        <v>0</v>
      </c>
      <c r="FE19" s="430">
        <f>'Concentration Limits'!$J$54</f>
        <v>247996703.6486333</v>
      </c>
      <c r="FF19" s="430">
        <f>'Concentration Limits'!$J$55</f>
        <v>247996703.6486333</v>
      </c>
      <c r="FG19" s="430">
        <f>'Concentration Limits'!$J$56</f>
        <v>247996703.6486333</v>
      </c>
      <c r="FH19" s="431">
        <f>'Concentration Limits'!$J$57</f>
        <v>18599752.773647498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49599340.729726665</v>
      </c>
      <c r="FS19" s="431">
        <f t="shared" si="48"/>
        <v>22404509.370220263</v>
      </c>
      <c r="FT19" s="431">
        <f>VLOOKUP(BR19,'Concentration Limits'!$E$81:$H$153,4,FALSE)</f>
        <v>3</v>
      </c>
      <c r="FU19" s="431">
        <f t="shared" si="49"/>
        <v>0</v>
      </c>
      <c r="FV19" s="431">
        <f t="shared" si="50"/>
        <v>0</v>
      </c>
      <c r="FW19" s="431">
        <f>'Concentration Limits'!$J$59</f>
        <v>37199505.547294997</v>
      </c>
      <c r="FX19" s="431">
        <f t="shared" si="51"/>
        <v>22404509.370220263</v>
      </c>
      <c r="FY19" s="431">
        <f>VLOOKUP(BR19,'Concentration Limits'!$E$81:$H$153,4,FALSE)</f>
        <v>3</v>
      </c>
      <c r="FZ19" s="431">
        <f t="shared" si="52"/>
        <v>0</v>
      </c>
      <c r="GA19" s="431">
        <f t="shared" si="53"/>
        <v>0</v>
      </c>
      <c r="GB19" s="431">
        <f>'Concentration Limits'!$J$61</f>
        <v>24799670.364863332</v>
      </c>
      <c r="GC19" s="431">
        <f t="shared" si="54"/>
        <v>22404509.370220263</v>
      </c>
      <c r="GD19" s="429">
        <f>VLOOKUP(BR19,'Concentration Limits'!$E$81:$H$153,4,FALSE)</f>
        <v>3</v>
      </c>
      <c r="GE19" s="431">
        <f t="shared" si="55"/>
        <v>0</v>
      </c>
      <c r="GF19" s="431">
        <f t="shared" si="56"/>
        <v>0</v>
      </c>
      <c r="GG19" s="431">
        <f>'Concentration Limits'!$J$64</f>
        <v>24799670.364863332</v>
      </c>
      <c r="GH19" s="431">
        <f t="shared" si="57"/>
        <v>0</v>
      </c>
      <c r="GI19" s="431">
        <f t="shared" si="58"/>
        <v>0</v>
      </c>
      <c r="GJ19" s="431">
        <f t="shared" si="59"/>
        <v>0</v>
      </c>
      <c r="GK19" s="431">
        <f>'Concentration Limits'!$J$67</f>
        <v>24799670.364863332</v>
      </c>
      <c r="GL19" s="429" t="str">
        <f t="shared" si="60"/>
        <v>No</v>
      </c>
      <c r="GM19" s="431">
        <f t="shared" si="61"/>
        <v>0</v>
      </c>
      <c r="GN19" s="431">
        <f t="shared" si="62"/>
        <v>0</v>
      </c>
      <c r="GO19" s="431">
        <f t="shared" si="63"/>
        <v>0</v>
      </c>
      <c r="GP19" s="431">
        <f>'Concentration Limits'!$J$68</f>
        <v>37199505.547294997</v>
      </c>
      <c r="GQ19" s="429" t="str">
        <f t="shared" si="64"/>
        <v>No</v>
      </c>
      <c r="GR19" s="431">
        <f t="shared" si="65"/>
        <v>0</v>
      </c>
      <c r="GS19" s="431">
        <f t="shared" si="66"/>
        <v>0</v>
      </c>
      <c r="GT19" s="431">
        <f t="shared" si="67"/>
        <v>0</v>
      </c>
      <c r="GU19" s="429">
        <f>'Concentration Limits'!$J$69</f>
        <v>37199505.547294997</v>
      </c>
      <c r="GV19" s="429" t="str">
        <f t="shared" si="68"/>
        <v>No</v>
      </c>
      <c r="GW19" s="429">
        <f t="shared" si="69"/>
        <v>0</v>
      </c>
      <c r="GX19" s="429">
        <f t="shared" si="70"/>
        <v>0</v>
      </c>
      <c r="GY19" s="429">
        <f t="shared" si="71"/>
        <v>0</v>
      </c>
      <c r="GZ19" s="429">
        <f>'Concentration Limits'!$J$70</f>
        <v>24799670.364863332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49599340.729726665</v>
      </c>
      <c r="EM20" s="429" t="str">
        <f>IF(OR(D20="Second Lien",AND(D20="FILO",DI20&gt;AGENT!$C$57)), "Yes", "No")</f>
        <v>Yes</v>
      </c>
      <c r="EN20" s="429">
        <f t="shared" si="29"/>
        <v>4121303.4157976536</v>
      </c>
      <c r="EO20" s="429">
        <f t="shared" si="30"/>
        <v>0</v>
      </c>
      <c r="EP20" s="429">
        <f t="shared" si="31"/>
        <v>4121303.4157976536</v>
      </c>
      <c r="EQ20" s="429">
        <f>'Concentration Limits'!$J$50</f>
        <v>24799670.364863332</v>
      </c>
      <c r="ER20" s="429">
        <f t="shared" si="32"/>
        <v>0</v>
      </c>
      <c r="ES20" s="429">
        <f t="shared" si="84"/>
        <v>0</v>
      </c>
      <c r="ET20" s="429">
        <f t="shared" si="33"/>
        <v>4121303.4157976536</v>
      </c>
      <c r="EU20" s="429">
        <f>'Concentration Limits'!$J$51</f>
        <v>74399011.094589993</v>
      </c>
      <c r="EV20" s="429" t="str">
        <f>IF(OR(D20="Second Lien", AND(D20="FILO",DI20&gt;AGENT!$C$59)), "Yes", "No")</f>
        <v>Yes</v>
      </c>
      <c r="EW20" s="429">
        <f t="shared" si="34"/>
        <v>53940434.707607172</v>
      </c>
      <c r="EX20" s="429">
        <f t="shared" si="35"/>
        <v>0</v>
      </c>
      <c r="EY20" s="429">
        <f t="shared" si="36"/>
        <v>4121303.4157976536</v>
      </c>
      <c r="EZ20" s="429">
        <f>'Concentration Limits'!$J$52</f>
        <v>37199505.547294997</v>
      </c>
      <c r="FA20" s="429" t="str">
        <f>IF(CY20&gt;'Concentration Limits'!$E$52, "No", "Yes")</f>
        <v>No</v>
      </c>
      <c r="FB20" s="429">
        <f t="shared" si="37"/>
        <v>0</v>
      </c>
      <c r="FC20" s="429">
        <f t="shared" si="38"/>
        <v>0</v>
      </c>
      <c r="FD20" s="429">
        <f t="shared" si="39"/>
        <v>4121303.4157976536</v>
      </c>
      <c r="FE20" s="430">
        <f>'Concentration Limits'!$J$54</f>
        <v>247996703.6486333</v>
      </c>
      <c r="FF20" s="430">
        <f>'Concentration Limits'!$J$55</f>
        <v>247996703.6486333</v>
      </c>
      <c r="FG20" s="430">
        <f>'Concentration Limits'!$J$56</f>
        <v>247996703.6486333</v>
      </c>
      <c r="FH20" s="431">
        <f>'Concentration Limits'!$J$57</f>
        <v>18599752.773647498</v>
      </c>
      <c r="FI20" s="431">
        <f t="shared" si="40"/>
        <v>4121303.4157976536</v>
      </c>
      <c r="FJ20" s="431">
        <f t="shared" si="41"/>
        <v>4121303.4157976536</v>
      </c>
      <c r="FK20" s="431">
        <f t="shared" si="42"/>
        <v>23</v>
      </c>
      <c r="FL20" s="431">
        <f>IF(FJ20&gt;0,RANK(FJ20,$FJ$9:$FJ$60)+COUNTIF($FJ$9:FJ20,FJ20)-1,0)</f>
        <v>23</v>
      </c>
      <c r="FM20" s="430">
        <f t="shared" si="43"/>
        <v>0</v>
      </c>
      <c r="FN20" s="430">
        <f t="shared" si="44"/>
        <v>0</v>
      </c>
      <c r="FO20" s="430">
        <f t="shared" si="45"/>
        <v>0</v>
      </c>
      <c r="FP20" s="431">
        <f t="shared" si="46"/>
        <v>0</v>
      </c>
      <c r="FQ20" s="431">
        <f t="shared" si="47"/>
        <v>4121303.4157976536</v>
      </c>
      <c r="FR20" s="431">
        <f>'Concentration Limits'!$J$58</f>
        <v>49599340.729726665</v>
      </c>
      <c r="FS20" s="431">
        <f t="shared" si="48"/>
        <v>4121303.4157976536</v>
      </c>
      <c r="FT20" s="431">
        <f>VLOOKUP(BR20,'Concentration Limits'!$E$81:$H$153,4,FALSE)</f>
        <v>16</v>
      </c>
      <c r="FU20" s="431">
        <f t="shared" si="49"/>
        <v>0</v>
      </c>
      <c r="FV20" s="431">
        <f t="shared" si="50"/>
        <v>4121303.4157976536</v>
      </c>
      <c r="FW20" s="431">
        <f>'Concentration Limits'!$J$59</f>
        <v>37199505.547294997</v>
      </c>
      <c r="FX20" s="431">
        <f t="shared" si="51"/>
        <v>4121303.4157976536</v>
      </c>
      <c r="FY20" s="431">
        <f>VLOOKUP(BR20,'Concentration Limits'!$E$81:$H$153,4,FALSE)</f>
        <v>16</v>
      </c>
      <c r="FZ20" s="431">
        <f t="shared" si="52"/>
        <v>0</v>
      </c>
      <c r="GA20" s="431">
        <f t="shared" si="53"/>
        <v>4121303.4157976536</v>
      </c>
      <c r="GB20" s="431">
        <f>'Concentration Limits'!$J$61</f>
        <v>24799670.364863332</v>
      </c>
      <c r="GC20" s="431">
        <f t="shared" si="54"/>
        <v>4121303.4157976536</v>
      </c>
      <c r="GD20" s="429">
        <f>VLOOKUP(BR20,'Concentration Limits'!$E$81:$H$153,4,FALSE)</f>
        <v>16</v>
      </c>
      <c r="GE20" s="431">
        <f t="shared" si="55"/>
        <v>0</v>
      </c>
      <c r="GF20" s="431">
        <f t="shared" si="56"/>
        <v>4121303.4157976536</v>
      </c>
      <c r="GG20" s="431">
        <f>'Concentration Limits'!$J$64</f>
        <v>24799670.364863332</v>
      </c>
      <c r="GH20" s="431">
        <f t="shared" si="57"/>
        <v>0</v>
      </c>
      <c r="GI20" s="431">
        <f t="shared" si="58"/>
        <v>0</v>
      </c>
      <c r="GJ20" s="431">
        <f t="shared" si="59"/>
        <v>4121303.4157976536</v>
      </c>
      <c r="GK20" s="431">
        <f>'Concentration Limits'!$J$67</f>
        <v>24799670.364863332</v>
      </c>
      <c r="GL20" s="429" t="str">
        <f t="shared" si="60"/>
        <v>No</v>
      </c>
      <c r="GM20" s="431">
        <f t="shared" si="61"/>
        <v>0</v>
      </c>
      <c r="GN20" s="431">
        <f t="shared" si="62"/>
        <v>0</v>
      </c>
      <c r="GO20" s="431">
        <f t="shared" si="63"/>
        <v>4121303.4157976536</v>
      </c>
      <c r="GP20" s="431">
        <f>'Concentration Limits'!$J$68</f>
        <v>37199505.547294997</v>
      </c>
      <c r="GQ20" s="429" t="str">
        <f t="shared" si="64"/>
        <v>No</v>
      </c>
      <c r="GR20" s="431">
        <f t="shared" si="65"/>
        <v>0</v>
      </c>
      <c r="GS20" s="431">
        <f t="shared" si="66"/>
        <v>0</v>
      </c>
      <c r="GT20" s="431">
        <f t="shared" si="67"/>
        <v>4121303.4157976536</v>
      </c>
      <c r="GU20" s="429">
        <f>'Concentration Limits'!$J$69</f>
        <v>37199505.547294997</v>
      </c>
      <c r="GV20" s="429" t="str">
        <f t="shared" si="68"/>
        <v>No</v>
      </c>
      <c r="GW20" s="429">
        <f t="shared" si="69"/>
        <v>0</v>
      </c>
      <c r="GX20" s="429">
        <f t="shared" si="70"/>
        <v>0</v>
      </c>
      <c r="GY20" s="429">
        <f t="shared" si="71"/>
        <v>4121303.4157976536</v>
      </c>
      <c r="GZ20" s="429">
        <f>'Concentration Limits'!$J$70</f>
        <v>24799670.364863332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49599340.729726665</v>
      </c>
      <c r="EM21" s="429" t="str">
        <f>IF(OR(D21="Second Lien",AND(D21="FILO",DI21&gt;AGENT!$C$57)), "Yes", "No")</f>
        <v>No</v>
      </c>
      <c r="EN21" s="429">
        <f t="shared" si="29"/>
        <v>0</v>
      </c>
      <c r="EO21" s="429">
        <f t="shared" si="30"/>
        <v>0</v>
      </c>
      <c r="EP21" s="429">
        <f t="shared" si="31"/>
        <v>0</v>
      </c>
      <c r="EQ21" s="429">
        <f>'Concentration Limits'!$J$50</f>
        <v>24799670.364863332</v>
      </c>
      <c r="ER21" s="429">
        <f t="shared" si="32"/>
        <v>0</v>
      </c>
      <c r="ES21" s="429">
        <f t="shared" si="84"/>
        <v>0</v>
      </c>
      <c r="ET21" s="429">
        <f t="shared" si="33"/>
        <v>0</v>
      </c>
      <c r="EU21" s="429">
        <f>'Concentration Limits'!$J$51</f>
        <v>74399011.094589993</v>
      </c>
      <c r="EV21" s="429" t="str">
        <f>IF(OR(D21="Second Lien", AND(D21="FILO",DI21&gt;AGENT!$C$59)), "Yes", "No")</f>
        <v>No</v>
      </c>
      <c r="EW21" s="429">
        <f t="shared" si="34"/>
        <v>0</v>
      </c>
      <c r="EX21" s="429">
        <f t="shared" si="35"/>
        <v>0</v>
      </c>
      <c r="EY21" s="429">
        <f t="shared" si="36"/>
        <v>0</v>
      </c>
      <c r="EZ21" s="429">
        <f>'Concentration Limits'!$J$52</f>
        <v>37199505.547294997</v>
      </c>
      <c r="FA21" s="429" t="str">
        <f>IF(CY21&gt;'Concentration Limits'!$E$52, "No", "Yes")</f>
        <v>Yes</v>
      </c>
      <c r="FB21" s="429">
        <f t="shared" si="37"/>
        <v>0</v>
      </c>
      <c r="FC21" s="429">
        <f t="shared" si="38"/>
        <v>0</v>
      </c>
      <c r="FD21" s="429">
        <f t="shared" si="39"/>
        <v>0</v>
      </c>
      <c r="FE21" s="430">
        <f>'Concentration Limits'!$J$54</f>
        <v>247996703.6486333</v>
      </c>
      <c r="FF21" s="430">
        <f>'Concentration Limits'!$J$55</f>
        <v>247996703.6486333</v>
      </c>
      <c r="FG21" s="430">
        <f>'Concentration Limits'!$J$56</f>
        <v>247996703.6486333</v>
      </c>
      <c r="FH21" s="431">
        <f>'Concentration Limits'!$J$57</f>
        <v>18599752.773647498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49599340.729726665</v>
      </c>
      <c r="FS21" s="431">
        <f t="shared" si="48"/>
        <v>0</v>
      </c>
      <c r="FT21" s="431" t="str">
        <f>VLOOKUP(BR21,'Concentration Limits'!$E$81:$H$153,4,FALSE)</f>
        <v/>
      </c>
      <c r="FU21" s="431">
        <f t="shared" si="49"/>
        <v>0</v>
      </c>
      <c r="FV21" s="431">
        <f t="shared" si="50"/>
        <v>0</v>
      </c>
      <c r="FW21" s="431">
        <f>'Concentration Limits'!$J$59</f>
        <v>37199505.547294997</v>
      </c>
      <c r="FX21" s="431">
        <f t="shared" si="51"/>
        <v>0</v>
      </c>
      <c r="FY21" s="431" t="str">
        <f>VLOOKUP(BR21,'Concentration Limits'!$E$81:$H$153,4,FALSE)</f>
        <v/>
      </c>
      <c r="FZ21" s="431">
        <f t="shared" si="52"/>
        <v>0</v>
      </c>
      <c r="GA21" s="431">
        <f t="shared" si="53"/>
        <v>0</v>
      </c>
      <c r="GB21" s="431">
        <f>'Concentration Limits'!$J$61</f>
        <v>24799670.364863332</v>
      </c>
      <c r="GC21" s="431">
        <f t="shared" si="54"/>
        <v>0</v>
      </c>
      <c r="GD21" s="429" t="str">
        <f>VLOOKUP(BR21,'Concentration Limits'!$E$81:$H$153,4,FALSE)</f>
        <v/>
      </c>
      <c r="GE21" s="431">
        <f t="shared" si="55"/>
        <v>0</v>
      </c>
      <c r="GF21" s="431">
        <f t="shared" si="56"/>
        <v>0</v>
      </c>
      <c r="GG21" s="431">
        <f>'Concentration Limits'!$J$64</f>
        <v>24799670.364863332</v>
      </c>
      <c r="GH21" s="431">
        <f t="shared" si="57"/>
        <v>0</v>
      </c>
      <c r="GI21" s="431">
        <f t="shared" si="58"/>
        <v>0</v>
      </c>
      <c r="GJ21" s="431">
        <f t="shared" si="59"/>
        <v>0</v>
      </c>
      <c r="GK21" s="431">
        <f>'Concentration Limits'!$J$67</f>
        <v>24799670.364863332</v>
      </c>
      <c r="GL21" s="429" t="str">
        <f t="shared" si="60"/>
        <v>Yes</v>
      </c>
      <c r="GM21" s="431">
        <f t="shared" si="61"/>
        <v>8077912.1877550166</v>
      </c>
      <c r="GN21" s="431">
        <f t="shared" si="62"/>
        <v>0</v>
      </c>
      <c r="GO21" s="431">
        <f t="shared" si="63"/>
        <v>0</v>
      </c>
      <c r="GP21" s="431">
        <f>'Concentration Limits'!$J$68</f>
        <v>37199505.547294997</v>
      </c>
      <c r="GQ21" s="429" t="str">
        <f t="shared" si="64"/>
        <v>No</v>
      </c>
      <c r="GR21" s="431">
        <f t="shared" si="65"/>
        <v>0</v>
      </c>
      <c r="GS21" s="431">
        <f t="shared" si="66"/>
        <v>0</v>
      </c>
      <c r="GT21" s="431">
        <f t="shared" si="67"/>
        <v>0</v>
      </c>
      <c r="GU21" s="429">
        <f>'Concentration Limits'!$J$69</f>
        <v>37199505.547294997</v>
      </c>
      <c r="GV21" s="429" t="str">
        <f t="shared" si="68"/>
        <v>No</v>
      </c>
      <c r="GW21" s="429">
        <f t="shared" si="69"/>
        <v>0</v>
      </c>
      <c r="GX21" s="429">
        <f t="shared" si="70"/>
        <v>0</v>
      </c>
      <c r="GY21" s="429">
        <f t="shared" si="71"/>
        <v>0</v>
      </c>
      <c r="GZ21" s="429">
        <f>'Concentration Limits'!$J$70</f>
        <v>24799670.364863332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49599340.729726665</v>
      </c>
      <c r="EM22" s="429" t="str">
        <f>IF(OR(D22="Second Lien",AND(D22="FILO",DI22&gt;AGENT!$C$57)), "Yes", "No")</f>
        <v>No</v>
      </c>
      <c r="EN22" s="429">
        <f t="shared" si="29"/>
        <v>0</v>
      </c>
      <c r="EO22" s="429">
        <f t="shared" si="30"/>
        <v>0</v>
      </c>
      <c r="EP22" s="429">
        <f t="shared" si="31"/>
        <v>3322967.211468515</v>
      </c>
      <c r="EQ22" s="429">
        <f>'Concentration Limits'!$J$50</f>
        <v>24799670.364863332</v>
      </c>
      <c r="ER22" s="429">
        <f t="shared" si="32"/>
        <v>0</v>
      </c>
      <c r="ES22" s="429">
        <f t="shared" si="84"/>
        <v>0</v>
      </c>
      <c r="ET22" s="429">
        <f t="shared" si="33"/>
        <v>3322967.211468515</v>
      </c>
      <c r="EU22" s="429">
        <f>'Concentration Limits'!$J$51</f>
        <v>74399011.094589993</v>
      </c>
      <c r="EV22" s="429" t="str">
        <f>IF(OR(D22="Second Lien", AND(D22="FILO",DI22&gt;AGENT!$C$59)), "Yes", "No")</f>
        <v>No</v>
      </c>
      <c r="EW22" s="429">
        <f t="shared" si="34"/>
        <v>0</v>
      </c>
      <c r="EX22" s="429">
        <f t="shared" si="35"/>
        <v>0</v>
      </c>
      <c r="EY22" s="429">
        <f t="shared" si="36"/>
        <v>3322967.211468515</v>
      </c>
      <c r="EZ22" s="429">
        <f>'Concentration Limits'!$J$52</f>
        <v>37199505.547294997</v>
      </c>
      <c r="FA22" s="429" t="str">
        <f>IF(CY22&gt;'Concentration Limits'!$E$52, "No", "Yes")</f>
        <v>No</v>
      </c>
      <c r="FB22" s="429">
        <f t="shared" si="37"/>
        <v>0</v>
      </c>
      <c r="FC22" s="429">
        <f t="shared" si="38"/>
        <v>0</v>
      </c>
      <c r="FD22" s="429">
        <f t="shared" si="39"/>
        <v>3322967.211468515</v>
      </c>
      <c r="FE22" s="430">
        <f>'Concentration Limits'!$J$54</f>
        <v>247996703.6486333</v>
      </c>
      <c r="FF22" s="430">
        <f>'Concentration Limits'!$J$55</f>
        <v>247996703.6486333</v>
      </c>
      <c r="FG22" s="430">
        <f>'Concentration Limits'!$J$56</f>
        <v>247996703.6486333</v>
      </c>
      <c r="FH22" s="431">
        <f>'Concentration Limits'!$J$57</f>
        <v>18599752.773647498</v>
      </c>
      <c r="FI22" s="431">
        <f t="shared" si="40"/>
        <v>3322967.211468515</v>
      </c>
      <c r="FJ22" s="431">
        <f t="shared" si="41"/>
        <v>3322967.211468515</v>
      </c>
      <c r="FK22" s="431">
        <f t="shared" si="42"/>
        <v>26</v>
      </c>
      <c r="FL22" s="431">
        <f>IF(FJ22&gt;0,RANK(FJ22,$FJ$9:$FJ$60)+COUNTIF($FJ$9:FJ22,FJ22)-1,0)</f>
        <v>26</v>
      </c>
      <c r="FM22" s="430">
        <f t="shared" si="43"/>
        <v>0</v>
      </c>
      <c r="FN22" s="430">
        <f t="shared" si="44"/>
        <v>0</v>
      </c>
      <c r="FO22" s="430">
        <f t="shared" si="45"/>
        <v>0</v>
      </c>
      <c r="FP22" s="431">
        <f t="shared" si="46"/>
        <v>0</v>
      </c>
      <c r="FQ22" s="431">
        <f t="shared" si="47"/>
        <v>3322967.211468515</v>
      </c>
      <c r="FR22" s="431">
        <f>'Concentration Limits'!$J$58</f>
        <v>49599340.729726665</v>
      </c>
      <c r="FS22" s="431">
        <f t="shared" si="48"/>
        <v>13322967.211468514</v>
      </c>
      <c r="FT22" s="431">
        <f>VLOOKUP(BR22,'Concentration Limits'!$E$81:$H$153,4,FALSE)</f>
        <v>8</v>
      </c>
      <c r="FU22" s="431">
        <f t="shared" si="49"/>
        <v>0</v>
      </c>
      <c r="FV22" s="431">
        <f t="shared" si="50"/>
        <v>3322967.211468515</v>
      </c>
      <c r="FW22" s="431">
        <f>'Concentration Limits'!$J$59</f>
        <v>37199505.547294997</v>
      </c>
      <c r="FX22" s="431">
        <f t="shared" si="51"/>
        <v>13322967.211468514</v>
      </c>
      <c r="FY22" s="431">
        <f>VLOOKUP(BR22,'Concentration Limits'!$E$81:$H$153,4,FALSE)</f>
        <v>8</v>
      </c>
      <c r="FZ22" s="431">
        <f t="shared" si="52"/>
        <v>0</v>
      </c>
      <c r="GA22" s="431">
        <f t="shared" si="53"/>
        <v>3322967.211468515</v>
      </c>
      <c r="GB22" s="431">
        <f>'Concentration Limits'!$J$61</f>
        <v>24799670.364863332</v>
      </c>
      <c r="GC22" s="431">
        <f t="shared" si="54"/>
        <v>13322967.211468514</v>
      </c>
      <c r="GD22" s="429">
        <f>VLOOKUP(BR22,'Concentration Limits'!$E$81:$H$153,4,FALSE)</f>
        <v>8</v>
      </c>
      <c r="GE22" s="431">
        <f t="shared" si="55"/>
        <v>0</v>
      </c>
      <c r="GF22" s="431">
        <f t="shared" si="56"/>
        <v>3322967.211468515</v>
      </c>
      <c r="GG22" s="431">
        <f>'Concentration Limits'!$J$64</f>
        <v>24799670.364863332</v>
      </c>
      <c r="GH22" s="431">
        <f t="shared" si="57"/>
        <v>0</v>
      </c>
      <c r="GI22" s="431">
        <f t="shared" si="58"/>
        <v>0</v>
      </c>
      <c r="GJ22" s="431">
        <f t="shared" si="59"/>
        <v>3322967.211468515</v>
      </c>
      <c r="GK22" s="431">
        <f>'Concentration Limits'!$J$67</f>
        <v>24799670.364863332</v>
      </c>
      <c r="GL22" s="429" t="str">
        <f t="shared" si="60"/>
        <v>No</v>
      </c>
      <c r="GM22" s="431">
        <f t="shared" si="61"/>
        <v>0</v>
      </c>
      <c r="GN22" s="431">
        <f t="shared" si="62"/>
        <v>0</v>
      </c>
      <c r="GO22" s="431">
        <f t="shared" si="63"/>
        <v>3322967.211468515</v>
      </c>
      <c r="GP22" s="431">
        <f>'Concentration Limits'!$J$68</f>
        <v>37199505.547294997</v>
      </c>
      <c r="GQ22" s="429" t="str">
        <f t="shared" si="64"/>
        <v>No</v>
      </c>
      <c r="GR22" s="431">
        <f t="shared" si="65"/>
        <v>0</v>
      </c>
      <c r="GS22" s="431">
        <f t="shared" si="66"/>
        <v>0</v>
      </c>
      <c r="GT22" s="431">
        <f t="shared" si="67"/>
        <v>3322967.211468515</v>
      </c>
      <c r="GU22" s="429">
        <f>'Concentration Limits'!$J$69</f>
        <v>37199505.547294997</v>
      </c>
      <c r="GV22" s="429" t="str">
        <f t="shared" si="68"/>
        <v>No</v>
      </c>
      <c r="GW22" s="429">
        <f t="shared" si="69"/>
        <v>0</v>
      </c>
      <c r="GX22" s="429">
        <f t="shared" si="70"/>
        <v>0</v>
      </c>
      <c r="GY22" s="429">
        <f t="shared" si="71"/>
        <v>3322967.211468515</v>
      </c>
      <c r="GZ22" s="429">
        <f>'Concentration Limits'!$J$70</f>
        <v>24799670.364863332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49599340.729726665</v>
      </c>
      <c r="EM23" s="429" t="str">
        <f>IF(OR(D23="Second Lien",AND(D23="FILO",DI23&gt;AGENT!$C$57)), "Yes", "No")</f>
        <v>No</v>
      </c>
      <c r="EN23" s="429">
        <f t="shared" si="29"/>
        <v>0</v>
      </c>
      <c r="EO23" s="429">
        <f t="shared" si="30"/>
        <v>0</v>
      </c>
      <c r="EP23" s="429">
        <f t="shared" si="31"/>
        <v>0</v>
      </c>
      <c r="EQ23" s="429">
        <f>'Concentration Limits'!$J$50</f>
        <v>24799670.364863332</v>
      </c>
      <c r="ER23" s="429">
        <f t="shared" si="32"/>
        <v>0</v>
      </c>
      <c r="ES23" s="429">
        <f t="shared" si="84"/>
        <v>0</v>
      </c>
      <c r="ET23" s="429">
        <f t="shared" si="33"/>
        <v>0</v>
      </c>
      <c r="EU23" s="429">
        <f>'Concentration Limits'!$J$51</f>
        <v>74399011.094589993</v>
      </c>
      <c r="EV23" s="429" t="str">
        <f>IF(OR(D23="Second Lien", AND(D23="FILO",DI23&gt;AGENT!$C$59)), "Yes", "No")</f>
        <v>No</v>
      </c>
      <c r="EW23" s="429">
        <f t="shared" si="34"/>
        <v>0</v>
      </c>
      <c r="EX23" s="429">
        <f t="shared" si="35"/>
        <v>0</v>
      </c>
      <c r="EY23" s="429">
        <f t="shared" si="36"/>
        <v>0</v>
      </c>
      <c r="EZ23" s="429">
        <f>'Concentration Limits'!$J$52</f>
        <v>37199505.547294997</v>
      </c>
      <c r="FA23" s="429" t="str">
        <f>IF(CY23&gt;'Concentration Limits'!$E$52, "No", "Yes")</f>
        <v>Yes</v>
      </c>
      <c r="FB23" s="429">
        <f t="shared" si="37"/>
        <v>0</v>
      </c>
      <c r="FC23" s="429">
        <f t="shared" si="38"/>
        <v>0</v>
      </c>
      <c r="FD23" s="429">
        <f t="shared" si="39"/>
        <v>0</v>
      </c>
      <c r="FE23" s="430">
        <f>'Concentration Limits'!$J$54</f>
        <v>247996703.6486333</v>
      </c>
      <c r="FF23" s="430">
        <f>'Concentration Limits'!$J$55</f>
        <v>247996703.6486333</v>
      </c>
      <c r="FG23" s="430">
        <f>'Concentration Limits'!$J$56</f>
        <v>247996703.6486333</v>
      </c>
      <c r="FH23" s="431">
        <f>'Concentration Limits'!$J$57</f>
        <v>18599752.773647498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49599340.729726665</v>
      </c>
      <c r="FS23" s="431">
        <f t="shared" si="48"/>
        <v>11328458.381135054</v>
      </c>
      <c r="FT23" s="431">
        <f>VLOOKUP(BR23,'Concentration Limits'!$E$81:$H$153,4,FALSE)</f>
        <v>11</v>
      </c>
      <c r="FU23" s="431">
        <f t="shared" si="49"/>
        <v>0</v>
      </c>
      <c r="FV23" s="431">
        <f t="shared" si="50"/>
        <v>0</v>
      </c>
      <c r="FW23" s="431">
        <f>'Concentration Limits'!$J$59</f>
        <v>37199505.547294997</v>
      </c>
      <c r="FX23" s="431">
        <f t="shared" si="51"/>
        <v>11328458.381135054</v>
      </c>
      <c r="FY23" s="431">
        <f>VLOOKUP(BR23,'Concentration Limits'!$E$81:$H$153,4,FALSE)</f>
        <v>11</v>
      </c>
      <c r="FZ23" s="431">
        <f t="shared" si="52"/>
        <v>0</v>
      </c>
      <c r="GA23" s="431">
        <f t="shared" si="53"/>
        <v>0</v>
      </c>
      <c r="GB23" s="431">
        <f>'Concentration Limits'!$J$61</f>
        <v>24799670.364863332</v>
      </c>
      <c r="GC23" s="431">
        <f t="shared" si="54"/>
        <v>11328458.381135054</v>
      </c>
      <c r="GD23" s="429">
        <f>VLOOKUP(BR23,'Concentration Limits'!$E$81:$H$153,4,FALSE)</f>
        <v>11</v>
      </c>
      <c r="GE23" s="431">
        <f t="shared" si="55"/>
        <v>0</v>
      </c>
      <c r="GF23" s="431">
        <f t="shared" si="56"/>
        <v>0</v>
      </c>
      <c r="GG23" s="431">
        <f>'Concentration Limits'!$J$64</f>
        <v>24799670.364863332</v>
      </c>
      <c r="GH23" s="431">
        <f t="shared" si="57"/>
        <v>0</v>
      </c>
      <c r="GI23" s="431">
        <f t="shared" si="58"/>
        <v>0</v>
      </c>
      <c r="GJ23" s="431">
        <f t="shared" si="59"/>
        <v>0</v>
      </c>
      <c r="GK23" s="431">
        <f>'Concentration Limits'!$J$67</f>
        <v>24799670.364863332</v>
      </c>
      <c r="GL23" s="429" t="str">
        <f t="shared" si="60"/>
        <v>No</v>
      </c>
      <c r="GM23" s="431">
        <f t="shared" si="61"/>
        <v>0</v>
      </c>
      <c r="GN23" s="431">
        <f t="shared" si="62"/>
        <v>0</v>
      </c>
      <c r="GO23" s="431">
        <f t="shared" si="63"/>
        <v>0</v>
      </c>
      <c r="GP23" s="431">
        <f>'Concentration Limits'!$J$68</f>
        <v>37199505.547294997</v>
      </c>
      <c r="GQ23" s="429" t="str">
        <f t="shared" si="64"/>
        <v>No</v>
      </c>
      <c r="GR23" s="431">
        <f t="shared" si="65"/>
        <v>0</v>
      </c>
      <c r="GS23" s="431">
        <f t="shared" si="66"/>
        <v>0</v>
      </c>
      <c r="GT23" s="431">
        <f t="shared" si="67"/>
        <v>0</v>
      </c>
      <c r="GU23" s="429">
        <f>'Concentration Limits'!$J$69</f>
        <v>37199505.547294997</v>
      </c>
      <c r="GV23" s="429" t="str">
        <f t="shared" si="68"/>
        <v>No</v>
      </c>
      <c r="GW23" s="429">
        <f t="shared" si="69"/>
        <v>0</v>
      </c>
      <c r="GX23" s="429">
        <f t="shared" si="70"/>
        <v>0</v>
      </c>
      <c r="GY23" s="429">
        <f t="shared" si="71"/>
        <v>0</v>
      </c>
      <c r="GZ23" s="429">
        <f>'Concentration Limits'!$J$70</f>
        <v>24799670.364863332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49599340.729726665</v>
      </c>
      <c r="EM24" s="429" t="str">
        <f>IF(OR(D24="Second Lien",AND(D24="FILO",DI24&gt;AGENT!$C$57)), "Yes", "No")</f>
        <v>No</v>
      </c>
      <c r="EN24" s="429">
        <f t="shared" si="29"/>
        <v>0</v>
      </c>
      <c r="EO24" s="429">
        <f t="shared" si="30"/>
        <v>0</v>
      </c>
      <c r="EP24" s="429">
        <f t="shared" si="31"/>
        <v>7092905.0201692414</v>
      </c>
      <c r="EQ24" s="429">
        <f>'Concentration Limits'!$J$50</f>
        <v>24799670.364863332</v>
      </c>
      <c r="ER24" s="429">
        <f t="shared" si="32"/>
        <v>0</v>
      </c>
      <c r="ES24" s="429">
        <f t="shared" si="84"/>
        <v>0</v>
      </c>
      <c r="ET24" s="429">
        <f t="shared" si="33"/>
        <v>7092905.0201692414</v>
      </c>
      <c r="EU24" s="429">
        <f>'Concentration Limits'!$J$51</f>
        <v>74399011.094589993</v>
      </c>
      <c r="EV24" s="429" t="str">
        <f>IF(OR(D24="Second Lien", AND(D24="FILO",DI24&gt;AGENT!$C$59)), "Yes", "No")</f>
        <v>No</v>
      </c>
      <c r="EW24" s="429">
        <f t="shared" si="34"/>
        <v>0</v>
      </c>
      <c r="EX24" s="429">
        <f t="shared" si="35"/>
        <v>0</v>
      </c>
      <c r="EY24" s="429">
        <f t="shared" si="36"/>
        <v>7092905.0201692414</v>
      </c>
      <c r="EZ24" s="429">
        <f>'Concentration Limits'!$J$52</f>
        <v>37199505.547294997</v>
      </c>
      <c r="FA24" s="429" t="str">
        <f>IF(CY24&gt;'Concentration Limits'!$E$52, "No", "Yes")</f>
        <v>No</v>
      </c>
      <c r="FB24" s="429">
        <f t="shared" si="37"/>
        <v>0</v>
      </c>
      <c r="FC24" s="429">
        <f t="shared" si="38"/>
        <v>0</v>
      </c>
      <c r="FD24" s="429">
        <f t="shared" si="39"/>
        <v>7092905.0201692414</v>
      </c>
      <c r="FE24" s="430">
        <f>'Concentration Limits'!$J$54</f>
        <v>247996703.6486333</v>
      </c>
      <c r="FF24" s="430">
        <f>'Concentration Limits'!$J$55</f>
        <v>247996703.6486333</v>
      </c>
      <c r="FG24" s="430">
        <f>'Concentration Limits'!$J$56</f>
        <v>247996703.6486333</v>
      </c>
      <c r="FH24" s="431">
        <f>'Concentration Limits'!$J$57</f>
        <v>18599752.773647498</v>
      </c>
      <c r="FI24" s="431">
        <f t="shared" si="40"/>
        <v>7092905.0201692414</v>
      </c>
      <c r="FJ24" s="431">
        <f t="shared" si="41"/>
        <v>7092905.0201692414</v>
      </c>
      <c r="FK24" s="431">
        <f t="shared" si="42"/>
        <v>17</v>
      </c>
      <c r="FL24" s="431">
        <f>IF(FJ24&gt;0,RANK(FJ24,$FJ$9:$FJ$60)+COUNTIF($FJ$9:FJ24,FJ24)-1,0)</f>
        <v>17</v>
      </c>
      <c r="FM24" s="430">
        <f t="shared" si="43"/>
        <v>0</v>
      </c>
      <c r="FN24" s="430">
        <f t="shared" si="44"/>
        <v>0</v>
      </c>
      <c r="FO24" s="430">
        <f t="shared" si="45"/>
        <v>0</v>
      </c>
      <c r="FP24" s="431">
        <f t="shared" si="46"/>
        <v>0</v>
      </c>
      <c r="FQ24" s="431">
        <f t="shared" si="47"/>
        <v>7092905.0201692414</v>
      </c>
      <c r="FR24" s="431">
        <f>'Concentration Limits'!$J$58</f>
        <v>49599340.729726665</v>
      </c>
      <c r="FS24" s="431">
        <f t="shared" si="48"/>
        <v>24394399.03040082</v>
      </c>
      <c r="FT24" s="431">
        <f>VLOOKUP(BR24,'Concentration Limits'!$E$81:$H$153,4,FALSE)</f>
        <v>2</v>
      </c>
      <c r="FU24" s="431">
        <f t="shared" si="49"/>
        <v>0</v>
      </c>
      <c r="FV24" s="431">
        <f t="shared" si="50"/>
        <v>7092905.0201692414</v>
      </c>
      <c r="FW24" s="431">
        <f>'Concentration Limits'!$J$59</f>
        <v>37199505.547294997</v>
      </c>
      <c r="FX24" s="431">
        <f t="shared" si="51"/>
        <v>24394399.03040082</v>
      </c>
      <c r="FY24" s="431">
        <f>VLOOKUP(BR24,'Concentration Limits'!$E$81:$H$153,4,FALSE)</f>
        <v>2</v>
      </c>
      <c r="FZ24" s="431">
        <f t="shared" si="52"/>
        <v>0</v>
      </c>
      <c r="GA24" s="431">
        <f t="shared" si="53"/>
        <v>7092905.0201692414</v>
      </c>
      <c r="GB24" s="431">
        <f>'Concentration Limits'!$J$61</f>
        <v>24799670.364863332</v>
      </c>
      <c r="GC24" s="431">
        <f t="shared" si="54"/>
        <v>24394399.03040082</v>
      </c>
      <c r="GD24" s="429">
        <f>VLOOKUP(BR24,'Concentration Limits'!$E$81:$H$153,4,FALSE)</f>
        <v>2</v>
      </c>
      <c r="GE24" s="431">
        <f t="shared" si="55"/>
        <v>0</v>
      </c>
      <c r="GF24" s="431">
        <f t="shared" si="56"/>
        <v>7092905.0201692414</v>
      </c>
      <c r="GG24" s="431">
        <f>'Concentration Limits'!$J$64</f>
        <v>24799670.364863332</v>
      </c>
      <c r="GH24" s="431">
        <f t="shared" si="57"/>
        <v>0</v>
      </c>
      <c r="GI24" s="431">
        <f t="shared" si="58"/>
        <v>0</v>
      </c>
      <c r="GJ24" s="431">
        <f t="shared" si="59"/>
        <v>7092905.0201692414</v>
      </c>
      <c r="GK24" s="431">
        <f>'Concentration Limits'!$J$67</f>
        <v>24799670.364863332</v>
      </c>
      <c r="GL24" s="429" t="str">
        <f t="shared" si="60"/>
        <v>No</v>
      </c>
      <c r="GM24" s="431">
        <f t="shared" si="61"/>
        <v>0</v>
      </c>
      <c r="GN24" s="431">
        <f t="shared" si="62"/>
        <v>0</v>
      </c>
      <c r="GO24" s="431">
        <f t="shared" si="63"/>
        <v>7092905.0201692414</v>
      </c>
      <c r="GP24" s="431">
        <f>'Concentration Limits'!$J$68</f>
        <v>37199505.547294997</v>
      </c>
      <c r="GQ24" s="429" t="str">
        <f t="shared" si="64"/>
        <v>No</v>
      </c>
      <c r="GR24" s="431">
        <f t="shared" si="65"/>
        <v>0</v>
      </c>
      <c r="GS24" s="431">
        <f t="shared" si="66"/>
        <v>0</v>
      </c>
      <c r="GT24" s="431">
        <f t="shared" si="67"/>
        <v>7092905.0201692414</v>
      </c>
      <c r="GU24" s="429">
        <f>'Concentration Limits'!$J$69</f>
        <v>37199505.547294997</v>
      </c>
      <c r="GV24" s="429" t="str">
        <f t="shared" si="68"/>
        <v>No</v>
      </c>
      <c r="GW24" s="429">
        <f t="shared" si="69"/>
        <v>0</v>
      </c>
      <c r="GX24" s="429">
        <f t="shared" si="70"/>
        <v>0</v>
      </c>
      <c r="GY24" s="429">
        <f t="shared" si="71"/>
        <v>7092905.0201692414</v>
      </c>
      <c r="GZ24" s="429">
        <f>'Concentration Limits'!$J$70</f>
        <v>24799670.364863332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49599340.729726665</v>
      </c>
      <c r="EM25" s="429" t="str">
        <f>IF(OR(D25="Second Lien",AND(D25="FILO",DI25&gt;AGENT!$C$57)), "Yes", "No")</f>
        <v>No</v>
      </c>
      <c r="EN25" s="429">
        <f t="shared" si="29"/>
        <v>0</v>
      </c>
      <c r="EO25" s="429">
        <f t="shared" si="30"/>
        <v>0</v>
      </c>
      <c r="EP25" s="429">
        <f t="shared" si="31"/>
        <v>6815322.9192201942</v>
      </c>
      <c r="EQ25" s="429">
        <f>'Concentration Limits'!$J$50</f>
        <v>24799670.364863332</v>
      </c>
      <c r="ER25" s="429">
        <f t="shared" si="32"/>
        <v>0</v>
      </c>
      <c r="ES25" s="429">
        <f t="shared" si="84"/>
        <v>0</v>
      </c>
      <c r="ET25" s="429">
        <f t="shared" si="33"/>
        <v>6815322.9192201942</v>
      </c>
      <c r="EU25" s="429">
        <f>'Concentration Limits'!$J$51</f>
        <v>74399011.094589993</v>
      </c>
      <c r="EV25" s="429" t="str">
        <f>IF(OR(D25="Second Lien", AND(D25="FILO",DI25&gt;AGENT!$C$59)), "Yes", "No")</f>
        <v>No</v>
      </c>
      <c r="EW25" s="429">
        <f t="shared" si="34"/>
        <v>0</v>
      </c>
      <c r="EX25" s="429">
        <f t="shared" si="35"/>
        <v>0</v>
      </c>
      <c r="EY25" s="429">
        <f t="shared" si="36"/>
        <v>6815322.9192201942</v>
      </c>
      <c r="EZ25" s="429">
        <f>'Concentration Limits'!$J$52</f>
        <v>37199505.547294997</v>
      </c>
      <c r="FA25" s="429" t="str">
        <f>IF(CY25&gt;'Concentration Limits'!$E$52, "No", "Yes")</f>
        <v>No</v>
      </c>
      <c r="FB25" s="429">
        <f t="shared" si="37"/>
        <v>0</v>
      </c>
      <c r="FC25" s="429">
        <f t="shared" si="38"/>
        <v>0</v>
      </c>
      <c r="FD25" s="429">
        <f t="shared" si="39"/>
        <v>6815322.9192201942</v>
      </c>
      <c r="FE25" s="430">
        <f>'Concentration Limits'!$J$54</f>
        <v>247996703.6486333</v>
      </c>
      <c r="FF25" s="430">
        <f>'Concentration Limits'!$J$55</f>
        <v>247996703.6486333</v>
      </c>
      <c r="FG25" s="430">
        <f>'Concentration Limits'!$J$56</f>
        <v>247996703.6486333</v>
      </c>
      <c r="FH25" s="431">
        <f>'Concentration Limits'!$J$57</f>
        <v>18599752.773647498</v>
      </c>
      <c r="FI25" s="431">
        <f t="shared" si="40"/>
        <v>6815322.9192201942</v>
      </c>
      <c r="FJ25" s="431">
        <f t="shared" si="41"/>
        <v>6815322.9192201942</v>
      </c>
      <c r="FK25" s="431">
        <f t="shared" si="42"/>
        <v>18</v>
      </c>
      <c r="FL25" s="431">
        <f>IF(FJ25&gt;0,RANK(FJ25,$FJ$9:$FJ$60)+COUNTIF($FJ$9:FJ25,FJ25)-1,0)</f>
        <v>18</v>
      </c>
      <c r="FM25" s="430">
        <f t="shared" si="43"/>
        <v>0</v>
      </c>
      <c r="FN25" s="430">
        <f t="shared" si="44"/>
        <v>0</v>
      </c>
      <c r="FO25" s="430">
        <f t="shared" si="45"/>
        <v>0</v>
      </c>
      <c r="FP25" s="431">
        <f t="shared" si="46"/>
        <v>0</v>
      </c>
      <c r="FQ25" s="431">
        <f t="shared" si="47"/>
        <v>6815322.9192201942</v>
      </c>
      <c r="FR25" s="431">
        <f>'Concentration Limits'!$J$58</f>
        <v>49599340.729726665</v>
      </c>
      <c r="FS25" s="431">
        <f t="shared" si="48"/>
        <v>6815322.9192201942</v>
      </c>
      <c r="FT25" s="431">
        <f>VLOOKUP(BR25,'Concentration Limits'!$E$81:$H$153,4,FALSE)</f>
        <v>15</v>
      </c>
      <c r="FU25" s="431">
        <f t="shared" si="49"/>
        <v>0</v>
      </c>
      <c r="FV25" s="431">
        <f t="shared" si="50"/>
        <v>6815322.9192201942</v>
      </c>
      <c r="FW25" s="431">
        <f>'Concentration Limits'!$J$59</f>
        <v>37199505.547294997</v>
      </c>
      <c r="FX25" s="431">
        <f t="shared" si="51"/>
        <v>6815322.9192201942</v>
      </c>
      <c r="FY25" s="431">
        <f>VLOOKUP(BR25,'Concentration Limits'!$E$81:$H$153,4,FALSE)</f>
        <v>15</v>
      </c>
      <c r="FZ25" s="431">
        <f t="shared" si="52"/>
        <v>0</v>
      </c>
      <c r="GA25" s="431">
        <f t="shared" si="53"/>
        <v>6815322.9192201942</v>
      </c>
      <c r="GB25" s="431">
        <f>'Concentration Limits'!$J$61</f>
        <v>24799670.364863332</v>
      </c>
      <c r="GC25" s="431">
        <f t="shared" si="54"/>
        <v>6815322.9192201942</v>
      </c>
      <c r="GD25" s="429">
        <f>VLOOKUP(BR25,'Concentration Limits'!$E$81:$H$153,4,FALSE)</f>
        <v>15</v>
      </c>
      <c r="GE25" s="431">
        <f t="shared" si="55"/>
        <v>0</v>
      </c>
      <c r="GF25" s="431">
        <f t="shared" si="56"/>
        <v>6815322.9192201942</v>
      </c>
      <c r="GG25" s="431">
        <f>'Concentration Limits'!$J$64</f>
        <v>24799670.364863332</v>
      </c>
      <c r="GH25" s="431">
        <f t="shared" si="57"/>
        <v>0</v>
      </c>
      <c r="GI25" s="431">
        <f t="shared" si="58"/>
        <v>0</v>
      </c>
      <c r="GJ25" s="431">
        <f t="shared" si="59"/>
        <v>6815322.9192201942</v>
      </c>
      <c r="GK25" s="431">
        <f>'Concentration Limits'!$J$67</f>
        <v>24799670.364863332</v>
      </c>
      <c r="GL25" s="429" t="str">
        <f t="shared" si="60"/>
        <v>No</v>
      </c>
      <c r="GM25" s="431">
        <f t="shared" si="61"/>
        <v>0</v>
      </c>
      <c r="GN25" s="431">
        <f t="shared" si="62"/>
        <v>0</v>
      </c>
      <c r="GO25" s="431">
        <f t="shared" si="63"/>
        <v>6815322.9192201942</v>
      </c>
      <c r="GP25" s="431">
        <f>'Concentration Limits'!$J$68</f>
        <v>37199505.547294997</v>
      </c>
      <c r="GQ25" s="429" t="str">
        <f t="shared" si="64"/>
        <v>No</v>
      </c>
      <c r="GR25" s="431">
        <f t="shared" si="65"/>
        <v>0</v>
      </c>
      <c r="GS25" s="431">
        <f t="shared" si="66"/>
        <v>0</v>
      </c>
      <c r="GT25" s="431">
        <f t="shared" si="67"/>
        <v>6815322.9192201942</v>
      </c>
      <c r="GU25" s="429">
        <f>'Concentration Limits'!$J$69</f>
        <v>37199505.547294997</v>
      </c>
      <c r="GV25" s="429" t="str">
        <f t="shared" si="68"/>
        <v>No</v>
      </c>
      <c r="GW25" s="429">
        <f t="shared" si="69"/>
        <v>0</v>
      </c>
      <c r="GX25" s="429">
        <f t="shared" si="70"/>
        <v>0</v>
      </c>
      <c r="GY25" s="429">
        <f t="shared" si="71"/>
        <v>6815322.9192201942</v>
      </c>
      <c r="GZ25" s="429">
        <f>'Concentration Limits'!$J$70</f>
        <v>24799670.364863332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49599340.729726665</v>
      </c>
      <c r="EM26" s="429" t="str">
        <f>IF(OR(D26="Second Lien",AND(D26="FILO",DI26&gt;AGENT!$C$57)), "Yes", "No")</f>
        <v>No</v>
      </c>
      <c r="EN26" s="429">
        <f t="shared" si="29"/>
        <v>0</v>
      </c>
      <c r="EO26" s="429">
        <f t="shared" si="30"/>
        <v>0</v>
      </c>
      <c r="EP26" s="429">
        <f t="shared" si="31"/>
        <v>2581527.2906674999</v>
      </c>
      <c r="EQ26" s="429">
        <f>'Concentration Limits'!$J$50</f>
        <v>24799670.364863332</v>
      </c>
      <c r="ER26" s="429">
        <f t="shared" si="32"/>
        <v>0</v>
      </c>
      <c r="ES26" s="429">
        <f t="shared" si="84"/>
        <v>0</v>
      </c>
      <c r="ET26" s="429">
        <f t="shared" si="33"/>
        <v>2581527.2906674999</v>
      </c>
      <c r="EU26" s="429">
        <f>'Concentration Limits'!$J$51</f>
        <v>74399011.094589993</v>
      </c>
      <c r="EV26" s="429" t="str">
        <f>IF(OR(D26="Second Lien", AND(D26="FILO",DI26&gt;AGENT!$C$59)), "Yes", "No")</f>
        <v>No</v>
      </c>
      <c r="EW26" s="429">
        <f t="shared" si="34"/>
        <v>0</v>
      </c>
      <c r="EX26" s="429">
        <f t="shared" si="35"/>
        <v>0</v>
      </c>
      <c r="EY26" s="429">
        <f t="shared" si="36"/>
        <v>2581527.2906674999</v>
      </c>
      <c r="EZ26" s="429">
        <f>'Concentration Limits'!$J$52</f>
        <v>37199505.547294997</v>
      </c>
      <c r="FA26" s="429" t="str">
        <f>IF(CY26&gt;'Concentration Limits'!$E$52, "No", "Yes")</f>
        <v>No</v>
      </c>
      <c r="FB26" s="429">
        <f t="shared" si="37"/>
        <v>0</v>
      </c>
      <c r="FC26" s="429">
        <f t="shared" si="38"/>
        <v>0</v>
      </c>
      <c r="FD26" s="429">
        <f t="shared" si="39"/>
        <v>2581527.2906674999</v>
      </c>
      <c r="FE26" s="430">
        <f>'Concentration Limits'!$J$54</f>
        <v>247996703.6486333</v>
      </c>
      <c r="FF26" s="430">
        <f>'Concentration Limits'!$J$55</f>
        <v>247996703.6486333</v>
      </c>
      <c r="FG26" s="430">
        <f>'Concentration Limits'!$J$56</f>
        <v>247996703.6486333</v>
      </c>
      <c r="FH26" s="431">
        <f>'Concentration Limits'!$J$57</f>
        <v>18599752.773647498</v>
      </c>
      <c r="FI26" s="431">
        <f t="shared" si="40"/>
        <v>2581527.2906674999</v>
      </c>
      <c r="FJ26" s="431">
        <f t="shared" si="41"/>
        <v>2581527.2906674999</v>
      </c>
      <c r="FK26" s="431">
        <f t="shared" si="42"/>
        <v>27</v>
      </c>
      <c r="FL26" s="431">
        <f>IF(FJ26&gt;0,RANK(FJ26,$FJ$9:$FJ$60)+COUNTIF($FJ$9:FJ26,FJ26)-1,0)</f>
        <v>27</v>
      </c>
      <c r="FM26" s="430">
        <f t="shared" si="43"/>
        <v>0</v>
      </c>
      <c r="FN26" s="430">
        <f t="shared" si="44"/>
        <v>0</v>
      </c>
      <c r="FO26" s="430">
        <f t="shared" si="45"/>
        <v>0</v>
      </c>
      <c r="FP26" s="431">
        <f t="shared" si="46"/>
        <v>0</v>
      </c>
      <c r="FQ26" s="431">
        <f t="shared" si="47"/>
        <v>2581527.2906674999</v>
      </c>
      <c r="FR26" s="431">
        <f>'Concentration Limits'!$J$58</f>
        <v>49599340.729726665</v>
      </c>
      <c r="FS26" s="431">
        <f t="shared" si="48"/>
        <v>13656662.095759427</v>
      </c>
      <c r="FT26" s="431">
        <f>VLOOKUP(BR26,'Concentration Limits'!$E$81:$H$153,4,FALSE)</f>
        <v>7</v>
      </c>
      <c r="FU26" s="431">
        <f t="shared" si="49"/>
        <v>0</v>
      </c>
      <c r="FV26" s="431">
        <f t="shared" si="50"/>
        <v>2581527.2906674999</v>
      </c>
      <c r="FW26" s="431">
        <f>'Concentration Limits'!$J$59</f>
        <v>37199505.547294997</v>
      </c>
      <c r="FX26" s="431">
        <f t="shared" si="51"/>
        <v>13656662.095759427</v>
      </c>
      <c r="FY26" s="431">
        <f>VLOOKUP(BR26,'Concentration Limits'!$E$81:$H$153,4,FALSE)</f>
        <v>7</v>
      </c>
      <c r="FZ26" s="431">
        <f t="shared" si="52"/>
        <v>0</v>
      </c>
      <c r="GA26" s="431">
        <f t="shared" si="53"/>
        <v>2581527.2906674999</v>
      </c>
      <c r="GB26" s="431">
        <f>'Concentration Limits'!$J$61</f>
        <v>24799670.364863332</v>
      </c>
      <c r="GC26" s="431">
        <f t="shared" si="54"/>
        <v>13656662.095759427</v>
      </c>
      <c r="GD26" s="429">
        <f>VLOOKUP(BR26,'Concentration Limits'!$E$81:$H$153,4,FALSE)</f>
        <v>7</v>
      </c>
      <c r="GE26" s="431">
        <f t="shared" si="55"/>
        <v>0</v>
      </c>
      <c r="GF26" s="431">
        <f t="shared" si="56"/>
        <v>2581527.2906674999</v>
      </c>
      <c r="GG26" s="431">
        <f>'Concentration Limits'!$J$64</f>
        <v>24799670.364863332</v>
      </c>
      <c r="GH26" s="431">
        <f t="shared" si="57"/>
        <v>0</v>
      </c>
      <c r="GI26" s="431">
        <f t="shared" si="58"/>
        <v>0</v>
      </c>
      <c r="GJ26" s="431">
        <f t="shared" si="59"/>
        <v>2581527.2906674999</v>
      </c>
      <c r="GK26" s="431">
        <f>'Concentration Limits'!$J$67</f>
        <v>24799670.364863332</v>
      </c>
      <c r="GL26" s="429" t="str">
        <f t="shared" si="60"/>
        <v>No</v>
      </c>
      <c r="GM26" s="431">
        <f t="shared" si="61"/>
        <v>0</v>
      </c>
      <c r="GN26" s="431">
        <f t="shared" si="62"/>
        <v>0</v>
      </c>
      <c r="GO26" s="431">
        <f t="shared" si="63"/>
        <v>2581527.2906674999</v>
      </c>
      <c r="GP26" s="431">
        <f>'Concentration Limits'!$J$68</f>
        <v>37199505.547294997</v>
      </c>
      <c r="GQ26" s="429" t="str">
        <f t="shared" si="64"/>
        <v>No</v>
      </c>
      <c r="GR26" s="431">
        <f t="shared" si="65"/>
        <v>0</v>
      </c>
      <c r="GS26" s="431">
        <f t="shared" si="66"/>
        <v>0</v>
      </c>
      <c r="GT26" s="431">
        <f t="shared" si="67"/>
        <v>2581527.2906674999</v>
      </c>
      <c r="GU26" s="429">
        <f>'Concentration Limits'!$J$69</f>
        <v>37199505.547294997</v>
      </c>
      <c r="GV26" s="429" t="str">
        <f t="shared" si="68"/>
        <v>No</v>
      </c>
      <c r="GW26" s="429">
        <f t="shared" si="69"/>
        <v>0</v>
      </c>
      <c r="GX26" s="429">
        <f t="shared" si="70"/>
        <v>0</v>
      </c>
      <c r="GY26" s="429">
        <f t="shared" si="71"/>
        <v>2581527.2906674999</v>
      </c>
      <c r="GZ26" s="429">
        <f>'Concentration Limits'!$J$70</f>
        <v>24799670.364863332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49599340.729726665</v>
      </c>
      <c r="EM27" s="429" t="str">
        <f>IF(OR(D27="Second Lien",AND(D27="FILO",DI27&gt;AGENT!$C$57)), "Yes", "No")</f>
        <v>No</v>
      </c>
      <c r="EN27" s="429">
        <f t="shared" si="29"/>
        <v>0</v>
      </c>
      <c r="EO27" s="429">
        <f t="shared" si="30"/>
        <v>0</v>
      </c>
      <c r="EP27" s="429">
        <f t="shared" si="31"/>
        <v>0</v>
      </c>
      <c r="EQ27" s="429">
        <f>'Concentration Limits'!$J$50</f>
        <v>24799670.364863332</v>
      </c>
      <c r="ER27" s="429">
        <f t="shared" si="32"/>
        <v>0</v>
      </c>
      <c r="ES27" s="429">
        <f t="shared" si="84"/>
        <v>0</v>
      </c>
      <c r="ET27" s="429">
        <f t="shared" si="33"/>
        <v>0</v>
      </c>
      <c r="EU27" s="429">
        <f>'Concentration Limits'!$J$51</f>
        <v>74399011.094589993</v>
      </c>
      <c r="EV27" s="429" t="str">
        <f>IF(OR(D27="Second Lien", AND(D27="FILO",DI27&gt;AGENT!$C$59)), "Yes", "No")</f>
        <v>No</v>
      </c>
      <c r="EW27" s="429">
        <f t="shared" si="34"/>
        <v>0</v>
      </c>
      <c r="EX27" s="429">
        <f t="shared" si="35"/>
        <v>0</v>
      </c>
      <c r="EY27" s="429">
        <f t="shared" si="36"/>
        <v>0</v>
      </c>
      <c r="EZ27" s="429">
        <f>'Concentration Limits'!$J$52</f>
        <v>37199505.547294997</v>
      </c>
      <c r="FA27" s="429" t="str">
        <f>IF(CY27&gt;'Concentration Limits'!$E$52, "No", "Yes")</f>
        <v>No</v>
      </c>
      <c r="FB27" s="429">
        <f t="shared" si="37"/>
        <v>0</v>
      </c>
      <c r="FC27" s="429">
        <f t="shared" si="38"/>
        <v>0</v>
      </c>
      <c r="FD27" s="429">
        <f t="shared" si="39"/>
        <v>0</v>
      </c>
      <c r="FE27" s="430">
        <f>'Concentration Limits'!$J$54</f>
        <v>247996703.6486333</v>
      </c>
      <c r="FF27" s="430">
        <f>'Concentration Limits'!$J$55</f>
        <v>247996703.6486333</v>
      </c>
      <c r="FG27" s="430">
        <f>'Concentration Limits'!$J$56</f>
        <v>247996703.6486333</v>
      </c>
      <c r="FH27" s="431">
        <f>'Concentration Limits'!$J$57</f>
        <v>18599752.773647498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49599340.729726665</v>
      </c>
      <c r="FS27" s="431">
        <f t="shared" si="48"/>
        <v>61042971.865242489</v>
      </c>
      <c r="FT27" s="431">
        <f>VLOOKUP(BR27,'Concentration Limits'!$E$81:$H$153,4,FALSE)</f>
        <v>1</v>
      </c>
      <c r="FU27" s="431">
        <f t="shared" si="49"/>
        <v>0</v>
      </c>
      <c r="FV27" s="431">
        <f t="shared" si="50"/>
        <v>0</v>
      </c>
      <c r="FW27" s="431">
        <f>'Concentration Limits'!$J$59</f>
        <v>37199505.547294997</v>
      </c>
      <c r="FX27" s="431">
        <f t="shared" si="51"/>
        <v>49599340.729726657</v>
      </c>
      <c r="FY27" s="431">
        <f>VLOOKUP(BR27,'Concentration Limits'!$E$81:$H$153,4,FALSE)</f>
        <v>1</v>
      </c>
      <c r="FZ27" s="431">
        <f t="shared" si="52"/>
        <v>0</v>
      </c>
      <c r="GA27" s="431">
        <f t="shared" si="53"/>
        <v>0</v>
      </c>
      <c r="GB27" s="431">
        <f>'Concentration Limits'!$J$61</f>
        <v>24799670.364863332</v>
      </c>
      <c r="GC27" s="431">
        <f t="shared" si="54"/>
        <v>49599340.729726657</v>
      </c>
      <c r="GD27" s="429">
        <f>VLOOKUP(BR27,'Concentration Limits'!$E$81:$H$153,4,FALSE)</f>
        <v>1</v>
      </c>
      <c r="GE27" s="431">
        <f t="shared" si="55"/>
        <v>0</v>
      </c>
      <c r="GF27" s="431">
        <f t="shared" si="56"/>
        <v>0</v>
      </c>
      <c r="GG27" s="431">
        <f>'Concentration Limits'!$J$64</f>
        <v>24799670.364863332</v>
      </c>
      <c r="GH27" s="431">
        <f t="shared" si="57"/>
        <v>0</v>
      </c>
      <c r="GI27" s="431">
        <f t="shared" si="58"/>
        <v>0</v>
      </c>
      <c r="GJ27" s="431">
        <f t="shared" si="59"/>
        <v>0</v>
      </c>
      <c r="GK27" s="431">
        <f>'Concentration Limits'!$J$67</f>
        <v>24799670.364863332</v>
      </c>
      <c r="GL27" s="429" t="str">
        <f t="shared" si="60"/>
        <v>No</v>
      </c>
      <c r="GM27" s="431">
        <f t="shared" si="61"/>
        <v>0</v>
      </c>
      <c r="GN27" s="431">
        <f t="shared" si="62"/>
        <v>0</v>
      </c>
      <c r="GO27" s="431">
        <f t="shared" si="63"/>
        <v>0</v>
      </c>
      <c r="GP27" s="431">
        <f>'Concentration Limits'!$J$68</f>
        <v>37199505.547294997</v>
      </c>
      <c r="GQ27" s="429" t="str">
        <f t="shared" si="64"/>
        <v>No</v>
      </c>
      <c r="GR27" s="431">
        <f t="shared" si="65"/>
        <v>0</v>
      </c>
      <c r="GS27" s="431">
        <f t="shared" si="66"/>
        <v>0</v>
      </c>
      <c r="GT27" s="431">
        <f t="shared" si="67"/>
        <v>0</v>
      </c>
      <c r="GU27" s="429">
        <f>'Concentration Limits'!$J$69</f>
        <v>37199505.547294997</v>
      </c>
      <c r="GV27" s="429" t="str">
        <f t="shared" si="68"/>
        <v>Yes</v>
      </c>
      <c r="GW27" s="429">
        <f t="shared" si="69"/>
        <v>12656117.589817706</v>
      </c>
      <c r="GX27" s="429">
        <f t="shared" si="70"/>
        <v>0</v>
      </c>
      <c r="GY27" s="429">
        <f t="shared" si="71"/>
        <v>0</v>
      </c>
      <c r="GZ27" s="429">
        <f>'Concentration Limits'!$J$70</f>
        <v>24799670.364863332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49599340.729726665</v>
      </c>
      <c r="EM28" s="429" t="str">
        <f>IF(OR(D28="Second Lien",AND(D28="FILO",DI28&gt;AGENT!$C$57)), "Yes", "No")</f>
        <v>No</v>
      </c>
      <c r="EN28" s="429">
        <f t="shared" si="29"/>
        <v>0</v>
      </c>
      <c r="EO28" s="429">
        <f t="shared" si="30"/>
        <v>0</v>
      </c>
      <c r="EP28" s="429">
        <f t="shared" si="31"/>
        <v>0</v>
      </c>
      <c r="EQ28" s="429">
        <f>'Concentration Limits'!$J$50</f>
        <v>24799670.364863332</v>
      </c>
      <c r="ER28" s="429">
        <f t="shared" si="32"/>
        <v>0</v>
      </c>
      <c r="ES28" s="429">
        <f t="shared" si="84"/>
        <v>0</v>
      </c>
      <c r="ET28" s="429">
        <f t="shared" si="33"/>
        <v>0</v>
      </c>
      <c r="EU28" s="429">
        <f>'Concentration Limits'!$J$51</f>
        <v>74399011.094589993</v>
      </c>
      <c r="EV28" s="429" t="str">
        <f>IF(OR(D28="Second Lien", AND(D28="FILO",DI28&gt;AGENT!$C$59)), "Yes", "No")</f>
        <v>No</v>
      </c>
      <c r="EW28" s="429">
        <f t="shared" si="34"/>
        <v>0</v>
      </c>
      <c r="EX28" s="429">
        <f t="shared" si="35"/>
        <v>0</v>
      </c>
      <c r="EY28" s="429">
        <f t="shared" si="36"/>
        <v>0</v>
      </c>
      <c r="EZ28" s="429">
        <f>'Concentration Limits'!$J$52</f>
        <v>37199505.547294997</v>
      </c>
      <c r="FA28" s="429" t="str">
        <f>IF(CY28&gt;'Concentration Limits'!$E$52, "No", "Yes")</f>
        <v>No</v>
      </c>
      <c r="FB28" s="429">
        <f t="shared" si="37"/>
        <v>0</v>
      </c>
      <c r="FC28" s="429">
        <f t="shared" si="38"/>
        <v>0</v>
      </c>
      <c r="FD28" s="429">
        <f t="shared" si="39"/>
        <v>0</v>
      </c>
      <c r="FE28" s="430">
        <f>'Concentration Limits'!$J$54</f>
        <v>247996703.6486333</v>
      </c>
      <c r="FF28" s="430">
        <f>'Concentration Limits'!$J$55</f>
        <v>247996703.6486333</v>
      </c>
      <c r="FG28" s="430">
        <f>'Concentration Limits'!$J$56</f>
        <v>247996703.6486333</v>
      </c>
      <c r="FH28" s="431">
        <f>'Concentration Limits'!$J$57</f>
        <v>18599752.773647498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49599340.729726665</v>
      </c>
      <c r="FS28" s="431">
        <f t="shared" si="48"/>
        <v>16096607.119937314</v>
      </c>
      <c r="FT28" s="431">
        <f>VLOOKUP(BR28,'Concentration Limits'!$E$81:$H$153,4,FALSE)</f>
        <v>5</v>
      </c>
      <c r="FU28" s="431">
        <f t="shared" si="49"/>
        <v>0</v>
      </c>
      <c r="FV28" s="431">
        <f t="shared" si="50"/>
        <v>0</v>
      </c>
      <c r="FW28" s="431">
        <f>'Concentration Limits'!$J$59</f>
        <v>37199505.547294997</v>
      </c>
      <c r="FX28" s="431">
        <f t="shared" si="51"/>
        <v>16096607.119937314</v>
      </c>
      <c r="FY28" s="431">
        <f>VLOOKUP(BR28,'Concentration Limits'!$E$81:$H$153,4,FALSE)</f>
        <v>5</v>
      </c>
      <c r="FZ28" s="431">
        <f t="shared" si="52"/>
        <v>0</v>
      </c>
      <c r="GA28" s="431">
        <f t="shared" si="53"/>
        <v>0</v>
      </c>
      <c r="GB28" s="431">
        <f>'Concentration Limits'!$J$61</f>
        <v>24799670.364863332</v>
      </c>
      <c r="GC28" s="431">
        <f t="shared" si="54"/>
        <v>16096607.119937314</v>
      </c>
      <c r="GD28" s="429">
        <f>VLOOKUP(BR28,'Concentration Limits'!$E$81:$H$153,4,FALSE)</f>
        <v>5</v>
      </c>
      <c r="GE28" s="431">
        <f t="shared" si="55"/>
        <v>0</v>
      </c>
      <c r="GF28" s="431">
        <f t="shared" si="56"/>
        <v>0</v>
      </c>
      <c r="GG28" s="431">
        <f>'Concentration Limits'!$J$64</f>
        <v>24799670.364863332</v>
      </c>
      <c r="GH28" s="431">
        <f t="shared" si="57"/>
        <v>0</v>
      </c>
      <c r="GI28" s="431">
        <f t="shared" si="58"/>
        <v>0</v>
      </c>
      <c r="GJ28" s="431">
        <f t="shared" si="59"/>
        <v>0</v>
      </c>
      <c r="GK28" s="431">
        <f>'Concentration Limits'!$J$67</f>
        <v>24799670.364863332</v>
      </c>
      <c r="GL28" s="429" t="str">
        <f t="shared" si="60"/>
        <v>No</v>
      </c>
      <c r="GM28" s="431">
        <f t="shared" si="61"/>
        <v>0</v>
      </c>
      <c r="GN28" s="431">
        <f t="shared" si="62"/>
        <v>0</v>
      </c>
      <c r="GO28" s="431">
        <f t="shared" si="63"/>
        <v>0</v>
      </c>
      <c r="GP28" s="431">
        <f>'Concentration Limits'!$J$68</f>
        <v>37199505.547294997</v>
      </c>
      <c r="GQ28" s="429" t="str">
        <f t="shared" si="64"/>
        <v>No</v>
      </c>
      <c r="GR28" s="431">
        <f t="shared" si="65"/>
        <v>0</v>
      </c>
      <c r="GS28" s="431">
        <f t="shared" si="66"/>
        <v>0</v>
      </c>
      <c r="GT28" s="431">
        <f t="shared" si="67"/>
        <v>0</v>
      </c>
      <c r="GU28" s="429">
        <f>'Concentration Limits'!$J$69</f>
        <v>37199505.547294997</v>
      </c>
      <c r="GV28" s="429" t="str">
        <f t="shared" si="68"/>
        <v>No</v>
      </c>
      <c r="GW28" s="429">
        <f t="shared" si="69"/>
        <v>0</v>
      </c>
      <c r="GX28" s="429">
        <f t="shared" si="70"/>
        <v>0</v>
      </c>
      <c r="GY28" s="429">
        <f t="shared" si="71"/>
        <v>0</v>
      </c>
      <c r="GZ28" s="429">
        <f>'Concentration Limits'!$J$70</f>
        <v>24799670.364863332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49599340.729726665</v>
      </c>
      <c r="EM29" s="429" t="str">
        <f>IF(OR(D29="Second Lien",AND(D29="FILO",DI29&gt;AGENT!$C$57)), "Yes", "No")</f>
        <v>No</v>
      </c>
      <c r="EN29" s="429">
        <f t="shared" si="29"/>
        <v>0</v>
      </c>
      <c r="EO29" s="429">
        <f t="shared" si="30"/>
        <v>0</v>
      </c>
      <c r="EP29" s="429">
        <f t="shared" si="31"/>
        <v>0</v>
      </c>
      <c r="EQ29" s="429">
        <f>'Concentration Limits'!$J$50</f>
        <v>24799670.364863332</v>
      </c>
      <c r="ER29" s="429">
        <f t="shared" si="32"/>
        <v>0</v>
      </c>
      <c r="ES29" s="429">
        <f t="shared" si="84"/>
        <v>0</v>
      </c>
      <c r="ET29" s="429">
        <f t="shared" si="33"/>
        <v>0</v>
      </c>
      <c r="EU29" s="429">
        <f>'Concentration Limits'!$J$51</f>
        <v>74399011.094589993</v>
      </c>
      <c r="EV29" s="429" t="str">
        <f>IF(OR(D29="Second Lien", AND(D29="FILO",DI29&gt;AGENT!$C$59)), "Yes", "No")</f>
        <v>No</v>
      </c>
      <c r="EW29" s="429">
        <f t="shared" si="34"/>
        <v>0</v>
      </c>
      <c r="EX29" s="429">
        <f t="shared" si="35"/>
        <v>0</v>
      </c>
      <c r="EY29" s="429">
        <f t="shared" si="36"/>
        <v>0</v>
      </c>
      <c r="EZ29" s="429">
        <f>'Concentration Limits'!$J$52</f>
        <v>37199505.547294997</v>
      </c>
      <c r="FA29" s="429" t="str">
        <f>IF(CY29&gt;'Concentration Limits'!$E$52, "No", "Yes")</f>
        <v>Yes</v>
      </c>
      <c r="FB29" s="429">
        <f t="shared" si="37"/>
        <v>0</v>
      </c>
      <c r="FC29" s="429">
        <f t="shared" si="38"/>
        <v>0</v>
      </c>
      <c r="FD29" s="429">
        <f t="shared" si="39"/>
        <v>0</v>
      </c>
      <c r="FE29" s="430">
        <f>'Concentration Limits'!$J$54</f>
        <v>247996703.6486333</v>
      </c>
      <c r="FF29" s="430">
        <f>'Concentration Limits'!$J$55</f>
        <v>247996703.6486333</v>
      </c>
      <c r="FG29" s="430">
        <f>'Concentration Limits'!$J$56</f>
        <v>247996703.6486333</v>
      </c>
      <c r="FH29" s="431">
        <f>'Concentration Limits'!$J$57</f>
        <v>18599752.773647498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49599340.729726665</v>
      </c>
      <c r="FS29" s="431">
        <f t="shared" si="48"/>
        <v>0</v>
      </c>
      <c r="FT29" s="431" t="str">
        <f>VLOOKUP(BR29,'Concentration Limits'!$E$81:$H$153,4,FALSE)</f>
        <v/>
      </c>
      <c r="FU29" s="431">
        <f t="shared" si="49"/>
        <v>0</v>
      </c>
      <c r="FV29" s="431">
        <f t="shared" si="50"/>
        <v>0</v>
      </c>
      <c r="FW29" s="431">
        <f>'Concentration Limits'!$J$59</f>
        <v>37199505.547294997</v>
      </c>
      <c r="FX29" s="431">
        <f t="shared" si="51"/>
        <v>0</v>
      </c>
      <c r="FY29" s="431" t="str">
        <f>VLOOKUP(BR29,'Concentration Limits'!$E$81:$H$153,4,FALSE)</f>
        <v/>
      </c>
      <c r="FZ29" s="431">
        <f t="shared" si="52"/>
        <v>0</v>
      </c>
      <c r="GA29" s="431">
        <f t="shared" si="53"/>
        <v>0</v>
      </c>
      <c r="GB29" s="431">
        <f>'Concentration Limits'!$J$61</f>
        <v>24799670.364863332</v>
      </c>
      <c r="GC29" s="431">
        <f t="shared" si="54"/>
        <v>0</v>
      </c>
      <c r="GD29" s="429" t="str">
        <f>VLOOKUP(BR29,'Concentration Limits'!$E$81:$H$153,4,FALSE)</f>
        <v/>
      </c>
      <c r="GE29" s="431">
        <f t="shared" si="55"/>
        <v>0</v>
      </c>
      <c r="GF29" s="431">
        <f t="shared" si="56"/>
        <v>0</v>
      </c>
      <c r="GG29" s="431">
        <f>'Concentration Limits'!$J$64</f>
        <v>24799670.364863332</v>
      </c>
      <c r="GH29" s="431">
        <f t="shared" si="57"/>
        <v>0</v>
      </c>
      <c r="GI29" s="431">
        <f t="shared" si="58"/>
        <v>0</v>
      </c>
      <c r="GJ29" s="431">
        <f t="shared" si="59"/>
        <v>0</v>
      </c>
      <c r="GK29" s="431">
        <f>'Concentration Limits'!$J$67</f>
        <v>24799670.364863332</v>
      </c>
      <c r="GL29" s="429" t="str">
        <f t="shared" si="60"/>
        <v>No</v>
      </c>
      <c r="GM29" s="431">
        <f t="shared" si="61"/>
        <v>0</v>
      </c>
      <c r="GN29" s="431">
        <f t="shared" si="62"/>
        <v>0</v>
      </c>
      <c r="GO29" s="431">
        <f t="shared" si="63"/>
        <v>0</v>
      </c>
      <c r="GP29" s="431">
        <f>'Concentration Limits'!$J$68</f>
        <v>37199505.547294997</v>
      </c>
      <c r="GQ29" s="429" t="str">
        <f t="shared" si="64"/>
        <v>No</v>
      </c>
      <c r="GR29" s="431">
        <f t="shared" si="65"/>
        <v>0</v>
      </c>
      <c r="GS29" s="431">
        <f t="shared" si="66"/>
        <v>0</v>
      </c>
      <c r="GT29" s="431">
        <f t="shared" si="67"/>
        <v>0</v>
      </c>
      <c r="GU29" s="429">
        <f>'Concentration Limits'!$J$69</f>
        <v>37199505.547294997</v>
      </c>
      <c r="GV29" s="429" t="str">
        <f t="shared" si="68"/>
        <v>No</v>
      </c>
      <c r="GW29" s="429">
        <f t="shared" si="69"/>
        <v>0</v>
      </c>
      <c r="GX29" s="429">
        <f t="shared" si="70"/>
        <v>0</v>
      </c>
      <c r="GY29" s="429">
        <f t="shared" si="71"/>
        <v>0</v>
      </c>
      <c r="GZ29" s="429">
        <f>'Concentration Limits'!$J$70</f>
        <v>24799670.364863332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49599340.729726665</v>
      </c>
      <c r="EM30" s="429" t="str">
        <f>IF(OR(D30="Second Lien",AND(D30="FILO",DI30&gt;AGENT!$C$57)), "Yes", "No")</f>
        <v>No</v>
      </c>
      <c r="EN30" s="429">
        <f t="shared" si="29"/>
        <v>0</v>
      </c>
      <c r="EO30" s="429">
        <f t="shared" si="30"/>
        <v>0</v>
      </c>
      <c r="EP30" s="429">
        <f t="shared" si="31"/>
        <v>3384358.74158662</v>
      </c>
      <c r="EQ30" s="429">
        <f>'Concentration Limits'!$J$50</f>
        <v>24799670.364863332</v>
      </c>
      <c r="ER30" s="429">
        <f t="shared" si="32"/>
        <v>0</v>
      </c>
      <c r="ES30" s="429">
        <f t="shared" si="84"/>
        <v>0</v>
      </c>
      <c r="ET30" s="429">
        <f t="shared" si="33"/>
        <v>3384358.74158662</v>
      </c>
      <c r="EU30" s="429">
        <f>'Concentration Limits'!$J$51</f>
        <v>74399011.094589993</v>
      </c>
      <c r="EV30" s="429" t="str">
        <f>IF(OR(D30="Second Lien", AND(D30="FILO",DI30&gt;AGENT!$C$59)), "Yes", "No")</f>
        <v>No</v>
      </c>
      <c r="EW30" s="429">
        <f t="shared" si="34"/>
        <v>0</v>
      </c>
      <c r="EX30" s="429">
        <f t="shared" si="35"/>
        <v>0</v>
      </c>
      <c r="EY30" s="429">
        <f t="shared" si="36"/>
        <v>3384358.74158662</v>
      </c>
      <c r="EZ30" s="429">
        <f>'Concentration Limits'!$J$52</f>
        <v>37199505.547294997</v>
      </c>
      <c r="FA30" s="429" t="str">
        <f>IF(CY30&gt;'Concentration Limits'!$E$52, "No", "Yes")</f>
        <v>No</v>
      </c>
      <c r="FB30" s="429">
        <f t="shared" si="37"/>
        <v>0</v>
      </c>
      <c r="FC30" s="429">
        <f t="shared" si="38"/>
        <v>0</v>
      </c>
      <c r="FD30" s="429">
        <f t="shared" si="39"/>
        <v>3384358.74158662</v>
      </c>
      <c r="FE30" s="430">
        <f>'Concentration Limits'!$J$54</f>
        <v>247996703.6486333</v>
      </c>
      <c r="FF30" s="430">
        <f>'Concentration Limits'!$J$55</f>
        <v>247996703.6486333</v>
      </c>
      <c r="FG30" s="430">
        <f>'Concentration Limits'!$J$56</f>
        <v>247996703.6486333</v>
      </c>
      <c r="FH30" s="431">
        <f>'Concentration Limits'!$J$57</f>
        <v>18599752.773647498</v>
      </c>
      <c r="FI30" s="431">
        <f t="shared" si="40"/>
        <v>3384358.74158662</v>
      </c>
      <c r="FJ30" s="431">
        <f t="shared" si="41"/>
        <v>3384358.74158662</v>
      </c>
      <c r="FK30" s="431">
        <f t="shared" si="42"/>
        <v>25</v>
      </c>
      <c r="FL30" s="431">
        <f>IF(FJ30&gt;0,RANK(FJ30,$FJ$9:$FJ$60)+COUNTIF($FJ$9:FJ30,FJ30)-1,0)</f>
        <v>25</v>
      </c>
      <c r="FM30" s="430">
        <f t="shared" si="43"/>
        <v>0</v>
      </c>
      <c r="FN30" s="430">
        <f t="shared" si="44"/>
        <v>0</v>
      </c>
      <c r="FO30" s="430">
        <f t="shared" si="45"/>
        <v>0</v>
      </c>
      <c r="FP30" s="431">
        <f t="shared" si="46"/>
        <v>0</v>
      </c>
      <c r="FQ30" s="431">
        <f t="shared" si="47"/>
        <v>3384358.74158662</v>
      </c>
      <c r="FR30" s="431">
        <f>'Concentration Limits'!$J$58</f>
        <v>49599340.729726665</v>
      </c>
      <c r="FS30" s="431">
        <f t="shared" si="48"/>
        <v>24394399.03040082</v>
      </c>
      <c r="FT30" s="431">
        <f>VLOOKUP(BR30,'Concentration Limits'!$E$81:$H$153,4,FALSE)</f>
        <v>2</v>
      </c>
      <c r="FU30" s="431">
        <f t="shared" si="49"/>
        <v>0</v>
      </c>
      <c r="FV30" s="431">
        <f t="shared" si="50"/>
        <v>3384358.74158662</v>
      </c>
      <c r="FW30" s="431">
        <f>'Concentration Limits'!$J$59</f>
        <v>37199505.547294997</v>
      </c>
      <c r="FX30" s="431">
        <f t="shared" si="51"/>
        <v>24394399.03040082</v>
      </c>
      <c r="FY30" s="431">
        <f>VLOOKUP(BR30,'Concentration Limits'!$E$81:$H$153,4,FALSE)</f>
        <v>2</v>
      </c>
      <c r="FZ30" s="431">
        <f t="shared" si="52"/>
        <v>0</v>
      </c>
      <c r="GA30" s="431">
        <f t="shared" si="53"/>
        <v>3384358.74158662</v>
      </c>
      <c r="GB30" s="431">
        <f>'Concentration Limits'!$J$61</f>
        <v>24799670.364863332</v>
      </c>
      <c r="GC30" s="431">
        <f t="shared" si="54"/>
        <v>24394399.03040082</v>
      </c>
      <c r="GD30" s="429">
        <f>VLOOKUP(BR30,'Concentration Limits'!$E$81:$H$153,4,FALSE)</f>
        <v>2</v>
      </c>
      <c r="GE30" s="431">
        <f t="shared" si="55"/>
        <v>0</v>
      </c>
      <c r="GF30" s="431">
        <f t="shared" si="56"/>
        <v>3384358.74158662</v>
      </c>
      <c r="GG30" s="431">
        <f>'Concentration Limits'!$J$64</f>
        <v>24799670.364863332</v>
      </c>
      <c r="GH30" s="431">
        <f t="shared" si="57"/>
        <v>0</v>
      </c>
      <c r="GI30" s="431">
        <f t="shared" si="58"/>
        <v>0</v>
      </c>
      <c r="GJ30" s="431">
        <f t="shared" si="59"/>
        <v>3384358.74158662</v>
      </c>
      <c r="GK30" s="431">
        <f>'Concentration Limits'!$J$67</f>
        <v>24799670.364863332</v>
      </c>
      <c r="GL30" s="429" t="str">
        <f t="shared" si="60"/>
        <v>No</v>
      </c>
      <c r="GM30" s="431">
        <f t="shared" si="61"/>
        <v>0</v>
      </c>
      <c r="GN30" s="431">
        <f t="shared" si="62"/>
        <v>0</v>
      </c>
      <c r="GO30" s="431">
        <f t="shared" si="63"/>
        <v>3384358.74158662</v>
      </c>
      <c r="GP30" s="431">
        <f>'Concentration Limits'!$J$68</f>
        <v>37199505.547294997</v>
      </c>
      <c r="GQ30" s="429" t="str">
        <f t="shared" si="64"/>
        <v>No</v>
      </c>
      <c r="GR30" s="431">
        <f t="shared" si="65"/>
        <v>0</v>
      </c>
      <c r="GS30" s="431">
        <f t="shared" si="66"/>
        <v>0</v>
      </c>
      <c r="GT30" s="431">
        <f t="shared" si="67"/>
        <v>3384358.74158662</v>
      </c>
      <c r="GU30" s="429">
        <f>'Concentration Limits'!$J$69</f>
        <v>37199505.547294997</v>
      </c>
      <c r="GV30" s="429" t="str">
        <f t="shared" si="68"/>
        <v>No</v>
      </c>
      <c r="GW30" s="429">
        <f t="shared" si="69"/>
        <v>0</v>
      </c>
      <c r="GX30" s="429">
        <f t="shared" si="70"/>
        <v>0</v>
      </c>
      <c r="GY30" s="429">
        <f t="shared" si="71"/>
        <v>3384358.74158662</v>
      </c>
      <c r="GZ30" s="429">
        <f>'Concentration Limits'!$J$70</f>
        <v>24799670.364863332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49599340.729726665</v>
      </c>
      <c r="EM31" s="429" t="str">
        <f>IF(OR(D31="Second Lien",AND(D31="FILO",DI31&gt;AGENT!$C$57)), "Yes", "No")</f>
        <v>No</v>
      </c>
      <c r="EN31" s="429">
        <f t="shared" si="29"/>
        <v>0</v>
      </c>
      <c r="EO31" s="429">
        <f t="shared" si="30"/>
        <v>0</v>
      </c>
      <c r="EP31" s="429">
        <f t="shared" si="31"/>
        <v>7992480.5747497557</v>
      </c>
      <c r="EQ31" s="429">
        <f>'Concentration Limits'!$J$50</f>
        <v>24799670.364863332</v>
      </c>
      <c r="ER31" s="429">
        <f t="shared" si="32"/>
        <v>0</v>
      </c>
      <c r="ES31" s="429">
        <f t="shared" si="84"/>
        <v>0</v>
      </c>
      <c r="ET31" s="429">
        <f t="shared" si="33"/>
        <v>7992480.5747497557</v>
      </c>
      <c r="EU31" s="429">
        <f>'Concentration Limits'!$J$51</f>
        <v>74399011.094589993</v>
      </c>
      <c r="EV31" s="429" t="str">
        <f>IF(OR(D31="Second Lien", AND(D31="FILO",DI31&gt;AGENT!$C$59)), "Yes", "No")</f>
        <v>No</v>
      </c>
      <c r="EW31" s="429">
        <f t="shared" si="34"/>
        <v>0</v>
      </c>
      <c r="EX31" s="429">
        <f t="shared" si="35"/>
        <v>0</v>
      </c>
      <c r="EY31" s="429">
        <f t="shared" si="36"/>
        <v>7992480.5747497557</v>
      </c>
      <c r="EZ31" s="429">
        <f>'Concentration Limits'!$J$52</f>
        <v>37199505.547294997</v>
      </c>
      <c r="FA31" s="429" t="str">
        <f>IF(CY31&gt;'Concentration Limits'!$E$52, "No", "Yes")</f>
        <v>No</v>
      </c>
      <c r="FB31" s="429">
        <f t="shared" si="37"/>
        <v>0</v>
      </c>
      <c r="FC31" s="429">
        <f t="shared" si="38"/>
        <v>0</v>
      </c>
      <c r="FD31" s="429">
        <f t="shared" si="39"/>
        <v>7992480.5747497557</v>
      </c>
      <c r="FE31" s="430">
        <f>'Concentration Limits'!$J$54</f>
        <v>247996703.6486333</v>
      </c>
      <c r="FF31" s="430">
        <f>'Concentration Limits'!$J$55</f>
        <v>247996703.6486333</v>
      </c>
      <c r="FG31" s="430">
        <f>'Concentration Limits'!$J$56</f>
        <v>247996703.6486333</v>
      </c>
      <c r="FH31" s="431">
        <f>'Concentration Limits'!$J$57</f>
        <v>18599752.773647498</v>
      </c>
      <c r="FI31" s="431">
        <f t="shared" si="40"/>
        <v>7992480.5747497557</v>
      </c>
      <c r="FJ31" s="431">
        <f t="shared" si="41"/>
        <v>7992480.5747497557</v>
      </c>
      <c r="FK31" s="431">
        <f t="shared" si="42"/>
        <v>15</v>
      </c>
      <c r="FL31" s="431">
        <f>IF(FJ31&gt;0,RANK(FJ31,$FJ$9:$FJ$60)+COUNTIF($FJ$9:FJ31,FJ31)-1,0)</f>
        <v>15</v>
      </c>
      <c r="FM31" s="430">
        <f t="shared" si="43"/>
        <v>0</v>
      </c>
      <c r="FN31" s="430">
        <f t="shared" si="44"/>
        <v>0</v>
      </c>
      <c r="FO31" s="430">
        <f t="shared" si="45"/>
        <v>0</v>
      </c>
      <c r="FP31" s="431">
        <f t="shared" si="46"/>
        <v>0</v>
      </c>
      <c r="FQ31" s="431">
        <f t="shared" si="47"/>
        <v>7992480.5747497557</v>
      </c>
      <c r="FR31" s="431">
        <f>'Concentration Limits'!$J$58</f>
        <v>49599340.729726665</v>
      </c>
      <c r="FS31" s="431">
        <f t="shared" si="48"/>
        <v>7992480.5747497557</v>
      </c>
      <c r="FT31" s="431">
        <f>VLOOKUP(BR31,'Concentration Limits'!$E$81:$H$153,4,FALSE)</f>
        <v>14</v>
      </c>
      <c r="FU31" s="431">
        <f t="shared" si="49"/>
        <v>0</v>
      </c>
      <c r="FV31" s="431">
        <f t="shared" si="50"/>
        <v>7992480.5747497557</v>
      </c>
      <c r="FW31" s="431">
        <f>'Concentration Limits'!$J$59</f>
        <v>37199505.547294997</v>
      </c>
      <c r="FX31" s="431">
        <f t="shared" si="51"/>
        <v>7992480.5747497557</v>
      </c>
      <c r="FY31" s="431">
        <f>VLOOKUP(BR31,'Concentration Limits'!$E$81:$H$153,4,FALSE)</f>
        <v>14</v>
      </c>
      <c r="FZ31" s="431">
        <f t="shared" si="52"/>
        <v>0</v>
      </c>
      <c r="GA31" s="431">
        <f t="shared" si="53"/>
        <v>7992480.5747497557</v>
      </c>
      <c r="GB31" s="431">
        <f>'Concentration Limits'!$J$61</f>
        <v>24799670.364863332</v>
      </c>
      <c r="GC31" s="431">
        <f t="shared" si="54"/>
        <v>7992480.5747497557</v>
      </c>
      <c r="GD31" s="429">
        <f>VLOOKUP(BR31,'Concentration Limits'!$E$81:$H$153,4,FALSE)</f>
        <v>14</v>
      </c>
      <c r="GE31" s="431">
        <f t="shared" si="55"/>
        <v>0</v>
      </c>
      <c r="GF31" s="431">
        <f t="shared" si="56"/>
        <v>7992480.5747497557</v>
      </c>
      <c r="GG31" s="431">
        <f>'Concentration Limits'!$J$64</f>
        <v>24799670.364863332</v>
      </c>
      <c r="GH31" s="431">
        <f t="shared" si="57"/>
        <v>0</v>
      </c>
      <c r="GI31" s="431">
        <f t="shared" si="58"/>
        <v>0</v>
      </c>
      <c r="GJ31" s="431">
        <f t="shared" si="59"/>
        <v>7992480.5747497557</v>
      </c>
      <c r="GK31" s="431">
        <f>'Concentration Limits'!$J$67</f>
        <v>24799670.364863332</v>
      </c>
      <c r="GL31" s="429" t="str">
        <f t="shared" si="60"/>
        <v>No</v>
      </c>
      <c r="GM31" s="431">
        <f t="shared" si="61"/>
        <v>0</v>
      </c>
      <c r="GN31" s="431">
        <f t="shared" si="62"/>
        <v>0</v>
      </c>
      <c r="GO31" s="431">
        <f t="shared" si="63"/>
        <v>7992480.5747497557</v>
      </c>
      <c r="GP31" s="431">
        <f>'Concentration Limits'!$J$68</f>
        <v>37199505.547294997</v>
      </c>
      <c r="GQ31" s="429" t="str">
        <f t="shared" si="64"/>
        <v>No</v>
      </c>
      <c r="GR31" s="431">
        <f t="shared" si="65"/>
        <v>0</v>
      </c>
      <c r="GS31" s="431">
        <f t="shared" si="66"/>
        <v>0</v>
      </c>
      <c r="GT31" s="431">
        <f t="shared" si="67"/>
        <v>7992480.5747497557</v>
      </c>
      <c r="GU31" s="429">
        <f>'Concentration Limits'!$J$69</f>
        <v>37199505.547294997</v>
      </c>
      <c r="GV31" s="429" t="str">
        <f t="shared" si="68"/>
        <v>No</v>
      </c>
      <c r="GW31" s="429">
        <f t="shared" si="69"/>
        <v>0</v>
      </c>
      <c r="GX31" s="429">
        <f t="shared" si="70"/>
        <v>0</v>
      </c>
      <c r="GY31" s="429">
        <f t="shared" si="71"/>
        <v>7992480.5747497557</v>
      </c>
      <c r="GZ31" s="429">
        <f>'Concentration Limits'!$J$70</f>
        <v>24799670.364863332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49599340.729726665</v>
      </c>
      <c r="EM32" s="429" t="str">
        <f>IF(OR(D32="Second Lien",AND(D32="FILO",DI32&gt;AGENT!$C$57)), "Yes", "No")</f>
        <v>No</v>
      </c>
      <c r="EN32" s="429">
        <f t="shared" si="29"/>
        <v>0</v>
      </c>
      <c r="EO32" s="429">
        <f t="shared" si="30"/>
        <v>0</v>
      </c>
      <c r="EP32" s="429">
        <f t="shared" si="31"/>
        <v>8077912.1877550166</v>
      </c>
      <c r="EQ32" s="429">
        <f>'Concentration Limits'!$J$50</f>
        <v>24799670.364863332</v>
      </c>
      <c r="ER32" s="429">
        <f t="shared" si="32"/>
        <v>0</v>
      </c>
      <c r="ES32" s="429">
        <f t="shared" si="84"/>
        <v>0</v>
      </c>
      <c r="ET32" s="429">
        <f t="shared" si="33"/>
        <v>8077912.1877550166</v>
      </c>
      <c r="EU32" s="429">
        <f>'Concentration Limits'!$J$51</f>
        <v>74399011.094589993</v>
      </c>
      <c r="EV32" s="429" t="str">
        <f>IF(OR(D32="Second Lien", AND(D32="FILO",DI32&gt;AGENT!$C$59)), "Yes", "No")</f>
        <v>No</v>
      </c>
      <c r="EW32" s="429">
        <f t="shared" si="34"/>
        <v>0</v>
      </c>
      <c r="EX32" s="429">
        <f t="shared" si="35"/>
        <v>0</v>
      </c>
      <c r="EY32" s="429">
        <f t="shared" si="36"/>
        <v>8077912.1877550166</v>
      </c>
      <c r="EZ32" s="429">
        <f>'Concentration Limits'!$J$52</f>
        <v>37199505.547294997</v>
      </c>
      <c r="FA32" s="429" t="str">
        <f>IF(CY32&gt;'Concentration Limits'!$E$52, "No", "Yes")</f>
        <v>No</v>
      </c>
      <c r="FB32" s="429">
        <f t="shared" si="37"/>
        <v>0</v>
      </c>
      <c r="FC32" s="429">
        <f t="shared" si="38"/>
        <v>0</v>
      </c>
      <c r="FD32" s="429">
        <f t="shared" si="39"/>
        <v>8077912.1877550166</v>
      </c>
      <c r="FE32" s="430">
        <f>'Concentration Limits'!$J$54</f>
        <v>247996703.6486333</v>
      </c>
      <c r="FF32" s="430">
        <f>'Concentration Limits'!$J$55</f>
        <v>247996703.6486333</v>
      </c>
      <c r="FG32" s="430">
        <f>'Concentration Limits'!$J$56</f>
        <v>247996703.6486333</v>
      </c>
      <c r="FH32" s="431">
        <f>'Concentration Limits'!$J$57</f>
        <v>18599752.773647498</v>
      </c>
      <c r="FI32" s="431">
        <f t="shared" si="40"/>
        <v>8077912.1877550166</v>
      </c>
      <c r="FJ32" s="431">
        <f t="shared" si="41"/>
        <v>8077912.1877550166</v>
      </c>
      <c r="FK32" s="431">
        <f t="shared" si="42"/>
        <v>14</v>
      </c>
      <c r="FL32" s="431">
        <f>IF(FJ32&gt;0,RANK(FJ32,$FJ$9:$FJ$60)+COUNTIF($FJ$9:FJ32,FJ32)-1,0)</f>
        <v>14</v>
      </c>
      <c r="FM32" s="430">
        <f t="shared" si="43"/>
        <v>0</v>
      </c>
      <c r="FN32" s="430">
        <f t="shared" si="44"/>
        <v>0</v>
      </c>
      <c r="FO32" s="430">
        <f t="shared" si="45"/>
        <v>0</v>
      </c>
      <c r="FP32" s="431">
        <f t="shared" si="46"/>
        <v>0</v>
      </c>
      <c r="FQ32" s="431">
        <f t="shared" si="47"/>
        <v>8077912.1877550166</v>
      </c>
      <c r="FR32" s="431">
        <f>'Concentration Limits'!$J$58</f>
        <v>49599340.729726665</v>
      </c>
      <c r="FS32" s="431">
        <f t="shared" si="48"/>
        <v>8077912.1877550166</v>
      </c>
      <c r="FT32" s="431">
        <f>VLOOKUP(BR32,'Concentration Limits'!$E$81:$H$153,4,FALSE)</f>
        <v>13</v>
      </c>
      <c r="FU32" s="431">
        <f t="shared" si="49"/>
        <v>0</v>
      </c>
      <c r="FV32" s="431">
        <f t="shared" si="50"/>
        <v>8077912.1877550166</v>
      </c>
      <c r="FW32" s="431">
        <f>'Concentration Limits'!$J$59</f>
        <v>37199505.547294997</v>
      </c>
      <c r="FX32" s="431">
        <f t="shared" si="51"/>
        <v>8077912.1877550166</v>
      </c>
      <c r="FY32" s="431">
        <f>VLOOKUP(BR32,'Concentration Limits'!$E$81:$H$153,4,FALSE)</f>
        <v>13</v>
      </c>
      <c r="FZ32" s="431">
        <f t="shared" si="52"/>
        <v>0</v>
      </c>
      <c r="GA32" s="431">
        <f t="shared" si="53"/>
        <v>8077912.1877550166</v>
      </c>
      <c r="GB32" s="431">
        <f>'Concentration Limits'!$J$61</f>
        <v>24799670.364863332</v>
      </c>
      <c r="GC32" s="431">
        <f t="shared" si="54"/>
        <v>8077912.1877550166</v>
      </c>
      <c r="GD32" s="429">
        <f>VLOOKUP(BR32,'Concentration Limits'!$E$81:$H$153,4,FALSE)</f>
        <v>13</v>
      </c>
      <c r="GE32" s="431">
        <f t="shared" si="55"/>
        <v>0</v>
      </c>
      <c r="GF32" s="431">
        <f t="shared" si="56"/>
        <v>8077912.1877550166</v>
      </c>
      <c r="GG32" s="431">
        <f>'Concentration Limits'!$J$64</f>
        <v>24799670.364863332</v>
      </c>
      <c r="GH32" s="431">
        <f t="shared" si="57"/>
        <v>0</v>
      </c>
      <c r="GI32" s="431">
        <f t="shared" si="58"/>
        <v>0</v>
      </c>
      <c r="GJ32" s="431">
        <f t="shared" si="59"/>
        <v>8077912.1877550166</v>
      </c>
      <c r="GK32" s="431">
        <f>'Concentration Limits'!$J$67</f>
        <v>24799670.364863332</v>
      </c>
      <c r="GL32" s="429" t="str">
        <f t="shared" si="60"/>
        <v>Yes</v>
      </c>
      <c r="GM32" s="431">
        <f t="shared" si="61"/>
        <v>8077912.1877550166</v>
      </c>
      <c r="GN32" s="431">
        <f t="shared" si="62"/>
        <v>0</v>
      </c>
      <c r="GO32" s="431">
        <f t="shared" si="63"/>
        <v>8077912.1877550166</v>
      </c>
      <c r="GP32" s="431">
        <f>'Concentration Limits'!$J$68</f>
        <v>37199505.547294997</v>
      </c>
      <c r="GQ32" s="429" t="str">
        <f t="shared" si="64"/>
        <v>No</v>
      </c>
      <c r="GR32" s="431">
        <f t="shared" si="65"/>
        <v>0</v>
      </c>
      <c r="GS32" s="431">
        <f t="shared" si="66"/>
        <v>0</v>
      </c>
      <c r="GT32" s="431">
        <f t="shared" si="67"/>
        <v>8077912.1877550166</v>
      </c>
      <c r="GU32" s="429">
        <f>'Concentration Limits'!$J$69</f>
        <v>37199505.547294997</v>
      </c>
      <c r="GV32" s="429" t="str">
        <f t="shared" si="68"/>
        <v>No</v>
      </c>
      <c r="GW32" s="429">
        <f t="shared" si="69"/>
        <v>0</v>
      </c>
      <c r="GX32" s="429">
        <f t="shared" si="70"/>
        <v>0</v>
      </c>
      <c r="GY32" s="429">
        <f t="shared" si="71"/>
        <v>8077912.1877550166</v>
      </c>
      <c r="GZ32" s="429">
        <f>'Concentration Limits'!$J$70</f>
        <v>24799670.364863332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49599340.729726665</v>
      </c>
      <c r="EM33" s="429" t="str">
        <f>IF(OR(D33="Second Lien",AND(D33="FILO",DI33&gt;AGENT!$C$57)), "Yes", "No")</f>
        <v>No</v>
      </c>
      <c r="EN33" s="429">
        <f t="shared" si="29"/>
        <v>0</v>
      </c>
      <c r="EO33" s="429">
        <f t="shared" si="30"/>
        <v>0</v>
      </c>
      <c r="EP33" s="429">
        <f t="shared" si="31"/>
        <v>0</v>
      </c>
      <c r="EQ33" s="429">
        <f>'Concentration Limits'!$J$50</f>
        <v>24799670.364863332</v>
      </c>
      <c r="ER33" s="429">
        <f t="shared" si="32"/>
        <v>0</v>
      </c>
      <c r="ES33" s="429">
        <f t="shared" si="84"/>
        <v>0</v>
      </c>
      <c r="ET33" s="429">
        <f t="shared" si="33"/>
        <v>0</v>
      </c>
      <c r="EU33" s="429">
        <f>'Concentration Limits'!$J$51</f>
        <v>74399011.094589993</v>
      </c>
      <c r="EV33" s="429" t="str">
        <f>IF(OR(D33="Second Lien", AND(D33="FILO",DI33&gt;AGENT!$C$59)), "Yes", "No")</f>
        <v>No</v>
      </c>
      <c r="EW33" s="429">
        <f t="shared" si="34"/>
        <v>0</v>
      </c>
      <c r="EX33" s="429">
        <f t="shared" si="35"/>
        <v>0</v>
      </c>
      <c r="EY33" s="429">
        <f t="shared" si="36"/>
        <v>0</v>
      </c>
      <c r="EZ33" s="429">
        <f>'Concentration Limits'!$J$52</f>
        <v>37199505.547294997</v>
      </c>
      <c r="FA33" s="429" t="str">
        <f>IF(CY33&gt;'Concentration Limits'!$E$52, "No", "Yes")</f>
        <v>No</v>
      </c>
      <c r="FB33" s="429">
        <f t="shared" si="37"/>
        <v>0</v>
      </c>
      <c r="FC33" s="429">
        <f t="shared" si="38"/>
        <v>0</v>
      </c>
      <c r="FD33" s="429">
        <f t="shared" si="39"/>
        <v>0</v>
      </c>
      <c r="FE33" s="430">
        <f>'Concentration Limits'!$J$54</f>
        <v>247996703.6486333</v>
      </c>
      <c r="FF33" s="430">
        <f>'Concentration Limits'!$J$55</f>
        <v>247996703.6486333</v>
      </c>
      <c r="FG33" s="430">
        <f>'Concentration Limits'!$J$56</f>
        <v>247996703.6486333</v>
      </c>
      <c r="FH33" s="431">
        <f>'Concentration Limits'!$J$57</f>
        <v>18599752.773647498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49599340.729726665</v>
      </c>
      <c r="FS33" s="431">
        <f t="shared" si="48"/>
        <v>0</v>
      </c>
      <c r="FT33" s="431" t="str">
        <f>VLOOKUP(BR33,'Concentration Limits'!$E$81:$H$153,4,FALSE)</f>
        <v/>
      </c>
      <c r="FU33" s="431">
        <f t="shared" si="49"/>
        <v>0</v>
      </c>
      <c r="FV33" s="431">
        <f t="shared" si="50"/>
        <v>0</v>
      </c>
      <c r="FW33" s="431">
        <f>'Concentration Limits'!$J$59</f>
        <v>37199505.547294997</v>
      </c>
      <c r="FX33" s="431">
        <f t="shared" si="51"/>
        <v>0</v>
      </c>
      <c r="FY33" s="431" t="str">
        <f>VLOOKUP(BR33,'Concentration Limits'!$E$81:$H$153,4,FALSE)</f>
        <v/>
      </c>
      <c r="FZ33" s="431">
        <f t="shared" si="52"/>
        <v>0</v>
      </c>
      <c r="GA33" s="431">
        <f t="shared" si="53"/>
        <v>0</v>
      </c>
      <c r="GB33" s="431">
        <f>'Concentration Limits'!$J$61</f>
        <v>24799670.364863332</v>
      </c>
      <c r="GC33" s="431">
        <f t="shared" si="54"/>
        <v>0</v>
      </c>
      <c r="GD33" s="429" t="str">
        <f>VLOOKUP(BR33,'Concentration Limits'!$E$81:$H$153,4,FALSE)</f>
        <v/>
      </c>
      <c r="GE33" s="431">
        <f t="shared" si="55"/>
        <v>0</v>
      </c>
      <c r="GF33" s="431">
        <f t="shared" si="56"/>
        <v>0</v>
      </c>
      <c r="GG33" s="431">
        <f>'Concentration Limits'!$J$64</f>
        <v>24799670.364863332</v>
      </c>
      <c r="GH33" s="431">
        <f t="shared" si="57"/>
        <v>0</v>
      </c>
      <c r="GI33" s="431">
        <f t="shared" si="58"/>
        <v>0</v>
      </c>
      <c r="GJ33" s="431">
        <f t="shared" si="59"/>
        <v>0</v>
      </c>
      <c r="GK33" s="431">
        <f>'Concentration Limits'!$J$67</f>
        <v>24799670.364863332</v>
      </c>
      <c r="GL33" s="429" t="str">
        <f t="shared" si="60"/>
        <v>No</v>
      </c>
      <c r="GM33" s="431">
        <f t="shared" si="61"/>
        <v>0</v>
      </c>
      <c r="GN33" s="431">
        <f t="shared" si="62"/>
        <v>0</v>
      </c>
      <c r="GO33" s="431">
        <f t="shared" si="63"/>
        <v>0</v>
      </c>
      <c r="GP33" s="431">
        <f>'Concentration Limits'!$J$68</f>
        <v>37199505.547294997</v>
      </c>
      <c r="GQ33" s="429" t="str">
        <f t="shared" si="64"/>
        <v>No</v>
      </c>
      <c r="GR33" s="431">
        <f t="shared" si="65"/>
        <v>0</v>
      </c>
      <c r="GS33" s="431">
        <f t="shared" si="66"/>
        <v>0</v>
      </c>
      <c r="GT33" s="431">
        <f t="shared" si="67"/>
        <v>0</v>
      </c>
      <c r="GU33" s="429">
        <f>'Concentration Limits'!$J$69</f>
        <v>37199505.547294997</v>
      </c>
      <c r="GV33" s="429" t="str">
        <f t="shared" si="68"/>
        <v>No</v>
      </c>
      <c r="GW33" s="429">
        <f t="shared" si="69"/>
        <v>0</v>
      </c>
      <c r="GX33" s="429">
        <f t="shared" si="70"/>
        <v>0</v>
      </c>
      <c r="GY33" s="429">
        <f t="shared" si="71"/>
        <v>0</v>
      </c>
      <c r="GZ33" s="429">
        <f>'Concentration Limits'!$J$70</f>
        <v>24799670.364863332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49599340.729726665</v>
      </c>
      <c r="EM34" s="429" t="str">
        <f>IF(OR(D34="Second Lien",AND(D34="FILO",DI34&gt;AGENT!$C$57)), "Yes", "No")</f>
        <v>No</v>
      </c>
      <c r="EN34" s="429">
        <f t="shared" si="29"/>
        <v>0</v>
      </c>
      <c r="EO34" s="429">
        <f t="shared" si="30"/>
        <v>0</v>
      </c>
      <c r="EP34" s="429">
        <f t="shared" si="31"/>
        <v>0</v>
      </c>
      <c r="EQ34" s="429">
        <f>'Concentration Limits'!$J$50</f>
        <v>24799670.364863332</v>
      </c>
      <c r="ER34" s="429">
        <f t="shared" si="32"/>
        <v>0</v>
      </c>
      <c r="ES34" s="429">
        <f t="shared" si="84"/>
        <v>0</v>
      </c>
      <c r="ET34" s="429">
        <f t="shared" si="33"/>
        <v>0</v>
      </c>
      <c r="EU34" s="429">
        <f>'Concentration Limits'!$J$51</f>
        <v>74399011.094589993</v>
      </c>
      <c r="EV34" s="429" t="str">
        <f>IF(OR(D34="Second Lien", AND(D34="FILO",DI34&gt;AGENT!$C$59)), "Yes", "No")</f>
        <v>No</v>
      </c>
      <c r="EW34" s="429">
        <f t="shared" si="34"/>
        <v>0</v>
      </c>
      <c r="EX34" s="429">
        <f t="shared" si="35"/>
        <v>0</v>
      </c>
      <c r="EY34" s="429">
        <f t="shared" si="36"/>
        <v>0</v>
      </c>
      <c r="EZ34" s="429">
        <f>'Concentration Limits'!$J$52</f>
        <v>37199505.547294997</v>
      </c>
      <c r="FA34" s="429" t="str">
        <f>IF(CY34&gt;'Concentration Limits'!$E$52, "No", "Yes")</f>
        <v>Yes</v>
      </c>
      <c r="FB34" s="429">
        <f t="shared" si="37"/>
        <v>0</v>
      </c>
      <c r="FC34" s="429">
        <f t="shared" si="38"/>
        <v>0</v>
      </c>
      <c r="FD34" s="429">
        <f t="shared" si="39"/>
        <v>0</v>
      </c>
      <c r="FE34" s="430">
        <f>'Concentration Limits'!$J$54</f>
        <v>247996703.6486333</v>
      </c>
      <c r="FF34" s="430">
        <f>'Concentration Limits'!$J$55</f>
        <v>247996703.6486333</v>
      </c>
      <c r="FG34" s="430">
        <f>'Concentration Limits'!$J$56</f>
        <v>247996703.6486333</v>
      </c>
      <c r="FH34" s="431">
        <f>'Concentration Limits'!$J$57</f>
        <v>18599752.773647498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49599340.729726665</v>
      </c>
      <c r="FS34" s="431">
        <f t="shared" si="48"/>
        <v>0</v>
      </c>
      <c r="FT34" s="431" t="str">
        <f>VLOOKUP(BR34,'Concentration Limits'!$E$81:$H$153,4,FALSE)</f>
        <v/>
      </c>
      <c r="FU34" s="431">
        <f t="shared" si="49"/>
        <v>0</v>
      </c>
      <c r="FV34" s="431">
        <f t="shared" si="50"/>
        <v>0</v>
      </c>
      <c r="FW34" s="431">
        <f>'Concentration Limits'!$J$59</f>
        <v>37199505.547294997</v>
      </c>
      <c r="FX34" s="431">
        <f t="shared" si="51"/>
        <v>0</v>
      </c>
      <c r="FY34" s="431" t="str">
        <f>VLOOKUP(BR34,'Concentration Limits'!$E$81:$H$153,4,FALSE)</f>
        <v/>
      </c>
      <c r="FZ34" s="431">
        <f t="shared" si="52"/>
        <v>0</v>
      </c>
      <c r="GA34" s="431">
        <f t="shared" si="53"/>
        <v>0</v>
      </c>
      <c r="GB34" s="431">
        <f>'Concentration Limits'!$J$61</f>
        <v>24799670.364863332</v>
      </c>
      <c r="GC34" s="431">
        <f t="shared" si="54"/>
        <v>0</v>
      </c>
      <c r="GD34" s="429" t="str">
        <f>VLOOKUP(BR34,'Concentration Limits'!$E$81:$H$153,4,FALSE)</f>
        <v/>
      </c>
      <c r="GE34" s="431">
        <f t="shared" si="55"/>
        <v>0</v>
      </c>
      <c r="GF34" s="431">
        <f t="shared" si="56"/>
        <v>0</v>
      </c>
      <c r="GG34" s="431">
        <f>'Concentration Limits'!$J$64</f>
        <v>24799670.364863332</v>
      </c>
      <c r="GH34" s="431">
        <f t="shared" si="57"/>
        <v>0</v>
      </c>
      <c r="GI34" s="431">
        <f t="shared" si="58"/>
        <v>0</v>
      </c>
      <c r="GJ34" s="431">
        <f t="shared" si="59"/>
        <v>0</v>
      </c>
      <c r="GK34" s="431">
        <f>'Concentration Limits'!$J$67</f>
        <v>24799670.364863332</v>
      </c>
      <c r="GL34" s="429" t="str">
        <f t="shared" si="60"/>
        <v>No</v>
      </c>
      <c r="GM34" s="431">
        <f t="shared" si="61"/>
        <v>0</v>
      </c>
      <c r="GN34" s="431">
        <f t="shared" si="62"/>
        <v>0</v>
      </c>
      <c r="GO34" s="431">
        <f t="shared" si="63"/>
        <v>0</v>
      </c>
      <c r="GP34" s="431">
        <f>'Concentration Limits'!$J$68</f>
        <v>37199505.547294997</v>
      </c>
      <c r="GQ34" s="429" t="str">
        <f t="shared" si="64"/>
        <v>No</v>
      </c>
      <c r="GR34" s="431">
        <f t="shared" si="65"/>
        <v>0</v>
      </c>
      <c r="GS34" s="431">
        <f t="shared" si="66"/>
        <v>0</v>
      </c>
      <c r="GT34" s="431">
        <f t="shared" si="67"/>
        <v>0</v>
      </c>
      <c r="GU34" s="429">
        <f>'Concentration Limits'!$J$69</f>
        <v>37199505.547294997</v>
      </c>
      <c r="GV34" s="429" t="str">
        <f t="shared" si="68"/>
        <v>No</v>
      </c>
      <c r="GW34" s="429">
        <f t="shared" si="69"/>
        <v>0</v>
      </c>
      <c r="GX34" s="429">
        <f t="shared" si="70"/>
        <v>0</v>
      </c>
      <c r="GY34" s="429">
        <f t="shared" si="71"/>
        <v>0</v>
      </c>
      <c r="GZ34" s="429">
        <f>'Concentration Limits'!$J$70</f>
        <v>24799670.364863332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49599340.729726665</v>
      </c>
      <c r="EM35" s="429" t="str">
        <f>IF(OR(D35="Second Lien",AND(D35="FILO",DI35&gt;AGENT!$C$57)), "Yes", "No")</f>
        <v>No</v>
      </c>
      <c r="EN35" s="429">
        <f t="shared" si="29"/>
        <v>0</v>
      </c>
      <c r="EO35" s="429">
        <f t="shared" si="30"/>
        <v>0</v>
      </c>
      <c r="EP35" s="429">
        <f t="shared" si="31"/>
        <v>4666942.9311727853</v>
      </c>
      <c r="EQ35" s="429">
        <f>'Concentration Limits'!$J$50</f>
        <v>24799670.364863332</v>
      </c>
      <c r="ER35" s="429">
        <f t="shared" si="32"/>
        <v>0</v>
      </c>
      <c r="ES35" s="429">
        <f t="shared" si="84"/>
        <v>0</v>
      </c>
      <c r="ET35" s="429">
        <f t="shared" si="33"/>
        <v>4666942.9311727853</v>
      </c>
      <c r="EU35" s="429">
        <f>'Concentration Limits'!$J$51</f>
        <v>74399011.094589993</v>
      </c>
      <c r="EV35" s="429" t="str">
        <f>IF(OR(D35="Second Lien", AND(D35="FILO",DI35&gt;AGENT!$C$59)), "Yes", "No")</f>
        <v>No</v>
      </c>
      <c r="EW35" s="429">
        <f t="shared" si="34"/>
        <v>0</v>
      </c>
      <c r="EX35" s="429">
        <f t="shared" si="35"/>
        <v>0</v>
      </c>
      <c r="EY35" s="429">
        <f t="shared" si="36"/>
        <v>4666942.9311727853</v>
      </c>
      <c r="EZ35" s="429">
        <f>'Concentration Limits'!$J$52</f>
        <v>37199505.547294997</v>
      </c>
      <c r="FA35" s="429" t="str">
        <f>IF(CY35&gt;'Concentration Limits'!$E$52, "No", "Yes")</f>
        <v>No</v>
      </c>
      <c r="FB35" s="429">
        <f t="shared" si="37"/>
        <v>0</v>
      </c>
      <c r="FC35" s="429">
        <f t="shared" si="38"/>
        <v>0</v>
      </c>
      <c r="FD35" s="429">
        <f t="shared" si="39"/>
        <v>4666942.9311727853</v>
      </c>
      <c r="FE35" s="430">
        <f>'Concentration Limits'!$J$54</f>
        <v>247996703.6486333</v>
      </c>
      <c r="FF35" s="430">
        <f>'Concentration Limits'!$J$55</f>
        <v>247996703.6486333</v>
      </c>
      <c r="FG35" s="430">
        <f>'Concentration Limits'!$J$56</f>
        <v>247996703.6486333</v>
      </c>
      <c r="FH35" s="431">
        <f>'Concentration Limits'!$J$57</f>
        <v>18599752.773647498</v>
      </c>
      <c r="FI35" s="431">
        <f t="shared" si="40"/>
        <v>4666942.9311727853</v>
      </c>
      <c r="FJ35" s="431">
        <f t="shared" si="41"/>
        <v>4666942.9311727853</v>
      </c>
      <c r="FK35" s="431">
        <f t="shared" si="42"/>
        <v>22</v>
      </c>
      <c r="FL35" s="431">
        <f>IF(FJ35&gt;0,RANK(FJ35,$FJ$9:$FJ$60)+COUNTIF($FJ$9:FJ35,FJ35)-1,0)</f>
        <v>22</v>
      </c>
      <c r="FM35" s="430">
        <f t="shared" si="43"/>
        <v>0</v>
      </c>
      <c r="FN35" s="430">
        <f t="shared" si="44"/>
        <v>0</v>
      </c>
      <c r="FO35" s="430">
        <f t="shared" si="45"/>
        <v>0</v>
      </c>
      <c r="FP35" s="431">
        <f t="shared" si="46"/>
        <v>0</v>
      </c>
      <c r="FQ35" s="431">
        <f t="shared" si="47"/>
        <v>4666942.9311727853</v>
      </c>
      <c r="FR35" s="431">
        <f>'Concentration Limits'!$J$58</f>
        <v>49599340.729726665</v>
      </c>
      <c r="FS35" s="431">
        <f t="shared" si="48"/>
        <v>22404509.370220263</v>
      </c>
      <c r="FT35" s="431">
        <f>VLOOKUP(BR35,'Concentration Limits'!$E$81:$H$153,4,FALSE)</f>
        <v>3</v>
      </c>
      <c r="FU35" s="431">
        <f t="shared" si="49"/>
        <v>0</v>
      </c>
      <c r="FV35" s="431">
        <f t="shared" si="50"/>
        <v>4666942.9311727853</v>
      </c>
      <c r="FW35" s="431">
        <f>'Concentration Limits'!$J$59</f>
        <v>37199505.547294997</v>
      </c>
      <c r="FX35" s="431">
        <f t="shared" si="51"/>
        <v>22404509.370220263</v>
      </c>
      <c r="FY35" s="431">
        <f>VLOOKUP(BR35,'Concentration Limits'!$E$81:$H$153,4,FALSE)</f>
        <v>3</v>
      </c>
      <c r="FZ35" s="431">
        <f t="shared" si="52"/>
        <v>0</v>
      </c>
      <c r="GA35" s="431">
        <f t="shared" si="53"/>
        <v>4666942.9311727853</v>
      </c>
      <c r="GB35" s="431">
        <f>'Concentration Limits'!$J$61</f>
        <v>24799670.364863332</v>
      </c>
      <c r="GC35" s="431">
        <f t="shared" si="54"/>
        <v>22404509.370220263</v>
      </c>
      <c r="GD35" s="429">
        <f>VLOOKUP(BR35,'Concentration Limits'!$E$81:$H$153,4,FALSE)</f>
        <v>3</v>
      </c>
      <c r="GE35" s="431">
        <f t="shared" si="55"/>
        <v>0</v>
      </c>
      <c r="GF35" s="431">
        <f t="shared" si="56"/>
        <v>4666942.9311727853</v>
      </c>
      <c r="GG35" s="431">
        <f>'Concentration Limits'!$J$64</f>
        <v>24799670.364863332</v>
      </c>
      <c r="GH35" s="431">
        <f t="shared" si="57"/>
        <v>0</v>
      </c>
      <c r="GI35" s="431">
        <f t="shared" si="58"/>
        <v>0</v>
      </c>
      <c r="GJ35" s="431">
        <f t="shared" si="59"/>
        <v>4666942.9311727853</v>
      </c>
      <c r="GK35" s="431">
        <f>'Concentration Limits'!$J$67</f>
        <v>24799670.364863332</v>
      </c>
      <c r="GL35" s="429" t="str">
        <f t="shared" si="60"/>
        <v>No</v>
      </c>
      <c r="GM35" s="431">
        <f t="shared" si="61"/>
        <v>0</v>
      </c>
      <c r="GN35" s="431">
        <f t="shared" si="62"/>
        <v>0</v>
      </c>
      <c r="GO35" s="431">
        <f t="shared" si="63"/>
        <v>4666942.9311727853</v>
      </c>
      <c r="GP35" s="431">
        <f>'Concentration Limits'!$J$68</f>
        <v>37199505.547294997</v>
      </c>
      <c r="GQ35" s="429" t="str">
        <f t="shared" si="64"/>
        <v>No</v>
      </c>
      <c r="GR35" s="431">
        <f t="shared" si="65"/>
        <v>0</v>
      </c>
      <c r="GS35" s="431">
        <f t="shared" si="66"/>
        <v>0</v>
      </c>
      <c r="GT35" s="431">
        <f t="shared" si="67"/>
        <v>4666942.9311727853</v>
      </c>
      <c r="GU35" s="429">
        <f>'Concentration Limits'!$J$69</f>
        <v>37199505.547294997</v>
      </c>
      <c r="GV35" s="429" t="str">
        <f t="shared" si="68"/>
        <v>No</v>
      </c>
      <c r="GW35" s="429">
        <f t="shared" si="69"/>
        <v>0</v>
      </c>
      <c r="GX35" s="429">
        <f t="shared" si="70"/>
        <v>0</v>
      </c>
      <c r="GY35" s="429">
        <f t="shared" si="71"/>
        <v>4666942.9311727853</v>
      </c>
      <c r="GZ35" s="429">
        <f>'Concentration Limits'!$J$70</f>
        <v>24799670.364863332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49599340.729726665</v>
      </c>
      <c r="EM36" s="429" t="str">
        <f>IF(OR(D36="Second Lien",AND(D36="FILO",DI36&gt;AGENT!$C$57)), "Yes", "No")</f>
        <v>No</v>
      </c>
      <c r="EN36" s="429">
        <f t="shared" si="29"/>
        <v>0</v>
      </c>
      <c r="EO36" s="429">
        <f t="shared" si="30"/>
        <v>0</v>
      </c>
      <c r="EP36" s="429">
        <f t="shared" si="31"/>
        <v>0</v>
      </c>
      <c r="EQ36" s="429">
        <f>'Concentration Limits'!$J$50</f>
        <v>24799670.364863332</v>
      </c>
      <c r="ER36" s="429">
        <f t="shared" si="32"/>
        <v>0</v>
      </c>
      <c r="ES36" s="429">
        <f t="shared" si="84"/>
        <v>0</v>
      </c>
      <c r="ET36" s="429">
        <f t="shared" si="33"/>
        <v>0</v>
      </c>
      <c r="EU36" s="429">
        <f>'Concentration Limits'!$J$51</f>
        <v>74399011.094589993</v>
      </c>
      <c r="EV36" s="429" t="str">
        <f>IF(OR(D36="Second Lien", AND(D36="FILO",DI36&gt;AGENT!$C$59)), "Yes", "No")</f>
        <v>No</v>
      </c>
      <c r="EW36" s="429">
        <f t="shared" si="34"/>
        <v>0</v>
      </c>
      <c r="EX36" s="429">
        <f t="shared" si="35"/>
        <v>0</v>
      </c>
      <c r="EY36" s="429">
        <f t="shared" si="36"/>
        <v>0</v>
      </c>
      <c r="EZ36" s="429">
        <f>'Concentration Limits'!$J$52</f>
        <v>37199505.547294997</v>
      </c>
      <c r="FA36" s="429" t="str">
        <f>IF(CY36&gt;'Concentration Limits'!$E$52, "No", "Yes")</f>
        <v>Yes</v>
      </c>
      <c r="FB36" s="429">
        <f t="shared" si="37"/>
        <v>0</v>
      </c>
      <c r="FC36" s="429">
        <f t="shared" si="38"/>
        <v>0</v>
      </c>
      <c r="FD36" s="429">
        <f t="shared" si="39"/>
        <v>0</v>
      </c>
      <c r="FE36" s="430">
        <f>'Concentration Limits'!$J$54</f>
        <v>247996703.6486333</v>
      </c>
      <c r="FF36" s="430">
        <f>'Concentration Limits'!$J$55</f>
        <v>247996703.6486333</v>
      </c>
      <c r="FG36" s="430">
        <f>'Concentration Limits'!$J$56</f>
        <v>247996703.6486333</v>
      </c>
      <c r="FH36" s="431">
        <f>'Concentration Limits'!$J$57</f>
        <v>18599752.773647498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49599340.729726665</v>
      </c>
      <c r="FS36" s="431">
        <f t="shared" si="48"/>
        <v>10331560.995420478</v>
      </c>
      <c r="FT36" s="431">
        <f>VLOOKUP(BR36,'Concentration Limits'!$E$81:$H$153,4,FALSE)</f>
        <v>12</v>
      </c>
      <c r="FU36" s="431">
        <f t="shared" si="49"/>
        <v>0</v>
      </c>
      <c r="FV36" s="431">
        <f t="shared" si="50"/>
        <v>0</v>
      </c>
      <c r="FW36" s="431">
        <f>'Concentration Limits'!$J$59</f>
        <v>37199505.547294997</v>
      </c>
      <c r="FX36" s="431">
        <f t="shared" si="51"/>
        <v>10331560.995420478</v>
      </c>
      <c r="FY36" s="431">
        <f>VLOOKUP(BR36,'Concentration Limits'!$E$81:$H$153,4,FALSE)</f>
        <v>12</v>
      </c>
      <c r="FZ36" s="431">
        <f t="shared" si="52"/>
        <v>0</v>
      </c>
      <c r="GA36" s="431">
        <f t="shared" si="53"/>
        <v>0</v>
      </c>
      <c r="GB36" s="431">
        <f>'Concentration Limits'!$J$61</f>
        <v>24799670.364863332</v>
      </c>
      <c r="GC36" s="431">
        <f t="shared" si="54"/>
        <v>10331560.995420478</v>
      </c>
      <c r="GD36" s="429">
        <f>VLOOKUP(BR36,'Concentration Limits'!$E$81:$H$153,4,FALSE)</f>
        <v>12</v>
      </c>
      <c r="GE36" s="431">
        <f t="shared" si="55"/>
        <v>0</v>
      </c>
      <c r="GF36" s="431">
        <f t="shared" si="56"/>
        <v>0</v>
      </c>
      <c r="GG36" s="431">
        <f>'Concentration Limits'!$J$64</f>
        <v>24799670.364863332</v>
      </c>
      <c r="GH36" s="431">
        <f t="shared" si="57"/>
        <v>0</v>
      </c>
      <c r="GI36" s="431">
        <f t="shared" si="58"/>
        <v>0</v>
      </c>
      <c r="GJ36" s="431">
        <f t="shared" si="59"/>
        <v>0</v>
      </c>
      <c r="GK36" s="431">
        <f>'Concentration Limits'!$J$67</f>
        <v>24799670.364863332</v>
      </c>
      <c r="GL36" s="429" t="str">
        <f t="shared" si="60"/>
        <v>No</v>
      </c>
      <c r="GM36" s="431">
        <f t="shared" si="61"/>
        <v>0</v>
      </c>
      <c r="GN36" s="431">
        <f t="shared" si="62"/>
        <v>0</v>
      </c>
      <c r="GO36" s="431">
        <f t="shared" si="63"/>
        <v>0</v>
      </c>
      <c r="GP36" s="431">
        <f>'Concentration Limits'!$J$68</f>
        <v>37199505.547294997</v>
      </c>
      <c r="GQ36" s="429" t="str">
        <f t="shared" si="64"/>
        <v>No</v>
      </c>
      <c r="GR36" s="431">
        <f t="shared" si="65"/>
        <v>0</v>
      </c>
      <c r="GS36" s="431">
        <f t="shared" si="66"/>
        <v>0</v>
      </c>
      <c r="GT36" s="431">
        <f t="shared" si="67"/>
        <v>0</v>
      </c>
      <c r="GU36" s="429">
        <f>'Concentration Limits'!$J$69</f>
        <v>37199505.547294997</v>
      </c>
      <c r="GV36" s="429" t="str">
        <f t="shared" si="68"/>
        <v>Yes</v>
      </c>
      <c r="GW36" s="429">
        <f t="shared" si="69"/>
        <v>12656117.589817706</v>
      </c>
      <c r="GX36" s="429">
        <f t="shared" si="70"/>
        <v>0</v>
      </c>
      <c r="GY36" s="429">
        <f t="shared" si="71"/>
        <v>0</v>
      </c>
      <c r="GZ36" s="429">
        <f>'Concentration Limits'!$J$70</f>
        <v>24799670.364863332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49599340.729726665</v>
      </c>
      <c r="EM37" s="429" t="str">
        <f>IF(OR(D37="Second Lien",AND(D37="FILO",DI37&gt;AGENT!$C$57)), "Yes", "No")</f>
        <v>No</v>
      </c>
      <c r="EN37" s="429">
        <f t="shared" si="29"/>
        <v>0</v>
      </c>
      <c r="EO37" s="429">
        <f t="shared" si="30"/>
        <v>0</v>
      </c>
      <c r="EP37" s="429">
        <f t="shared" si="31"/>
        <v>0</v>
      </c>
      <c r="EQ37" s="429">
        <f>'Concentration Limits'!$J$50</f>
        <v>24799670.364863332</v>
      </c>
      <c r="ER37" s="429">
        <f t="shared" si="32"/>
        <v>0</v>
      </c>
      <c r="ES37" s="429">
        <f t="shared" si="84"/>
        <v>0</v>
      </c>
      <c r="ET37" s="429">
        <f t="shared" si="33"/>
        <v>0</v>
      </c>
      <c r="EU37" s="429">
        <f>'Concentration Limits'!$J$51</f>
        <v>74399011.094589993</v>
      </c>
      <c r="EV37" s="429" t="str">
        <f>IF(OR(D37="Second Lien", AND(D37="FILO",DI37&gt;AGENT!$C$59)), "Yes", "No")</f>
        <v>No</v>
      </c>
      <c r="EW37" s="429">
        <f t="shared" si="34"/>
        <v>0</v>
      </c>
      <c r="EX37" s="429">
        <f t="shared" si="35"/>
        <v>0</v>
      </c>
      <c r="EY37" s="429">
        <f t="shared" si="36"/>
        <v>0</v>
      </c>
      <c r="EZ37" s="429">
        <f>'Concentration Limits'!$J$52</f>
        <v>37199505.547294997</v>
      </c>
      <c r="FA37" s="429" t="str">
        <f>IF(CY37&gt;'Concentration Limits'!$E$52, "No", "Yes")</f>
        <v>Yes</v>
      </c>
      <c r="FB37" s="429">
        <f t="shared" si="37"/>
        <v>0</v>
      </c>
      <c r="FC37" s="429">
        <f t="shared" si="38"/>
        <v>0</v>
      </c>
      <c r="FD37" s="429">
        <f t="shared" si="39"/>
        <v>0</v>
      </c>
      <c r="FE37" s="430">
        <f>'Concentration Limits'!$J$54</f>
        <v>247996703.6486333</v>
      </c>
      <c r="FF37" s="430">
        <f>'Concentration Limits'!$J$55</f>
        <v>247996703.6486333</v>
      </c>
      <c r="FG37" s="430">
        <f>'Concentration Limits'!$J$56</f>
        <v>247996703.6486333</v>
      </c>
      <c r="FH37" s="431">
        <f>'Concentration Limits'!$J$57</f>
        <v>18599752.773647498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49599340.729726665</v>
      </c>
      <c r="FS37" s="431">
        <f t="shared" si="48"/>
        <v>0</v>
      </c>
      <c r="FT37" s="431" t="str">
        <f>VLOOKUP(BR37,'Concentration Limits'!$E$81:$H$153,4,FALSE)</f>
        <v/>
      </c>
      <c r="FU37" s="431">
        <f t="shared" si="49"/>
        <v>0</v>
      </c>
      <c r="FV37" s="431">
        <f t="shared" si="50"/>
        <v>0</v>
      </c>
      <c r="FW37" s="431">
        <f>'Concentration Limits'!$J$59</f>
        <v>37199505.547294997</v>
      </c>
      <c r="FX37" s="431">
        <f t="shared" si="51"/>
        <v>0</v>
      </c>
      <c r="FY37" s="431" t="str">
        <f>VLOOKUP(BR37,'Concentration Limits'!$E$81:$H$153,4,FALSE)</f>
        <v/>
      </c>
      <c r="FZ37" s="431">
        <f t="shared" si="52"/>
        <v>0</v>
      </c>
      <c r="GA37" s="431">
        <f t="shared" si="53"/>
        <v>0</v>
      </c>
      <c r="GB37" s="431">
        <f>'Concentration Limits'!$J$61</f>
        <v>24799670.364863332</v>
      </c>
      <c r="GC37" s="431">
        <f t="shared" si="54"/>
        <v>0</v>
      </c>
      <c r="GD37" s="429" t="str">
        <f>VLOOKUP(BR37,'Concentration Limits'!$E$81:$H$153,4,FALSE)</f>
        <v/>
      </c>
      <c r="GE37" s="431">
        <f t="shared" si="55"/>
        <v>0</v>
      </c>
      <c r="GF37" s="431">
        <f t="shared" si="56"/>
        <v>0</v>
      </c>
      <c r="GG37" s="431">
        <f>'Concentration Limits'!$J$64</f>
        <v>24799670.364863332</v>
      </c>
      <c r="GH37" s="431">
        <f t="shared" si="57"/>
        <v>0</v>
      </c>
      <c r="GI37" s="431">
        <f t="shared" si="58"/>
        <v>0</v>
      </c>
      <c r="GJ37" s="431">
        <f t="shared" si="59"/>
        <v>0</v>
      </c>
      <c r="GK37" s="431">
        <f>'Concentration Limits'!$J$67</f>
        <v>24799670.364863332</v>
      </c>
      <c r="GL37" s="429" t="str">
        <f t="shared" si="60"/>
        <v>No</v>
      </c>
      <c r="GM37" s="431">
        <f t="shared" si="61"/>
        <v>0</v>
      </c>
      <c r="GN37" s="431">
        <f t="shared" si="62"/>
        <v>0</v>
      </c>
      <c r="GO37" s="431">
        <f t="shared" si="63"/>
        <v>0</v>
      </c>
      <c r="GP37" s="431">
        <f>'Concentration Limits'!$J$68</f>
        <v>37199505.547294997</v>
      </c>
      <c r="GQ37" s="429" t="str">
        <f t="shared" si="64"/>
        <v>No</v>
      </c>
      <c r="GR37" s="431">
        <f t="shared" si="65"/>
        <v>0</v>
      </c>
      <c r="GS37" s="431">
        <f t="shared" si="66"/>
        <v>0</v>
      </c>
      <c r="GT37" s="431">
        <f t="shared" si="67"/>
        <v>0</v>
      </c>
      <c r="GU37" s="429">
        <f>'Concentration Limits'!$J$69</f>
        <v>37199505.547294997</v>
      </c>
      <c r="GV37" s="429" t="str">
        <f t="shared" si="68"/>
        <v>No</v>
      </c>
      <c r="GW37" s="429">
        <f t="shared" si="69"/>
        <v>0</v>
      </c>
      <c r="GX37" s="429">
        <f t="shared" si="70"/>
        <v>0</v>
      </c>
      <c r="GY37" s="429">
        <f t="shared" si="71"/>
        <v>0</v>
      </c>
      <c r="GZ37" s="429">
        <f>'Concentration Limits'!$J$70</f>
        <v>24799670.364863332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49599340.729726665</v>
      </c>
      <c r="EM38" s="429" t="str">
        <f>IF(OR(D38="Second Lien",AND(D38="FILO",DI38&gt;AGENT!$C$57)), "Yes", "No")</f>
        <v>No</v>
      </c>
      <c r="EN38" s="429">
        <f t="shared" si="29"/>
        <v>0</v>
      </c>
      <c r="EO38" s="429">
        <f t="shared" si="30"/>
        <v>0</v>
      </c>
      <c r="EP38" s="429">
        <f t="shared" si="31"/>
        <v>11328458.381135054</v>
      </c>
      <c r="EQ38" s="429">
        <f>'Concentration Limits'!$J$50</f>
        <v>24799670.364863332</v>
      </c>
      <c r="ER38" s="429">
        <f t="shared" si="32"/>
        <v>0</v>
      </c>
      <c r="ES38" s="429">
        <f t="shared" si="84"/>
        <v>0</v>
      </c>
      <c r="ET38" s="429">
        <f t="shared" si="33"/>
        <v>11328458.381135054</v>
      </c>
      <c r="EU38" s="429">
        <f>'Concentration Limits'!$J$51</f>
        <v>74399011.094589993</v>
      </c>
      <c r="EV38" s="429" t="str">
        <f>IF(OR(D38="Second Lien", AND(D38="FILO",DI38&gt;AGENT!$C$59)), "Yes", "No")</f>
        <v>No</v>
      </c>
      <c r="EW38" s="429">
        <f t="shared" si="34"/>
        <v>0</v>
      </c>
      <c r="EX38" s="429">
        <f t="shared" si="35"/>
        <v>0</v>
      </c>
      <c r="EY38" s="429">
        <f t="shared" si="36"/>
        <v>11328458.381135054</v>
      </c>
      <c r="EZ38" s="429">
        <f>'Concentration Limits'!$J$52</f>
        <v>37199505.547294997</v>
      </c>
      <c r="FA38" s="429" t="str">
        <f>IF(CY38&gt;'Concentration Limits'!$E$52, "No", "Yes")</f>
        <v>No</v>
      </c>
      <c r="FB38" s="429">
        <f t="shared" si="37"/>
        <v>0</v>
      </c>
      <c r="FC38" s="429">
        <f t="shared" si="38"/>
        <v>0</v>
      </c>
      <c r="FD38" s="429">
        <f t="shared" si="39"/>
        <v>11328458.381135054</v>
      </c>
      <c r="FE38" s="430">
        <f>'Concentration Limits'!$J$54</f>
        <v>247996703.6486333</v>
      </c>
      <c r="FF38" s="430">
        <f>'Concentration Limits'!$J$55</f>
        <v>247996703.6486333</v>
      </c>
      <c r="FG38" s="430">
        <f>'Concentration Limits'!$J$56</f>
        <v>247996703.6486333</v>
      </c>
      <c r="FH38" s="431">
        <f>'Concentration Limits'!$J$57</f>
        <v>18599752.773647498</v>
      </c>
      <c r="FI38" s="431">
        <f t="shared" si="40"/>
        <v>11328458.381135054</v>
      </c>
      <c r="FJ38" s="431">
        <f t="shared" si="41"/>
        <v>11328458.381135054</v>
      </c>
      <c r="FK38" s="431">
        <f t="shared" si="42"/>
        <v>9</v>
      </c>
      <c r="FL38" s="431">
        <f>IF(FJ38&gt;0,RANK(FJ38,$FJ$9:$FJ$60)+COUNTIF($FJ$9:FJ38,FJ38)-1,0)</f>
        <v>9</v>
      </c>
      <c r="FM38" s="430">
        <f t="shared" si="43"/>
        <v>0</v>
      </c>
      <c r="FN38" s="430">
        <f t="shared" si="44"/>
        <v>0</v>
      </c>
      <c r="FO38" s="430">
        <f t="shared" si="45"/>
        <v>0</v>
      </c>
      <c r="FP38" s="431">
        <f t="shared" si="46"/>
        <v>0</v>
      </c>
      <c r="FQ38" s="431">
        <f t="shared" si="47"/>
        <v>11328458.381135054</v>
      </c>
      <c r="FR38" s="431">
        <f>'Concentration Limits'!$J$58</f>
        <v>49599340.729726665</v>
      </c>
      <c r="FS38" s="431">
        <f t="shared" si="48"/>
        <v>11328458.381135054</v>
      </c>
      <c r="FT38" s="431">
        <f>VLOOKUP(BR38,'Concentration Limits'!$E$81:$H$153,4,FALSE)</f>
        <v>11</v>
      </c>
      <c r="FU38" s="431">
        <f t="shared" si="49"/>
        <v>0</v>
      </c>
      <c r="FV38" s="431">
        <f t="shared" si="50"/>
        <v>11328458.381135054</v>
      </c>
      <c r="FW38" s="431">
        <f>'Concentration Limits'!$J$59</f>
        <v>37199505.547294997</v>
      </c>
      <c r="FX38" s="431">
        <f t="shared" si="51"/>
        <v>11328458.381135054</v>
      </c>
      <c r="FY38" s="431">
        <f>VLOOKUP(BR38,'Concentration Limits'!$E$81:$H$153,4,FALSE)</f>
        <v>11</v>
      </c>
      <c r="FZ38" s="431">
        <f t="shared" si="52"/>
        <v>0</v>
      </c>
      <c r="GA38" s="431">
        <f t="shared" si="53"/>
        <v>11328458.381135054</v>
      </c>
      <c r="GB38" s="431">
        <f>'Concentration Limits'!$J$61</f>
        <v>24799670.364863332</v>
      </c>
      <c r="GC38" s="431">
        <f t="shared" si="54"/>
        <v>11328458.381135054</v>
      </c>
      <c r="GD38" s="429">
        <f>VLOOKUP(BR38,'Concentration Limits'!$E$81:$H$153,4,FALSE)</f>
        <v>11</v>
      </c>
      <c r="GE38" s="431">
        <f t="shared" si="55"/>
        <v>0</v>
      </c>
      <c r="GF38" s="431">
        <f t="shared" si="56"/>
        <v>11328458.381135054</v>
      </c>
      <c r="GG38" s="431">
        <f>'Concentration Limits'!$J$64</f>
        <v>24799670.364863332</v>
      </c>
      <c r="GH38" s="431">
        <f t="shared" si="57"/>
        <v>0</v>
      </c>
      <c r="GI38" s="431">
        <f t="shared" si="58"/>
        <v>0</v>
      </c>
      <c r="GJ38" s="431">
        <f t="shared" si="59"/>
        <v>11328458.381135054</v>
      </c>
      <c r="GK38" s="431">
        <f>'Concentration Limits'!$J$67</f>
        <v>24799670.364863332</v>
      </c>
      <c r="GL38" s="429" t="str">
        <f t="shared" si="60"/>
        <v>No</v>
      </c>
      <c r="GM38" s="431">
        <f t="shared" si="61"/>
        <v>0</v>
      </c>
      <c r="GN38" s="431">
        <f t="shared" si="62"/>
        <v>0</v>
      </c>
      <c r="GO38" s="431">
        <f t="shared" si="63"/>
        <v>11328458.381135054</v>
      </c>
      <c r="GP38" s="431">
        <f>'Concentration Limits'!$J$68</f>
        <v>37199505.547294997</v>
      </c>
      <c r="GQ38" s="429" t="str">
        <f t="shared" si="64"/>
        <v>No</v>
      </c>
      <c r="GR38" s="431">
        <f t="shared" si="65"/>
        <v>0</v>
      </c>
      <c r="GS38" s="431">
        <f t="shared" si="66"/>
        <v>0</v>
      </c>
      <c r="GT38" s="431">
        <f t="shared" si="67"/>
        <v>11328458.381135054</v>
      </c>
      <c r="GU38" s="429">
        <f>'Concentration Limits'!$J$69</f>
        <v>37199505.547294997</v>
      </c>
      <c r="GV38" s="429" t="str">
        <f t="shared" si="68"/>
        <v>No</v>
      </c>
      <c r="GW38" s="429">
        <f t="shared" si="69"/>
        <v>0</v>
      </c>
      <c r="GX38" s="429">
        <f t="shared" si="70"/>
        <v>0</v>
      </c>
      <c r="GY38" s="429">
        <f t="shared" si="71"/>
        <v>11328458.381135054</v>
      </c>
      <c r="GZ38" s="429">
        <f>'Concentration Limits'!$J$70</f>
        <v>24799670.364863332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49599340.729726665</v>
      </c>
      <c r="EM39" s="429" t="str">
        <f>IF(OR(D39="Second Lien",AND(D39="FILO",DI39&gt;AGENT!$C$57)), "Yes", "No")</f>
        <v>No</v>
      </c>
      <c r="EN39" s="429">
        <f t="shared" si="29"/>
        <v>0</v>
      </c>
      <c r="EO39" s="429">
        <f t="shared" si="30"/>
        <v>0</v>
      </c>
      <c r="EP39" s="429">
        <f t="shared" si="31"/>
        <v>9628542.3950214405</v>
      </c>
      <c r="EQ39" s="429">
        <f>'Concentration Limits'!$J$50</f>
        <v>24799670.364863332</v>
      </c>
      <c r="ER39" s="429">
        <f t="shared" si="32"/>
        <v>0</v>
      </c>
      <c r="ES39" s="429">
        <f t="shared" si="84"/>
        <v>0</v>
      </c>
      <c r="ET39" s="429">
        <f t="shared" si="33"/>
        <v>9628542.3950214405</v>
      </c>
      <c r="EU39" s="429">
        <f>'Concentration Limits'!$J$51</f>
        <v>74399011.094589993</v>
      </c>
      <c r="EV39" s="429" t="str">
        <f>IF(OR(D39="Second Lien", AND(D39="FILO",DI39&gt;AGENT!$C$59)), "Yes", "No")</f>
        <v>No</v>
      </c>
      <c r="EW39" s="429">
        <f t="shared" si="34"/>
        <v>0</v>
      </c>
      <c r="EX39" s="429">
        <f t="shared" si="35"/>
        <v>0</v>
      </c>
      <c r="EY39" s="429">
        <f t="shared" si="36"/>
        <v>9628542.3950214405</v>
      </c>
      <c r="EZ39" s="429">
        <f>'Concentration Limits'!$J$52</f>
        <v>37199505.547294997</v>
      </c>
      <c r="FA39" s="429" t="str">
        <f>IF(CY39&gt;'Concentration Limits'!$E$52, "No", "Yes")</f>
        <v>No</v>
      </c>
      <c r="FB39" s="429">
        <f t="shared" si="37"/>
        <v>0</v>
      </c>
      <c r="FC39" s="429">
        <f t="shared" si="38"/>
        <v>0</v>
      </c>
      <c r="FD39" s="429">
        <f t="shared" si="39"/>
        <v>9628542.3950214405</v>
      </c>
      <c r="FE39" s="430">
        <f>'Concentration Limits'!$J$54</f>
        <v>247996703.6486333</v>
      </c>
      <c r="FF39" s="430">
        <f>'Concentration Limits'!$J$55</f>
        <v>247996703.6486333</v>
      </c>
      <c r="FG39" s="430">
        <f>'Concentration Limits'!$J$56</f>
        <v>247996703.6486333</v>
      </c>
      <c r="FH39" s="431">
        <f>'Concentration Limits'!$J$57</f>
        <v>18599752.773647498</v>
      </c>
      <c r="FI39" s="431">
        <f t="shared" si="40"/>
        <v>9628542.3950214405</v>
      </c>
      <c r="FJ39" s="431">
        <f t="shared" si="41"/>
        <v>9628542.3950214405</v>
      </c>
      <c r="FK39" s="431">
        <f t="shared" si="42"/>
        <v>13</v>
      </c>
      <c r="FL39" s="431">
        <f>IF(FJ39&gt;0,RANK(FJ39,$FJ$9:$FJ$60)+COUNTIF($FJ$9:FJ39,FJ39)-1,0)</f>
        <v>13</v>
      </c>
      <c r="FM39" s="430">
        <f t="shared" si="43"/>
        <v>0</v>
      </c>
      <c r="FN39" s="430">
        <f t="shared" si="44"/>
        <v>0</v>
      </c>
      <c r="FO39" s="430">
        <f t="shared" si="45"/>
        <v>0</v>
      </c>
      <c r="FP39" s="431">
        <f t="shared" si="46"/>
        <v>0</v>
      </c>
      <c r="FQ39" s="431">
        <f t="shared" si="47"/>
        <v>9628542.3950214405</v>
      </c>
      <c r="FR39" s="431">
        <f>'Concentration Limits'!$J$58</f>
        <v>49599340.729726665</v>
      </c>
      <c r="FS39" s="431">
        <f t="shared" si="48"/>
        <v>16096607.119937314</v>
      </c>
      <c r="FT39" s="431">
        <f>VLOOKUP(BR39,'Concentration Limits'!$E$81:$H$153,4,FALSE)</f>
        <v>5</v>
      </c>
      <c r="FU39" s="431">
        <f t="shared" si="49"/>
        <v>0</v>
      </c>
      <c r="FV39" s="431">
        <f t="shared" si="50"/>
        <v>9628542.3950214405</v>
      </c>
      <c r="FW39" s="431">
        <f>'Concentration Limits'!$J$59</f>
        <v>37199505.547294997</v>
      </c>
      <c r="FX39" s="431">
        <f t="shared" si="51"/>
        <v>16096607.119937314</v>
      </c>
      <c r="FY39" s="431">
        <f>VLOOKUP(BR39,'Concentration Limits'!$E$81:$H$153,4,FALSE)</f>
        <v>5</v>
      </c>
      <c r="FZ39" s="431">
        <f t="shared" si="52"/>
        <v>0</v>
      </c>
      <c r="GA39" s="431">
        <f t="shared" si="53"/>
        <v>9628542.3950214405</v>
      </c>
      <c r="GB39" s="431">
        <f>'Concentration Limits'!$J$61</f>
        <v>24799670.364863332</v>
      </c>
      <c r="GC39" s="431">
        <f t="shared" si="54"/>
        <v>16096607.119937314</v>
      </c>
      <c r="GD39" s="429">
        <f>VLOOKUP(BR39,'Concentration Limits'!$E$81:$H$153,4,FALSE)</f>
        <v>5</v>
      </c>
      <c r="GE39" s="431">
        <f t="shared" si="55"/>
        <v>0</v>
      </c>
      <c r="GF39" s="431">
        <f t="shared" si="56"/>
        <v>9628542.3950214405</v>
      </c>
      <c r="GG39" s="431">
        <f>'Concentration Limits'!$J$64</f>
        <v>24799670.364863332</v>
      </c>
      <c r="GH39" s="431">
        <f t="shared" si="57"/>
        <v>0</v>
      </c>
      <c r="GI39" s="431">
        <f t="shared" si="58"/>
        <v>0</v>
      </c>
      <c r="GJ39" s="431">
        <f t="shared" si="59"/>
        <v>9628542.3950214405</v>
      </c>
      <c r="GK39" s="431">
        <f>'Concentration Limits'!$J$67</f>
        <v>24799670.364863332</v>
      </c>
      <c r="GL39" s="429" t="str">
        <f t="shared" si="60"/>
        <v>No</v>
      </c>
      <c r="GM39" s="431">
        <f t="shared" si="61"/>
        <v>0</v>
      </c>
      <c r="GN39" s="431">
        <f t="shared" si="62"/>
        <v>0</v>
      </c>
      <c r="GO39" s="431">
        <f t="shared" si="63"/>
        <v>9628542.3950214405</v>
      </c>
      <c r="GP39" s="431">
        <f>'Concentration Limits'!$J$68</f>
        <v>37199505.547294997</v>
      </c>
      <c r="GQ39" s="429" t="str">
        <f t="shared" si="64"/>
        <v>No</v>
      </c>
      <c r="GR39" s="431">
        <f t="shared" si="65"/>
        <v>0</v>
      </c>
      <c r="GS39" s="431">
        <f t="shared" si="66"/>
        <v>0</v>
      </c>
      <c r="GT39" s="431">
        <f t="shared" si="67"/>
        <v>9628542.3950214405</v>
      </c>
      <c r="GU39" s="429">
        <f>'Concentration Limits'!$J$69</f>
        <v>37199505.547294997</v>
      </c>
      <c r="GV39" s="429" t="str">
        <f t="shared" si="68"/>
        <v>No</v>
      </c>
      <c r="GW39" s="429">
        <f t="shared" si="69"/>
        <v>0</v>
      </c>
      <c r="GX39" s="429">
        <f t="shared" si="70"/>
        <v>0</v>
      </c>
      <c r="GY39" s="429">
        <f t="shared" si="71"/>
        <v>9628542.3950214405</v>
      </c>
      <c r="GZ39" s="429">
        <f>'Concentration Limits'!$J$70</f>
        <v>24799670.364863332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49599340.729726665</v>
      </c>
      <c r="EM40" s="429" t="str">
        <f>IF(OR(D40="Second Lien",AND(D40="FILO",DI40&gt;AGENT!$C$57)), "Yes", "No")</f>
        <v>No</v>
      </c>
      <c r="EN40" s="429">
        <f t="shared" si="29"/>
        <v>0</v>
      </c>
      <c r="EO40" s="429">
        <f t="shared" si="30"/>
        <v>0</v>
      </c>
      <c r="EP40" s="429">
        <f t="shared" si="31"/>
        <v>11733806.854212523</v>
      </c>
      <c r="EQ40" s="429">
        <f>'Concentration Limits'!$J$50</f>
        <v>24799670.364863332</v>
      </c>
      <c r="ER40" s="429">
        <f t="shared" si="32"/>
        <v>0</v>
      </c>
      <c r="ES40" s="429">
        <f t="shared" si="84"/>
        <v>0</v>
      </c>
      <c r="ET40" s="429">
        <f t="shared" si="33"/>
        <v>11733806.854212523</v>
      </c>
      <c r="EU40" s="429">
        <f>'Concentration Limits'!$J$51</f>
        <v>74399011.094589993</v>
      </c>
      <c r="EV40" s="429" t="str">
        <f>IF(OR(D40="Second Lien", AND(D40="FILO",DI40&gt;AGENT!$C$59)), "Yes", "No")</f>
        <v>Yes</v>
      </c>
      <c r="EW40" s="429">
        <f t="shared" si="34"/>
        <v>53940434.707607172</v>
      </c>
      <c r="EX40" s="429">
        <f t="shared" si="35"/>
        <v>0</v>
      </c>
      <c r="EY40" s="429">
        <f t="shared" si="36"/>
        <v>11733806.854212523</v>
      </c>
      <c r="EZ40" s="429">
        <f>'Concentration Limits'!$J$52</f>
        <v>37199505.547294997</v>
      </c>
      <c r="FA40" s="429" t="str">
        <f>IF(CY40&gt;'Concentration Limits'!$E$52, "No", "Yes")</f>
        <v>No</v>
      </c>
      <c r="FB40" s="429">
        <f t="shared" si="37"/>
        <v>0</v>
      </c>
      <c r="FC40" s="429">
        <f t="shared" si="38"/>
        <v>0</v>
      </c>
      <c r="FD40" s="429">
        <f t="shared" si="39"/>
        <v>11733806.854212523</v>
      </c>
      <c r="FE40" s="430">
        <f>'Concentration Limits'!$J$54</f>
        <v>247996703.6486333</v>
      </c>
      <c r="FF40" s="430">
        <f>'Concentration Limits'!$J$55</f>
        <v>247996703.6486333</v>
      </c>
      <c r="FG40" s="430">
        <f>'Concentration Limits'!$J$56</f>
        <v>247996703.6486333</v>
      </c>
      <c r="FH40" s="431">
        <f>'Concentration Limits'!$J$57</f>
        <v>18599752.773647498</v>
      </c>
      <c r="FI40" s="431">
        <f t="shared" si="40"/>
        <v>11733806.854212523</v>
      </c>
      <c r="FJ40" s="431">
        <f t="shared" si="41"/>
        <v>11733806.854212523</v>
      </c>
      <c r="FK40" s="431">
        <f t="shared" si="42"/>
        <v>8</v>
      </c>
      <c r="FL40" s="431">
        <f>IF(FJ40&gt;0,RANK(FJ40,$FJ$9:$FJ$60)+COUNTIF($FJ$9:FJ40,FJ40)-1,0)</f>
        <v>8</v>
      </c>
      <c r="FM40" s="430">
        <f t="shared" si="43"/>
        <v>0</v>
      </c>
      <c r="FN40" s="430">
        <f t="shared" si="44"/>
        <v>0</v>
      </c>
      <c r="FO40" s="430">
        <f t="shared" si="45"/>
        <v>0</v>
      </c>
      <c r="FP40" s="431">
        <f t="shared" si="46"/>
        <v>0</v>
      </c>
      <c r="FQ40" s="431">
        <f t="shared" si="47"/>
        <v>11733806.854212523</v>
      </c>
      <c r="FR40" s="431">
        <f>'Concentration Limits'!$J$58</f>
        <v>49599340.729726665</v>
      </c>
      <c r="FS40" s="431">
        <f t="shared" si="48"/>
        <v>61042971.865242489</v>
      </c>
      <c r="FT40" s="431">
        <f>VLOOKUP(BR40,'Concentration Limits'!$E$81:$H$153,4,FALSE)</f>
        <v>1</v>
      </c>
      <c r="FU40" s="431">
        <f t="shared" si="49"/>
        <v>2199718.5482945358</v>
      </c>
      <c r="FV40" s="431">
        <f t="shared" si="50"/>
        <v>9534088.3059179857</v>
      </c>
      <c r="FW40" s="431">
        <f>'Concentration Limits'!$J$59</f>
        <v>37199505.547294997</v>
      </c>
      <c r="FX40" s="431">
        <f t="shared" si="51"/>
        <v>49599340.729726657</v>
      </c>
      <c r="FY40" s="431">
        <f>VLOOKUP(BR40,'Concentration Limits'!$E$81:$H$153,4,FALSE)</f>
        <v>1</v>
      </c>
      <c r="FZ40" s="431">
        <f t="shared" si="52"/>
        <v>0</v>
      </c>
      <c r="GA40" s="431">
        <f t="shared" si="53"/>
        <v>9534088.3059179857</v>
      </c>
      <c r="GB40" s="431">
        <f>'Concentration Limits'!$J$61</f>
        <v>24799670.364863332</v>
      </c>
      <c r="GC40" s="431">
        <f t="shared" si="54"/>
        <v>49599340.729726657</v>
      </c>
      <c r="GD40" s="429">
        <f>VLOOKUP(BR40,'Concentration Limits'!$E$81:$H$153,4,FALSE)</f>
        <v>1</v>
      </c>
      <c r="GE40" s="431">
        <f t="shared" si="55"/>
        <v>0</v>
      </c>
      <c r="GF40" s="431">
        <f t="shared" si="56"/>
        <v>9534088.3059179857</v>
      </c>
      <c r="GG40" s="431">
        <f>'Concentration Limits'!$J$64</f>
        <v>24799670.364863332</v>
      </c>
      <c r="GH40" s="431">
        <f t="shared" si="57"/>
        <v>0</v>
      </c>
      <c r="GI40" s="431">
        <f t="shared" si="58"/>
        <v>0</v>
      </c>
      <c r="GJ40" s="431">
        <f t="shared" si="59"/>
        <v>9534088.3059179857</v>
      </c>
      <c r="GK40" s="431">
        <f>'Concentration Limits'!$J$67</f>
        <v>24799670.364863332</v>
      </c>
      <c r="GL40" s="429" t="str">
        <f t="shared" si="60"/>
        <v>No</v>
      </c>
      <c r="GM40" s="431">
        <f t="shared" si="61"/>
        <v>0</v>
      </c>
      <c r="GN40" s="431">
        <f t="shared" si="62"/>
        <v>0</v>
      </c>
      <c r="GO40" s="431">
        <f t="shared" si="63"/>
        <v>9534088.3059179857</v>
      </c>
      <c r="GP40" s="431">
        <f>'Concentration Limits'!$J$68</f>
        <v>37199505.547294997</v>
      </c>
      <c r="GQ40" s="429" t="str">
        <f t="shared" si="64"/>
        <v>No</v>
      </c>
      <c r="GR40" s="431">
        <f t="shared" si="65"/>
        <v>0</v>
      </c>
      <c r="GS40" s="431">
        <f t="shared" si="66"/>
        <v>0</v>
      </c>
      <c r="GT40" s="431">
        <f t="shared" si="67"/>
        <v>9534088.3059179857</v>
      </c>
      <c r="GU40" s="429">
        <f>'Concentration Limits'!$J$69</f>
        <v>37199505.547294997</v>
      </c>
      <c r="GV40" s="429" t="str">
        <f t="shared" si="68"/>
        <v>No</v>
      </c>
      <c r="GW40" s="429">
        <f t="shared" si="69"/>
        <v>0</v>
      </c>
      <c r="GX40" s="429">
        <f t="shared" si="70"/>
        <v>0</v>
      </c>
      <c r="GY40" s="429">
        <f t="shared" si="71"/>
        <v>9534088.3059179857</v>
      </c>
      <c r="GZ40" s="429">
        <f>'Concentration Limits'!$J$70</f>
        <v>24799670.364863332</v>
      </c>
      <c r="HA40" s="429" t="str">
        <f t="shared" si="72"/>
        <v>No</v>
      </c>
      <c r="HB40" s="429">
        <f t="shared" si="73"/>
        <v>0</v>
      </c>
      <c r="HC40" s="429">
        <f t="shared" si="74"/>
        <v>0</v>
      </c>
      <c r="HD40" s="429">
        <f t="shared" si="75"/>
        <v>9534088.3059179857</v>
      </c>
      <c r="HE40" s="431">
        <f t="shared" si="76"/>
        <v>0</v>
      </c>
      <c r="HF40" s="431">
        <f t="shared" si="77"/>
        <v>0</v>
      </c>
      <c r="HG40" s="431">
        <f t="shared" si="78"/>
        <v>9534088.3059179857</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49599340.729726665</v>
      </c>
      <c r="EM41" s="429" t="str">
        <f>IF(OR(D41="Second Lien",AND(D41="FILO",DI41&gt;AGENT!$C$57)), "Yes", "No")</f>
        <v>No</v>
      </c>
      <c r="EN41" s="429">
        <f t="shared" si="29"/>
        <v>0</v>
      </c>
      <c r="EO41" s="429">
        <f t="shared" si="30"/>
        <v>0</v>
      </c>
      <c r="EP41" s="429">
        <f t="shared" si="31"/>
        <v>6468064.7249158733</v>
      </c>
      <c r="EQ41" s="429">
        <f>'Concentration Limits'!$J$50</f>
        <v>24799670.364863332</v>
      </c>
      <c r="ER41" s="429">
        <f t="shared" si="32"/>
        <v>0</v>
      </c>
      <c r="ES41" s="429">
        <f t="shared" si="84"/>
        <v>0</v>
      </c>
      <c r="ET41" s="429">
        <f t="shared" si="33"/>
        <v>6468064.7249158733</v>
      </c>
      <c r="EU41" s="429">
        <f>'Concentration Limits'!$J$51</f>
        <v>74399011.094589993</v>
      </c>
      <c r="EV41" s="429" t="str">
        <f>IF(OR(D41="Second Lien", AND(D41="FILO",DI41&gt;AGENT!$C$59)), "Yes", "No")</f>
        <v>No</v>
      </c>
      <c r="EW41" s="429">
        <f t="shared" si="34"/>
        <v>0</v>
      </c>
      <c r="EX41" s="429">
        <f t="shared" si="35"/>
        <v>0</v>
      </c>
      <c r="EY41" s="429">
        <f t="shared" si="36"/>
        <v>6468064.7249158733</v>
      </c>
      <c r="EZ41" s="429">
        <f>'Concentration Limits'!$J$52</f>
        <v>37199505.547294997</v>
      </c>
      <c r="FA41" s="429" t="str">
        <f>IF(CY41&gt;'Concentration Limits'!$E$52, "No", "Yes")</f>
        <v>No</v>
      </c>
      <c r="FB41" s="429">
        <f t="shared" si="37"/>
        <v>0</v>
      </c>
      <c r="FC41" s="429">
        <f t="shared" si="38"/>
        <v>0</v>
      </c>
      <c r="FD41" s="429">
        <f t="shared" si="39"/>
        <v>6468064.7249158733</v>
      </c>
      <c r="FE41" s="430">
        <f>'Concentration Limits'!$J$54</f>
        <v>247996703.6486333</v>
      </c>
      <c r="FF41" s="430">
        <f>'Concentration Limits'!$J$55</f>
        <v>247996703.6486333</v>
      </c>
      <c r="FG41" s="430">
        <f>'Concentration Limits'!$J$56</f>
        <v>247996703.6486333</v>
      </c>
      <c r="FH41" s="431">
        <f>'Concentration Limits'!$J$57</f>
        <v>18599752.773647498</v>
      </c>
      <c r="FI41" s="431">
        <f t="shared" si="40"/>
        <v>6468064.7249158733</v>
      </c>
      <c r="FJ41" s="431">
        <f t="shared" si="41"/>
        <v>6468064.7249158733</v>
      </c>
      <c r="FK41" s="431">
        <f t="shared" si="42"/>
        <v>19</v>
      </c>
      <c r="FL41" s="431">
        <f>IF(FJ41&gt;0,RANK(FJ41,$FJ$9:$FJ$60)+COUNTIF($FJ$9:FJ41,FJ41)-1,0)</f>
        <v>19</v>
      </c>
      <c r="FM41" s="430">
        <f t="shared" si="43"/>
        <v>0</v>
      </c>
      <c r="FN41" s="430">
        <f t="shared" si="44"/>
        <v>0</v>
      </c>
      <c r="FO41" s="430">
        <f t="shared" si="45"/>
        <v>0</v>
      </c>
      <c r="FP41" s="431">
        <f t="shared" si="46"/>
        <v>0</v>
      </c>
      <c r="FQ41" s="431">
        <f t="shared" si="47"/>
        <v>6468064.7249158733</v>
      </c>
      <c r="FR41" s="431">
        <f>'Concentration Limits'!$J$58</f>
        <v>49599340.729726665</v>
      </c>
      <c r="FS41" s="431">
        <f t="shared" si="48"/>
        <v>16096607.119937314</v>
      </c>
      <c r="FT41" s="431">
        <f>VLOOKUP(BR41,'Concentration Limits'!$E$81:$H$153,4,FALSE)</f>
        <v>5</v>
      </c>
      <c r="FU41" s="431">
        <f t="shared" si="49"/>
        <v>0</v>
      </c>
      <c r="FV41" s="431">
        <f t="shared" si="50"/>
        <v>6468064.7249158733</v>
      </c>
      <c r="FW41" s="431">
        <f>'Concentration Limits'!$J$59</f>
        <v>37199505.547294997</v>
      </c>
      <c r="FX41" s="431">
        <f t="shared" si="51"/>
        <v>16096607.119937314</v>
      </c>
      <c r="FY41" s="431">
        <f>VLOOKUP(BR41,'Concentration Limits'!$E$81:$H$153,4,FALSE)</f>
        <v>5</v>
      </c>
      <c r="FZ41" s="431">
        <f t="shared" si="52"/>
        <v>0</v>
      </c>
      <c r="GA41" s="431">
        <f t="shared" si="53"/>
        <v>6468064.7249158733</v>
      </c>
      <c r="GB41" s="431">
        <f>'Concentration Limits'!$J$61</f>
        <v>24799670.364863332</v>
      </c>
      <c r="GC41" s="431">
        <f t="shared" si="54"/>
        <v>16096607.119937314</v>
      </c>
      <c r="GD41" s="429">
        <f>VLOOKUP(BR41,'Concentration Limits'!$E$81:$H$153,4,FALSE)</f>
        <v>5</v>
      </c>
      <c r="GE41" s="431">
        <f t="shared" si="55"/>
        <v>0</v>
      </c>
      <c r="GF41" s="431">
        <f t="shared" si="56"/>
        <v>6468064.7249158733</v>
      </c>
      <c r="GG41" s="431">
        <f>'Concentration Limits'!$J$64</f>
        <v>24799670.364863332</v>
      </c>
      <c r="GH41" s="431">
        <f t="shared" si="57"/>
        <v>0</v>
      </c>
      <c r="GI41" s="431">
        <f t="shared" si="58"/>
        <v>0</v>
      </c>
      <c r="GJ41" s="431">
        <f t="shared" si="59"/>
        <v>6468064.7249158733</v>
      </c>
      <c r="GK41" s="431">
        <f>'Concentration Limits'!$J$67</f>
        <v>24799670.364863332</v>
      </c>
      <c r="GL41" s="429" t="str">
        <f t="shared" si="60"/>
        <v>No</v>
      </c>
      <c r="GM41" s="431">
        <f t="shared" si="61"/>
        <v>0</v>
      </c>
      <c r="GN41" s="431">
        <f t="shared" si="62"/>
        <v>0</v>
      </c>
      <c r="GO41" s="431">
        <f t="shared" si="63"/>
        <v>6468064.7249158733</v>
      </c>
      <c r="GP41" s="431">
        <f>'Concentration Limits'!$J$68</f>
        <v>37199505.547294997</v>
      </c>
      <c r="GQ41" s="429" t="str">
        <f t="shared" si="64"/>
        <v>No</v>
      </c>
      <c r="GR41" s="431">
        <f t="shared" si="65"/>
        <v>0</v>
      </c>
      <c r="GS41" s="431">
        <f t="shared" si="66"/>
        <v>0</v>
      </c>
      <c r="GT41" s="431">
        <f t="shared" si="67"/>
        <v>6468064.7249158733</v>
      </c>
      <c r="GU41" s="429">
        <f>'Concentration Limits'!$J$69</f>
        <v>37199505.547294997</v>
      </c>
      <c r="GV41" s="429" t="str">
        <f t="shared" si="68"/>
        <v>No</v>
      </c>
      <c r="GW41" s="429">
        <f t="shared" si="69"/>
        <v>0</v>
      </c>
      <c r="GX41" s="429">
        <f t="shared" si="70"/>
        <v>0</v>
      </c>
      <c r="GY41" s="429">
        <f t="shared" si="71"/>
        <v>6468064.7249158733</v>
      </c>
      <c r="GZ41" s="429">
        <f>'Concentration Limits'!$J$70</f>
        <v>24799670.364863332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49599340.729726665</v>
      </c>
      <c r="EM42" s="429" t="str">
        <f>IF(OR(D42="Second Lien",AND(D42="FILO",DI42&gt;AGENT!$C$57)), "Yes", "No")</f>
        <v>No</v>
      </c>
      <c r="EN42" s="429">
        <f t="shared" si="29"/>
        <v>0</v>
      </c>
      <c r="EO42" s="429">
        <f t="shared" si="30"/>
        <v>0</v>
      </c>
      <c r="EP42" s="429">
        <f t="shared" si="31"/>
        <v>10000000</v>
      </c>
      <c r="EQ42" s="429">
        <f>'Concentration Limits'!$J$50</f>
        <v>24799670.364863332</v>
      </c>
      <c r="ER42" s="429">
        <f t="shared" si="32"/>
        <v>0</v>
      </c>
      <c r="ES42" s="429">
        <f t="shared" si="84"/>
        <v>0</v>
      </c>
      <c r="ET42" s="429">
        <f t="shared" si="33"/>
        <v>10000000</v>
      </c>
      <c r="EU42" s="429">
        <f>'Concentration Limits'!$J$51</f>
        <v>74399011.094589993</v>
      </c>
      <c r="EV42" s="429" t="str">
        <f>IF(OR(D42="Second Lien", AND(D42="FILO",DI42&gt;AGENT!$C$59)), "Yes", "No")</f>
        <v>No</v>
      </c>
      <c r="EW42" s="429">
        <f t="shared" si="34"/>
        <v>0</v>
      </c>
      <c r="EX42" s="429">
        <f t="shared" si="35"/>
        <v>0</v>
      </c>
      <c r="EY42" s="429">
        <f t="shared" si="36"/>
        <v>10000000</v>
      </c>
      <c r="EZ42" s="429">
        <f>'Concentration Limits'!$J$52</f>
        <v>37199505.547294997</v>
      </c>
      <c r="FA42" s="429" t="str">
        <f>IF(CY42&gt;'Concentration Limits'!$E$52, "No", "Yes")</f>
        <v>No</v>
      </c>
      <c r="FB42" s="429">
        <f t="shared" si="37"/>
        <v>0</v>
      </c>
      <c r="FC42" s="429">
        <f t="shared" si="38"/>
        <v>0</v>
      </c>
      <c r="FD42" s="429">
        <f t="shared" si="39"/>
        <v>10000000</v>
      </c>
      <c r="FE42" s="430">
        <f>'Concentration Limits'!$J$54</f>
        <v>247996703.6486333</v>
      </c>
      <c r="FF42" s="430">
        <f>'Concentration Limits'!$J$55</f>
        <v>247996703.6486333</v>
      </c>
      <c r="FG42" s="430">
        <f>'Concentration Limits'!$J$56</f>
        <v>247996703.6486333</v>
      </c>
      <c r="FH42" s="431">
        <f>'Concentration Limits'!$J$57</f>
        <v>18599752.773647498</v>
      </c>
      <c r="FI42" s="431">
        <f t="shared" si="40"/>
        <v>10000000</v>
      </c>
      <c r="FJ42" s="431">
        <f t="shared" si="41"/>
        <v>10000000</v>
      </c>
      <c r="FK42" s="431">
        <f t="shared" si="42"/>
        <v>12</v>
      </c>
      <c r="FL42" s="431">
        <f>IF(FJ42&gt;0,RANK(FJ42,$FJ$9:$FJ$60)+COUNTIF($FJ$9:FJ42,FJ42)-1,0)</f>
        <v>12</v>
      </c>
      <c r="FM42" s="430">
        <f t="shared" si="43"/>
        <v>0</v>
      </c>
      <c r="FN42" s="430">
        <f t="shared" si="44"/>
        <v>0</v>
      </c>
      <c r="FO42" s="430">
        <f t="shared" si="45"/>
        <v>0</v>
      </c>
      <c r="FP42" s="431">
        <f t="shared" si="46"/>
        <v>0</v>
      </c>
      <c r="FQ42" s="431">
        <f t="shared" si="47"/>
        <v>10000000</v>
      </c>
      <c r="FR42" s="431">
        <f>'Concentration Limits'!$J$58</f>
        <v>49599340.729726665</v>
      </c>
      <c r="FS42" s="431">
        <f t="shared" si="48"/>
        <v>13322967.211468514</v>
      </c>
      <c r="FT42" s="431">
        <f>VLOOKUP(BR42,'Concentration Limits'!$E$81:$H$153,4,FALSE)</f>
        <v>8</v>
      </c>
      <c r="FU42" s="431">
        <f t="shared" si="49"/>
        <v>0</v>
      </c>
      <c r="FV42" s="431">
        <f t="shared" si="50"/>
        <v>10000000</v>
      </c>
      <c r="FW42" s="431">
        <f>'Concentration Limits'!$J$59</f>
        <v>37199505.547294997</v>
      </c>
      <c r="FX42" s="431">
        <f t="shared" si="51"/>
        <v>13322967.211468514</v>
      </c>
      <c r="FY42" s="431">
        <f>VLOOKUP(BR42,'Concentration Limits'!$E$81:$H$153,4,FALSE)</f>
        <v>8</v>
      </c>
      <c r="FZ42" s="431">
        <f t="shared" si="52"/>
        <v>0</v>
      </c>
      <c r="GA42" s="431">
        <f t="shared" si="53"/>
        <v>10000000</v>
      </c>
      <c r="GB42" s="431">
        <f>'Concentration Limits'!$J$61</f>
        <v>24799670.364863332</v>
      </c>
      <c r="GC42" s="431">
        <f t="shared" si="54"/>
        <v>13322967.211468514</v>
      </c>
      <c r="GD42" s="429">
        <f>VLOOKUP(BR42,'Concentration Limits'!$E$81:$H$153,4,FALSE)</f>
        <v>8</v>
      </c>
      <c r="GE42" s="431">
        <f t="shared" si="55"/>
        <v>0</v>
      </c>
      <c r="GF42" s="431">
        <f t="shared" si="56"/>
        <v>10000000</v>
      </c>
      <c r="GG42" s="431">
        <f>'Concentration Limits'!$J$64</f>
        <v>24799670.364863332</v>
      </c>
      <c r="GH42" s="431">
        <f t="shared" si="57"/>
        <v>0</v>
      </c>
      <c r="GI42" s="431">
        <f t="shared" si="58"/>
        <v>0</v>
      </c>
      <c r="GJ42" s="431">
        <f t="shared" si="59"/>
        <v>10000000</v>
      </c>
      <c r="GK42" s="431">
        <f>'Concentration Limits'!$J$67</f>
        <v>24799670.364863332</v>
      </c>
      <c r="GL42" s="429" t="str">
        <f t="shared" si="60"/>
        <v>No</v>
      </c>
      <c r="GM42" s="431">
        <f t="shared" si="61"/>
        <v>0</v>
      </c>
      <c r="GN42" s="431">
        <f t="shared" si="62"/>
        <v>0</v>
      </c>
      <c r="GO42" s="431">
        <f t="shared" si="63"/>
        <v>10000000</v>
      </c>
      <c r="GP42" s="431">
        <f>'Concentration Limits'!$J$68</f>
        <v>37199505.547294997</v>
      </c>
      <c r="GQ42" s="429" t="str">
        <f t="shared" si="64"/>
        <v>No</v>
      </c>
      <c r="GR42" s="431">
        <f t="shared" si="65"/>
        <v>0</v>
      </c>
      <c r="GS42" s="431">
        <f t="shared" si="66"/>
        <v>0</v>
      </c>
      <c r="GT42" s="431">
        <f t="shared" si="67"/>
        <v>10000000</v>
      </c>
      <c r="GU42" s="429">
        <f>'Concentration Limits'!$J$69</f>
        <v>37199505.547294997</v>
      </c>
      <c r="GV42" s="429" t="str">
        <f t="shared" si="68"/>
        <v>No</v>
      </c>
      <c r="GW42" s="429">
        <f t="shared" si="69"/>
        <v>0</v>
      </c>
      <c r="GX42" s="429">
        <f t="shared" si="70"/>
        <v>0</v>
      </c>
      <c r="GY42" s="429">
        <f t="shared" si="71"/>
        <v>10000000</v>
      </c>
      <c r="GZ42" s="429">
        <f>'Concentration Limits'!$J$70</f>
        <v>24799670.364863332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49599340.729726665</v>
      </c>
      <c r="EM43" s="429" t="str">
        <f>IF(OR(D43="Second Lien",AND(D43="FILO",DI43&gt;AGENT!$C$57)), "Yes", "No")</f>
        <v>No</v>
      </c>
      <c r="EN43" s="429">
        <f t="shared" si="29"/>
        <v>0</v>
      </c>
      <c r="EO43" s="429">
        <f t="shared" si="30"/>
        <v>0</v>
      </c>
      <c r="EP43" s="429">
        <f t="shared" si="31"/>
        <v>19507632.143256925</v>
      </c>
      <c r="EQ43" s="429">
        <f>'Concentration Limits'!$J$50</f>
        <v>24799670.364863332</v>
      </c>
      <c r="ER43" s="429">
        <f t="shared" si="32"/>
        <v>0</v>
      </c>
      <c r="ES43" s="429">
        <f t="shared" si="84"/>
        <v>0</v>
      </c>
      <c r="ET43" s="429">
        <f t="shared" si="33"/>
        <v>19507632.143256925</v>
      </c>
      <c r="EU43" s="429">
        <f>'Concentration Limits'!$J$51</f>
        <v>74399011.094589993</v>
      </c>
      <c r="EV43" s="429" t="str">
        <f>IF(OR(D43="Second Lien", AND(D43="FILO",DI43&gt;AGENT!$C$59)), "Yes", "No")</f>
        <v>Yes</v>
      </c>
      <c r="EW43" s="429">
        <f t="shared" si="34"/>
        <v>53940434.707607172</v>
      </c>
      <c r="EX43" s="429">
        <f t="shared" si="35"/>
        <v>0</v>
      </c>
      <c r="EY43" s="429">
        <f t="shared" si="36"/>
        <v>19507632.143256925</v>
      </c>
      <c r="EZ43" s="429">
        <f>'Concentration Limits'!$J$52</f>
        <v>37199505.547294997</v>
      </c>
      <c r="FA43" s="429" t="str">
        <f>IF(CY43&gt;'Concentration Limits'!$E$52, "No", "Yes")</f>
        <v>No</v>
      </c>
      <c r="FB43" s="429">
        <f t="shared" si="37"/>
        <v>0</v>
      </c>
      <c r="FC43" s="429">
        <f t="shared" si="38"/>
        <v>0</v>
      </c>
      <c r="FD43" s="429">
        <f t="shared" si="39"/>
        <v>19507632.143256925</v>
      </c>
      <c r="FE43" s="430">
        <f>'Concentration Limits'!$J$54</f>
        <v>247996703.6486333</v>
      </c>
      <c r="FF43" s="430">
        <f>'Concentration Limits'!$J$55</f>
        <v>247996703.6486333</v>
      </c>
      <c r="FG43" s="430">
        <f>'Concentration Limits'!$J$56</f>
        <v>247996703.6486333</v>
      </c>
      <c r="FH43" s="431">
        <f>'Concentration Limits'!$J$57</f>
        <v>18599752.773647498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907879.36960942671</v>
      </c>
      <c r="FQ43" s="431">
        <f t="shared" si="47"/>
        <v>18599752.773647498</v>
      </c>
      <c r="FR43" s="431">
        <f>'Concentration Limits'!$J$58</f>
        <v>49599340.729726665</v>
      </c>
      <c r="FS43" s="431">
        <f t="shared" si="48"/>
        <v>18599752.773647498</v>
      </c>
      <c r="FT43" s="431">
        <f>VLOOKUP(BR43,'Concentration Limits'!$E$81:$H$153,4,FALSE)</f>
        <v>4</v>
      </c>
      <c r="FU43" s="431">
        <f t="shared" si="49"/>
        <v>0</v>
      </c>
      <c r="FV43" s="431">
        <f t="shared" si="50"/>
        <v>18599752.773647498</v>
      </c>
      <c r="FW43" s="431">
        <f>'Concentration Limits'!$J$59</f>
        <v>37199505.547294997</v>
      </c>
      <c r="FX43" s="431">
        <f t="shared" si="51"/>
        <v>18599752.773647498</v>
      </c>
      <c r="FY43" s="431">
        <f>VLOOKUP(BR43,'Concentration Limits'!$E$81:$H$153,4,FALSE)</f>
        <v>4</v>
      </c>
      <c r="FZ43" s="431">
        <f t="shared" si="52"/>
        <v>0</v>
      </c>
      <c r="GA43" s="431">
        <f t="shared" si="53"/>
        <v>18599752.773647498</v>
      </c>
      <c r="GB43" s="431">
        <f>'Concentration Limits'!$J$61</f>
        <v>24799670.364863332</v>
      </c>
      <c r="GC43" s="431">
        <f t="shared" si="54"/>
        <v>18599752.773647498</v>
      </c>
      <c r="GD43" s="429">
        <f>VLOOKUP(BR43,'Concentration Limits'!$E$81:$H$153,4,FALSE)</f>
        <v>4</v>
      </c>
      <c r="GE43" s="431">
        <f t="shared" si="55"/>
        <v>0</v>
      </c>
      <c r="GF43" s="431">
        <f t="shared" si="56"/>
        <v>18599752.773647498</v>
      </c>
      <c r="GG43" s="431">
        <f>'Concentration Limits'!$J$64</f>
        <v>24799670.364863332</v>
      </c>
      <c r="GH43" s="431">
        <f t="shared" si="57"/>
        <v>0</v>
      </c>
      <c r="GI43" s="431">
        <f t="shared" si="58"/>
        <v>0</v>
      </c>
      <c r="GJ43" s="431">
        <f t="shared" si="59"/>
        <v>18599752.773647498</v>
      </c>
      <c r="GK43" s="431">
        <f>'Concentration Limits'!$J$67</f>
        <v>24799670.364863332</v>
      </c>
      <c r="GL43" s="429" t="str">
        <f t="shared" si="60"/>
        <v>No</v>
      </c>
      <c r="GM43" s="431">
        <f t="shared" si="61"/>
        <v>0</v>
      </c>
      <c r="GN43" s="431">
        <f t="shared" si="62"/>
        <v>0</v>
      </c>
      <c r="GO43" s="431">
        <f t="shared" si="63"/>
        <v>18599752.773647498</v>
      </c>
      <c r="GP43" s="431">
        <f>'Concentration Limits'!$J$68</f>
        <v>37199505.547294997</v>
      </c>
      <c r="GQ43" s="429" t="str">
        <f t="shared" si="64"/>
        <v>No</v>
      </c>
      <c r="GR43" s="431">
        <f t="shared" si="65"/>
        <v>0</v>
      </c>
      <c r="GS43" s="431">
        <f t="shared" si="66"/>
        <v>0</v>
      </c>
      <c r="GT43" s="431">
        <f t="shared" si="67"/>
        <v>18599752.773647498</v>
      </c>
      <c r="GU43" s="429">
        <f>'Concentration Limits'!$J$69</f>
        <v>37199505.547294997</v>
      </c>
      <c r="GV43" s="429" t="str">
        <f t="shared" si="68"/>
        <v>No</v>
      </c>
      <c r="GW43" s="429">
        <f t="shared" si="69"/>
        <v>0</v>
      </c>
      <c r="GX43" s="429">
        <f t="shared" si="70"/>
        <v>0</v>
      </c>
      <c r="GY43" s="429">
        <f t="shared" si="71"/>
        <v>18599752.773647498</v>
      </c>
      <c r="GZ43" s="429">
        <f>'Concentration Limits'!$J$70</f>
        <v>24799670.364863332</v>
      </c>
      <c r="HA43" s="429" t="str">
        <f t="shared" si="72"/>
        <v>No</v>
      </c>
      <c r="HB43" s="429">
        <f t="shared" si="73"/>
        <v>0</v>
      </c>
      <c r="HC43" s="429">
        <f t="shared" si="74"/>
        <v>0</v>
      </c>
      <c r="HD43" s="429">
        <f t="shared" si="75"/>
        <v>18599752.773647498</v>
      </c>
      <c r="HE43" s="431">
        <f t="shared" si="76"/>
        <v>0</v>
      </c>
      <c r="HF43" s="431">
        <f t="shared" si="77"/>
        <v>0</v>
      </c>
      <c r="HG43" s="431">
        <f t="shared" si="78"/>
        <v>18599752.773647498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49599340.729726665</v>
      </c>
      <c r="EM44" s="429" t="str">
        <f>IF(OR(D44="Second Lien",AND(D44="FILO",DI44&gt;AGENT!$C$57)), "Yes", "No")</f>
        <v>No</v>
      </c>
      <c r="EN44" s="429">
        <f t="shared" si="29"/>
        <v>0</v>
      </c>
      <c r="EO44" s="429">
        <f t="shared" si="30"/>
        <v>0</v>
      </c>
      <c r="EP44" s="429">
        <f t="shared" si="31"/>
        <v>7502557.4892481482</v>
      </c>
      <c r="EQ44" s="429">
        <f>'Concentration Limits'!$J$50</f>
        <v>24799670.364863332</v>
      </c>
      <c r="ER44" s="429">
        <f t="shared" si="32"/>
        <v>0</v>
      </c>
      <c r="ES44" s="429">
        <f t="shared" si="84"/>
        <v>0</v>
      </c>
      <c r="ET44" s="429">
        <f t="shared" si="33"/>
        <v>7502557.4892481482</v>
      </c>
      <c r="EU44" s="429">
        <f>'Concentration Limits'!$J$51</f>
        <v>74399011.094589993</v>
      </c>
      <c r="EV44" s="429" t="str">
        <f>IF(OR(D44="Second Lien", AND(D44="FILO",DI44&gt;AGENT!$C$59)), "Yes", "No")</f>
        <v>Yes</v>
      </c>
      <c r="EW44" s="429">
        <f t="shared" si="34"/>
        <v>53940434.707607172</v>
      </c>
      <c r="EX44" s="429">
        <f t="shared" si="35"/>
        <v>0</v>
      </c>
      <c r="EY44" s="429">
        <f t="shared" si="36"/>
        <v>7502557.4892481482</v>
      </c>
      <c r="EZ44" s="429">
        <f>'Concentration Limits'!$J$52</f>
        <v>37199505.547294997</v>
      </c>
      <c r="FA44" s="429" t="str">
        <f>IF(CY44&gt;'Concentration Limits'!$E$52, "No", "Yes")</f>
        <v>No</v>
      </c>
      <c r="FB44" s="429">
        <f t="shared" si="37"/>
        <v>0</v>
      </c>
      <c r="FC44" s="429">
        <f t="shared" si="38"/>
        <v>0</v>
      </c>
      <c r="FD44" s="429">
        <f t="shared" si="39"/>
        <v>7502557.4892481482</v>
      </c>
      <c r="FE44" s="430">
        <f>'Concentration Limits'!$J$54</f>
        <v>247996703.6486333</v>
      </c>
      <c r="FF44" s="430">
        <f>'Concentration Limits'!$J$55</f>
        <v>247996703.6486333</v>
      </c>
      <c r="FG44" s="430">
        <f>'Concentration Limits'!$J$56</f>
        <v>247996703.6486333</v>
      </c>
      <c r="FH44" s="431">
        <f>'Concentration Limits'!$J$57</f>
        <v>18599752.773647498</v>
      </c>
      <c r="FI44" s="431">
        <f t="shared" si="40"/>
        <v>7502557.4892481482</v>
      </c>
      <c r="FJ44" s="431">
        <f t="shared" si="41"/>
        <v>7502557.4892481482</v>
      </c>
      <c r="FK44" s="431">
        <f t="shared" si="42"/>
        <v>16</v>
      </c>
      <c r="FL44" s="431">
        <f>IF(FJ44&gt;0,RANK(FJ44,$FJ$9:$FJ$60)+COUNTIF($FJ$9:FJ44,FJ44)-1,0)</f>
        <v>16</v>
      </c>
      <c r="FM44" s="430">
        <f t="shared" si="43"/>
        <v>0</v>
      </c>
      <c r="FN44" s="430">
        <f t="shared" si="44"/>
        <v>0</v>
      </c>
      <c r="FO44" s="430">
        <f t="shared" si="45"/>
        <v>0</v>
      </c>
      <c r="FP44" s="431">
        <f t="shared" si="46"/>
        <v>0</v>
      </c>
      <c r="FQ44" s="431">
        <f t="shared" si="47"/>
        <v>7502557.4892481482</v>
      </c>
      <c r="FR44" s="431">
        <f>'Concentration Limits'!$J$58</f>
        <v>49599340.729726665</v>
      </c>
      <c r="FS44" s="431">
        <f t="shared" si="48"/>
        <v>24394399.03040082</v>
      </c>
      <c r="FT44" s="431">
        <f>VLOOKUP(BR44,'Concentration Limits'!$E$81:$H$153,4,FALSE)</f>
        <v>2</v>
      </c>
      <c r="FU44" s="431">
        <f t="shared" si="49"/>
        <v>0</v>
      </c>
      <c r="FV44" s="431">
        <f t="shared" si="50"/>
        <v>7502557.4892481482</v>
      </c>
      <c r="FW44" s="431">
        <f>'Concentration Limits'!$J$59</f>
        <v>37199505.547294997</v>
      </c>
      <c r="FX44" s="431">
        <f t="shared" si="51"/>
        <v>24394399.03040082</v>
      </c>
      <c r="FY44" s="431">
        <f>VLOOKUP(BR44,'Concentration Limits'!$E$81:$H$153,4,FALSE)</f>
        <v>2</v>
      </c>
      <c r="FZ44" s="431">
        <f t="shared" si="52"/>
        <v>0</v>
      </c>
      <c r="GA44" s="431">
        <f t="shared" si="53"/>
        <v>7502557.4892481482</v>
      </c>
      <c r="GB44" s="431">
        <f>'Concentration Limits'!$J$61</f>
        <v>24799670.364863332</v>
      </c>
      <c r="GC44" s="431">
        <f t="shared" si="54"/>
        <v>24394399.03040082</v>
      </c>
      <c r="GD44" s="429">
        <f>VLOOKUP(BR44,'Concentration Limits'!$E$81:$H$153,4,FALSE)</f>
        <v>2</v>
      </c>
      <c r="GE44" s="431">
        <f t="shared" si="55"/>
        <v>0</v>
      </c>
      <c r="GF44" s="431">
        <f t="shared" si="56"/>
        <v>7502557.4892481482</v>
      </c>
      <c r="GG44" s="431">
        <f>'Concentration Limits'!$J$64</f>
        <v>24799670.364863332</v>
      </c>
      <c r="GH44" s="431">
        <f t="shared" si="57"/>
        <v>0</v>
      </c>
      <c r="GI44" s="431">
        <f t="shared" si="58"/>
        <v>0</v>
      </c>
      <c r="GJ44" s="431">
        <f t="shared" si="59"/>
        <v>7502557.4892481482</v>
      </c>
      <c r="GK44" s="431">
        <f>'Concentration Limits'!$J$67</f>
        <v>24799670.364863332</v>
      </c>
      <c r="GL44" s="429" t="str">
        <f t="shared" si="60"/>
        <v>No</v>
      </c>
      <c r="GM44" s="431">
        <f t="shared" si="61"/>
        <v>0</v>
      </c>
      <c r="GN44" s="431">
        <f t="shared" si="62"/>
        <v>0</v>
      </c>
      <c r="GO44" s="431">
        <f t="shared" si="63"/>
        <v>7502557.4892481482</v>
      </c>
      <c r="GP44" s="431">
        <f>'Concentration Limits'!$J$68</f>
        <v>37199505.547294997</v>
      </c>
      <c r="GQ44" s="429" t="str">
        <f t="shared" si="64"/>
        <v>No</v>
      </c>
      <c r="GR44" s="431">
        <f t="shared" si="65"/>
        <v>0</v>
      </c>
      <c r="GS44" s="431">
        <f t="shared" si="66"/>
        <v>0</v>
      </c>
      <c r="GT44" s="431">
        <f t="shared" si="67"/>
        <v>7502557.4892481482</v>
      </c>
      <c r="GU44" s="429">
        <f>'Concentration Limits'!$J$69</f>
        <v>37199505.547294997</v>
      </c>
      <c r="GV44" s="429" t="str">
        <f t="shared" si="68"/>
        <v>No</v>
      </c>
      <c r="GW44" s="429">
        <f t="shared" si="69"/>
        <v>0</v>
      </c>
      <c r="GX44" s="429">
        <f t="shared" si="70"/>
        <v>0</v>
      </c>
      <c r="GY44" s="429">
        <f t="shared" si="71"/>
        <v>7502557.4892481482</v>
      </c>
      <c r="GZ44" s="429">
        <f>'Concentration Limits'!$J$70</f>
        <v>24799670.364863332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49599340.729726665</v>
      </c>
      <c r="EM45" s="429" t="str">
        <f>IF(OR(D45="Second Lien",AND(D45="FILO",DI45&gt;AGENT!$C$57)), "Yes", "No")</f>
        <v>No</v>
      </c>
      <c r="EN45" s="429">
        <f t="shared" si="29"/>
        <v>0</v>
      </c>
      <c r="EO45" s="429">
        <f t="shared" si="30"/>
        <v>0</v>
      </c>
      <c r="EP45" s="429">
        <f t="shared" si="31"/>
        <v>14364237.751482427</v>
      </c>
      <c r="EQ45" s="429">
        <f>'Concentration Limits'!$J$50</f>
        <v>24799670.364863332</v>
      </c>
      <c r="ER45" s="429">
        <f t="shared" si="32"/>
        <v>0</v>
      </c>
      <c r="ES45" s="429">
        <f t="shared" si="84"/>
        <v>0</v>
      </c>
      <c r="ET45" s="429">
        <f t="shared" si="33"/>
        <v>14364237.751482427</v>
      </c>
      <c r="EU45" s="429">
        <f>'Concentration Limits'!$J$51</f>
        <v>74399011.094589993</v>
      </c>
      <c r="EV45" s="429" t="str">
        <f>IF(OR(D45="Second Lien", AND(D45="FILO",DI45&gt;AGENT!$C$59)), "Yes", "No")</f>
        <v>No</v>
      </c>
      <c r="EW45" s="429">
        <f t="shared" si="34"/>
        <v>0</v>
      </c>
      <c r="EX45" s="429">
        <f t="shared" si="35"/>
        <v>0</v>
      </c>
      <c r="EY45" s="429">
        <f t="shared" si="36"/>
        <v>14364237.751482427</v>
      </c>
      <c r="EZ45" s="429">
        <f>'Concentration Limits'!$J$52</f>
        <v>37199505.547294997</v>
      </c>
      <c r="FA45" s="429" t="str">
        <f>IF(CY45&gt;'Concentration Limits'!$E$52, "No", "Yes")</f>
        <v>No</v>
      </c>
      <c r="FB45" s="429">
        <f t="shared" si="37"/>
        <v>0</v>
      </c>
      <c r="FC45" s="429">
        <f t="shared" si="38"/>
        <v>0</v>
      </c>
      <c r="FD45" s="429">
        <f t="shared" si="39"/>
        <v>14364237.751482427</v>
      </c>
      <c r="FE45" s="430">
        <f>'Concentration Limits'!$J$54</f>
        <v>247996703.6486333</v>
      </c>
      <c r="FF45" s="430">
        <f>'Concentration Limits'!$J$55</f>
        <v>247996703.6486333</v>
      </c>
      <c r="FG45" s="430">
        <f>'Concentration Limits'!$J$56</f>
        <v>247996703.6486333</v>
      </c>
      <c r="FH45" s="431">
        <f>'Concentration Limits'!$J$57</f>
        <v>18599752.773647498</v>
      </c>
      <c r="FI45" s="431">
        <f t="shared" si="40"/>
        <v>14364237.751482427</v>
      </c>
      <c r="FJ45" s="431">
        <f t="shared" si="41"/>
        <v>14364237.751482427</v>
      </c>
      <c r="FK45" s="431">
        <f t="shared" si="42"/>
        <v>4</v>
      </c>
      <c r="FL45" s="431">
        <f>IF(FJ45&gt;0,RANK(FJ45,$FJ$9:$FJ$60)+COUNTIF($FJ$9:FJ45,FJ45)-1,0)</f>
        <v>4</v>
      </c>
      <c r="FM45" s="430">
        <f t="shared" si="43"/>
        <v>0</v>
      </c>
      <c r="FN45" s="430">
        <f t="shared" si="44"/>
        <v>0</v>
      </c>
      <c r="FO45" s="430">
        <f t="shared" si="45"/>
        <v>0</v>
      </c>
      <c r="FP45" s="431">
        <f t="shared" si="46"/>
        <v>0</v>
      </c>
      <c r="FQ45" s="431">
        <f t="shared" si="47"/>
        <v>14364237.751482427</v>
      </c>
      <c r="FR45" s="431">
        <f>'Concentration Limits'!$J$58</f>
        <v>49599340.729726665</v>
      </c>
      <c r="FS45" s="431">
        <f t="shared" si="48"/>
        <v>14364237.751482427</v>
      </c>
      <c r="FT45" s="431">
        <f>VLOOKUP(BR45,'Concentration Limits'!$E$81:$H$153,4,FALSE)</f>
        <v>6</v>
      </c>
      <c r="FU45" s="431">
        <f t="shared" si="49"/>
        <v>0</v>
      </c>
      <c r="FV45" s="431">
        <f t="shared" si="50"/>
        <v>14364237.751482427</v>
      </c>
      <c r="FW45" s="431">
        <f>'Concentration Limits'!$J$59</f>
        <v>37199505.547294997</v>
      </c>
      <c r="FX45" s="431">
        <f t="shared" si="51"/>
        <v>14364237.751482427</v>
      </c>
      <c r="FY45" s="431">
        <f>VLOOKUP(BR45,'Concentration Limits'!$E$81:$H$153,4,FALSE)</f>
        <v>6</v>
      </c>
      <c r="FZ45" s="431">
        <f t="shared" si="52"/>
        <v>0</v>
      </c>
      <c r="GA45" s="431">
        <f t="shared" si="53"/>
        <v>14364237.751482427</v>
      </c>
      <c r="GB45" s="431">
        <f>'Concentration Limits'!$J$61</f>
        <v>24799670.364863332</v>
      </c>
      <c r="GC45" s="431">
        <f t="shared" si="54"/>
        <v>14364237.751482427</v>
      </c>
      <c r="GD45" s="429">
        <f>VLOOKUP(BR45,'Concentration Limits'!$E$81:$H$153,4,FALSE)</f>
        <v>6</v>
      </c>
      <c r="GE45" s="431">
        <f t="shared" si="55"/>
        <v>0</v>
      </c>
      <c r="GF45" s="431">
        <f t="shared" si="56"/>
        <v>14364237.751482427</v>
      </c>
      <c r="GG45" s="431">
        <f>'Concentration Limits'!$J$64</f>
        <v>24799670.364863332</v>
      </c>
      <c r="GH45" s="431">
        <f t="shared" si="57"/>
        <v>0</v>
      </c>
      <c r="GI45" s="431">
        <f t="shared" si="58"/>
        <v>0</v>
      </c>
      <c r="GJ45" s="431">
        <f t="shared" si="59"/>
        <v>14364237.751482427</v>
      </c>
      <c r="GK45" s="431">
        <f>'Concentration Limits'!$J$67</f>
        <v>24799670.364863332</v>
      </c>
      <c r="GL45" s="429" t="str">
        <f t="shared" si="60"/>
        <v>No</v>
      </c>
      <c r="GM45" s="431">
        <f t="shared" si="61"/>
        <v>0</v>
      </c>
      <c r="GN45" s="431">
        <f t="shared" si="62"/>
        <v>0</v>
      </c>
      <c r="GO45" s="431">
        <f t="shared" si="63"/>
        <v>14364237.751482427</v>
      </c>
      <c r="GP45" s="431">
        <f>'Concentration Limits'!$J$68</f>
        <v>37199505.547294997</v>
      </c>
      <c r="GQ45" s="429" t="str">
        <f t="shared" si="64"/>
        <v>No</v>
      </c>
      <c r="GR45" s="431">
        <f t="shared" si="65"/>
        <v>0</v>
      </c>
      <c r="GS45" s="431">
        <f t="shared" si="66"/>
        <v>0</v>
      </c>
      <c r="GT45" s="431">
        <f t="shared" si="67"/>
        <v>14364237.751482427</v>
      </c>
      <c r="GU45" s="429">
        <f>'Concentration Limits'!$J$69</f>
        <v>37199505.547294997</v>
      </c>
      <c r="GV45" s="429" t="str">
        <f t="shared" si="68"/>
        <v>No</v>
      </c>
      <c r="GW45" s="429">
        <f t="shared" si="69"/>
        <v>0</v>
      </c>
      <c r="GX45" s="429">
        <f t="shared" si="70"/>
        <v>0</v>
      </c>
      <c r="GY45" s="429">
        <f t="shared" si="71"/>
        <v>14364237.751482427</v>
      </c>
      <c r="GZ45" s="429">
        <f>'Concentration Limits'!$J$70</f>
        <v>24799670.364863332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49599340.729726665</v>
      </c>
      <c r="EM46" s="429" t="str">
        <f>IF(OR(D46="Second Lien",AND(D46="FILO",DI46&gt;AGENT!$C$57)), "Yes", "No")</f>
        <v>No</v>
      </c>
      <c r="EN46" s="429">
        <f t="shared" si="29"/>
        <v>0</v>
      </c>
      <c r="EO46" s="429">
        <f t="shared" si="30"/>
        <v>0</v>
      </c>
      <c r="EP46" s="429">
        <f t="shared" si="31"/>
        <v>11843346.714755239</v>
      </c>
      <c r="EQ46" s="429">
        <f>'Concentration Limits'!$J$50</f>
        <v>24799670.364863332</v>
      </c>
      <c r="ER46" s="429">
        <f t="shared" si="32"/>
        <v>0</v>
      </c>
      <c r="ES46" s="429">
        <f t="shared" si="84"/>
        <v>0</v>
      </c>
      <c r="ET46" s="429">
        <f t="shared" si="33"/>
        <v>11843346.714755239</v>
      </c>
      <c r="EU46" s="429">
        <f>'Concentration Limits'!$J$51</f>
        <v>74399011.094589993</v>
      </c>
      <c r="EV46" s="429" t="str">
        <f>IF(OR(D46="Second Lien", AND(D46="FILO",DI46&gt;AGENT!$C$59)), "Yes", "No")</f>
        <v>No</v>
      </c>
      <c r="EW46" s="429">
        <f t="shared" si="34"/>
        <v>0</v>
      </c>
      <c r="EX46" s="429">
        <f t="shared" si="35"/>
        <v>0</v>
      </c>
      <c r="EY46" s="429">
        <f t="shared" si="36"/>
        <v>11843346.714755239</v>
      </c>
      <c r="EZ46" s="429">
        <f>'Concentration Limits'!$J$52</f>
        <v>37199505.547294997</v>
      </c>
      <c r="FA46" s="429" t="str">
        <f>IF(CY46&gt;'Concentration Limits'!$E$52, "No", "Yes")</f>
        <v>No</v>
      </c>
      <c r="FB46" s="429">
        <f t="shared" si="37"/>
        <v>0</v>
      </c>
      <c r="FC46" s="429">
        <f t="shared" si="38"/>
        <v>0</v>
      </c>
      <c r="FD46" s="429">
        <f t="shared" si="39"/>
        <v>11843346.714755239</v>
      </c>
      <c r="FE46" s="430">
        <f>'Concentration Limits'!$J$54</f>
        <v>247996703.6486333</v>
      </c>
      <c r="FF46" s="430">
        <f>'Concentration Limits'!$J$55</f>
        <v>247996703.6486333</v>
      </c>
      <c r="FG46" s="430">
        <f>'Concentration Limits'!$J$56</f>
        <v>247996703.6486333</v>
      </c>
      <c r="FH46" s="431">
        <f>'Concentration Limits'!$J$57</f>
        <v>18599752.773647498</v>
      </c>
      <c r="FI46" s="431">
        <f t="shared" si="40"/>
        <v>11843346.714755239</v>
      </c>
      <c r="FJ46" s="431">
        <f t="shared" si="41"/>
        <v>11843346.714755239</v>
      </c>
      <c r="FK46" s="431">
        <f t="shared" si="42"/>
        <v>7</v>
      </c>
      <c r="FL46" s="431">
        <f>IF(FJ46&gt;0,RANK(FJ46,$FJ$9:$FJ$60)+COUNTIF($FJ$9:FJ46,FJ46)-1,0)</f>
        <v>7</v>
      </c>
      <c r="FM46" s="430">
        <f t="shared" si="43"/>
        <v>0</v>
      </c>
      <c r="FN46" s="430">
        <f t="shared" si="44"/>
        <v>0</v>
      </c>
      <c r="FO46" s="430">
        <f t="shared" si="45"/>
        <v>0</v>
      </c>
      <c r="FP46" s="431">
        <f t="shared" si="46"/>
        <v>0</v>
      </c>
      <c r="FQ46" s="431">
        <f t="shared" si="47"/>
        <v>11843346.714755239</v>
      </c>
      <c r="FR46" s="431">
        <f>'Concentration Limits'!$J$58</f>
        <v>49599340.729726665</v>
      </c>
      <c r="FS46" s="431">
        <f t="shared" si="48"/>
        <v>61042971.865242489</v>
      </c>
      <c r="FT46" s="431">
        <f>VLOOKUP(BR46,'Concentration Limits'!$E$81:$H$153,4,FALSE)</f>
        <v>1</v>
      </c>
      <c r="FU46" s="431">
        <f t="shared" si="49"/>
        <v>2220253.815834491</v>
      </c>
      <c r="FV46" s="431">
        <f t="shared" si="50"/>
        <v>9623092.8989207484</v>
      </c>
      <c r="FW46" s="431">
        <f>'Concentration Limits'!$J$59</f>
        <v>37199505.547294997</v>
      </c>
      <c r="FX46" s="431">
        <f t="shared" si="51"/>
        <v>49599340.729726657</v>
      </c>
      <c r="FY46" s="431">
        <f>VLOOKUP(BR46,'Concentration Limits'!$E$81:$H$153,4,FALSE)</f>
        <v>1</v>
      </c>
      <c r="FZ46" s="431">
        <f t="shared" si="52"/>
        <v>0</v>
      </c>
      <c r="GA46" s="431">
        <f t="shared" si="53"/>
        <v>9623092.8989207484</v>
      </c>
      <c r="GB46" s="431">
        <f>'Concentration Limits'!$J$61</f>
        <v>24799670.364863332</v>
      </c>
      <c r="GC46" s="431">
        <f t="shared" si="54"/>
        <v>49599340.729726657</v>
      </c>
      <c r="GD46" s="429">
        <f>VLOOKUP(BR46,'Concentration Limits'!$E$81:$H$153,4,FALSE)</f>
        <v>1</v>
      </c>
      <c r="GE46" s="431">
        <f t="shared" si="55"/>
        <v>0</v>
      </c>
      <c r="GF46" s="431">
        <f t="shared" si="56"/>
        <v>9623092.8989207484</v>
      </c>
      <c r="GG46" s="431">
        <f>'Concentration Limits'!$J$64</f>
        <v>24799670.364863332</v>
      </c>
      <c r="GH46" s="431">
        <f t="shared" si="57"/>
        <v>0</v>
      </c>
      <c r="GI46" s="431">
        <f t="shared" si="58"/>
        <v>0</v>
      </c>
      <c r="GJ46" s="431">
        <f t="shared" si="59"/>
        <v>9623092.8989207484</v>
      </c>
      <c r="GK46" s="431">
        <f>'Concentration Limits'!$J$67</f>
        <v>24799670.364863332</v>
      </c>
      <c r="GL46" s="429" t="str">
        <f t="shared" si="60"/>
        <v>No</v>
      </c>
      <c r="GM46" s="431">
        <f t="shared" si="61"/>
        <v>0</v>
      </c>
      <c r="GN46" s="431">
        <f t="shared" si="62"/>
        <v>0</v>
      </c>
      <c r="GO46" s="431">
        <f t="shared" si="63"/>
        <v>9623092.8989207484</v>
      </c>
      <c r="GP46" s="431">
        <f>'Concentration Limits'!$J$68</f>
        <v>37199505.547294997</v>
      </c>
      <c r="GQ46" s="429" t="str">
        <f t="shared" si="64"/>
        <v>No</v>
      </c>
      <c r="GR46" s="431">
        <f t="shared" si="65"/>
        <v>0</v>
      </c>
      <c r="GS46" s="431">
        <f t="shared" si="66"/>
        <v>0</v>
      </c>
      <c r="GT46" s="431">
        <f t="shared" si="67"/>
        <v>9623092.8989207484</v>
      </c>
      <c r="GU46" s="429">
        <f>'Concentration Limits'!$J$69</f>
        <v>37199505.547294997</v>
      </c>
      <c r="GV46" s="429" t="str">
        <f t="shared" si="68"/>
        <v>No</v>
      </c>
      <c r="GW46" s="429">
        <f t="shared" si="69"/>
        <v>0</v>
      </c>
      <c r="GX46" s="429">
        <f t="shared" si="70"/>
        <v>0</v>
      </c>
      <c r="GY46" s="429">
        <f t="shared" si="71"/>
        <v>9623092.8989207484</v>
      </c>
      <c r="GZ46" s="429">
        <f>'Concentration Limits'!$J$70</f>
        <v>24799670.364863332</v>
      </c>
      <c r="HA46" s="429" t="str">
        <f t="shared" si="72"/>
        <v>No</v>
      </c>
      <c r="HB46" s="429">
        <f t="shared" si="73"/>
        <v>0</v>
      </c>
      <c r="HC46" s="429">
        <f t="shared" si="74"/>
        <v>0</v>
      </c>
      <c r="HD46" s="429">
        <f t="shared" si="75"/>
        <v>9623092.8989207484</v>
      </c>
      <c r="HE46" s="431">
        <f t="shared" si="76"/>
        <v>9623092.8989207484</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49599340.729726665</v>
      </c>
      <c r="EM47" s="429" t="str">
        <f>IF(OR(D47="Second Lien",AND(D47="FILO",DI47&gt;AGENT!$C$57)), "Yes", "No")</f>
        <v>No</v>
      </c>
      <c r="EN47" s="429">
        <f t="shared" si="29"/>
        <v>0</v>
      </c>
      <c r="EO47" s="429">
        <f t="shared" si="30"/>
        <v>0</v>
      </c>
      <c r="EP47" s="429">
        <f t="shared" si="31"/>
        <v>10331560.995420478</v>
      </c>
      <c r="EQ47" s="429">
        <f>'Concentration Limits'!$J$50</f>
        <v>24799670.364863332</v>
      </c>
      <c r="ER47" s="429">
        <f t="shared" si="32"/>
        <v>0</v>
      </c>
      <c r="ES47" s="429">
        <f t="shared" si="84"/>
        <v>0</v>
      </c>
      <c r="ET47" s="429">
        <f t="shared" si="33"/>
        <v>10331560.995420478</v>
      </c>
      <c r="EU47" s="429">
        <f>'Concentration Limits'!$J$51</f>
        <v>74399011.094589993</v>
      </c>
      <c r="EV47" s="429" t="str">
        <f>IF(OR(D47="Second Lien", AND(D47="FILO",DI47&gt;AGENT!$C$59)), "Yes", "No")</f>
        <v>No</v>
      </c>
      <c r="EW47" s="429">
        <f t="shared" si="34"/>
        <v>0</v>
      </c>
      <c r="EX47" s="429">
        <f t="shared" si="35"/>
        <v>0</v>
      </c>
      <c r="EY47" s="429">
        <f t="shared" si="36"/>
        <v>10331560.995420478</v>
      </c>
      <c r="EZ47" s="429">
        <f>'Concentration Limits'!$J$52</f>
        <v>37199505.547294997</v>
      </c>
      <c r="FA47" s="429" t="str">
        <f>IF(CY47&gt;'Concentration Limits'!$E$52, "No", "Yes")</f>
        <v>No</v>
      </c>
      <c r="FB47" s="429">
        <f t="shared" si="37"/>
        <v>0</v>
      </c>
      <c r="FC47" s="429">
        <f t="shared" si="38"/>
        <v>0</v>
      </c>
      <c r="FD47" s="429">
        <f t="shared" si="39"/>
        <v>10331560.995420478</v>
      </c>
      <c r="FE47" s="430">
        <f>'Concentration Limits'!$J$54</f>
        <v>247996703.6486333</v>
      </c>
      <c r="FF47" s="430">
        <f>'Concentration Limits'!$J$55</f>
        <v>247996703.6486333</v>
      </c>
      <c r="FG47" s="430">
        <f>'Concentration Limits'!$J$56</f>
        <v>247996703.6486333</v>
      </c>
      <c r="FH47" s="431">
        <f>'Concentration Limits'!$J$57</f>
        <v>18599752.773647498</v>
      </c>
      <c r="FI47" s="431">
        <f t="shared" si="40"/>
        <v>10331560.995420478</v>
      </c>
      <c r="FJ47" s="431">
        <f t="shared" si="41"/>
        <v>10331560.995420478</v>
      </c>
      <c r="FK47" s="431">
        <f t="shared" si="42"/>
        <v>11</v>
      </c>
      <c r="FL47" s="431">
        <f>IF(FJ47&gt;0,RANK(FJ47,$FJ$9:$FJ$60)+COUNTIF($FJ$9:FJ47,FJ47)-1,0)</f>
        <v>11</v>
      </c>
      <c r="FM47" s="430">
        <f t="shared" si="43"/>
        <v>0</v>
      </c>
      <c r="FN47" s="430">
        <f t="shared" si="44"/>
        <v>0</v>
      </c>
      <c r="FO47" s="430">
        <f t="shared" si="45"/>
        <v>0</v>
      </c>
      <c r="FP47" s="431">
        <f t="shared" si="46"/>
        <v>0</v>
      </c>
      <c r="FQ47" s="431">
        <f t="shared" si="47"/>
        <v>10331560.995420478</v>
      </c>
      <c r="FR47" s="431">
        <f>'Concentration Limits'!$J$58</f>
        <v>49599340.729726665</v>
      </c>
      <c r="FS47" s="431">
        <f t="shared" si="48"/>
        <v>10331560.995420478</v>
      </c>
      <c r="FT47" s="431">
        <f>VLOOKUP(BR47,'Concentration Limits'!$E$81:$H$153,4,FALSE)</f>
        <v>12</v>
      </c>
      <c r="FU47" s="431">
        <f t="shared" si="49"/>
        <v>0</v>
      </c>
      <c r="FV47" s="431">
        <f t="shared" si="50"/>
        <v>10331560.995420478</v>
      </c>
      <c r="FW47" s="431">
        <f>'Concentration Limits'!$J$59</f>
        <v>37199505.547294997</v>
      </c>
      <c r="FX47" s="431">
        <f t="shared" si="51"/>
        <v>10331560.995420478</v>
      </c>
      <c r="FY47" s="431">
        <f>VLOOKUP(BR47,'Concentration Limits'!$E$81:$H$153,4,FALSE)</f>
        <v>12</v>
      </c>
      <c r="FZ47" s="431">
        <f t="shared" si="52"/>
        <v>0</v>
      </c>
      <c r="GA47" s="431">
        <f t="shared" si="53"/>
        <v>10331560.995420478</v>
      </c>
      <c r="GB47" s="431">
        <f>'Concentration Limits'!$J$61</f>
        <v>24799670.364863332</v>
      </c>
      <c r="GC47" s="431">
        <f t="shared" si="54"/>
        <v>10331560.995420478</v>
      </c>
      <c r="GD47" s="429">
        <f>VLOOKUP(BR47,'Concentration Limits'!$E$81:$H$153,4,FALSE)</f>
        <v>12</v>
      </c>
      <c r="GE47" s="431">
        <f t="shared" si="55"/>
        <v>0</v>
      </c>
      <c r="GF47" s="431">
        <f t="shared" si="56"/>
        <v>10331560.995420478</v>
      </c>
      <c r="GG47" s="431">
        <f>'Concentration Limits'!$J$64</f>
        <v>24799670.364863332</v>
      </c>
      <c r="GH47" s="431">
        <f t="shared" si="57"/>
        <v>0</v>
      </c>
      <c r="GI47" s="431">
        <f t="shared" si="58"/>
        <v>0</v>
      </c>
      <c r="GJ47" s="431">
        <f t="shared" si="59"/>
        <v>10331560.995420478</v>
      </c>
      <c r="GK47" s="431">
        <f>'Concentration Limits'!$J$67</f>
        <v>24799670.364863332</v>
      </c>
      <c r="GL47" s="429" t="str">
        <f t="shared" si="60"/>
        <v>No</v>
      </c>
      <c r="GM47" s="431">
        <f t="shared" si="61"/>
        <v>0</v>
      </c>
      <c r="GN47" s="431">
        <f t="shared" si="62"/>
        <v>0</v>
      </c>
      <c r="GO47" s="431">
        <f t="shared" si="63"/>
        <v>10331560.995420478</v>
      </c>
      <c r="GP47" s="431">
        <f>'Concentration Limits'!$J$68</f>
        <v>37199505.547294997</v>
      </c>
      <c r="GQ47" s="429" t="str">
        <f t="shared" si="64"/>
        <v>No</v>
      </c>
      <c r="GR47" s="431">
        <f t="shared" si="65"/>
        <v>0</v>
      </c>
      <c r="GS47" s="431">
        <f t="shared" si="66"/>
        <v>0</v>
      </c>
      <c r="GT47" s="431">
        <f t="shared" si="67"/>
        <v>10331560.995420478</v>
      </c>
      <c r="GU47" s="429">
        <f>'Concentration Limits'!$J$69</f>
        <v>37199505.547294997</v>
      </c>
      <c r="GV47" s="429" t="str">
        <f t="shared" si="68"/>
        <v>No</v>
      </c>
      <c r="GW47" s="429">
        <f t="shared" si="69"/>
        <v>0</v>
      </c>
      <c r="GX47" s="429">
        <f t="shared" si="70"/>
        <v>0</v>
      </c>
      <c r="GY47" s="429">
        <f t="shared" si="71"/>
        <v>10331560.995420478</v>
      </c>
      <c r="GZ47" s="429">
        <f>'Concentration Limits'!$J$70</f>
        <v>24799670.364863332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49599340.729726665</v>
      </c>
      <c r="EM48" s="429" t="str">
        <f>IF(OR(D48="Second Lien",AND(D48="FILO",DI48&gt;AGENT!$C$57)), "Yes", "No")</f>
        <v>No</v>
      </c>
      <c r="EN48" s="429">
        <f t="shared" si="29"/>
        <v>0</v>
      </c>
      <c r="EO48" s="429">
        <f t="shared" si="30"/>
        <v>0</v>
      </c>
      <c r="EP48" s="429">
        <f t="shared" si="31"/>
        <v>12232030.652780918</v>
      </c>
      <c r="EQ48" s="429">
        <f>'Concentration Limits'!$J$50</f>
        <v>24799670.364863332</v>
      </c>
      <c r="ER48" s="429">
        <f t="shared" si="32"/>
        <v>0</v>
      </c>
      <c r="ES48" s="429">
        <f t="shared" si="84"/>
        <v>0</v>
      </c>
      <c r="ET48" s="429">
        <f t="shared" si="33"/>
        <v>12232030.652780918</v>
      </c>
      <c r="EU48" s="429">
        <f>'Concentration Limits'!$J$51</f>
        <v>74399011.094589993</v>
      </c>
      <c r="EV48" s="429" t="str">
        <f>IF(OR(D48="Second Lien", AND(D48="FILO",DI48&gt;AGENT!$C$59)), "Yes", "No")</f>
        <v>No</v>
      </c>
      <c r="EW48" s="429">
        <f t="shared" si="34"/>
        <v>0</v>
      </c>
      <c r="EX48" s="429">
        <f t="shared" si="35"/>
        <v>0</v>
      </c>
      <c r="EY48" s="429">
        <f t="shared" si="36"/>
        <v>12232030.652780918</v>
      </c>
      <c r="EZ48" s="429">
        <f>'Concentration Limits'!$J$52</f>
        <v>37199505.547294997</v>
      </c>
      <c r="FA48" s="429" t="str">
        <f>IF(CY48&gt;'Concentration Limits'!$E$52, "No", "Yes")</f>
        <v>No</v>
      </c>
      <c r="FB48" s="429">
        <f t="shared" si="37"/>
        <v>0</v>
      </c>
      <c r="FC48" s="429">
        <f t="shared" si="38"/>
        <v>0</v>
      </c>
      <c r="FD48" s="429">
        <f t="shared" si="39"/>
        <v>12232030.652780918</v>
      </c>
      <c r="FE48" s="430">
        <f>'Concentration Limits'!$J$54</f>
        <v>247996703.6486333</v>
      </c>
      <c r="FF48" s="430">
        <f>'Concentration Limits'!$J$55</f>
        <v>247996703.6486333</v>
      </c>
      <c r="FG48" s="430">
        <f>'Concentration Limits'!$J$56</f>
        <v>247996703.6486333</v>
      </c>
      <c r="FH48" s="431">
        <f>'Concentration Limits'!$J$57</f>
        <v>18599752.773647498</v>
      </c>
      <c r="FI48" s="431">
        <f t="shared" si="40"/>
        <v>12232030.652780918</v>
      </c>
      <c r="FJ48" s="431">
        <f t="shared" si="41"/>
        <v>12232030.652780918</v>
      </c>
      <c r="FK48" s="431">
        <f t="shared" si="42"/>
        <v>6</v>
      </c>
      <c r="FL48" s="431">
        <f>IF(FJ48&gt;0,RANK(FJ48,$FJ$9:$FJ$60)+COUNTIF($FJ$9:FJ48,FJ48)-1,0)</f>
        <v>6</v>
      </c>
      <c r="FM48" s="430">
        <f t="shared" si="43"/>
        <v>0</v>
      </c>
      <c r="FN48" s="430">
        <f t="shared" si="44"/>
        <v>0</v>
      </c>
      <c r="FO48" s="430">
        <f t="shared" si="45"/>
        <v>0</v>
      </c>
      <c r="FP48" s="431">
        <f t="shared" si="46"/>
        <v>0</v>
      </c>
      <c r="FQ48" s="431">
        <f t="shared" si="47"/>
        <v>12232030.652780918</v>
      </c>
      <c r="FR48" s="431">
        <f>'Concentration Limits'!$J$58</f>
        <v>49599340.729726665</v>
      </c>
      <c r="FS48" s="431">
        <f t="shared" si="48"/>
        <v>61042971.865242489</v>
      </c>
      <c r="FT48" s="431">
        <f>VLOOKUP(BR48,'Concentration Limits'!$E$81:$H$153,4,FALSE)</f>
        <v>1</v>
      </c>
      <c r="FU48" s="431">
        <f t="shared" si="49"/>
        <v>2293119.790067934</v>
      </c>
      <c r="FV48" s="431">
        <f t="shared" si="50"/>
        <v>9938910.8627129849</v>
      </c>
      <c r="FW48" s="431">
        <f>'Concentration Limits'!$J$59</f>
        <v>37199505.547294997</v>
      </c>
      <c r="FX48" s="431">
        <f t="shared" si="51"/>
        <v>49599340.729726657</v>
      </c>
      <c r="FY48" s="431">
        <f>VLOOKUP(BR48,'Concentration Limits'!$E$81:$H$153,4,FALSE)</f>
        <v>1</v>
      </c>
      <c r="FZ48" s="431">
        <f t="shared" si="52"/>
        <v>0</v>
      </c>
      <c r="GA48" s="431">
        <f t="shared" si="53"/>
        <v>9938910.8627129849</v>
      </c>
      <c r="GB48" s="431">
        <f>'Concentration Limits'!$J$61</f>
        <v>24799670.364863332</v>
      </c>
      <c r="GC48" s="431">
        <f t="shared" si="54"/>
        <v>49599340.729726657</v>
      </c>
      <c r="GD48" s="429">
        <f>VLOOKUP(BR48,'Concentration Limits'!$E$81:$H$153,4,FALSE)</f>
        <v>1</v>
      </c>
      <c r="GE48" s="431">
        <f t="shared" si="55"/>
        <v>0</v>
      </c>
      <c r="GF48" s="431">
        <f t="shared" si="56"/>
        <v>9938910.8627129849</v>
      </c>
      <c r="GG48" s="431">
        <f>'Concentration Limits'!$J$64</f>
        <v>24799670.364863332</v>
      </c>
      <c r="GH48" s="431">
        <f t="shared" si="57"/>
        <v>0</v>
      </c>
      <c r="GI48" s="431">
        <f t="shared" si="58"/>
        <v>0</v>
      </c>
      <c r="GJ48" s="431">
        <f t="shared" si="59"/>
        <v>9938910.8627129849</v>
      </c>
      <c r="GK48" s="431">
        <f>'Concentration Limits'!$J$67</f>
        <v>24799670.364863332</v>
      </c>
      <c r="GL48" s="429" t="str">
        <f t="shared" si="60"/>
        <v>No</v>
      </c>
      <c r="GM48" s="431">
        <f t="shared" si="61"/>
        <v>0</v>
      </c>
      <c r="GN48" s="431">
        <f t="shared" si="62"/>
        <v>0</v>
      </c>
      <c r="GO48" s="431">
        <f t="shared" si="63"/>
        <v>9938910.8627129849</v>
      </c>
      <c r="GP48" s="431">
        <f>'Concentration Limits'!$J$68</f>
        <v>37199505.547294997</v>
      </c>
      <c r="GQ48" s="429" t="str">
        <f t="shared" si="64"/>
        <v>No</v>
      </c>
      <c r="GR48" s="431">
        <f t="shared" si="65"/>
        <v>0</v>
      </c>
      <c r="GS48" s="431">
        <f t="shared" si="66"/>
        <v>0</v>
      </c>
      <c r="GT48" s="431">
        <f t="shared" si="67"/>
        <v>9938910.8627129849</v>
      </c>
      <c r="GU48" s="429">
        <f>'Concentration Limits'!$J$69</f>
        <v>37199505.547294997</v>
      </c>
      <c r="GV48" s="429" t="str">
        <f t="shared" si="68"/>
        <v>No</v>
      </c>
      <c r="GW48" s="429">
        <f t="shared" si="69"/>
        <v>0</v>
      </c>
      <c r="GX48" s="429">
        <f t="shared" si="70"/>
        <v>0</v>
      </c>
      <c r="GY48" s="429">
        <f t="shared" si="71"/>
        <v>9938910.8627129849</v>
      </c>
      <c r="GZ48" s="429">
        <f>'Concentration Limits'!$J$70</f>
        <v>24799670.364863332</v>
      </c>
      <c r="HA48" s="429" t="str">
        <f t="shared" si="72"/>
        <v>No</v>
      </c>
      <c r="HB48" s="429">
        <f t="shared" si="73"/>
        <v>0</v>
      </c>
      <c r="HC48" s="429">
        <f t="shared" si="74"/>
        <v>0</v>
      </c>
      <c r="HD48" s="429">
        <f t="shared" si="75"/>
        <v>9938910.8627129849</v>
      </c>
      <c r="HE48" s="431">
        <f t="shared" si="76"/>
        <v>9938910.8627129849</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49599340.729726665</v>
      </c>
      <c r="EM49" s="429" t="str">
        <f>IF(OR(D49="Second Lien",AND(D49="FILO",DI49&gt;AGENT!$C$57)), "Yes", "No")</f>
        <v>No</v>
      </c>
      <c r="EN49" s="429">
        <f t="shared" si="29"/>
        <v>0</v>
      </c>
      <c r="EO49" s="429">
        <f t="shared" si="30"/>
        <v>0</v>
      </c>
      <c r="EP49" s="429">
        <f t="shared" si="31"/>
        <v>1883560.9969692549</v>
      </c>
      <c r="EQ49" s="429">
        <f>'Concentration Limits'!$J$50</f>
        <v>24799670.364863332</v>
      </c>
      <c r="ER49" s="429">
        <f t="shared" si="32"/>
        <v>0</v>
      </c>
      <c r="ES49" s="429">
        <f t="shared" si="84"/>
        <v>0</v>
      </c>
      <c r="ET49" s="429">
        <f t="shared" si="33"/>
        <v>1883560.9969692549</v>
      </c>
      <c r="EU49" s="429">
        <f>'Concentration Limits'!$J$51</f>
        <v>74399011.094589993</v>
      </c>
      <c r="EV49" s="429" t="str">
        <f>IF(OR(D49="Second Lien", AND(D49="FILO",DI49&gt;AGENT!$C$59)), "Yes", "No")</f>
        <v>No</v>
      </c>
      <c r="EW49" s="429">
        <f t="shared" si="34"/>
        <v>0</v>
      </c>
      <c r="EX49" s="429">
        <f t="shared" si="35"/>
        <v>0</v>
      </c>
      <c r="EY49" s="429">
        <f t="shared" si="36"/>
        <v>1883560.9969692549</v>
      </c>
      <c r="EZ49" s="429">
        <f>'Concentration Limits'!$J$52</f>
        <v>37199505.547294997</v>
      </c>
      <c r="FA49" s="429" t="str">
        <f>IF(CY49&gt;'Concentration Limits'!$E$52, "No", "Yes")</f>
        <v>No</v>
      </c>
      <c r="FB49" s="429">
        <f t="shared" si="37"/>
        <v>0</v>
      </c>
      <c r="FC49" s="429">
        <f t="shared" si="38"/>
        <v>0</v>
      </c>
      <c r="FD49" s="429">
        <f t="shared" si="39"/>
        <v>1883560.9969692549</v>
      </c>
      <c r="FE49" s="430">
        <f>'Concentration Limits'!$J$54</f>
        <v>247996703.6486333</v>
      </c>
      <c r="FF49" s="430">
        <f>'Concentration Limits'!$J$55</f>
        <v>247996703.6486333</v>
      </c>
      <c r="FG49" s="430">
        <f>'Concentration Limits'!$J$56</f>
        <v>247996703.6486333</v>
      </c>
      <c r="FH49" s="431">
        <f>'Concentration Limits'!$J$57</f>
        <v>18599752.773647498</v>
      </c>
      <c r="FI49" s="431">
        <f t="shared" si="40"/>
        <v>1883560.9969692549</v>
      </c>
      <c r="FJ49" s="431">
        <f t="shared" si="41"/>
        <v>1883560.9969692549</v>
      </c>
      <c r="FK49" s="431">
        <f t="shared" si="42"/>
        <v>28</v>
      </c>
      <c r="FL49" s="431">
        <f>IF(FJ49&gt;0,RANK(FJ49,$FJ$9:$FJ$60)+COUNTIF($FJ$9:FJ49,FJ49)-1,0)</f>
        <v>28</v>
      </c>
      <c r="FM49" s="430">
        <f t="shared" si="43"/>
        <v>0</v>
      </c>
      <c r="FN49" s="430">
        <f t="shared" si="44"/>
        <v>0</v>
      </c>
      <c r="FO49" s="430">
        <f t="shared" si="45"/>
        <v>0</v>
      </c>
      <c r="FP49" s="431">
        <f t="shared" si="46"/>
        <v>0</v>
      </c>
      <c r="FQ49" s="431">
        <f t="shared" si="47"/>
        <v>1883560.9969692549</v>
      </c>
      <c r="FR49" s="431">
        <f>'Concentration Limits'!$J$58</f>
        <v>49599340.729726665</v>
      </c>
      <c r="FS49" s="431">
        <f t="shared" si="48"/>
        <v>1883560.9969692549</v>
      </c>
      <c r="FT49" s="431">
        <f>VLOOKUP(BR49,'Concentration Limits'!$E$81:$H$153,4,FALSE)</f>
        <v>17</v>
      </c>
      <c r="FU49" s="431">
        <f t="shared" si="49"/>
        <v>0</v>
      </c>
      <c r="FV49" s="431">
        <f t="shared" si="50"/>
        <v>1883560.9969692549</v>
      </c>
      <c r="FW49" s="431">
        <f>'Concentration Limits'!$J$59</f>
        <v>37199505.547294997</v>
      </c>
      <c r="FX49" s="431">
        <f t="shared" si="51"/>
        <v>1883560.9969692549</v>
      </c>
      <c r="FY49" s="431">
        <f>VLOOKUP(BR49,'Concentration Limits'!$E$81:$H$153,4,FALSE)</f>
        <v>17</v>
      </c>
      <c r="FZ49" s="431">
        <f t="shared" si="52"/>
        <v>0</v>
      </c>
      <c r="GA49" s="431">
        <f t="shared" si="53"/>
        <v>1883560.9969692549</v>
      </c>
      <c r="GB49" s="431">
        <f>'Concentration Limits'!$J$61</f>
        <v>24799670.364863332</v>
      </c>
      <c r="GC49" s="431">
        <f t="shared" si="54"/>
        <v>1883560.9969692549</v>
      </c>
      <c r="GD49" s="429">
        <f>VLOOKUP(BR49,'Concentration Limits'!$E$81:$H$153,4,FALSE)</f>
        <v>17</v>
      </c>
      <c r="GE49" s="431">
        <f t="shared" si="55"/>
        <v>0</v>
      </c>
      <c r="GF49" s="431">
        <f t="shared" si="56"/>
        <v>1883560.9969692549</v>
      </c>
      <c r="GG49" s="431">
        <f>'Concentration Limits'!$J$64</f>
        <v>24799670.364863332</v>
      </c>
      <c r="GH49" s="431">
        <f t="shared" si="57"/>
        <v>0</v>
      </c>
      <c r="GI49" s="431">
        <f t="shared" si="58"/>
        <v>0</v>
      </c>
      <c r="GJ49" s="431">
        <f t="shared" si="59"/>
        <v>1883560.9969692549</v>
      </c>
      <c r="GK49" s="431">
        <f>'Concentration Limits'!$J$67</f>
        <v>24799670.364863332</v>
      </c>
      <c r="GL49" s="429" t="str">
        <f t="shared" si="60"/>
        <v>No</v>
      </c>
      <c r="GM49" s="431">
        <f t="shared" si="61"/>
        <v>0</v>
      </c>
      <c r="GN49" s="431">
        <f t="shared" si="62"/>
        <v>0</v>
      </c>
      <c r="GO49" s="431">
        <f t="shared" si="63"/>
        <v>1883560.9969692549</v>
      </c>
      <c r="GP49" s="431">
        <f>'Concentration Limits'!$J$68</f>
        <v>37199505.547294997</v>
      </c>
      <c r="GQ49" s="429" t="str">
        <f t="shared" si="64"/>
        <v>No</v>
      </c>
      <c r="GR49" s="431">
        <f t="shared" si="65"/>
        <v>0</v>
      </c>
      <c r="GS49" s="431">
        <f t="shared" si="66"/>
        <v>0</v>
      </c>
      <c r="GT49" s="431">
        <f t="shared" si="67"/>
        <v>1883560.9969692549</v>
      </c>
      <c r="GU49" s="429">
        <f>'Concentration Limits'!$J$69</f>
        <v>37199505.547294997</v>
      </c>
      <c r="GV49" s="429" t="str">
        <f t="shared" si="68"/>
        <v>No</v>
      </c>
      <c r="GW49" s="429">
        <f t="shared" si="69"/>
        <v>0</v>
      </c>
      <c r="GX49" s="429">
        <f t="shared" si="70"/>
        <v>0</v>
      </c>
      <c r="GY49" s="429">
        <f t="shared" si="71"/>
        <v>1883560.9969692549</v>
      </c>
      <c r="GZ49" s="429">
        <f>'Concentration Limits'!$J$70</f>
        <v>24799670.364863332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49">
        <f t="shared" si="82"/>
        <v>42</v>
      </c>
      <c r="B50" s="404" t="str">
        <f>INDEX('Loan Tape - Settled'!$B$4:$AP$55,MATCH($A50,'Loan Tape - Settled'!$E$4:$E$55,0),MATCH("Obligor Name",'Loan Tape - Settled'!$B$4:$AM$4,0))</f>
        <v>BluePeak LLC</v>
      </c>
      <c r="C50" s="404" t="str">
        <f>INDEX('Loan Tape - Settled'!$B$4:$AP$55,MATCH($A50,'Loan Tape - Settled'!$E$4:$E$55,0),MATCH("Security",'Loan Tape - Settled'!$B$4:$AM$4,0))</f>
        <v>FILO</v>
      </c>
      <c r="D50" s="405" t="str">
        <f>INDEX('Loan Tape - Settled'!$B$4:$AP$55,MATCH($A50,'Loan Tape - Settled'!$E$4:$E$55,0),MATCH("Loan Type",'Loan Tape - Settled'!$B$4:$AM$4,0))</f>
        <v>FILO</v>
      </c>
      <c r="E50" s="406" t="b">
        <f>IF(ISERROR(MATCH(D50,AGENT!$A$4:$A$10,0))=FALSE, TRUE)</f>
        <v>1</v>
      </c>
      <c r="F50" s="406" t="b">
        <f t="shared" ref="F50" si="85">IF(AND(BZ50="no",CA50="no"),TRUE)</f>
        <v>1</v>
      </c>
      <c r="G50" s="406" t="b">
        <f>IF(D50&lt;&gt;"Second Lien",TRUE, IF(CY50&gt;=AGENT!$B$4,TRUE))</f>
        <v>1</v>
      </c>
      <c r="H50" s="406" t="b">
        <f>IF(DE50&lt;=AGENT!$D$4,TRUE)</f>
        <v>1</v>
      </c>
      <c r="I50" s="406" t="b">
        <f>IF(VLOOKUP(CONCATENATE($A$5,A50),'Loan Tape - Settled'!$A$5:$Q$55,17,FALSE)&gt;=AGENT!$E$4,TRUE)</f>
        <v>1</v>
      </c>
      <c r="J50" s="406" t="b">
        <f>IF(INDEX('Loan Tape - Settled'!$B$4:$AP$55,MATCH($A50,'Loan Tape - Settled'!$E$4:$E$55,0),MATCH("Loan Denomination",'Loan Tape - Settled'!$B$4:$AP$4,0))="USD", TRUE)</f>
        <v>1</v>
      </c>
      <c r="K50" s="406" t="b">
        <f>IF(INDEX('Loan Tape - Settled'!$B$4:$AP$55,MATCH($A50,'Loan Tape - Settled'!$E$4:$E$55,0),MATCH("Exposure Country",'Loan Tape - Settled'!$B$4:$AP$4,0))="United States", TRUE)</f>
        <v>1</v>
      </c>
      <c r="L50" s="406" t="b">
        <f t="shared" ref="L50" si="86">IF(BS50="NO",TRUE)</f>
        <v>1</v>
      </c>
      <c r="M50" s="406" t="b">
        <f>IF(((BM50-BL50)/365)&lt;=AGENT!$F$4,TRUE)</f>
        <v>1</v>
      </c>
      <c r="N50" s="406" t="b">
        <f t="shared" ref="N50" si="87">IF(DX50="Yes",FALSE,TRUE)</f>
        <v>1</v>
      </c>
      <c r="O50" s="453"/>
      <c r="P50" s="709" t="str">
        <f t="shared" ref="P50" si="88">IF($B50="","",IF(OR(O50=TRUE,COUNTIFS($E50:$N50,TRUE)=10),"Yes","No"))</f>
        <v>Yes</v>
      </c>
      <c r="Q50" s="680" t="s">
        <v>243</v>
      </c>
      <c r="R50" s="407" t="str">
        <f t="shared" ref="R50" si="89">IF(P50="Yes",B50,"N/A")</f>
        <v>BluePeak LLC</v>
      </c>
      <c r="S50" s="407"/>
      <c r="T50" s="408" t="str">
        <f t="array" ref="T50">_xlfn.IFS(D50="Second Lien",D50,D50="First Lien",CONCATENATE(D50," ",EI50),D50="FILO",CONCATENATE(D50," ",EJ50))</f>
        <v>FILO &lt;= 1.25x</v>
      </c>
      <c r="U50" s="409">
        <f>VLOOKUP(T50,'Concentration Limits'!D:G,4,FALSE)</f>
        <v>0.57499999999999996</v>
      </c>
      <c r="V50" s="410">
        <f t="shared" ref="V50" si="90">AQ50+AW50+BI50</f>
        <v>15000000</v>
      </c>
      <c r="W50" s="448">
        <f>(SUMIFS('Loan Tape - Settled'!$AR$4:$AR$55,'Loan Tape - Settled'!$E$4:$E$55,$A50,'Loan Tape - Settled'!$C$4:$C$55,$A$5))</f>
        <v>15000000</v>
      </c>
      <c r="X50" s="449">
        <v>1</v>
      </c>
      <c r="Y50" s="411">
        <f t="shared" ref="Y50" si="91">W50*X50</f>
        <v>15000000</v>
      </c>
      <c r="Z50" s="449">
        <f>(SUMIFS('Loan Tape - Settled'!$AQ$4:$AQ$55,'Loan Tape - Settled'!$E$4:$E$55,$A50,'Loan Tape - Settled'!$C$4:$C$55,$A$5))</f>
        <v>15000000</v>
      </c>
      <c r="AA50" s="411">
        <f t="shared" ref="AA50" si="92">Z50*X50</f>
        <v>15000000</v>
      </c>
      <c r="AB50" s="411">
        <f t="shared" ref="AB50" si="93">AA50-Y50</f>
        <v>0</v>
      </c>
      <c r="AC50" s="450">
        <f>VLOOKUP(CONCATENATE($A$5,A50),'Loan Tape - Settled'!$A$5:$Q$55,17,FALSE)</f>
        <v>1</v>
      </c>
      <c r="AD50" s="412"/>
      <c r="AE50" s="413">
        <f>INDEX('Loan Tape - Settled'!$B$4:$AP$55,MATCH($A50,'Loan Tape - Settled'!$E$4:$E$55,0),MATCH("FMV",'Loan Tape - Settled'!$B$4:$AM$4,0))</f>
        <v>1</v>
      </c>
      <c r="AF50" s="413">
        <f t="array" ref="AF50">_xlfn.IFS(D50="First Lien",
_xlfn.IFS(AND(DL50&gt;0,DL50&lt;Tier_1_1L),Tier_1_ApplicableValue,
AND(DL50&gt;=Tier_1_1L,DL50&lt;Tier_2_1L),((Tier_1_1L/DL50)*Tier_1_ApplicableValue)+((DL50-Tier_1_1L)/DL50*Tier_2_ApplicableValue),
AND(DL50&gt;=Tier_2_1L, DL50&lt;Tier_3_1L),((Tier_1_1L/DL50)*Tier_1_ApplicableValue+(Tier_2_1L-Tier_1_1L)/DL50*Tier_2_ApplicableValue+(DL50-Tier_2_1L)/DL50*Tier_3_ApplicableValue),
AND(DL50&gt;=Tier_3_1L, DL50&lt;=Tier_totalzerovalue),((Tier_1_1L/DL50)*Tier_1_ApplicableValue+(Tier_2_1L-Tier_1_1L)/DL50*Tier_2_ApplicableValue+(Tier_3_1L-Tier_2_1L)/DL50*Tier_3_ApplicableValue+(DL50-Tier_partialzerovalue)/DL50*0%),
DL50&gt;Tier_totalzerovalue,0%),
OR(D50="Second Lien", D50="FILO"),
_xlfn.IFS(AND(DM50&gt;0,DM50&lt;Tier_1_2L),Tier_1_ApplicableValue,
AND(DM50&gt;=Tier_1_2L,DM50&lt;Tier_2_2L),((Tier_1_2L/DM50)*Tier_1_ApplicableValue)+((DM50-Tier_1_2L)/DM50*Tier_2_ApplicableValue),
AND(DM50&gt;=Tier_2_2L, DM50&lt;Tier_3_2L),((Tier_1_2L/DM50)*Tier_1_ApplicableValue+(Tier_2_2L-Tier_1_2L)/DM50*Tier_2_ApplicableValue+(DM50-Tier_2_2L)/DM50*Tier_3_ApplicableValue),
AND(DM50&gt;=Tier_3_2L, DM50&lt;=Tier_totalzerovalue),((Tier_1_2L/DM50)*Tier_1_ApplicableValue+(Tier_2_2L-Tier_1_2L)/DM50*Tier_2_ApplicableValue+(Tier_3_2L-Tier_2_2L)/DM50*Tier_3_ApplicableValue+(DM50-Tier_partialzerovalue)/DM50*0%),
DM50&gt;Tier_totalzerovalue,0%))</f>
        <v>1</v>
      </c>
      <c r="AG50" s="414" t="str">
        <f>IF(COUNTIFS(VAE!$C$5:$C$96,B50,VAE!$G$5:$G$96,"&lt;="&amp;Availability!$F$8)&gt;=1,"Yes","-")</f>
        <v>-</v>
      </c>
      <c r="AH50" s="414" t="str">
        <f t="array" ref="AH50">IFERROR(IF(AG50="Yes",INDEX(VAE!$D$5:$D$96,MATCH(B50&amp;AJ50,VAE!$C$5:$C$96&amp;VAE!$G$5:$G$96,0)),"-"),0)</f>
        <v>-</v>
      </c>
      <c r="AI50" s="414" t="str">
        <f t="array" ref="AI50">IFERROR(IF(AG50="Yes",INDEX(VAE!$F$5:$F$96,MATCH(B50&amp;AJ50,VAE!$C$5:$C$96&amp;VAE!$G$5:$G$96,0)),"-"),0)</f>
        <v>-</v>
      </c>
      <c r="AJ50" s="415" t="str">
        <f>IF(AG50="-","-",_xlfn.MAXIFS(VAE!$G$5:$G$96,VAE!$C$5:$C$96,$B50))</f>
        <v>-</v>
      </c>
      <c r="AK50" s="416" t="str">
        <f t="array" ref="AK50">IFERROR(IF(AG50="Yes",INDEX(VAE!$P$5:$P$96,MATCH(B50&amp;AJ50,VAE!$C$5:$C$96&amp;VAE!$G$5:$G$96,0)),"-"),0)</f>
        <v>-</v>
      </c>
      <c r="AL50" s="413">
        <f t="shared" ref="AL50" si="94">IF($A50="","",IF(P50="No",0,(IF(AG50="Yes",MIN(AE50,AK50,AF50),MIN(AE50,AF50)))))</f>
        <v>1</v>
      </c>
      <c r="AM50" s="410"/>
      <c r="AN50" s="410"/>
      <c r="AO50" s="410">
        <f t="shared" ref="AO50" si="95">IF(AND(D50="First Lien",P50="No"),0,IF(D50&lt;&gt;"First Lien",0,Y50))</f>
        <v>0</v>
      </c>
      <c r="AP50" s="410">
        <f t="shared" ref="AP50" si="96">IF(AND(D50="First Lien",P50="No"),W50,0)</f>
        <v>0</v>
      </c>
      <c r="AQ50" s="410">
        <f t="shared" ref="AQ50" si="97">AL50*AO50</f>
        <v>0</v>
      </c>
      <c r="AR50" s="410"/>
      <c r="AS50" s="410"/>
      <c r="AT50" s="410"/>
      <c r="AU50" s="410">
        <f t="shared" ref="AU50" si="98">IF(AND(D50="FILO",P50="No"),0,IF(D50&lt;&gt;"FILO",0,Y50))</f>
        <v>15000000</v>
      </c>
      <c r="AV50" s="410">
        <f t="shared" ref="AV50" si="99">IF(AND(D50="FILO",P50="No"),W50,0)</f>
        <v>0</v>
      </c>
      <c r="AW50" s="410">
        <f t="shared" ref="AW50" si="100">AU50*AL50</f>
        <v>15000000</v>
      </c>
      <c r="AX50" s="410"/>
      <c r="AY50" s="410"/>
      <c r="AZ50" s="410"/>
      <c r="BA50" s="410">
        <f t="shared" ref="BA50" si="101">IF(AND(OR(D50="First Lien",D50="FILO"),P50="No"),0,IF(OR(D50="First Lien",D50="FILO"),0,(Y50)))</f>
        <v>0</v>
      </c>
      <c r="BB50" s="410"/>
      <c r="BC50" s="410"/>
      <c r="BD50" s="410">
        <f t="shared" ref="BD50" si="102">IF(AND(D50="Second Lien",P50="No"),W50,0)</f>
        <v>0</v>
      </c>
      <c r="BE50" s="410"/>
      <c r="BF50" s="410"/>
      <c r="BG50" s="410"/>
      <c r="BH50" s="410"/>
      <c r="BI50" s="410">
        <f t="shared" ref="BI50" si="103">IF(D50="Second Lien",BA50*AL50,0)</f>
        <v>0</v>
      </c>
      <c r="BJ50" s="410" t="b">
        <f t="shared" ref="BJ50" si="104">SUM(AM50:AP50)+SUM(AZ50:BD50)+SUM(AS50:AV50)=Y50</f>
        <v>1</v>
      </c>
      <c r="BK50" s="509">
        <f>INDEX('Loan Tape - Settled'!$B$4:$AP$55,MATCH($A50,'Loan Tape - Settled'!$E$4:$E$55,0),MATCH("Inception Date",'Loan Tape - Settled'!$B$4:$AP$4,0))</f>
        <v>45996</v>
      </c>
      <c r="BL50" s="509">
        <f>INDEX('Loan Tape - Settled'!$B$4:$AP$55,MATCH($A50,'Loan Tape - Settled'!$E$4:$E$55,0),MATCH("Inclusion Date",'Loan Tape - Settled'!$B$4:$AP$4,0))</f>
        <v>46092</v>
      </c>
      <c r="BM50" s="509">
        <f>INDEX('Loan Tape - Settled'!$B$4:$AP$55,MATCH($A50,'Loan Tape - Settled'!$E$4:$E$55,0),MATCH("Maturity Date",'Loan Tape - Settled'!$B$4:$AP$4,0))</f>
        <v>47918</v>
      </c>
      <c r="BN50" s="510"/>
      <c r="BO50" s="510"/>
      <c r="BP50" s="511"/>
      <c r="BQ50" s="510"/>
      <c r="BR50" s="512" t="str">
        <f>INDEX('Loan Tape - Settled'!$B$4:$AP$55,MATCH($A50,'Loan Tape - Settled'!$E$4:$E$55,0),MATCH("Industry Classification",'Loan Tape - Settled'!$B$4:$AP$4,0))</f>
        <v>Construction &amp; Engineering</v>
      </c>
      <c r="BS50" s="510" t="str">
        <f>IF(INDEX('Loan Tape - Settled'!$B$4:$AP$55,MATCH($A50,'Loan Tape - Settled'!$E$4:$E$55,0),MATCH("Covenant Lite",'Loan Tape - Settled'!$B$4:$AP$4,0))=-1, "Yes", "No")</f>
        <v>No</v>
      </c>
      <c r="BT50" s="513">
        <f>INDEX('Loan Tape - Settled'!$B$4:$AP$55,MATCH($A50,'Loan Tape - Settled'!$E$4:$E$55,0),MATCH("Spread / Coupon (%)",'Loan Tape - Settled'!$B$4:$AP$4,0))</f>
        <v>7.4999999999999997E-2</v>
      </c>
      <c r="BU50" s="510" t="str">
        <f>IF(INDEX('Loan Tape - Settled'!$B$4:$AP$55,MATCH($A50,'Loan Tape - Settled'!$E$4:$E$55,0),MATCH("Security Type",'Loan Tape - Settled'!$B$4:$AP$4,0))="Delayed Draw Term Loan", "Yes", "No")</f>
        <v>No</v>
      </c>
      <c r="BV50" s="514" t="s">
        <v>244</v>
      </c>
      <c r="BW50" s="514" t="s">
        <v>244</v>
      </c>
      <c r="BX50" s="506" t="s">
        <v>244</v>
      </c>
      <c r="BY50" s="510" t="str">
        <f>IF(INDEX('Loan Tape - Settled'!$B$4:$AP$55,MATCH($A50,'Loan Tape - Settled'!$E$4:$E$55,0),MATCH("Fixed/Floating",'Loan Tape - Settled'!$B$4:$AP$4,0))="Fixed", "Yes", "No")</f>
        <v>No</v>
      </c>
      <c r="BZ50" s="514" t="s">
        <v>244</v>
      </c>
      <c r="CA50" s="514" t="s">
        <v>244</v>
      </c>
      <c r="CB50" s="510" t="str">
        <f>IF(INDEX('Loan Tape - Settled'!$B$4:$AP$55,MATCH($A50,'Loan Tape - Settled'!$E$4:$E$55,0),MATCH("Loan Denomination",'Loan Tape - Settled'!$B$4:$AP$4,0))="CAD", "Yes", "No")</f>
        <v>No</v>
      </c>
      <c r="CC50" s="510" t="str">
        <f>INDEX('Loan Tape - Settled'!$B$4:$AP$55,MATCH($A50,'Loan Tape - Settled'!$E$4:$E$55,0),MATCH("Payment Frequency",'Loan Tape - Settled'!$B$4:$AP$4,0))</f>
        <v>M</v>
      </c>
      <c r="CD50" s="514" t="s">
        <v>244</v>
      </c>
      <c r="CE50" s="510">
        <f>INDEX('Loan Tape - Settled'!$B$4:$AP$55,MATCH($A50,'Loan Tape - Settled'!$E$4:$E$55,0),MATCH("S&amp;P Loan Rating (if applicable)",'Loan Tape - Settled'!$B$4:$AP$4,0))</f>
        <v>0</v>
      </c>
      <c r="CF50" s="510">
        <f>INDEX('Loan Tape - Settled'!$B$4:$AP$55,MATCH($A50,'Loan Tape - Settled'!$E$4:$E$55,0),MATCH("Moody's Loan Rating (if applicable)",'Loan Tape - Settled'!$B$4:$AP$4,0))</f>
        <v>0</v>
      </c>
      <c r="CG50" s="510"/>
      <c r="CH50" s="510"/>
      <c r="CI50" s="515"/>
      <c r="CJ50" s="508" t="str">
        <f>INDEX('Loan Tape - Settled'!$B$4:$BF$55,MATCH($A50,'Loan Tape - Settled'!$E$4:$E$55,0),MATCH("Last Financial Received",'Loan Tape - Settled'!$B$4:$BF$4,0))</f>
        <v>9/30/2025 or Latest Financing</v>
      </c>
      <c r="CK50" s="516">
        <f>INDEX('Loan Tape - Settled'!$B$4:$BJ$55,MATCH($A50,'Loan Tape - Settled'!$E$4:$E$55,0),MATCH("Initial Adjusted TTM EBITDA",'Loan Tape - Settled'!$B$4:$BJ$4,0))</f>
        <v>11.6</v>
      </c>
      <c r="CL50" s="516">
        <f>INDEX('Loan Tape - Settled'!$B$4:$BJ$55,MATCH($A50,'Loan Tape - Settled'!$E$4:$E$55,0),MATCH("Initial TTM Non-adjusted EBITDA",'Loan Tape - Settled'!$B$4:$BJ$4,0))</f>
        <v>11.6</v>
      </c>
      <c r="CM50" s="417"/>
      <c r="CN50" s="418"/>
      <c r="CO50" s="418"/>
      <c r="CP50" s="419"/>
      <c r="CQ50" s="420" t="s">
        <v>245</v>
      </c>
      <c r="CR50" s="419"/>
      <c r="CS50" s="421">
        <f t="shared" ref="CS50" si="105">CK50-CP50+CR50</f>
        <v>11.6</v>
      </c>
      <c r="CT50" s="422">
        <f t="shared" ref="CT50" si="106">1-CS50/CK50</f>
        <v>0</v>
      </c>
      <c r="CU50" s="516">
        <f>INDEX('Loan Tape - Settled'!$B$4:$BJ$55,MATCH($A50,'Loan Tape - Settled'!$E$4:$E$55,0),MATCH("Current TTM Non-adjusted EBITDA",'Loan Tape - Settled'!$B$4:$BJ$4,0))</f>
        <v>20</v>
      </c>
      <c r="CV50" s="423">
        <f t="shared" ref="CV50" si="107">CT50</f>
        <v>0</v>
      </c>
      <c r="CW50" s="652" t="s">
        <v>245</v>
      </c>
      <c r="CX50" s="517"/>
      <c r="CY50" s="658">
        <f t="shared" ref="CY50" si="108">IF(CW50="N",(1-CV50)*CU50,(1-CX50)*CU50)</f>
        <v>20</v>
      </c>
      <c r="CZ50" s="656"/>
      <c r="DA50" s="518"/>
      <c r="DB50" s="519"/>
      <c r="DC50" s="853"/>
      <c r="DD50" s="853">
        <f>INDEX('Loan Tape - Settled'!$B$4:$BJ$55,MATCH($A50,'Loan Tape - Settled'!$E$4:$E$55,0),MATCH("Initial Senior Net Leverage Senior",'Loan Tape - Settled'!$B$4:$BJ$4,0))</f>
        <v>2</v>
      </c>
      <c r="DE50" s="659">
        <f>INDEX('Loan Tape - Settled'!$B$4:$BJ$55,MATCH($A50,'Loan Tape - Settled'!$E$4:$E$55,0),MATCH("Initial Total Net Leverage",'Loan Tape - Settled'!$B$4:$BJ$4,0))</f>
        <v>2</v>
      </c>
      <c r="DF50" s="656"/>
      <c r="DG50" s="518"/>
      <c r="DH50" s="519"/>
      <c r="DI50" s="424">
        <f>INDEX('Loan Tape - Settled'!$B$4:$BJ$55,MATCH($A50,'Loan Tape - Settled'!$E$4:$E$55,0),MATCH("Net Attachment",'Loan Tape - Settled'!$B$4:$BJ$4,0))</f>
        <v>0.75</v>
      </c>
      <c r="DJ50" s="522">
        <f t="array" ref="DJ50">IF(AG50="Yes",INDEX(VAE!$M$5:$M$53,MATCH($B50&amp;$AJ50,VAE!$C$5:$C$53&amp;VAE!$G$5:$G$53,0)),DD50)</f>
        <v>2</v>
      </c>
      <c r="DK50" s="649">
        <f t="array" ref="DK50">IF(AG50="Yes",INDEX(VAE!$N$5:$N$53,MATCH($B50&amp;$AJ50,VAE!$C$5:$C$53&amp;VAE!$G$5:$G$53,0)),DE50)</f>
        <v>2</v>
      </c>
      <c r="DL50" s="651">
        <f>INDEX('Loan Tape - Settled'!$B$4:$BJ$55,MATCH($A50,'Loan Tape - Settled'!$E$4:$E$55,0),MATCH("Current Senior Net Leverage Senior",'Loan Tape - Settled'!$B$4:$BJ$4,0))</f>
        <v>3.75</v>
      </c>
      <c r="DM50" s="433">
        <f>INDEX('Loan Tape - Settled'!$B$4:$BJ$55,MATCH($A50,'Loan Tape - Settled'!$E$4:$E$55,0),MATCH("Current Total Net Leverage",'Loan Tape - Settled'!$B$4:$BJ$4,0))</f>
        <v>3.75</v>
      </c>
      <c r="DN50" s="425"/>
      <c r="DO50" s="426">
        <f>INDEX('Loan Tape - Settled'!$B$4:$BJ$55,MATCH($A50,'Loan Tape - Settled'!$E$4:$E$55,0),MATCH("Initial Interest Coverage",'Loan Tape - Settled'!$B$4:$BJ$4,0))</f>
        <v>1.74</v>
      </c>
      <c r="DP50" s="854">
        <f t="array" ref="DP50">IF(AG50="Yes",INDEX(VAE!$O$5:$O$53,MATCH($B50&amp;$AJ50,VAE!$C$5:$C$53&amp;VAE!$G$5:$G$53,0)),DO50)</f>
        <v>1.74</v>
      </c>
      <c r="DQ50" s="427">
        <f>INDEX('Loan Tape - Settled'!$B$4:$BJ$55,MATCH($A50,'Loan Tape - Settled'!$E$4:$E$55,0),MATCH("Current Interest Coverage",'Loan Tape - Settled'!$B$4:$BJ$4,0))</f>
        <v>3</v>
      </c>
      <c r="DR50" s="855" t="str">
        <f t="shared" ref="DR50" si="109">IF(OR(DU50="Yes",DU50="N/A",DV50="Yes",DV50="N/A",DW50="Yes",DX50="Yes",DY50="Yes",EF50="Yes",EG50="Yes",EH50="Yes"),"Yes","No")</f>
        <v>No</v>
      </c>
      <c r="DS50" s="428" t="str">
        <f>IF(AG50="Yes",DATEDIF(AJ50,Availability!$F$8,"m"),"")</f>
        <v/>
      </c>
      <c r="DT50" s="428" t="str">
        <f t="shared" ref="DT50" si="110">IF(DS50="","No",IF(DS50&gt;12,"Yes","No"))</f>
        <v>No</v>
      </c>
      <c r="DU50" s="647" t="str">
        <f t="shared" ref="DU50" si="111">IFERROR(IF(AND(DQ50/DP50&lt;0.75,DQ50&lt;1.5),"Yes","No"),"N/A")</f>
        <v>No</v>
      </c>
      <c r="DV50" s="648" t="str">
        <f t="shared" ref="DV50" si="112">IFERROR(IF(OR(D50="First Lien",D50="FILO"),IF(AND((DL50-DJ50)&gt;0.75,DL50&gt;4),"Yes","No"),"No"),"N/A")</f>
        <v>No</v>
      </c>
      <c r="DW50" s="648" t="str">
        <f t="array" ref="DW50">_xlfn.IFS(D50&lt;&gt;"Second Lien","No",D50="Second Lien",IF(AND((DM50-DK50)&gt;0.5,DM50&gt;4.5),"Yes","No"))</f>
        <v>No</v>
      </c>
      <c r="DX50" s="685" t="s">
        <v>244</v>
      </c>
      <c r="DY50" s="685" t="s">
        <v>244</v>
      </c>
      <c r="DZ50" s="686" t="s">
        <v>244</v>
      </c>
      <c r="EA50" s="686" t="s">
        <v>244</v>
      </c>
      <c r="EB50" s="686" t="s">
        <v>244</v>
      </c>
      <c r="EC50" s="686" t="s">
        <v>244</v>
      </c>
      <c r="ED50" s="686" t="s">
        <v>244</v>
      </c>
      <c r="EE50" s="686" t="s">
        <v>244</v>
      </c>
      <c r="EF50" s="409" t="str">
        <f t="shared" ref="EF50" si="113">IF(OR(DZ50="Yes",EA50="Yes",EB50="Yes",EC50="Yes",ED50="Yes",EE50="Yes"),"Yes","No")</f>
        <v>No</v>
      </c>
      <c r="EG50" s="686" t="s">
        <v>244</v>
      </c>
      <c r="EH50" s="691" t="s">
        <v>244</v>
      </c>
      <c r="EI50" s="856" t="str">
        <f t="array" ref="EI50">IF(D50="First Lien",_xlfn.IFS(CY50&gt;AGENT!$B$23, "&gt; $20MM",CY50&lt;=AGENT!$C$25, "&lt;= $10MM",AND(CY50&lt;=AGENT!$C$24,CY50&gt;AGENT!$B$24),"&lt;= $20MM"), "N/A")</f>
        <v>N/A</v>
      </c>
      <c r="EJ50" s="856" t="str">
        <f t="array" ref="EJ50">IF(D50="FILO",_xlfn.IFS(DI50&gt;AGENT!$B$29, "&gt; 1.25x",DI50&lt;AGENT!$C$27, "&lt; 0.75x",AND(DI50&lt;=AGENT!$C$28,DI50&gt;=AGENT!$B$28),"&lt;= 1.25x"), "N/A")</f>
        <v>&lt;= 1.25x</v>
      </c>
      <c r="EK50" s="429">
        <f t="shared" ref="EK50" si="114">V50</f>
        <v>15000000</v>
      </c>
      <c r="EL50" s="429">
        <f>'Concentration Limits'!$J$49</f>
        <v>49599340.729726665</v>
      </c>
      <c r="EM50" s="429" t="str">
        <f>IF(OR(D50="Second Lien",AND(D50="FILO",DI50&gt;AGENT!$C$57)), "Yes", "No")</f>
        <v>No</v>
      </c>
      <c r="EN50" s="429">
        <f t="shared" ref="EN50" si="115">IF(EM50="Yes",SUMIF(EM:EM,"Yes",EK:EK),0)</f>
        <v>0</v>
      </c>
      <c r="EO50" s="429">
        <f t="shared" ref="EO50" si="116">IF(EN50&gt;EL50,(EN50-EL50)*(EK50/SUMIF(EM:EM,"Yes",EK:EK)),0)</f>
        <v>0</v>
      </c>
      <c r="EP50" s="429">
        <f t="shared" ref="EP50" si="117">MAX(0,EK50-EO50)</f>
        <v>15000000</v>
      </c>
      <c r="EQ50" s="429">
        <f>'Concentration Limits'!$J$50</f>
        <v>24799670.364863332</v>
      </c>
      <c r="ER50" s="429">
        <f t="shared" ref="ER50" si="118">IF(D50="Second Lien",SUMIF(D:D,D50,EP:EP),0)</f>
        <v>0</v>
      </c>
      <c r="ES50" s="429">
        <f t="shared" ref="ES50" si="119">MAX(0,(ER50-EQ50)*IFERROR((EP50/SUMIF($D:$D,D50,EP:EP )),0) )</f>
        <v>0</v>
      </c>
      <c r="ET50" s="429">
        <f t="shared" ref="ET50" si="120">MAX(0,EP50-ES50)</f>
        <v>15000000</v>
      </c>
      <c r="EU50" s="429">
        <f>'Concentration Limits'!$J$51</f>
        <v>74399011.094589993</v>
      </c>
      <c r="EV50" s="429" t="str">
        <f>IF(OR(D50="Second Lien", AND(D50="FILO",DI50&gt;AGENT!$C$59)), "Yes", "No")</f>
        <v>No</v>
      </c>
      <c r="EW50" s="429">
        <f t="shared" ref="EW50" si="121">IF(EV50="Yes",SUMIF(EV:EV,"Yes",ET:ET),0)</f>
        <v>0</v>
      </c>
      <c r="EX50" s="429">
        <f t="shared" ref="EX50" si="122">IF(EW50&gt;EU50,(EW50-EU50)*(ET50/SUMIF(EV:EV,"Yes",ET:ET)),0)</f>
        <v>0</v>
      </c>
      <c r="EY50" s="429">
        <f t="shared" ref="EY50" si="123">MAX(0,ET50-EX50)</f>
        <v>15000000</v>
      </c>
      <c r="EZ50" s="429">
        <f>'Concentration Limits'!$J$52</f>
        <v>37199505.547294997</v>
      </c>
      <c r="FA50" s="429" t="str">
        <f>IF(CY50&gt;'Concentration Limits'!$E$52, "No", "Yes")</f>
        <v>No</v>
      </c>
      <c r="FB50" s="429">
        <f t="shared" ref="FB50" si="124">IF(FA50="Yes",SUMIF(FA:FA,"Yes",EY:EY),0)</f>
        <v>0</v>
      </c>
      <c r="FC50" s="429">
        <f t="shared" ref="FC50" si="125">IF(FB50&gt;EZ50,(FB50-EZ50)*(EY50/SUMIF(FA:FA,"Yes",EY:EY)),0)</f>
        <v>0</v>
      </c>
      <c r="FD50" s="429">
        <f t="shared" ref="FD50" si="126">MAX(0,EY50-FC50)</f>
        <v>15000000</v>
      </c>
      <c r="FE50" s="430">
        <f>'Concentration Limits'!$J$54</f>
        <v>247996703.6486333</v>
      </c>
      <c r="FF50" s="430">
        <f>'Concentration Limits'!$J$55</f>
        <v>247996703.6486333</v>
      </c>
      <c r="FG50" s="430">
        <f>'Concentration Limits'!$J$56</f>
        <v>247996703.6486333</v>
      </c>
      <c r="FH50" s="431">
        <f>'Concentration Limits'!$J$57</f>
        <v>18599752.773647498</v>
      </c>
      <c r="FI50" s="431">
        <f t="shared" si="40"/>
        <v>15000000</v>
      </c>
      <c r="FJ50" s="431">
        <f t="shared" si="41"/>
        <v>15000000</v>
      </c>
      <c r="FK50" s="431">
        <f t="shared" ref="FK50" si="127">INDEX(FL$8:FL$60,MATCH(B50,B$8:B$60,0))</f>
        <v>3</v>
      </c>
      <c r="FL50" s="431">
        <f>IF(FJ50&gt;0,RANK(FJ50,$FJ$9:$FJ$60)+COUNTIF($FJ$9:FJ50,FJ50)-1,0)</f>
        <v>3</v>
      </c>
      <c r="FM50" s="430">
        <f t="shared" ref="FM50" si="128">IF(FK50=1,IF(FI50&gt;FE50,(FI50-FE50)*(V50/SUMIF($B:$B,B50,$FD:$FD)),0),0)</f>
        <v>0</v>
      </c>
      <c r="FN50" s="430">
        <f t="shared" ref="FN50" si="129">IF(FK50=2,IF(FI50&gt;FF50,(FI50-FF50)*(V50/SUMIF($B:$B,B50,$FD:$FD)),0),0)</f>
        <v>0</v>
      </c>
      <c r="FO50" s="430">
        <f t="shared" ref="FO50" si="130">IF(FK50=3,IF(FI50&gt;FG50,(FI50-FG50)*(V50/SUMIF($B:$B,B50,$FD:$FD)),0),0)</f>
        <v>0</v>
      </c>
      <c r="FP50" s="431">
        <f t="shared" ref="FP50" si="131">IF(FK50&gt;0,IF(FI50&gt;FH50,(FI50-FH50)*(FD50/(SUMIF($B:$B,$B50,$FD:$FD))),0),0)</f>
        <v>0</v>
      </c>
      <c r="FQ50" s="431">
        <f t="shared" ref="FQ50" si="132">MAX(0,FD50-FM50-FN50-FO50-FP50)</f>
        <v>15000000</v>
      </c>
      <c r="FR50" s="431">
        <f>'Concentration Limits'!$J$58</f>
        <v>49599340.729726665</v>
      </c>
      <c r="FS50" s="431">
        <f t="shared" ref="FS50" si="133">SUMIF($BR:$BR,$BR50,FQ:FQ)</f>
        <v>61042971.865242489</v>
      </c>
      <c r="FT50" s="431">
        <f>VLOOKUP(BR50,'Concentration Limits'!$E$81:$H$153,4,FALSE)</f>
        <v>1</v>
      </c>
      <c r="FU50" s="431">
        <f t="shared" ref="FU50" si="134">IF(FT50=1,MAX(0,(FS50-FR50)*(FQ50/SUMIF($BR:$BR,BR50,FQ:FQ))),0)</f>
        <v>2812026.7049199226</v>
      </c>
      <c r="FV50" s="431">
        <f t="shared" ref="FV50" si="135">MAX(0,FQ50-FU50)</f>
        <v>12187973.295080077</v>
      </c>
      <c r="FW50" s="431">
        <f>'Concentration Limits'!$J$59</f>
        <v>37199505.547294997</v>
      </c>
      <c r="FX50" s="431">
        <f t="shared" ref="FX50" si="136">SUMIF($BR:$BR,$BR50,FV:FV)</f>
        <v>49599340.729726657</v>
      </c>
      <c r="FY50" s="431">
        <f>VLOOKUP(BR50,'Concentration Limits'!$E$81:$H$153,4,FALSE)</f>
        <v>1</v>
      </c>
      <c r="FZ50" s="431">
        <f t="shared" ref="FZ50" si="137">MAX(0,IF(FY50=2,(FX50-FW50)*(FV50/SUMIF($BR:$BR,BR50,FV:FV)),0))</f>
        <v>0</v>
      </c>
      <c r="GA50" s="431">
        <f t="shared" ref="GA50" si="138">MAX(0,FV50-FZ50)</f>
        <v>12187973.295080077</v>
      </c>
      <c r="GB50" s="431">
        <f>'Concentration Limits'!$J$61</f>
        <v>24799670.364863332</v>
      </c>
      <c r="GC50" s="431">
        <f t="shared" ref="GC50" si="139">SUMIF($BR:$BR,$BR50,GA:GA)</f>
        <v>49599340.729726657</v>
      </c>
      <c r="GD50" s="429">
        <f>VLOOKUP(BR50,'Concentration Limits'!$E$81:$H$153,4,FALSE)</f>
        <v>1</v>
      </c>
      <c r="GE50" s="431">
        <f t="shared" ref="GE50" si="140">IF(GA50=0,0,MAX(0,IF(GD50&lt;3,0,(GC50-GB50)*($GA50/SUMIF($BR:$BR,BR50,GA:GA)))))</f>
        <v>0</v>
      </c>
      <c r="GF50" s="431">
        <f t="shared" ref="GF50" si="141">MAX(0,GA50-GE50)</f>
        <v>12187973.295080077</v>
      </c>
      <c r="GG50" s="431">
        <f>'Concentration Limits'!$J$64</f>
        <v>24799670.364863332</v>
      </c>
      <c r="GH50" s="431">
        <f t="shared" ref="GH50" si="142">IF(BY50="Yes",SUMIF(BY:BY,BY50,GF:GF),0)</f>
        <v>0</v>
      </c>
      <c r="GI50" s="431">
        <f t="shared" ref="GI50" si="143">IFERROR(MAX(0,(GH50-GG50)*(GF50/SUMIF($T:$T,T50,GF:GF ))),0)</f>
        <v>0</v>
      </c>
      <c r="GJ50" s="431">
        <f t="shared" ref="GJ50" si="144">MAX(0,GF50-GI50)</f>
        <v>12187973.295080077</v>
      </c>
      <c r="GK50" s="431">
        <f>'Concentration Limits'!$J$67</f>
        <v>24799670.364863332</v>
      </c>
      <c r="GL50" s="429" t="str">
        <f t="shared" ref="GL50" si="145">IF(OR(BV50="Yes",OR(ISNUMBER(SEARCH("Travel",BR50)),ISNUMBER(SEARCH("Energy",BR50)),ISNUMBER(SEARCH("Leisure",BR50)),ISNUMBER(SEARCH("hotel",BR50)))),"Yes","No")</f>
        <v>No</v>
      </c>
      <c r="GM50" s="431">
        <f t="shared" ref="GM50" si="146">IF(GL50="Yes",SUMIF(GL:GL,"Yes",GJ:GJ),0)</f>
        <v>0</v>
      </c>
      <c r="GN50" s="431">
        <f t="shared" ref="GN50" si="147">IF(GM50&gt;GK50,(GM50-GK50)*(GJ50/SUMIF(GL:GL,"Yes",GJ:GJ)),0)</f>
        <v>0</v>
      </c>
      <c r="GO50" s="431">
        <f t="shared" ref="GO50" si="148">MAX(0,GJ50-GN50)</f>
        <v>12187973.295080077</v>
      </c>
      <c r="GP50" s="431">
        <f>'Concentration Limits'!$J$68</f>
        <v>37199505.547294997</v>
      </c>
      <c r="GQ50" s="429" t="str">
        <f t="shared" ref="GQ50" si="149">IF(BU50="Yes","Yes", "No")</f>
        <v>No</v>
      </c>
      <c r="GR50" s="431">
        <f t="shared" ref="GR50" si="150">IF(GQ50="Yes",SUMIF(GQ:GQ,"Yes",GO:GO),0)</f>
        <v>0</v>
      </c>
      <c r="GS50" s="431">
        <f t="shared" ref="GS50" si="151">IF(GR50&gt;GP50,(GR50-GP50)*(GO50/SUMIF(GQ:GQ,"Yes",GO:GO)),0)</f>
        <v>0</v>
      </c>
      <c r="GT50" s="431">
        <f t="shared" ref="GT50" si="152">MAX(0,GO50-GS50)</f>
        <v>12187973.295080077</v>
      </c>
      <c r="GU50" s="429">
        <f>'Concentration Limits'!$J$69</f>
        <v>37199505.547294997</v>
      </c>
      <c r="GV50" s="429" t="str">
        <f t="shared" ref="GV50" si="153">IF(BW50="Yes", "Yes", "No")</f>
        <v>No</v>
      </c>
      <c r="GW50" s="429">
        <f t="shared" ref="GW50" si="154">IF(GV50="Yes",SUMIF(GV:GV,"Yes",GT:GT),0)</f>
        <v>0</v>
      </c>
      <c r="GX50" s="429">
        <f t="shared" ref="GX50" si="155">IF(GW50&gt;GU50,(GW50-GU50)*(GT50/SUMIF(GV:GV,"Yes",GT:GT)),0)</f>
        <v>0</v>
      </c>
      <c r="GY50" s="429">
        <f t="shared" ref="GY50" si="156">MAX(0,GT50-GX50)</f>
        <v>12187973.295080077</v>
      </c>
      <c r="GZ50" s="429">
        <f>'Concentration Limits'!$J$70</f>
        <v>24799670.364863332</v>
      </c>
      <c r="HA50" s="429" t="str">
        <f t="shared" ref="HA50" si="157">IF(BX50="Yes", "Yes", "No")</f>
        <v>No</v>
      </c>
      <c r="HB50" s="429">
        <f t="shared" ref="HB50" si="158">IF(HA50="Yes",SUMIF(HA:HA,"Yes",GY:GY),0)</f>
        <v>0</v>
      </c>
      <c r="HC50" s="429">
        <f t="shared" ref="HC50" si="159">IF(HB50&gt;GZ50,(HB50-GZ50)*(GY50/SUMIF(HA:HA,"Yes",GY:GY)),0)</f>
        <v>0</v>
      </c>
      <c r="HD50" s="429">
        <f t="shared" ref="HD50" si="160">MAX(0,GY50-HC50)</f>
        <v>12187973.295080077</v>
      </c>
      <c r="HE50" s="431">
        <f t="shared" ref="HE50" si="161">IF(AQ50=0,0,HD50*AQ50/(AQ50+AR50))</f>
        <v>0</v>
      </c>
      <c r="HF50" s="431">
        <f t="shared" ref="HF50" si="162">IF(AR50=0,0,HD50*AR50/(AQ50+AR50))</f>
        <v>0</v>
      </c>
      <c r="HG50" s="431">
        <f t="shared" ref="HG50" si="163">IF(AW50=0,0,HD50*AW50/(AW50+AX50))</f>
        <v>12187973.295080077</v>
      </c>
      <c r="HH50" s="431">
        <f t="shared" ref="HH50" si="164">IF(AX50=0,0,HD50*AX50/(AX50+AW50))</f>
        <v>0</v>
      </c>
      <c r="HI50" s="431">
        <f>IF(BE50=0,0,#REF!*BE50/(BE50+BG50))</f>
        <v>0</v>
      </c>
      <c r="HJ50" s="431">
        <f>IF(BG50=0,0,#REF!*BG50/(BG50+BE50))</f>
        <v>0</v>
      </c>
      <c r="HK50" s="857">
        <f>IF(BF50=0,0,#REF!*BF50/(BF50+BH50))</f>
        <v>0</v>
      </c>
      <c r="HL50" s="431">
        <f>IF(BH50=0,0,#REF!*BH50/(BH50+BF50))</f>
        <v>0</v>
      </c>
      <c r="HM50" s="431">
        <f t="shared" ref="HM50" si="165">IF(D50="Second Lien",HD50,0)</f>
        <v>0</v>
      </c>
      <c r="HN50" s="431" t="b">
        <f t="shared" ref="HN50" si="166">SUM(HE50:HM50)=HD50</f>
        <v>1</v>
      </c>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0.61592342307181047</v>
      </c>
      <c r="V61" s="435">
        <f>SUM(V9:V60)</f>
        <v>247996703.6486333</v>
      </c>
      <c r="W61" s="435">
        <f>SUM(W9:W60)</f>
        <v>345231191.00440776</v>
      </c>
      <c r="X61" s="435"/>
      <c r="Y61" s="435">
        <f>SUM(Y9:Y60)</f>
        <v>345231191.00440776</v>
      </c>
      <c r="Z61" s="435"/>
      <c r="AA61" s="435"/>
      <c r="AB61" s="435"/>
      <c r="AC61" s="435"/>
      <c r="AE61" s="436"/>
      <c r="AF61" s="436"/>
      <c r="AG61" s="343"/>
      <c r="AH61" s="343"/>
      <c r="AI61" s="343"/>
      <c r="AJ61" s="343"/>
      <c r="AK61" s="343"/>
      <c r="AL61" s="434">
        <f>AVERAGE(AL9:AL60)</f>
        <v>0.62557088075131928</v>
      </c>
      <c r="AM61" s="436">
        <f t="shared" ref="AM61:BI61" si="167">SUM(AM9:AM60)</f>
        <v>0</v>
      </c>
      <c r="AN61" s="436">
        <f t="shared" si="167"/>
        <v>0</v>
      </c>
      <c r="AO61" s="436">
        <f t="shared" si="167"/>
        <v>153097953.55428821</v>
      </c>
      <c r="AP61" s="436">
        <f t="shared" si="167"/>
        <v>56801870.473609172</v>
      </c>
      <c r="AQ61" s="436">
        <f t="shared" si="167"/>
        <v>134989734.57689992</v>
      </c>
      <c r="AR61" s="436">
        <f t="shared" si="167"/>
        <v>0</v>
      </c>
      <c r="AS61" s="436">
        <f t="shared" si="167"/>
        <v>0</v>
      </c>
      <c r="AT61" s="436">
        <f t="shared" si="167"/>
        <v>0</v>
      </c>
      <c r="AU61" s="436">
        <f t="shared" si="167"/>
        <v>135331366.97651047</v>
      </c>
      <c r="AV61" s="436">
        <f t="shared" si="167"/>
        <v>0</v>
      </c>
      <c r="AW61" s="436">
        <f t="shared" si="167"/>
        <v>113006969.07173337</v>
      </c>
      <c r="AX61" s="436">
        <f t="shared" si="167"/>
        <v>0</v>
      </c>
      <c r="AY61" s="436">
        <f t="shared" si="167"/>
        <v>0</v>
      </c>
      <c r="AZ61" s="436">
        <f t="shared" si="167"/>
        <v>0</v>
      </c>
      <c r="BA61" s="436">
        <f t="shared" si="167"/>
        <v>0</v>
      </c>
      <c r="BB61" s="436">
        <f t="shared" si="167"/>
        <v>0</v>
      </c>
      <c r="BC61" s="436">
        <f t="shared" si="167"/>
        <v>0</v>
      </c>
      <c r="BD61" s="436">
        <f t="shared" si="167"/>
        <v>0</v>
      </c>
      <c r="BE61" s="436">
        <f t="shared" si="167"/>
        <v>0</v>
      </c>
      <c r="BF61" s="436">
        <f t="shared" si="167"/>
        <v>0</v>
      </c>
      <c r="BG61" s="436">
        <f t="shared" si="167"/>
        <v>0</v>
      </c>
      <c r="BH61" s="436">
        <f t="shared" si="167"/>
        <v>0</v>
      </c>
      <c r="BI61" s="436">
        <f t="shared" si="167"/>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247996703.6486333</v>
      </c>
      <c r="EL61" s="435"/>
      <c r="EM61" s="435"/>
      <c r="EN61" s="435">
        <f>MAX(EN9:EN60)</f>
        <v>4121303.4157976536</v>
      </c>
      <c r="EO61" s="435">
        <f>SUM(EO9:EO60)</f>
        <v>0</v>
      </c>
      <c r="EP61" s="435"/>
      <c r="EQ61" s="435"/>
      <c r="ER61" s="435">
        <f>MAX(ER9:ER60)</f>
        <v>0</v>
      </c>
      <c r="ES61" s="435">
        <f>SUM(ES9:ES60)</f>
        <v>0</v>
      </c>
      <c r="ET61" s="435">
        <f>SUM(ET9:ET60)</f>
        <v>247996703.6486333</v>
      </c>
      <c r="EU61" s="435"/>
      <c r="EV61" s="435"/>
      <c r="EW61" s="435">
        <f>MAX(EW9:EW60)</f>
        <v>53940434.707607172</v>
      </c>
      <c r="EX61" s="435">
        <f>SUM(EX9:EX60)</f>
        <v>0</v>
      </c>
      <c r="EY61" s="435">
        <f>SUM(EY9:EY60)</f>
        <v>247996703.6486333</v>
      </c>
      <c r="EZ61" s="435"/>
      <c r="FA61" s="435"/>
      <c r="FB61" s="435">
        <f>MAX(FB9:FB60)</f>
        <v>0</v>
      </c>
      <c r="FC61" s="435">
        <f>SUM(FC9:FC60)</f>
        <v>0</v>
      </c>
      <c r="FD61" s="435">
        <f>SUM(FD9:FD60)</f>
        <v>247996703.6486333</v>
      </c>
      <c r="FE61" s="435"/>
      <c r="FF61" s="435"/>
      <c r="FG61" s="435"/>
      <c r="FH61" s="335"/>
      <c r="FI61" s="437">
        <f>MAX(FI9:FI60)</f>
        <v>19507632.143256925</v>
      </c>
      <c r="FJ61" s="437"/>
      <c r="FK61" s="437"/>
      <c r="FL61" s="437"/>
      <c r="FM61" s="435">
        <f>SUM(FM9:FM60)</f>
        <v>0</v>
      </c>
      <c r="FN61" s="435">
        <f>SUM(FN9:FN60)</f>
        <v>0</v>
      </c>
      <c r="FO61" s="435">
        <f>SUM(FO9:FO60)</f>
        <v>0</v>
      </c>
      <c r="FP61" s="435">
        <f>SUM(FP9:FP60)</f>
        <v>907879.36960942671</v>
      </c>
      <c r="FQ61" s="435">
        <f>SUM(FQ9:FQ60)</f>
        <v>247088824.27902386</v>
      </c>
      <c r="FR61" s="437"/>
      <c r="FS61" s="437">
        <f>INDEX(FS9:FS60,MATCH(1,FT9:FT60,0))</f>
        <v>61042971.865242489</v>
      </c>
      <c r="FT61" s="437"/>
      <c r="FU61" s="435">
        <f>SUM(FU9:FU60)</f>
        <v>11443631.135515824</v>
      </c>
      <c r="FV61" s="435">
        <f>SUM(FV9:FV60)</f>
        <v>235645193.14350802</v>
      </c>
      <c r="FW61" s="437"/>
      <c r="FX61" s="437">
        <f>INDEX(FX9:FX60,MATCH(2,FY9:FY60,0))</f>
        <v>24394399.03040082</v>
      </c>
      <c r="FY61" s="437"/>
      <c r="FZ61" s="435">
        <f>SUM(FZ9:FZ60)</f>
        <v>0</v>
      </c>
      <c r="GA61" s="435">
        <f>SUM(GA9:GA60)</f>
        <v>235645193.14350802</v>
      </c>
      <c r="GB61" s="437"/>
      <c r="GC61" s="437">
        <f>INDEX(GC9:GC60,MATCH(3,GD9:GD60,0))</f>
        <v>22404509.370220263</v>
      </c>
      <c r="GD61" s="437"/>
      <c r="GE61" s="435">
        <f>SUM(GE9:GE60)</f>
        <v>0</v>
      </c>
      <c r="GF61" s="435">
        <f>SUM(GF9:GF60)</f>
        <v>235645193.14350802</v>
      </c>
      <c r="GG61" s="437"/>
      <c r="GH61" s="437">
        <f>MAX(GH9:GH60)</f>
        <v>0</v>
      </c>
      <c r="GI61" s="435">
        <f>SUM(GI9:GI60)</f>
        <v>0</v>
      </c>
      <c r="GJ61" s="435">
        <f>SUM(GJ9:GJ60)</f>
        <v>235645193.14350802</v>
      </c>
      <c r="GK61" s="437"/>
      <c r="GL61" s="437"/>
      <c r="GM61" s="437">
        <f>MAX(GM9:GM60)</f>
        <v>8077912.1877550166</v>
      </c>
      <c r="GN61" s="435">
        <f>SUM(GN9:GN60)</f>
        <v>0</v>
      </c>
      <c r="GO61" s="435">
        <f>SUM(GO9:GO60)</f>
        <v>235645193.14350802</v>
      </c>
      <c r="GP61" s="437"/>
      <c r="GQ61" s="437"/>
      <c r="GR61" s="437">
        <f>MAX(GR8:GR60)</f>
        <v>0</v>
      </c>
      <c r="GS61" s="435">
        <f>SUM(GS9:GS60)</f>
        <v>0</v>
      </c>
      <c r="GT61" s="435">
        <f>SUM(GT9:GT60)</f>
        <v>235645193.14350802</v>
      </c>
      <c r="GU61" s="437"/>
      <c r="GV61" s="437"/>
      <c r="GW61" s="435">
        <f>MAX(GW9:GW60)</f>
        <v>12656117.589817706</v>
      </c>
      <c r="GX61" s="435">
        <f>SUM(GX9:GX60)</f>
        <v>0</v>
      </c>
      <c r="GY61" s="435">
        <f>SUM(GY9:GY60)</f>
        <v>235645193.14350802</v>
      </c>
      <c r="GZ61" s="435"/>
      <c r="HA61" s="435"/>
      <c r="HB61" s="435">
        <f>MAX(HB9:HB60)</f>
        <v>0</v>
      </c>
      <c r="HC61" s="435">
        <f>SUM(HC9:HC60)</f>
        <v>0</v>
      </c>
      <c r="HD61" s="435">
        <f>SUM(HD9:HD60)</f>
        <v>235645193.14350802</v>
      </c>
      <c r="HE61" s="435">
        <f>SUM(HE9:HE60)</f>
        <v>128557848.69459856</v>
      </c>
      <c r="HF61" s="435"/>
      <c r="HG61" s="435">
        <f>SUM(HG9:HG60)</f>
        <v>107087344.44890948</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W9:CW59 CQ9:CQ59" xr:uid="{00000000-0002-0000-0100-000000000000}">
      <formula1>"N,Y"</formula1>
    </dataValidation>
    <dataValidation type="list" allowBlank="1" showInputMessage="1" showErrorMessage="1" sqref="DX9:DY59 CG9:CH59 CD9:CD59 BZ9:CA59 BV9:BX59 S9:S59 Q9:Q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3.6079387056924844E-2</v>
      </c>
      <c r="K5" s="24">
        <f>SUMIF(Portfolio!$T$9:$T$60, 'Concentration Limits'!D5, Portfolio!$HE$9:$HE$60)</f>
        <v>4666942.9311727853</v>
      </c>
      <c r="L5" s="25">
        <f>K5/K$32</f>
        <v>1.980495705817608E-2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0.10974862403746583</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0.20302970108134752</v>
      </c>
      <c r="K9" s="24">
        <f>SUMIF(Portfolio!$T$9:$T$60, 'Concentration Limits'!D9, Portfolio!$HE$9:$HE$60)</f>
        <v>61662316.406476617</v>
      </c>
      <c r="L9" s="25">
        <f>K9/K$32</f>
        <v>0.26167440796861169</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0.20435592181308354</v>
      </c>
      <c r="K13" s="24">
        <f>SUMIF(Portfolio!$T$9:$T$60, 'Concentration Limits'!D13, Portfolio!$HE$9:$HE$60)</f>
        <v>62228589.356949151</v>
      </c>
      <c r="L13" s="25">
        <f>K13/K$32</f>
        <v>0.264077482450711</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5.4784222222314771E-2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0.1290346089976481</v>
      </c>
      <c r="K17" s="24">
        <f>SUMIF(Portfolio!$T$9:$T$60, 'Concentration Limits'!D17, Portfolio!$HG$9:$HG$60)</f>
        <v>27598469.639210325</v>
      </c>
      <c r="L17" s="25">
        <f>K17/K$32</f>
        <v>0.11711874649784536</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5</v>
      </c>
      <c r="I21" s="24">
        <f>SUMIF(Portfolio!$T$9:$T$60, 'Concentration Limits'!$D$21, Portfolio!$AU$9:$AU$60)</f>
        <v>52226552.291079536</v>
      </c>
      <c r="J21" s="25">
        <f t="shared" si="0"/>
        <v>0.15127993545175566</v>
      </c>
      <c r="K21" s="63">
        <f>SUMIF(Portfolio!$T$9:$T$60, 'Concentration Limits'!$D$21, Portfolio!$HG$9:$HG$60)</f>
        <v>45692683.815162085</v>
      </c>
      <c r="L21" s="64">
        <f>K21/K$32</f>
        <v>0.19390458683082584</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0.11168759933945975</v>
      </c>
      <c r="K25" s="63">
        <f>SUMIF(Portfolio!$T$9:$T$60, 'Concentration Limits'!$D$25, Portfolio!$HG$9:$HG$60)</f>
        <v>33796190.994537078</v>
      </c>
      <c r="L25" s="64">
        <f>K25/K$32</f>
        <v>0.14341981919383001</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42</v>
      </c>
      <c r="I32" s="859">
        <f>SUM(I5:I31)</f>
        <v>345231191.00440776</v>
      </c>
      <c r="J32" s="860">
        <f>SUM(J5:J31)</f>
        <v>1</v>
      </c>
      <c r="K32" s="859">
        <f>SUM(K5:K31)</f>
        <v>235645193.14350805</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42</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0.60995203662128927</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247996703.6486333</v>
      </c>
    </row>
    <row r="44" spans="2:19" x14ac:dyDescent="0.4">
      <c r="B44" s="12"/>
      <c r="D44" s="1" t="s">
        <v>273</v>
      </c>
      <c r="F44" s="13"/>
      <c r="G44" s="13"/>
      <c r="H44" s="13"/>
      <c r="I44" s="34"/>
      <c r="J44" s="13"/>
      <c r="K44" s="13"/>
      <c r="L44" s="13"/>
      <c r="M44" s="56">
        <f>K49+K50+K51+K52+K57+K58+K59+K61+K64+K67+K68+K69+K70</f>
        <v>12351510.505125251</v>
      </c>
    </row>
    <row r="45" spans="2:19" x14ac:dyDescent="0.4">
      <c r="B45" s="12"/>
      <c r="D45" s="12"/>
      <c r="I45" s="7"/>
      <c r="L45" s="176"/>
      <c r="M45" s="55">
        <f>M43-M44</f>
        <v>235645193.14350805</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49599340.729726665</v>
      </c>
      <c r="K49" s="624">
        <f>Portfolio!EO61</f>
        <v>0</v>
      </c>
      <c r="L49" s="625">
        <f>Portfolio!EN61</f>
        <v>4121303.4157976536</v>
      </c>
      <c r="M49" s="25">
        <f t="shared" ref="M49:M59" si="2">L49/$M$43</f>
        <v>1.66183798218415E-2</v>
      </c>
      <c r="O49" s="146"/>
      <c r="P49" s="146"/>
      <c r="Q49" s="146"/>
      <c r="R49" s="146"/>
      <c r="S49" s="146"/>
    </row>
    <row r="50" spans="2:19" x14ac:dyDescent="0.4">
      <c r="B50" s="12"/>
      <c r="D50" s="12" t="s">
        <v>283</v>
      </c>
      <c r="E50" s="38" t="s">
        <v>284</v>
      </c>
      <c r="F50" s="11"/>
      <c r="G50" s="11"/>
      <c r="H50" s="40">
        <f>AGENT!D58</f>
        <v>0.1</v>
      </c>
      <c r="I50" s="39"/>
      <c r="J50" s="623">
        <f t="shared" si="1"/>
        <v>24799670.364863332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74399011.094589993</v>
      </c>
      <c r="K51" s="624">
        <f>Portfolio!EX61</f>
        <v>0</v>
      </c>
      <c r="L51" s="625">
        <f>Portfolio!EW61</f>
        <v>53940434.707607172</v>
      </c>
      <c r="M51" s="25">
        <f t="shared" si="2"/>
        <v>0.21750464386829538</v>
      </c>
      <c r="N51" s="5"/>
      <c r="O51" s="5"/>
      <c r="P51" s="5"/>
      <c r="Q51" s="32"/>
      <c r="R51" s="32"/>
      <c r="S51" s="32"/>
    </row>
    <row r="52" spans="2:19" x14ac:dyDescent="0.4">
      <c r="B52" s="12"/>
      <c r="D52" s="12" t="s">
        <v>287</v>
      </c>
      <c r="E52" s="191">
        <f>AGENT!C60</f>
        <v>5</v>
      </c>
      <c r="F52" s="52"/>
      <c r="G52" s="52"/>
      <c r="H52" s="40">
        <f>AGENT!D60</f>
        <v>0.15</v>
      </c>
      <c r="I52" s="39"/>
      <c r="J52" s="623">
        <f t="shared" si="1"/>
        <v>37199505.547294997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247996703.6486333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247996703.6486333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247996703.6486333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247996703.6486333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18599752.773647498</v>
      </c>
      <c r="K57" s="624">
        <f>Portfolio!FP61</f>
        <v>907879.36960942671</v>
      </c>
      <c r="L57" s="625">
        <f>IF(K57=0,Portfolio!FI61,K57+J57)</f>
        <v>19507632.143256925</v>
      </c>
      <c r="M57" s="25">
        <f t="shared" si="2"/>
        <v>7.8660852568813694E-2</v>
      </c>
      <c r="N57" s="5"/>
      <c r="O57" s="5"/>
      <c r="P57" s="5"/>
      <c r="Q57" s="32"/>
      <c r="R57" s="32"/>
      <c r="S57" s="32"/>
    </row>
    <row r="58" spans="2:19" x14ac:dyDescent="0.4">
      <c r="B58" s="12"/>
      <c r="D58" s="12" t="s">
        <v>293</v>
      </c>
      <c r="E58" s="1" t="s">
        <v>294</v>
      </c>
      <c r="H58" s="40">
        <f>AGENT!D62</f>
        <v>0.2</v>
      </c>
      <c r="I58" s="41"/>
      <c r="J58" s="623">
        <f t="shared" si="1"/>
        <v>49599340.729726665</v>
      </c>
      <c r="K58" s="624">
        <f>Portfolio!FU61</f>
        <v>11443631.135515824</v>
      </c>
      <c r="L58" s="625">
        <f>Portfolio!FS61</f>
        <v>61042971.865242489</v>
      </c>
      <c r="M58" s="25">
        <f t="shared" si="2"/>
        <v>0.24614428727137194</v>
      </c>
      <c r="N58" s="5"/>
      <c r="O58" s="5"/>
      <c r="P58" s="5"/>
      <c r="Q58" s="32"/>
      <c r="R58" s="32"/>
      <c r="S58" s="32"/>
    </row>
    <row r="59" spans="2:19" x14ac:dyDescent="0.4">
      <c r="B59" s="12"/>
      <c r="D59" s="12" t="s">
        <v>295</v>
      </c>
      <c r="E59" s="1" t="s">
        <v>296</v>
      </c>
      <c r="H59" s="40">
        <f>AGENT!D63</f>
        <v>0.15</v>
      </c>
      <c r="I59" s="41"/>
      <c r="J59" s="623">
        <f t="shared" si="1"/>
        <v>37199505.547294997</v>
      </c>
      <c r="K59" s="624">
        <f>Portfolio!FZ61</f>
        <v>0</v>
      </c>
      <c r="L59" s="625">
        <f>Portfolio!FX61</f>
        <v>24394399.03040082</v>
      </c>
      <c r="M59" s="25">
        <f t="shared" si="2"/>
        <v>9.8365819672197305E-2</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24799670.364863332</v>
      </c>
      <c r="K61" s="624">
        <f>Portfolio!GE61</f>
        <v>0</v>
      </c>
      <c r="L61" s="625">
        <f>IF(K61=0,Portfolio!GC61,K61+J61 )</f>
        <v>22404509.370220263</v>
      </c>
      <c r="M61" s="25">
        <f>L61/$M$43</f>
        <v>9.0341964391443763E-2</v>
      </c>
      <c r="N61" s="5"/>
      <c r="O61" s="32"/>
      <c r="Q61" s="32"/>
      <c r="R61" s="32"/>
      <c r="S61" s="32"/>
    </row>
    <row r="62" spans="2:19" hidden="1" outlineLevel="1" x14ac:dyDescent="0.4">
      <c r="B62" s="12"/>
      <c r="D62" s="12"/>
      <c r="E62" s="177" t="s">
        <v>284</v>
      </c>
      <c r="F62" s="185"/>
      <c r="G62" s="185"/>
      <c r="H62" s="180">
        <v>1</v>
      </c>
      <c r="I62" s="186"/>
      <c r="J62" s="626">
        <f>MAX(H62*M$43,0)</f>
        <v>247996703.6486333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247996703.6486333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24799670.364863332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24799670.364863332</v>
      </c>
      <c r="K67" s="624">
        <f>Portfolio!GN61</f>
        <v>0</v>
      </c>
      <c r="L67" s="629">
        <f>Portfolio!GM61</f>
        <v>8077912.1877550166</v>
      </c>
      <c r="M67" s="25">
        <f>L67/$M$43</f>
        <v>3.2572659510829487E-2</v>
      </c>
      <c r="N67" s="5"/>
    </row>
    <row r="68" spans="2:14" x14ac:dyDescent="0.4">
      <c r="D68" s="2" t="s">
        <v>304</v>
      </c>
      <c r="E68" s="34" t="s">
        <v>305</v>
      </c>
      <c r="H68" s="40">
        <f>AGENT!D67</f>
        <v>0.15</v>
      </c>
      <c r="I68" s="41"/>
      <c r="J68" s="623">
        <f>MAX(H68*M$43,0)</f>
        <v>37199505.547294997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37199505.547294997</v>
      </c>
      <c r="K69" s="624">
        <f>Portfolio!GX61</f>
        <v>0</v>
      </c>
      <c r="L69" s="625">
        <f>Portfolio!GW61</f>
        <v>12656117.589817706</v>
      </c>
      <c r="M69" s="25">
        <f>L69/$M$43</f>
        <v>5.103341053979954E-2</v>
      </c>
      <c r="N69" s="5"/>
    </row>
    <row r="70" spans="2:14" x14ac:dyDescent="0.4">
      <c r="D70" s="2" t="s">
        <v>308</v>
      </c>
      <c r="E70" s="1" t="s">
        <v>309</v>
      </c>
      <c r="H70" s="40">
        <f>AGENT!D69</f>
        <v>0.1</v>
      </c>
      <c r="I70" s="41"/>
      <c r="J70" s="623">
        <f>MAX(H70*M$43,0)</f>
        <v>24799670.364863332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7.2078806420111568E-3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7.4650454284784354E-2</v>
      </c>
      <c r="H91" s="23">
        <f t="shared" si="4"/>
        <v>4</v>
      </c>
    </row>
    <row r="92" spans="2:8" x14ac:dyDescent="0.4">
      <c r="B92" s="12"/>
      <c r="D92" s="44">
        <f t="shared" si="5"/>
        <v>12</v>
      </c>
      <c r="E92" s="45" t="s">
        <v>325</v>
      </c>
      <c r="F92" s="46">
        <f>SUMIF(Portfolio!$BR$9:$BR$60, 'Concentration Limits'!E92, Portfolio!$V$9:$V$60)</f>
        <v>13322967.211468514</v>
      </c>
      <c r="G92" s="25">
        <f t="shared" si="3"/>
        <v>5.0983407286629409E-2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61042971.865242489</v>
      </c>
      <c r="G94" s="25">
        <f t="shared" si="3"/>
        <v>0.23359501282213846</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4.3350959167554493E-2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2.6080405262980739E-2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6.1597380200875407E-2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3.0911994344580161E-2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4.8431553385023175E-2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5.4968069201236522E-2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5.2260367735847017E-2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1.5771118194940651E-2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9.3350795024766536E-2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3.9536101363572843E-2</v>
      </c>
      <c r="H146" s="23">
        <f t="shared" si="10"/>
        <v>12</v>
      </c>
    </row>
    <row r="147" spans="2:13" x14ac:dyDescent="0.4">
      <c r="B147" s="12"/>
      <c r="D147" s="44">
        <f t="shared" si="11"/>
        <v>67</v>
      </c>
      <c r="E147" s="2" t="s">
        <v>380</v>
      </c>
      <c r="F147" s="46">
        <f>SUMIF(Portfolio!$BR$9:$BR$60, 'Concentration Limits'!E147, Portfolio!$V$9:$V$60)</f>
        <v>7992480.5747497557</v>
      </c>
      <c r="G147" s="25">
        <f t="shared" si="9"/>
        <v>3.0585070570628994E-2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8.5736023225800623E-2</v>
      </c>
      <c r="H150" s="23">
        <f t="shared" si="10"/>
        <v>3</v>
      </c>
    </row>
    <row r="151" spans="2:13" x14ac:dyDescent="0.4">
      <c r="B151" s="12"/>
      <c r="D151" s="44">
        <f t="shared" si="11"/>
        <v>71</v>
      </c>
      <c r="E151" s="2" t="s">
        <v>325</v>
      </c>
      <c r="F151" s="46">
        <f>SUMIF(Portfolio!$BR$9:$BR$60, 'Concentration Limits'!E151, Portfolio!$V$9:$V$60)</f>
        <v>13322967.211468514</v>
      </c>
      <c r="G151" s="25">
        <f t="shared" si="9"/>
        <v>5.0983407286629409E-2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261319670.86010182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344363620.89276171</v>
      </c>
      <c r="AR1" s="208">
        <f>SUM(AR6:AR55)</f>
        <v>344363620.89276171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6"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6" si="3">IF($D5=$AQ$3,$M5-$AP5,0)</f>
        <v>867570.11164605082</v>
      </c>
      <c r="AR5" s="249">
        <f t="shared" ref="AR5:AR46"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6"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6" si="10">+E6+1</f>
        <v>3</v>
      </c>
      <c r="F7" s="287">
        <f t="shared" ref="F7:F46"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t="str">
        <f t="shared" ref="A46" si="12">CONCATENATE(C46,E46)</f>
        <v>smc42</v>
      </c>
      <c r="B46" s="228">
        <f t="shared" si="1"/>
        <v>46022</v>
      </c>
      <c r="C46" s="259" t="s">
        <v>60</v>
      </c>
      <c r="D46" s="260" t="s">
        <v>1</v>
      </c>
      <c r="E46" s="261">
        <f t="shared" si="10"/>
        <v>42</v>
      </c>
      <c r="F46" s="287">
        <f t="shared" si="11"/>
        <v>100042</v>
      </c>
      <c r="G46" s="230" t="s">
        <v>2603</v>
      </c>
      <c r="H46" s="230" t="s">
        <v>240</v>
      </c>
      <c r="I46" s="231"/>
      <c r="J46" s="232" t="s">
        <v>240</v>
      </c>
      <c r="K46" s="232" t="s">
        <v>690</v>
      </c>
      <c r="L46" s="264" t="s">
        <v>102</v>
      </c>
      <c r="M46" s="233">
        <f>INDEX('SM Support'!$D$3:$D$64,MATCH('Loan Tape - Settled'!G46,'SM Support'!$B$3:$B$62,0))</f>
        <v>15000000</v>
      </c>
      <c r="N46" s="234">
        <f t="shared" ref="N46" si="13">M46</f>
        <v>15000000</v>
      </c>
      <c r="O46" s="235"/>
      <c r="P46" s="235"/>
      <c r="Q46" s="236">
        <v>1</v>
      </c>
      <c r="R46" s="268"/>
      <c r="S46" s="238">
        <f>INDEX('SM Support'!$E$3:$E$64,MATCH('Loan Tape - Settled'!G46,'SM Support'!$B$3:$B$64,0))/INDEX('SM Support'!$D$3:$D$64,MATCH('Loan Tape - Settled'!G46,'SM Support'!$B$3:$B$64,0))</f>
        <v>1</v>
      </c>
      <c r="T46" s="230" t="s">
        <v>393</v>
      </c>
      <c r="U46" s="277">
        <v>46092</v>
      </c>
      <c r="V46" s="293">
        <v>47918</v>
      </c>
      <c r="W46" s="230" t="s">
        <v>691</v>
      </c>
      <c r="X46" s="278" t="s">
        <v>327</v>
      </c>
      <c r="Y46" s="713" t="s">
        <v>692</v>
      </c>
      <c r="Z46" s="714" t="s">
        <v>244</v>
      </c>
      <c r="AA46" s="715"/>
      <c r="AB46" s="715"/>
      <c r="AC46" s="716"/>
      <c r="AD46" s="717">
        <v>0</v>
      </c>
      <c r="AE46" s="717">
        <v>7.4999999999999997E-2</v>
      </c>
      <c r="AF46" s="717">
        <v>0.02</v>
      </c>
      <c r="AG46" s="243"/>
      <c r="AH46" s="243"/>
      <c r="AI46" s="244"/>
      <c r="AJ46" s="245"/>
      <c r="AK46" s="245"/>
      <c r="AL46" s="245"/>
      <c r="AM46" s="245"/>
      <c r="AN46" s="281">
        <v>45996</v>
      </c>
      <c r="AO46" s="281">
        <v>46092</v>
      </c>
      <c r="AP46" s="247">
        <v>0</v>
      </c>
      <c r="AQ46" s="248">
        <f t="shared" si="3"/>
        <v>15000000</v>
      </c>
      <c r="AR46" s="249">
        <f t="shared" si="4"/>
        <v>15000000</v>
      </c>
      <c r="AT46" s="250" t="s">
        <v>693</v>
      </c>
      <c r="AU46" s="267" t="str">
        <f t="shared" si="9"/>
        <v>9/30/2025 or Latest Financing</v>
      </c>
      <c r="AV46" s="250">
        <v>11.6</v>
      </c>
      <c r="AW46" s="252">
        <f t="shared" ref="AW46" si="14">AV46</f>
        <v>11.6</v>
      </c>
      <c r="AX46" s="279">
        <v>2</v>
      </c>
      <c r="AY46" s="280">
        <f t="shared" ref="AY46" si="15">AX46</f>
        <v>2</v>
      </c>
      <c r="AZ46" s="255">
        <f>INDEX('SM Support'!$G$3:$G$64,MATCH('Loan Tape - Settled'!G46,'SM Support'!$B$3:$B$64,0))/1000000</f>
        <v>20</v>
      </c>
      <c r="BA46" s="252">
        <f t="shared" ref="BA46" si="16">AZ46</f>
        <v>20</v>
      </c>
      <c r="BB46" s="256"/>
      <c r="BC46" s="257">
        <f>INDEX('SM Support'!$M$3:$M$64,MATCH('Loan Tape - Settled'!G46,'SM Support'!$B$3:$B$64,0))</f>
        <v>3.75</v>
      </c>
      <c r="BD46" s="280">
        <f t="shared" ref="BD46" si="17">BC46</f>
        <v>3.75</v>
      </c>
      <c r="BE46" s="286">
        <v>1.74</v>
      </c>
      <c r="BF46" s="285">
        <f>INDEX('SM Support'!O$3:O$64,MATCH('Loan Tape - Settled'!$G46,'SM Support'!$B$3:$B$64,0))</f>
        <v>3</v>
      </c>
      <c r="BG46" s="640"/>
      <c r="BH46" s="640"/>
      <c r="BI46" s="258">
        <f>INDEX('SM Support'!$M$3:$M$144,MATCH('Loan Tape - Settled'!G46,'SM Support'!$B$3:$B$144,0))</f>
        <v>3.75</v>
      </c>
      <c r="BJ46" s="258">
        <f>INDEX('SM Support'!$N$3:$N$144,MATCH('Loan Tape - Settled'!G46,'SM Support'!$B$3:$B$144,0))</f>
        <v>0.75</v>
      </c>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10" t="e">
        <f>IF(VLOOKUP(B43,Portfolio!$B$9:$V$49,21,FALSE)=0,"No","Yes")</f>
        <v>#N/A</v>
      </c>
      <c r="B43" s="611" t="s">
        <v>2603</v>
      </c>
      <c r="C43" s="194" t="s">
        <v>240</v>
      </c>
      <c r="D43" s="664">
        <v>15000000</v>
      </c>
      <c r="E43" s="668">
        <v>15000000</v>
      </c>
      <c r="F43" s="705">
        <v>56000000</v>
      </c>
      <c r="G43" s="705">
        <v>20000000</v>
      </c>
      <c r="H43" s="705">
        <v>0</v>
      </c>
      <c r="I43" s="705">
        <v>15000000</v>
      </c>
      <c r="J43" s="705">
        <v>0</v>
      </c>
      <c r="K43" s="705">
        <v>60000000</v>
      </c>
      <c r="L43" s="705">
        <v>0</v>
      </c>
      <c r="M43" s="199">
        <f t="shared" ref="M43" si="10">IF(SUM(H43:K43,-L43)/G43&lt;0,"N/M",SUM(H43:K43,-L43)/G43)</f>
        <v>3.75</v>
      </c>
      <c r="N43" s="199">
        <f t="shared" ref="N43" si="11">IF(G43&lt;0,"N/A",IFERROR(((SUM(H43:I43))-L43)/G43,0))</f>
        <v>0.75</v>
      </c>
      <c r="O43" s="712">
        <v>3</v>
      </c>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395231191.00440782</v>
      </c>
      <c r="E64" s="873">
        <f>SUM(E3:E62)</f>
        <v>361151280.98247892</v>
      </c>
      <c r="F64" s="873">
        <f>SUMPRODUCT(F3:F62,$D$3:$D$62)/SUM($D$3:$D$62)</f>
        <v>185437102.3956551</v>
      </c>
      <c r="G64" s="873">
        <f>SUMPRODUCT(G3:G62,$D$3:$D$62)/SUM($D$3:$D$62)</f>
        <v>23086081.546025813</v>
      </c>
      <c r="H64" s="873"/>
      <c r="I64" s="873"/>
      <c r="J64" s="873"/>
      <c r="K64" s="873"/>
      <c r="L64" s="873"/>
      <c r="M64" s="874">
        <f>SUMPRODUCT(M3:M62,$D$3:$D$62)/SUM($D$3:$D$62)</f>
        <v>5.7579242340088079</v>
      </c>
      <c r="N64" s="875">
        <f>SUMPRODUCT(N3:N62,$D$3:$D$62)/SUM($D$3:$D$62)</f>
        <v>0.77281977125934143</v>
      </c>
      <c r="O64" s="874">
        <f>SUMPRODUCT(O3:O62,$D$3:$D$62)/SUM($D$3:$D$62)</f>
        <v>1.7628742466478491</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2">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2"/>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2"/>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2"/>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2"/>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2"/>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2"/>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2"/>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2"/>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2"/>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2"/>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2"/>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2"/>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2"/>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2"/>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2"/>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2"/>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2"/>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2"/>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2"/>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2"/>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2"/>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2"/>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2"/>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2"/>
        <v>4.3783963249569178</v>
      </c>
    </row>
    <row r="92" spans="5:13" x14ac:dyDescent="0.45">
      <c r="E92" s="154" t="s">
        <v>707</v>
      </c>
      <c r="F92" s="705">
        <v>30464594</v>
      </c>
      <c r="G92" s="705">
        <v>9544317</v>
      </c>
      <c r="H92" s="705">
        <v>1600000</v>
      </c>
      <c r="I92" s="705">
        <v>0</v>
      </c>
      <c r="J92" s="705">
        <v>0</v>
      </c>
      <c r="K92" s="705">
        <v>21326249.999999981</v>
      </c>
      <c r="L92" s="705">
        <v>1580173</v>
      </c>
      <c r="M92" s="199">
        <f t="shared" si="12"/>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2"/>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2"/>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2"/>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2"/>
        <v>6.2929328994173792</v>
      </c>
    </row>
    <row r="97" spans="5:13" x14ac:dyDescent="0.45">
      <c r="E97" s="154" t="s">
        <v>603</v>
      </c>
      <c r="F97" s="705">
        <v>123242000</v>
      </c>
      <c r="G97" s="705">
        <v>19440000</v>
      </c>
      <c r="H97" s="705">
        <v>13971000</v>
      </c>
      <c r="I97" s="705">
        <v>0</v>
      </c>
      <c r="J97" s="705">
        <v>0</v>
      </c>
      <c r="K97" s="705">
        <v>87544537.166724801</v>
      </c>
      <c r="L97" s="705">
        <v>226000</v>
      </c>
      <c r="M97" s="199">
        <f t="shared" si="12"/>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2"/>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2"/>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2"/>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2"/>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2"/>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2"/>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2"/>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2"/>
        <v>2.541914072624246</v>
      </c>
    </row>
    <row r="106" spans="5:13" x14ac:dyDescent="0.45">
      <c r="E106" s="154" t="s">
        <v>711</v>
      </c>
      <c r="F106" s="705">
        <v>50100000</v>
      </c>
      <c r="G106" s="705">
        <v>11600000</v>
      </c>
      <c r="H106" s="705">
        <v>0</v>
      </c>
      <c r="I106" s="705">
        <v>10000000</v>
      </c>
      <c r="J106" s="705">
        <v>0</v>
      </c>
      <c r="K106" s="705">
        <v>15000000</v>
      </c>
      <c r="L106" s="705">
        <v>2058000</v>
      </c>
      <c r="M106" s="199">
        <f t="shared" si="12"/>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2"/>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3">F3-F67</f>
        <v>-4753682.9936000109</v>
      </c>
      <c r="G110" s="154">
        <f t="shared" si="13"/>
        <v>-8001976.7496334016</v>
      </c>
      <c r="H110" s="154">
        <f t="shared" si="13"/>
        <v>0</v>
      </c>
      <c r="I110" s="154">
        <f t="shared" si="13"/>
        <v>-3271000</v>
      </c>
      <c r="J110" s="154">
        <f t="shared" si="13"/>
        <v>-7165406.0099999905</v>
      </c>
      <c r="K110" s="154">
        <f t="shared" si="13"/>
        <v>-37593.990000000224</v>
      </c>
      <c r="L110" s="154">
        <f t="shared" si="13"/>
        <v>11973000</v>
      </c>
      <c r="M110" s="199">
        <f t="shared" ref="M110:M149" si="14">IFERROR(M3-M67,"N/A")</f>
        <v>1.7477766054810076</v>
      </c>
    </row>
    <row r="111" spans="5:13" x14ac:dyDescent="0.45">
      <c r="E111" s="154" t="s">
        <v>593</v>
      </c>
      <c r="F111" s="154">
        <f t="shared" si="13"/>
        <v>-4076256.4899999946</v>
      </c>
      <c r="G111" s="154">
        <f t="shared" si="13"/>
        <v>-1174009.01999998</v>
      </c>
      <c r="H111" s="154">
        <f t="shared" si="13"/>
        <v>0</v>
      </c>
      <c r="I111" s="154">
        <f t="shared" si="13"/>
        <v>333845.60194622912</v>
      </c>
      <c r="J111" s="154">
        <f t="shared" si="13"/>
        <v>0</v>
      </c>
      <c r="K111" s="154">
        <f t="shared" si="13"/>
        <v>-4631720.2307158709</v>
      </c>
      <c r="L111" s="154">
        <f t="shared" si="13"/>
        <v>134444.43999999994</v>
      </c>
      <c r="M111" s="199">
        <f t="shared" si="14"/>
        <v>5.0933991321100223</v>
      </c>
    </row>
    <row r="112" spans="5:13" x14ac:dyDescent="0.45">
      <c r="E112" s="154" t="s">
        <v>697</v>
      </c>
      <c r="F112" s="154">
        <f t="shared" si="13"/>
        <v>-580012.39999999851</v>
      </c>
      <c r="G112" s="154">
        <f t="shared" si="13"/>
        <v>2062558.3000000019</v>
      </c>
      <c r="H112" s="154">
        <f t="shared" si="13"/>
        <v>-1640137</v>
      </c>
      <c r="I112" s="154">
        <f t="shared" si="13"/>
        <v>0</v>
      </c>
      <c r="J112" s="154">
        <f t="shared" si="13"/>
        <v>3970.7357460758649</v>
      </c>
      <c r="K112" s="154">
        <f t="shared" si="13"/>
        <v>281592.76425391994</v>
      </c>
      <c r="L112" s="154">
        <f t="shared" si="13"/>
        <v>-1103577.0300000003</v>
      </c>
      <c r="M112" s="199" t="str">
        <f t="shared" si="14"/>
        <v>N/A</v>
      </c>
    </row>
    <row r="113" spans="5:13" x14ac:dyDescent="0.45">
      <c r="E113" s="154" t="s">
        <v>607</v>
      </c>
      <c r="F113" s="154">
        <f t="shared" si="13"/>
        <v>-92790.890000000014</v>
      </c>
      <c r="G113" s="154">
        <f t="shared" si="13"/>
        <v>-92790.890000000014</v>
      </c>
      <c r="H113" s="154">
        <f t="shared" si="13"/>
        <v>0</v>
      </c>
      <c r="I113" s="154">
        <f t="shared" si="13"/>
        <v>3190000</v>
      </c>
      <c r="J113" s="154">
        <f t="shared" si="13"/>
        <v>-5.4710488766431808E-3</v>
      </c>
      <c r="K113" s="154">
        <f t="shared" si="13"/>
        <v>2711849.2639373913</v>
      </c>
      <c r="L113" s="154">
        <f t="shared" si="13"/>
        <v>49166</v>
      </c>
      <c r="M113" s="199">
        <f t="shared" si="14"/>
        <v>16.933190341333585</v>
      </c>
    </row>
    <row r="114" spans="5:13" x14ac:dyDescent="0.45">
      <c r="E114" s="154" t="s">
        <v>595</v>
      </c>
      <c r="F114" s="154">
        <f t="shared" si="13"/>
        <v>-509550.60000000149</v>
      </c>
      <c r="G114" s="154">
        <f t="shared" si="13"/>
        <v>-4366861.2319218935</v>
      </c>
      <c r="H114" s="154">
        <f t="shared" si="13"/>
        <v>750000</v>
      </c>
      <c r="I114" s="154">
        <f t="shared" si="13"/>
        <v>-225625</v>
      </c>
      <c r="J114" s="154">
        <f t="shared" si="13"/>
        <v>6628198.2887558835</v>
      </c>
      <c r="K114" s="154">
        <f t="shared" si="13"/>
        <v>406360.51007459685</v>
      </c>
      <c r="L114" s="154">
        <f t="shared" si="13"/>
        <v>-789416.54</v>
      </c>
      <c r="M114" s="199">
        <f t="shared" si="14"/>
        <v>24.774173688936074</v>
      </c>
    </row>
    <row r="115" spans="5:13" x14ac:dyDescent="0.45">
      <c r="E115" s="154" t="s">
        <v>450</v>
      </c>
      <c r="F115" s="154">
        <f t="shared" si="13"/>
        <v>0</v>
      </c>
      <c r="G115" s="154">
        <f t="shared" si="13"/>
        <v>0</v>
      </c>
      <c r="H115" s="154">
        <f t="shared" si="13"/>
        <v>0</v>
      </c>
      <c r="I115" s="154">
        <f t="shared" si="13"/>
        <v>0</v>
      </c>
      <c r="J115" s="154">
        <f t="shared" si="13"/>
        <v>0</v>
      </c>
      <c r="K115" s="154">
        <f t="shared" si="13"/>
        <v>0</v>
      </c>
      <c r="L115" s="154">
        <f t="shared" si="13"/>
        <v>0</v>
      </c>
      <c r="M115" s="199" t="str">
        <f t="shared" si="14"/>
        <v>N/A</v>
      </c>
    </row>
    <row r="116" spans="5:13" x14ac:dyDescent="0.45">
      <c r="E116" s="154" t="s">
        <v>694</v>
      </c>
      <c r="F116" s="154">
        <f t="shared" si="13"/>
        <v>4587240.9500002414</v>
      </c>
      <c r="G116" s="154">
        <f t="shared" si="13"/>
        <v>762882.53248476982</v>
      </c>
      <c r="H116" s="154">
        <f t="shared" si="13"/>
        <v>-500000</v>
      </c>
      <c r="I116" s="154">
        <f t="shared" si="13"/>
        <v>-400000</v>
      </c>
      <c r="J116" s="154">
        <f t="shared" si="13"/>
        <v>0</v>
      </c>
      <c r="K116" s="154">
        <f t="shared" si="13"/>
        <v>-19207999.99999997</v>
      </c>
      <c r="L116" s="154">
        <f t="shared" si="13"/>
        <v>-1201966.5099999821</v>
      </c>
      <c r="M116" s="199">
        <f t="shared" si="14"/>
        <v>-1.3212490323206119</v>
      </c>
    </row>
    <row r="117" spans="5:13" x14ac:dyDescent="0.45">
      <c r="E117" s="154" t="s">
        <v>738</v>
      </c>
      <c r="F117" s="154">
        <f t="shared" si="13"/>
        <v>-19813866.154449016</v>
      </c>
      <c r="G117" s="154">
        <f t="shared" si="13"/>
        <v>-3218999.2417942304</v>
      </c>
      <c r="H117" s="154">
        <f t="shared" si="13"/>
        <v>-1993954.2599999979</v>
      </c>
      <c r="I117" s="154">
        <f t="shared" si="13"/>
        <v>-930944.86000000034</v>
      </c>
      <c r="J117" s="154">
        <f t="shared" si="13"/>
        <v>0</v>
      </c>
      <c r="K117" s="154">
        <f t="shared" si="13"/>
        <v>-200000.00000002235</v>
      </c>
      <c r="L117" s="154">
        <f t="shared" si="13"/>
        <v>-1535637.6357200001</v>
      </c>
      <c r="M117" s="199">
        <f t="shared" si="14"/>
        <v>1.1977305352932275</v>
      </c>
    </row>
    <row r="118" spans="5:13" x14ac:dyDescent="0.45">
      <c r="E118" s="154" t="s">
        <v>706</v>
      </c>
      <c r="F118" s="154">
        <f t="shared" si="13"/>
        <v>-2985000</v>
      </c>
      <c r="G118" s="154">
        <f t="shared" si="13"/>
        <v>-1700000</v>
      </c>
      <c r="H118" s="154">
        <f t="shared" si="13"/>
        <v>200000</v>
      </c>
      <c r="I118" s="154">
        <f t="shared" si="13"/>
        <v>4900069.7204181999</v>
      </c>
      <c r="J118" s="154">
        <f t="shared" si="13"/>
        <v>0</v>
      </c>
      <c r="K118" s="154">
        <f t="shared" si="13"/>
        <v>19719430.279581815</v>
      </c>
      <c r="L118" s="154">
        <f t="shared" si="13"/>
        <v>-568000</v>
      </c>
      <c r="M118" s="199">
        <f t="shared" si="14"/>
        <v>0.987504553782518</v>
      </c>
    </row>
    <row r="119" spans="5:13" x14ac:dyDescent="0.45">
      <c r="E119" s="154" t="s">
        <v>600</v>
      </c>
      <c r="F119" s="154">
        <f t="shared" si="13"/>
        <v>3652385.3800000027</v>
      </c>
      <c r="G119" s="154">
        <f t="shared" si="13"/>
        <v>1299337.9450000003</v>
      </c>
      <c r="H119" s="154">
        <f t="shared" si="13"/>
        <v>0</v>
      </c>
      <c r="I119" s="154">
        <f t="shared" si="13"/>
        <v>0</v>
      </c>
      <c r="J119" s="154">
        <f t="shared" si="13"/>
        <v>7224950</v>
      </c>
      <c r="K119" s="154">
        <f t="shared" si="13"/>
        <v>2375000.0048979595</v>
      </c>
      <c r="L119" s="154">
        <f t="shared" si="13"/>
        <v>-201800</v>
      </c>
      <c r="M119" s="199">
        <f t="shared" si="14"/>
        <v>0.71044026217405909</v>
      </c>
    </row>
    <row r="120" spans="5:13" x14ac:dyDescent="0.45">
      <c r="E120" s="154" t="s">
        <v>482</v>
      </c>
      <c r="F120" s="154">
        <f t="shared" ref="F120:L129" si="15">F13-F77</f>
        <v>4150937.9010000974</v>
      </c>
      <c r="G120" s="154">
        <f t="shared" si="15"/>
        <v>-4126520.5602000393</v>
      </c>
      <c r="H120" s="154">
        <f t="shared" si="15"/>
        <v>-6313.9200000001583</v>
      </c>
      <c r="I120" s="154">
        <f t="shared" si="15"/>
        <v>0</v>
      </c>
      <c r="J120" s="154">
        <f t="shared" si="15"/>
        <v>-234026.63462503254</v>
      </c>
      <c r="K120" s="154">
        <f t="shared" si="15"/>
        <v>-325348.36537500471</v>
      </c>
      <c r="L120" s="154">
        <f t="shared" si="15"/>
        <v>-676056.38999999966</v>
      </c>
      <c r="M120" s="199">
        <f t="shared" si="14"/>
        <v>0.63942863076973477</v>
      </c>
    </row>
    <row r="121" spans="5:13" x14ac:dyDescent="0.45">
      <c r="E121" s="154" t="s">
        <v>605</v>
      </c>
      <c r="F121" s="154">
        <f t="shared" si="15"/>
        <v>-2786852.1899999976</v>
      </c>
      <c r="G121" s="154">
        <f t="shared" si="15"/>
        <v>-6084806.526031021</v>
      </c>
      <c r="H121" s="154">
        <f t="shared" si="15"/>
        <v>7205348.9199999999</v>
      </c>
      <c r="I121" s="154">
        <f t="shared" si="15"/>
        <v>0</v>
      </c>
      <c r="J121" s="154">
        <f t="shared" si="15"/>
        <v>-200050.56019761413</v>
      </c>
      <c r="K121" s="154">
        <f t="shared" si="15"/>
        <v>-225013.57980239391</v>
      </c>
      <c r="L121" s="154">
        <f t="shared" si="15"/>
        <v>-1388173.2200000002</v>
      </c>
      <c r="M121" s="199">
        <f t="shared" si="14"/>
        <v>1.5090641658048574</v>
      </c>
    </row>
    <row r="122" spans="5:13" x14ac:dyDescent="0.45">
      <c r="E122" s="154" t="s">
        <v>619</v>
      </c>
      <c r="F122" s="154">
        <f t="shared" si="15"/>
        <v>-21219453.904353902</v>
      </c>
      <c r="G122" s="154">
        <f t="shared" si="15"/>
        <v>812828.21000000089</v>
      </c>
      <c r="H122" s="154">
        <f t="shared" si="15"/>
        <v>0</v>
      </c>
      <c r="I122" s="154">
        <f t="shared" si="15"/>
        <v>0</v>
      </c>
      <c r="J122" s="154">
        <f t="shared" si="15"/>
        <v>-36877.522323910147</v>
      </c>
      <c r="K122" s="154">
        <f t="shared" si="15"/>
        <v>-149408.42867610604</v>
      </c>
      <c r="L122" s="154">
        <f t="shared" si="15"/>
        <v>3126782</v>
      </c>
      <c r="M122" s="199">
        <f t="shared" si="14"/>
        <v>-0.38778794317900989</v>
      </c>
    </row>
    <row r="123" spans="5:13" x14ac:dyDescent="0.45">
      <c r="E123" s="154" t="s">
        <v>626</v>
      </c>
      <c r="F123" s="154">
        <f t="shared" si="15"/>
        <v>-389821.23000000417</v>
      </c>
      <c r="G123" s="154">
        <f t="shared" si="15"/>
        <v>236708.10000000894</v>
      </c>
      <c r="H123" s="154">
        <f t="shared" si="15"/>
        <v>0</v>
      </c>
      <c r="I123" s="154">
        <f t="shared" si="15"/>
        <v>0</v>
      </c>
      <c r="J123" s="154">
        <f t="shared" si="15"/>
        <v>0</v>
      </c>
      <c r="K123" s="154">
        <f t="shared" si="15"/>
        <v>1398775.1545491107</v>
      </c>
      <c r="L123" s="154">
        <f t="shared" si="15"/>
        <v>0</v>
      </c>
      <c r="M123" s="199">
        <f t="shared" si="14"/>
        <v>3.0839633915259235E-2</v>
      </c>
    </row>
    <row r="124" spans="5:13" x14ac:dyDescent="0.45">
      <c r="E124" s="154" t="s">
        <v>629</v>
      </c>
      <c r="F124" s="154">
        <f t="shared" si="15"/>
        <v>-11696055.93</v>
      </c>
      <c r="G124" s="154">
        <f t="shared" si="15"/>
        <v>-3609944.3700000066</v>
      </c>
      <c r="H124" s="154">
        <f t="shared" si="15"/>
        <v>0</v>
      </c>
      <c r="I124" s="154">
        <f t="shared" si="15"/>
        <v>-231250</v>
      </c>
      <c r="J124" s="154">
        <f t="shared" si="15"/>
        <v>0</v>
      </c>
      <c r="K124" s="154">
        <f t="shared" si="15"/>
        <v>227766.85666295886</v>
      </c>
      <c r="L124" s="154">
        <f t="shared" si="15"/>
        <v>-8263.5300000002608</v>
      </c>
      <c r="M124" s="199">
        <f t="shared" si="14"/>
        <v>2.2341361763499368</v>
      </c>
    </row>
    <row r="125" spans="5:13" x14ac:dyDescent="0.45">
      <c r="E125" s="154" t="s">
        <v>590</v>
      </c>
      <c r="F125" s="154">
        <f t="shared" si="15"/>
        <v>-5160120.9200000018</v>
      </c>
      <c r="G125" s="154">
        <f t="shared" si="15"/>
        <v>-2115265.0672090016</v>
      </c>
      <c r="H125" s="154">
        <f t="shared" si="15"/>
        <v>0</v>
      </c>
      <c r="I125" s="154">
        <f t="shared" si="15"/>
        <v>-2331884.3574999981</v>
      </c>
      <c r="J125" s="154">
        <f t="shared" si="15"/>
        <v>-187003.24779351056</v>
      </c>
      <c r="K125" s="154">
        <f t="shared" si="15"/>
        <v>-256958.20470650494</v>
      </c>
      <c r="L125" s="154">
        <f t="shared" si="15"/>
        <v>911751.49000000022</v>
      </c>
      <c r="M125" s="199">
        <f t="shared" si="14"/>
        <v>0.72299645086163444</v>
      </c>
    </row>
    <row r="126" spans="5:13" x14ac:dyDescent="0.45">
      <c r="E126" s="154" t="s">
        <v>699</v>
      </c>
      <c r="F126" s="154">
        <f t="shared" si="15"/>
        <v>-1760495.9699999988</v>
      </c>
      <c r="G126" s="154">
        <f t="shared" si="15"/>
        <v>695527.55333334021</v>
      </c>
      <c r="H126" s="154">
        <f t="shared" si="15"/>
        <v>0</v>
      </c>
      <c r="I126" s="154">
        <f t="shared" si="15"/>
        <v>-281249.99718749896</v>
      </c>
      <c r="J126" s="154">
        <f t="shared" si="15"/>
        <v>0</v>
      </c>
      <c r="K126" s="154">
        <f t="shared" si="15"/>
        <v>-93749.999062541872</v>
      </c>
      <c r="L126" s="154">
        <f t="shared" si="15"/>
        <v>642663.58999999985</v>
      </c>
      <c r="M126" s="199">
        <f t="shared" si="14"/>
        <v>-0.23410925554632067</v>
      </c>
    </row>
    <row r="127" spans="5:13" x14ac:dyDescent="0.45">
      <c r="E127" s="154" t="s">
        <v>476</v>
      </c>
      <c r="F127" s="154">
        <f t="shared" si="15"/>
        <v>-360533.79000000656</v>
      </c>
      <c r="G127" s="154">
        <f t="shared" si="15"/>
        <v>-1370689.8533333279</v>
      </c>
      <c r="H127" s="154">
        <f t="shared" si="15"/>
        <v>0</v>
      </c>
      <c r="I127" s="154">
        <f t="shared" si="15"/>
        <v>-725527.92799130082</v>
      </c>
      <c r="J127" s="154">
        <f t="shared" si="15"/>
        <v>-180909.47896518605</v>
      </c>
      <c r="K127" s="154">
        <f t="shared" si="15"/>
        <v>-667955.27304352075</v>
      </c>
      <c r="L127" s="154">
        <f t="shared" si="15"/>
        <v>2196804.41</v>
      </c>
      <c r="M127" s="199">
        <f t="shared" si="14"/>
        <v>-4.1236227775426348E-2</v>
      </c>
    </row>
    <row r="128" spans="5:13" x14ac:dyDescent="0.45">
      <c r="E128" s="154" t="s">
        <v>599</v>
      </c>
      <c r="F128" s="154">
        <f t="shared" si="15"/>
        <v>-8070458.9444596767</v>
      </c>
      <c r="G128" s="154">
        <f t="shared" si="15"/>
        <v>-2216450.0076401201</v>
      </c>
      <c r="H128" s="154">
        <f t="shared" si="15"/>
        <v>0</v>
      </c>
      <c r="I128" s="154">
        <f t="shared" si="15"/>
        <v>0</v>
      </c>
      <c r="J128" s="154">
        <f t="shared" si="15"/>
        <v>-4768527.6906419694</v>
      </c>
      <c r="K128" s="154">
        <f t="shared" si="15"/>
        <v>10380127.277584806</v>
      </c>
      <c r="L128" s="154">
        <f t="shared" si="15"/>
        <v>529039.76722024055</v>
      </c>
      <c r="M128" s="199" t="str">
        <f t="shared" si="14"/>
        <v>N/A</v>
      </c>
    </row>
    <row r="129" spans="5:13" x14ac:dyDescent="0.45">
      <c r="E129" s="154" t="s">
        <v>695</v>
      </c>
      <c r="F129" s="154">
        <f t="shared" si="15"/>
        <v>0</v>
      </c>
      <c r="G129" s="154">
        <f t="shared" si="15"/>
        <v>0</v>
      </c>
      <c r="H129" s="154">
        <f t="shared" si="15"/>
        <v>0</v>
      </c>
      <c r="I129" s="154">
        <f t="shared" si="15"/>
        <v>0</v>
      </c>
      <c r="J129" s="154">
        <f t="shared" si="15"/>
        <v>0</v>
      </c>
      <c r="K129" s="154">
        <f t="shared" si="15"/>
        <v>0</v>
      </c>
      <c r="L129" s="154">
        <f t="shared" si="15"/>
        <v>0</v>
      </c>
      <c r="M129" s="199">
        <f t="shared" si="14"/>
        <v>0</v>
      </c>
    </row>
    <row r="130" spans="5:13" x14ac:dyDescent="0.45">
      <c r="E130" s="154" t="s">
        <v>471</v>
      </c>
      <c r="F130" s="154">
        <f t="shared" ref="F130:L139" si="16">F23-F87</f>
        <v>2501330.8999999985</v>
      </c>
      <c r="G130" s="154">
        <f t="shared" si="16"/>
        <v>1760240.2300000004</v>
      </c>
      <c r="H130" s="154">
        <f t="shared" si="16"/>
        <v>5200000</v>
      </c>
      <c r="I130" s="154">
        <f t="shared" si="16"/>
        <v>0</v>
      </c>
      <c r="J130" s="154">
        <f t="shared" si="16"/>
        <v>0</v>
      </c>
      <c r="K130" s="154">
        <f t="shared" si="16"/>
        <v>0</v>
      </c>
      <c r="L130" s="154">
        <f t="shared" si="16"/>
        <v>1098037.0699999998</v>
      </c>
      <c r="M130" s="199">
        <f t="shared" si="14"/>
        <v>-5.1320302490189817E-2</v>
      </c>
    </row>
    <row r="131" spans="5:13" x14ac:dyDescent="0.45">
      <c r="E131" s="154" t="s">
        <v>596</v>
      </c>
      <c r="F131" s="154">
        <f t="shared" si="16"/>
        <v>-726179.97865913063</v>
      </c>
      <c r="G131" s="154">
        <f t="shared" si="16"/>
        <v>504567.61161805008</v>
      </c>
      <c r="H131" s="154">
        <f t="shared" si="16"/>
        <v>-2515801.2799999993</v>
      </c>
      <c r="I131" s="154">
        <f t="shared" si="16"/>
        <v>0</v>
      </c>
      <c r="J131" s="154">
        <f t="shared" si="16"/>
        <v>0</v>
      </c>
      <c r="K131" s="154">
        <f t="shared" si="16"/>
        <v>472893.77840646915</v>
      </c>
      <c r="L131" s="154">
        <f t="shared" si="16"/>
        <v>193786.58</v>
      </c>
      <c r="M131" s="199" t="str">
        <f t="shared" si="14"/>
        <v>N/A</v>
      </c>
    </row>
    <row r="132" spans="5:13" x14ac:dyDescent="0.45">
      <c r="E132" s="154" t="s">
        <v>617</v>
      </c>
      <c r="F132" s="154">
        <f t="shared" si="16"/>
        <v>-1947152.5500000119</v>
      </c>
      <c r="G132" s="154">
        <f t="shared" si="16"/>
        <v>137244.54049999826</v>
      </c>
      <c r="H132" s="154">
        <f t="shared" si="16"/>
        <v>-250000</v>
      </c>
      <c r="I132" s="154">
        <f t="shared" si="16"/>
        <v>0</v>
      </c>
      <c r="J132" s="154">
        <f t="shared" si="16"/>
        <v>-18750</v>
      </c>
      <c r="K132" s="154">
        <f t="shared" si="16"/>
        <v>-243750</v>
      </c>
      <c r="L132" s="154">
        <f t="shared" si="16"/>
        <v>-903459.97</v>
      </c>
      <c r="M132" s="199">
        <f t="shared" si="14"/>
        <v>-5.773898527716792E-2</v>
      </c>
    </row>
    <row r="133" spans="5:13" x14ac:dyDescent="0.45">
      <c r="E133" s="154" t="s">
        <v>701</v>
      </c>
      <c r="F133" s="154">
        <f t="shared" si="16"/>
        <v>2525881.2500000149</v>
      </c>
      <c r="G133" s="154">
        <f t="shared" si="16"/>
        <v>882265.69000000134</v>
      </c>
      <c r="H133" s="154">
        <f t="shared" si="16"/>
        <v>0</v>
      </c>
      <c r="I133" s="154">
        <f t="shared" si="16"/>
        <v>-616951.8200000003</v>
      </c>
      <c r="J133" s="154">
        <f t="shared" si="16"/>
        <v>0</v>
      </c>
      <c r="K133" s="154">
        <f t="shared" si="16"/>
        <v>-443737.1799999997</v>
      </c>
      <c r="L133" s="154">
        <f t="shared" si="16"/>
        <v>-699164.61000000034</v>
      </c>
      <c r="M133" s="199">
        <f t="shared" si="14"/>
        <v>-0.41056399732609838</v>
      </c>
    </row>
    <row r="134" spans="5:13" x14ac:dyDescent="0.45">
      <c r="E134" s="154" t="s">
        <v>606</v>
      </c>
      <c r="F134" s="154">
        <f t="shared" si="16"/>
        <v>1274423.5200000033</v>
      </c>
      <c r="G134" s="154">
        <f t="shared" si="16"/>
        <v>87302.51999999769</v>
      </c>
      <c r="H134" s="154">
        <f t="shared" si="16"/>
        <v>474375.37999999989</v>
      </c>
      <c r="I134" s="154">
        <f t="shared" si="16"/>
        <v>-175000</v>
      </c>
      <c r="J134" s="154">
        <f t="shared" si="16"/>
        <v>0</v>
      </c>
      <c r="K134" s="154">
        <f t="shared" si="16"/>
        <v>133304.38154712692</v>
      </c>
      <c r="L134" s="154">
        <f t="shared" si="16"/>
        <v>-1828.210000000021</v>
      </c>
      <c r="M134" s="199">
        <f t="shared" si="14"/>
        <v>6.1217086097009599E-3</v>
      </c>
    </row>
    <row r="135" spans="5:13" x14ac:dyDescent="0.45">
      <c r="E135" s="154" t="s">
        <v>707</v>
      </c>
      <c r="F135" s="154">
        <f t="shared" si="16"/>
        <v>-351204</v>
      </c>
      <c r="G135" s="154">
        <f t="shared" si="16"/>
        <v>859122</v>
      </c>
      <c r="H135" s="154">
        <f t="shared" si="16"/>
        <v>0</v>
      </c>
      <c r="I135" s="154">
        <f t="shared" si="16"/>
        <v>4300000.00476282</v>
      </c>
      <c r="J135" s="154">
        <f t="shared" si="16"/>
        <v>0</v>
      </c>
      <c r="K135" s="154">
        <f t="shared" si="16"/>
        <v>4165625.0047628395</v>
      </c>
      <c r="L135" s="154">
        <f t="shared" si="16"/>
        <v>1889351</v>
      </c>
      <c r="M135" s="199">
        <f t="shared" si="14"/>
        <v>0.44743171665692394</v>
      </c>
    </row>
    <row r="136" spans="5:13" x14ac:dyDescent="0.45">
      <c r="E136" s="154" t="s">
        <v>458</v>
      </c>
      <c r="F136" s="154">
        <f t="shared" si="16"/>
        <v>0</v>
      </c>
      <c r="G136" s="154">
        <f t="shared" si="16"/>
        <v>0</v>
      </c>
      <c r="H136" s="154">
        <f t="shared" si="16"/>
        <v>0</v>
      </c>
      <c r="I136" s="154">
        <f t="shared" si="16"/>
        <v>0</v>
      </c>
      <c r="J136" s="154">
        <f t="shared" si="16"/>
        <v>0</v>
      </c>
      <c r="K136" s="154">
        <f t="shared" si="16"/>
        <v>43798997.529379718</v>
      </c>
      <c r="L136" s="154">
        <f t="shared" si="16"/>
        <v>0</v>
      </c>
      <c r="M136" s="199" t="str">
        <f t="shared" si="14"/>
        <v>N/A</v>
      </c>
    </row>
    <row r="137" spans="5:13" x14ac:dyDescent="0.45">
      <c r="E137" s="154" t="s">
        <v>702</v>
      </c>
      <c r="F137" s="154">
        <f t="shared" si="16"/>
        <v>1970833.6500000134</v>
      </c>
      <c r="G137" s="154">
        <f t="shared" si="16"/>
        <v>1061995.46</v>
      </c>
      <c r="H137" s="154">
        <f t="shared" si="16"/>
        <v>-1300000</v>
      </c>
      <c r="I137" s="154">
        <f t="shared" si="16"/>
        <v>0</v>
      </c>
      <c r="J137" s="154">
        <f t="shared" si="16"/>
        <v>0</v>
      </c>
      <c r="K137" s="154">
        <f t="shared" si="16"/>
        <v>82703.009248199873</v>
      </c>
      <c r="L137" s="154">
        <f t="shared" si="16"/>
        <v>-571347.7799999998</v>
      </c>
      <c r="M137" s="199">
        <f t="shared" si="14"/>
        <v>-0.3390167224496432</v>
      </c>
    </row>
    <row r="138" spans="5:13" x14ac:dyDescent="0.45">
      <c r="E138" s="154" t="s">
        <v>602</v>
      </c>
      <c r="F138" s="154">
        <f t="shared" si="16"/>
        <v>0</v>
      </c>
      <c r="G138" s="154">
        <f t="shared" si="16"/>
        <v>0</v>
      </c>
      <c r="H138" s="154">
        <f t="shared" si="16"/>
        <v>0</v>
      </c>
      <c r="I138" s="154">
        <f t="shared" si="16"/>
        <v>0</v>
      </c>
      <c r="J138" s="154">
        <f t="shared" si="16"/>
        <v>0</v>
      </c>
      <c r="K138" s="154">
        <f t="shared" si="16"/>
        <v>-9250.0000074878335</v>
      </c>
      <c r="L138" s="154">
        <f t="shared" si="16"/>
        <v>0</v>
      </c>
      <c r="M138" s="199">
        <f t="shared" si="14"/>
        <v>-4.9681584054583894E-4</v>
      </c>
    </row>
    <row r="139" spans="5:13" x14ac:dyDescent="0.45">
      <c r="E139" s="154" t="s">
        <v>624</v>
      </c>
      <c r="F139" s="154">
        <f t="shared" si="16"/>
        <v>0</v>
      </c>
      <c r="G139" s="154">
        <f t="shared" si="16"/>
        <v>0</v>
      </c>
      <c r="H139" s="154">
        <f t="shared" si="16"/>
        <v>0</v>
      </c>
      <c r="I139" s="154">
        <f t="shared" si="16"/>
        <v>0</v>
      </c>
      <c r="J139" s="154">
        <f t="shared" si="16"/>
        <v>0</v>
      </c>
      <c r="K139" s="154">
        <f t="shared" si="16"/>
        <v>93728.282145150006</v>
      </c>
      <c r="L139" s="154">
        <f t="shared" si="16"/>
        <v>0</v>
      </c>
      <c r="M139" s="199">
        <f t="shared" si="14"/>
        <v>4.4275780703669554E-2</v>
      </c>
    </row>
    <row r="140" spans="5:13" x14ac:dyDescent="0.45">
      <c r="E140" s="154" t="s">
        <v>603</v>
      </c>
      <c r="F140" s="154">
        <f t="shared" ref="F140:L149" si="17">F33-F97</f>
        <v>-1619000</v>
      </c>
      <c r="G140" s="154">
        <f t="shared" si="17"/>
        <v>-2204000</v>
      </c>
      <c r="H140" s="154">
        <f t="shared" si="17"/>
        <v>2766000</v>
      </c>
      <c r="I140" s="154">
        <f t="shared" si="17"/>
        <v>0</v>
      </c>
      <c r="J140" s="154">
        <f t="shared" si="17"/>
        <v>0</v>
      </c>
      <c r="K140" s="154">
        <f t="shared" si="17"/>
        <v>-712079.59273910522</v>
      </c>
      <c r="L140" s="154">
        <f t="shared" si="17"/>
        <v>124000</v>
      </c>
      <c r="M140" s="199">
        <f t="shared" si="14"/>
        <v>0.77822984334340539</v>
      </c>
    </row>
    <row r="141" spans="5:13" x14ac:dyDescent="0.45">
      <c r="E141" s="154" t="s">
        <v>623</v>
      </c>
      <c r="F141" s="154">
        <f t="shared" si="17"/>
        <v>173376.4141280055</v>
      </c>
      <c r="G141" s="154">
        <f t="shared" si="17"/>
        <v>-3001329.0570770204</v>
      </c>
      <c r="H141" s="154">
        <f t="shared" si="17"/>
        <v>0</v>
      </c>
      <c r="I141" s="154">
        <f t="shared" si="17"/>
        <v>-1256563</v>
      </c>
      <c r="J141" s="154">
        <f t="shared" si="17"/>
        <v>0</v>
      </c>
      <c r="K141" s="154">
        <f t="shared" si="17"/>
        <v>177267.29437090456</v>
      </c>
      <c r="L141" s="154">
        <f t="shared" si="17"/>
        <v>952612.02669200068</v>
      </c>
      <c r="M141" s="199">
        <f t="shared" si="14"/>
        <v>0.97778672638196795</v>
      </c>
    </row>
    <row r="142" spans="5:13" x14ac:dyDescent="0.45">
      <c r="E142" s="154" t="s">
        <v>700</v>
      </c>
      <c r="F142" s="154">
        <f t="shared" si="17"/>
        <v>278464</v>
      </c>
      <c r="G142" s="154">
        <f t="shared" si="17"/>
        <v>-924789.50999999978</v>
      </c>
      <c r="H142" s="154">
        <f t="shared" si="17"/>
        <v>400000</v>
      </c>
      <c r="I142" s="154">
        <f t="shared" si="17"/>
        <v>0</v>
      </c>
      <c r="J142" s="154">
        <f t="shared" si="17"/>
        <v>-78552.233083300292</v>
      </c>
      <c r="K142" s="154">
        <f t="shared" si="17"/>
        <v>-61447.768750000745</v>
      </c>
      <c r="L142" s="154">
        <f t="shared" si="17"/>
        <v>-79755.520000000019</v>
      </c>
      <c r="M142" s="199">
        <f t="shared" si="14"/>
        <v>0.22544242101121315</v>
      </c>
    </row>
    <row r="143" spans="5:13" x14ac:dyDescent="0.45">
      <c r="E143" s="154" t="s">
        <v>598</v>
      </c>
      <c r="F143" s="154">
        <f t="shared" si="17"/>
        <v>639272.06000000238</v>
      </c>
      <c r="G143" s="154">
        <f t="shared" si="17"/>
        <v>154916.14999999991</v>
      </c>
      <c r="H143" s="154">
        <f t="shared" si="17"/>
        <v>0</v>
      </c>
      <c r="I143" s="154">
        <f t="shared" si="17"/>
        <v>-250000</v>
      </c>
      <c r="J143" s="154">
        <f t="shared" si="17"/>
        <v>0</v>
      </c>
      <c r="K143" s="154">
        <f t="shared" si="17"/>
        <v>0</v>
      </c>
      <c r="L143" s="154">
        <f t="shared" si="17"/>
        <v>-91313.310000000056</v>
      </c>
      <c r="M143" s="199">
        <f t="shared" si="14"/>
        <v>-0.61008502938277775</v>
      </c>
    </row>
    <row r="144" spans="5:13" x14ac:dyDescent="0.45">
      <c r="E144" s="154" t="s">
        <v>704</v>
      </c>
      <c r="F144" s="154">
        <f t="shared" si="17"/>
        <v>269581.37585121393</v>
      </c>
      <c r="G144" s="154">
        <f t="shared" si="17"/>
        <v>1536996.7099999897</v>
      </c>
      <c r="H144" s="154">
        <f t="shared" si="17"/>
        <v>1298612.7799999993</v>
      </c>
      <c r="I144" s="154">
        <f t="shared" si="17"/>
        <v>-224125</v>
      </c>
      <c r="J144" s="154">
        <f t="shared" si="17"/>
        <v>0</v>
      </c>
      <c r="K144" s="154">
        <f t="shared" si="17"/>
        <v>6129999.9950000122</v>
      </c>
      <c r="L144" s="154">
        <f t="shared" si="17"/>
        <v>596479.19999999995</v>
      </c>
      <c r="M144" s="199">
        <f t="shared" si="14"/>
        <v>0.1398681137170632</v>
      </c>
    </row>
    <row r="145" spans="2:15" x14ac:dyDescent="0.45">
      <c r="E145" s="154" t="s">
        <v>703</v>
      </c>
      <c r="F145" s="154">
        <f t="shared" si="17"/>
        <v>-4254402.799999997</v>
      </c>
      <c r="G145" s="154">
        <f t="shared" si="17"/>
        <v>-204407.1999999918</v>
      </c>
      <c r="H145" s="154">
        <f t="shared" si="17"/>
        <v>0</v>
      </c>
      <c r="I145" s="154">
        <f t="shared" si="17"/>
        <v>-287796.875</v>
      </c>
      <c r="J145" s="154">
        <f t="shared" si="17"/>
        <v>0</v>
      </c>
      <c r="K145" s="154">
        <f t="shared" si="17"/>
        <v>0</v>
      </c>
      <c r="L145" s="154">
        <f t="shared" si="17"/>
        <v>1543837</v>
      </c>
      <c r="M145" s="199">
        <f t="shared" si="14"/>
        <v>-0.10279042547694212</v>
      </c>
    </row>
    <row r="146" spans="2:15" x14ac:dyDescent="0.45">
      <c r="E146" s="154" t="s">
        <v>708</v>
      </c>
      <c r="F146" s="154">
        <f t="shared" si="17"/>
        <v>210840543.79999995</v>
      </c>
      <c r="G146" s="154">
        <f t="shared" si="17"/>
        <v>15747192.612689629</v>
      </c>
      <c r="H146" s="154">
        <f t="shared" si="17"/>
        <v>0</v>
      </c>
      <c r="I146" s="154">
        <f t="shared" si="17"/>
        <v>21993672.45668751</v>
      </c>
      <c r="J146" s="154">
        <f t="shared" si="17"/>
        <v>3561716.7911249995</v>
      </c>
      <c r="K146" s="154">
        <f t="shared" si="17"/>
        <v>576616.90112500079</v>
      </c>
      <c r="L146" s="154">
        <f t="shared" si="17"/>
        <v>3083347</v>
      </c>
      <c r="M146" s="199">
        <f t="shared" si="14"/>
        <v>-0.31009079364971148</v>
      </c>
    </row>
    <row r="147" spans="2:15" x14ac:dyDescent="0.45">
      <c r="E147" s="154" t="s">
        <v>709</v>
      </c>
      <c r="F147" s="154">
        <f t="shared" si="17"/>
        <v>0</v>
      </c>
      <c r="G147" s="154">
        <f t="shared" si="17"/>
        <v>0</v>
      </c>
      <c r="H147" s="154">
        <f t="shared" si="17"/>
        <v>0</v>
      </c>
      <c r="I147" s="154">
        <f t="shared" si="17"/>
        <v>0</v>
      </c>
      <c r="J147" s="154">
        <f t="shared" si="17"/>
        <v>0</v>
      </c>
      <c r="K147" s="154">
        <f t="shared" si="17"/>
        <v>894817.12298686244</v>
      </c>
      <c r="L147" s="154">
        <f t="shared" si="17"/>
        <v>0</v>
      </c>
      <c r="M147" s="199">
        <f t="shared" si="14"/>
        <v>5.8873420816287769E-3</v>
      </c>
    </row>
    <row r="148" spans="2:15" x14ac:dyDescent="0.45">
      <c r="E148" s="154" t="s">
        <v>705</v>
      </c>
      <c r="F148" s="154">
        <f t="shared" si="17"/>
        <v>-7516512.5700000226</v>
      </c>
      <c r="G148" s="154">
        <f t="shared" si="17"/>
        <v>-1685708.0526935421</v>
      </c>
      <c r="H148" s="154">
        <f t="shared" si="17"/>
        <v>1500000</v>
      </c>
      <c r="I148" s="154">
        <f t="shared" si="17"/>
        <v>-750000</v>
      </c>
      <c r="J148" s="154">
        <f t="shared" si="17"/>
        <v>0</v>
      </c>
      <c r="K148" s="154">
        <f t="shared" si="17"/>
        <v>0</v>
      </c>
      <c r="L148" s="154">
        <f t="shared" si="17"/>
        <v>540343</v>
      </c>
      <c r="M148" s="199">
        <f t="shared" si="14"/>
        <v>0.17608747695383853</v>
      </c>
    </row>
    <row r="149" spans="2:15" x14ac:dyDescent="0.45">
      <c r="E149" s="154" t="s">
        <v>711</v>
      </c>
      <c r="F149" s="154">
        <f t="shared" si="17"/>
        <v>0</v>
      </c>
      <c r="G149" s="154">
        <f t="shared" si="17"/>
        <v>0</v>
      </c>
      <c r="H149" s="154">
        <f t="shared" si="17"/>
        <v>0</v>
      </c>
      <c r="I149" s="154">
        <f t="shared" si="17"/>
        <v>0</v>
      </c>
      <c r="J149" s="154">
        <f t="shared" si="17"/>
        <v>0</v>
      </c>
      <c r="K149" s="154">
        <f t="shared" si="17"/>
        <v>0</v>
      </c>
      <c r="L149" s="154">
        <f t="shared" si="17"/>
        <v>0</v>
      </c>
      <c r="M149" s="199">
        <f t="shared" si="14"/>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46092</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149203243.0278998</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READY TO RUN</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t="s">
        <v>240</v>
      </c>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v>56000000</v>
      </c>
      <c r="C14" s="770"/>
      <c r="D14" t="s">
        <v>1209</v>
      </c>
      <c r="K14" t="s">
        <v>1210</v>
      </c>
      <c r="Z14" s="753" t="s">
        <v>322</v>
      </c>
    </row>
    <row r="15" spans="1:26" x14ac:dyDescent="0.45">
      <c r="A15" s="671" t="s">
        <v>1211</v>
      </c>
      <c r="B15" s="770">
        <v>20000000</v>
      </c>
      <c r="C15" s="770"/>
      <c r="D15" t="s">
        <v>1212</v>
      </c>
      <c r="K15" t="s">
        <v>1213</v>
      </c>
      <c r="Z15" s="753" t="s">
        <v>323</v>
      </c>
    </row>
    <row r="16" spans="1:26" x14ac:dyDescent="0.45">
      <c r="A16" s="671" t="s">
        <v>1214</v>
      </c>
      <c r="B16" s="770">
        <v>0</v>
      </c>
      <c r="C16" s="770"/>
      <c r="D16" t="s">
        <v>1215</v>
      </c>
      <c r="J16" t="s">
        <v>1216</v>
      </c>
      <c r="K16" t="s">
        <v>1217</v>
      </c>
      <c r="Z16" s="753" t="s">
        <v>324</v>
      </c>
    </row>
    <row r="17" spans="1:26" x14ac:dyDescent="0.45">
      <c r="A17" s="671" t="s">
        <v>1218</v>
      </c>
      <c r="B17" s="770">
        <v>15000000</v>
      </c>
      <c r="C17" s="770"/>
      <c r="D17" t="s">
        <v>1215</v>
      </c>
      <c r="K17" t="s">
        <v>1219</v>
      </c>
      <c r="Z17" s="753" t="s">
        <v>325</v>
      </c>
    </row>
    <row r="18" spans="1:26" x14ac:dyDescent="0.45">
      <c r="A18" s="671" t="s">
        <v>1220</v>
      </c>
      <c r="B18" s="770">
        <v>0</v>
      </c>
      <c r="C18" s="770"/>
      <c r="D18" t="s">
        <v>1221</v>
      </c>
      <c r="Z18" s="753" t="s">
        <v>326</v>
      </c>
    </row>
    <row r="19" spans="1:26" x14ac:dyDescent="0.45">
      <c r="A19" s="752" t="s">
        <v>1222</v>
      </c>
      <c r="B19" s="770">
        <v>15000000</v>
      </c>
      <c r="C19" s="770"/>
      <c r="D19" t="s">
        <v>1223</v>
      </c>
      <c r="J19" s="813" t="s">
        <v>1224</v>
      </c>
      <c r="Z19" s="753" t="s">
        <v>327</v>
      </c>
    </row>
    <row r="20" spans="1:26" x14ac:dyDescent="0.45">
      <c r="A20" s="671" t="s">
        <v>1225</v>
      </c>
      <c r="B20" s="770">
        <v>60000000</v>
      </c>
      <c r="C20" s="770"/>
      <c r="D20" t="s">
        <v>1226</v>
      </c>
      <c r="J20" t="s">
        <v>1190</v>
      </c>
      <c r="K20" t="s">
        <v>1227</v>
      </c>
      <c r="Z20" s="753" t="s">
        <v>328</v>
      </c>
    </row>
    <row r="21" spans="1:26" x14ac:dyDescent="0.45">
      <c r="A21" s="671" t="s">
        <v>1228</v>
      </c>
      <c r="B21" s="770">
        <v>0</v>
      </c>
      <c r="C21" s="770"/>
      <c r="D21" t="s">
        <v>1229</v>
      </c>
      <c r="K21" t="s">
        <v>1230</v>
      </c>
      <c r="Z21" s="753" t="s">
        <v>329</v>
      </c>
    </row>
    <row r="22" spans="1:26" x14ac:dyDescent="0.45">
      <c r="A22" s="671" t="s">
        <v>1231</v>
      </c>
      <c r="B22" s="771">
        <v>3</v>
      </c>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v>46092</v>
      </c>
      <c r="C31" s="773"/>
      <c r="D31" t="s">
        <v>1246</v>
      </c>
      <c r="K31" t="s">
        <v>1247</v>
      </c>
      <c r="Z31" s="753" t="s">
        <v>339</v>
      </c>
    </row>
    <row r="32" spans="1:26" x14ac:dyDescent="0.45">
      <c r="A32" s="671" t="s">
        <v>1248</v>
      </c>
      <c r="B32" s="773">
        <v>47918</v>
      </c>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t="s">
        <v>327</v>
      </c>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v>7.4999999999999997E-2</v>
      </c>
      <c r="C37" s="772"/>
      <c r="D37" t="s">
        <v>1262</v>
      </c>
      <c r="Z37" s="753" t="s">
        <v>345</v>
      </c>
    </row>
    <row r="38" spans="1:26" x14ac:dyDescent="0.45">
      <c r="A38" s="671" t="s">
        <v>1263</v>
      </c>
      <c r="B38" s="772">
        <v>0.02</v>
      </c>
      <c r="C38" s="772"/>
      <c r="D38" t="s">
        <v>1264</v>
      </c>
      <c r="Z38" s="753" t="s">
        <v>346</v>
      </c>
    </row>
    <row r="39" spans="1:26" x14ac:dyDescent="0.45">
      <c r="A39" s="671" t="s">
        <v>1265</v>
      </c>
      <c r="B39" s="771">
        <v>0.75</v>
      </c>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15000000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149203243.0278998</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60000000</v>
      </c>
      <c r="C64" s="819"/>
      <c r="D64" s="818" t="s">
        <v>1283</v>
      </c>
      <c r="Z64" s="753" t="s">
        <v>372</v>
      </c>
    </row>
    <row r="65" spans="1:26" x14ac:dyDescent="0.45">
      <c r="A65" s="759" t="s">
        <v>1284</v>
      </c>
      <c r="B65" s="760">
        <f>IF(B20&gt;0,B19/B20,"")</f>
        <v>0.25</v>
      </c>
      <c r="C65" s="760"/>
      <c r="D65" t="s">
        <v>1285</v>
      </c>
      <c r="Z65" s="753" t="s">
        <v>373</v>
      </c>
    </row>
    <row r="66" spans="1:26" x14ac:dyDescent="0.45">
      <c r="A66" s="818" t="s">
        <v>1286</v>
      </c>
      <c r="B66" s="820">
        <f>IF(B15&gt;0,(B16+B17+B18+B20-B21)/B15,"")</f>
        <v>3.75</v>
      </c>
      <c r="C66" s="820"/>
      <c r="D66" s="818" t="s">
        <v>1287</v>
      </c>
      <c r="Z66" s="753" t="s">
        <v>374</v>
      </c>
    </row>
    <row r="67" spans="1:26" x14ac:dyDescent="0.45">
      <c r="A67" s="759" t="s">
        <v>688</v>
      </c>
      <c r="B67" s="761">
        <f>IF(B15&gt;0,(B16+B17+B18+B20-B21)/B15,"")</f>
        <v>3.75</v>
      </c>
      <c r="C67" s="761"/>
      <c r="D67" t="s">
        <v>1288</v>
      </c>
      <c r="Z67" s="753" t="s">
        <v>375</v>
      </c>
    </row>
    <row r="68" spans="1:26" x14ac:dyDescent="0.45">
      <c r="A68" s="818" t="s">
        <v>689</v>
      </c>
      <c r="B68" s="820">
        <f>IF(B15&gt;0,(B16+B17-B21)/B15,"")</f>
        <v>0.75</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49599340.729726665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24799670.364863332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74399011.094589993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37199505.547294997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18599752.773647498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49599340.729726665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37199505.547294997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24799670.364863332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24799670.364863332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24799670.364863332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37199505.547294997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37199505.547294997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24799670.364863332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2026-03-11T21:39:00Z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